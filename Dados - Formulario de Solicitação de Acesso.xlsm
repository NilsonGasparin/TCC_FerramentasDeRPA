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ilso\OneDrive\Área de Trabalho\TCC\AUTOMAÇÃO\"/>
    </mc:Choice>
  </mc:AlternateContent>
  <xr:revisionPtr revIDLastSave="0" documentId="13_ncr:1_{8612D62C-E40B-4400-9D5E-E71529B3C434}" xr6:coauthVersionLast="37" xr6:coauthVersionMax="47" xr10:uidLastSave="{00000000-0000-0000-0000-000000000000}"/>
  <bookViews>
    <workbookView xWindow="0" yWindow="0" windowWidth="38400" windowHeight="18330" xr2:uid="{008EDB0D-F559-4ED5-8902-02C78C792369}"/>
  </bookViews>
  <sheets>
    <sheet name="1" sheetId="1" r:id="rId1"/>
    <sheet name="2" sheetId="2" r:id="rId2"/>
    <sheet name="Dados - Cliente" sheetId="3" r:id="rId3"/>
    <sheet name="Dados - Projeto" sheetId="14" r:id="rId4"/>
    <sheet name="Dados - Beneficiarias" sheetId="23" r:id="rId5"/>
    <sheet name="CheckList" sheetId="19" r:id="rId6"/>
    <sheet name="Legendas - VBA" sheetId="18" r:id="rId7"/>
    <sheet name="Dados - Solicitação de acesso" sheetId="7" r:id="rId8"/>
    <sheet name="Dados - Placas" sheetId="4" r:id="rId9"/>
    <sheet name="Lista - Placas" sheetId="8" r:id="rId10"/>
    <sheet name="Dados - Inversores" sheetId="5" r:id="rId11"/>
    <sheet name="Lista - Inversor" sheetId="12" r:id="rId12"/>
    <sheet name="Dados" sheetId="6" r:id="rId13"/>
  </sheets>
  <externalReferences>
    <externalReference r:id="rId14"/>
    <externalReference r:id="rId15"/>
  </externalReferences>
  <definedNames>
    <definedName name="_xlnm._FilterDatabase" localSheetId="5" hidden="1">CheckList!$A$1:$K$217</definedName>
    <definedName name="_xlnm._FilterDatabase" localSheetId="12" hidden="1">Dados!$A$153:$BO$195</definedName>
    <definedName name="_xlnm._FilterDatabase" localSheetId="6" hidden="1">'Legendas - VBA'!$A$1:$BV$4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2" i="1" l="1"/>
  <c r="AG2" i="3"/>
  <c r="A2" i="1"/>
  <c r="B2" i="1"/>
  <c r="E9" i="14" l="1"/>
  <c r="A2" i="2" l="1"/>
  <c r="B2" i="2"/>
  <c r="D2" i="2"/>
  <c r="E2" i="2"/>
  <c r="A3" i="2"/>
  <c r="B3" i="2"/>
  <c r="D3" i="2"/>
  <c r="E3" i="2"/>
  <c r="A4" i="2"/>
  <c r="B4" i="2"/>
  <c r="D4" i="2"/>
  <c r="E4" i="2"/>
  <c r="A5" i="2"/>
  <c r="B5" i="2"/>
  <c r="D5" i="2"/>
  <c r="E5" i="2"/>
  <c r="A6" i="2"/>
  <c r="B6" i="2"/>
  <c r="D6" i="2"/>
  <c r="E6" i="2"/>
  <c r="A7" i="2"/>
  <c r="B7" i="2"/>
  <c r="D7" i="2"/>
  <c r="E7" i="2"/>
  <c r="A8" i="2"/>
  <c r="B8" i="2"/>
  <c r="D8" i="2"/>
  <c r="E8" i="2"/>
  <c r="A9" i="2"/>
  <c r="B9" i="2"/>
  <c r="D9" i="2"/>
  <c r="E9" i="2"/>
  <c r="A10" i="2"/>
  <c r="B10" i="2"/>
  <c r="D10" i="2"/>
  <c r="E10" i="2"/>
  <c r="A11" i="2"/>
  <c r="B11" i="2"/>
  <c r="D11" i="2"/>
  <c r="E11" i="2"/>
  <c r="A12" i="2"/>
  <c r="B12" i="2"/>
  <c r="D12" i="2"/>
  <c r="E12" i="2"/>
  <c r="A13" i="2"/>
  <c r="B13" i="2"/>
  <c r="D13" i="2"/>
  <c r="E13" i="2"/>
  <c r="A14" i="2"/>
  <c r="B14" i="2"/>
  <c r="D14" i="2"/>
  <c r="E14" i="2"/>
  <c r="A15" i="2"/>
  <c r="B15" i="2"/>
  <c r="D15" i="2"/>
  <c r="E15" i="2"/>
  <c r="A16" i="2"/>
  <c r="B16" i="2"/>
  <c r="D16" i="2"/>
  <c r="E16" i="2"/>
  <c r="A17" i="2"/>
  <c r="B17" i="2"/>
  <c r="D17" i="2"/>
  <c r="E17" i="2"/>
  <c r="A18" i="2"/>
  <c r="B18" i="2"/>
  <c r="D18" i="2"/>
  <c r="E18" i="2"/>
  <c r="A19" i="2"/>
  <c r="B19" i="2"/>
  <c r="D19" i="2"/>
  <c r="E19" i="2"/>
  <c r="A20" i="2"/>
  <c r="B20" i="2"/>
  <c r="D20" i="2"/>
  <c r="E20" i="2"/>
  <c r="A21" i="2"/>
  <c r="B21" i="2"/>
  <c r="D21" i="2"/>
  <c r="E21" i="2"/>
  <c r="A22" i="2"/>
  <c r="B22" i="2"/>
  <c r="D22" i="2"/>
  <c r="E22" i="2"/>
  <c r="A23" i="2"/>
  <c r="B23" i="2"/>
  <c r="D23" i="2"/>
  <c r="E23" i="2"/>
  <c r="A24" i="2"/>
  <c r="B24" i="2"/>
  <c r="D24" i="2"/>
  <c r="E24" i="2"/>
  <c r="A25" i="2"/>
  <c r="B25" i="2"/>
  <c r="D25" i="2"/>
  <c r="E25" i="2"/>
  <c r="A26" i="2"/>
  <c r="B26" i="2"/>
  <c r="D26" i="2"/>
  <c r="E26" i="2"/>
  <c r="A27" i="2"/>
  <c r="B27" i="2"/>
  <c r="D27" i="2"/>
  <c r="E27" i="2"/>
  <c r="A28" i="2"/>
  <c r="B28" i="2"/>
  <c r="D28" i="2"/>
  <c r="E28" i="2"/>
  <c r="A29" i="2"/>
  <c r="B29" i="2"/>
  <c r="D29" i="2"/>
  <c r="E29" i="2"/>
  <c r="A30" i="2"/>
  <c r="B30" i="2"/>
  <c r="D30" i="2"/>
  <c r="E30" i="2"/>
  <c r="A31" i="2"/>
  <c r="B31" i="2"/>
  <c r="D31" i="2"/>
  <c r="E31" i="2"/>
  <c r="A32" i="2"/>
  <c r="B32" i="2"/>
  <c r="D32" i="2"/>
  <c r="E32" i="2"/>
  <c r="A33" i="2"/>
  <c r="B33" i="2"/>
  <c r="D33" i="2"/>
  <c r="E33" i="2"/>
  <c r="A34" i="2"/>
  <c r="B34" i="2"/>
  <c r="D34" i="2"/>
  <c r="E34" i="2"/>
  <c r="A35" i="2"/>
  <c r="B35" i="2"/>
  <c r="D35" i="2"/>
  <c r="E35" i="2"/>
  <c r="A36" i="2"/>
  <c r="B36" i="2"/>
  <c r="D36" i="2"/>
  <c r="E36" i="2"/>
  <c r="A37" i="2"/>
  <c r="B37" i="2"/>
  <c r="D37" i="2"/>
  <c r="E37" i="2"/>
  <c r="A38" i="2"/>
  <c r="B38" i="2"/>
  <c r="D38" i="2"/>
  <c r="E38" i="2"/>
  <c r="A39" i="2"/>
  <c r="B39" i="2"/>
  <c r="D39" i="2"/>
  <c r="E39" i="2"/>
  <c r="A40" i="2"/>
  <c r="B40" i="2"/>
  <c r="D40" i="2"/>
  <c r="E40" i="2"/>
  <c r="A41" i="2"/>
  <c r="B41" i="2"/>
  <c r="D41" i="2"/>
  <c r="E41" i="2"/>
  <c r="A42" i="2"/>
  <c r="B42" i="2"/>
  <c r="D42" i="2"/>
  <c r="E42" i="2"/>
  <c r="A43" i="2"/>
  <c r="B43" i="2"/>
  <c r="D43" i="2"/>
  <c r="E43" i="2"/>
  <c r="A44" i="2"/>
  <c r="B44" i="2"/>
  <c r="D44" i="2"/>
  <c r="E44" i="2"/>
  <c r="A45" i="2"/>
  <c r="B45" i="2"/>
  <c r="D45" i="2"/>
  <c r="E45" i="2"/>
  <c r="A46" i="2"/>
  <c r="B46" i="2"/>
  <c r="D46" i="2"/>
  <c r="E46" i="2"/>
  <c r="A47" i="2"/>
  <c r="B47" i="2"/>
  <c r="D47" i="2"/>
  <c r="E47" i="2"/>
  <c r="A48" i="2"/>
  <c r="B48" i="2"/>
  <c r="D48" i="2"/>
  <c r="E48" i="2"/>
  <c r="A49" i="2"/>
  <c r="B49" i="2"/>
  <c r="D49" i="2"/>
  <c r="E49" i="2"/>
  <c r="A50" i="2"/>
  <c r="B50" i="2"/>
  <c r="D50" i="2"/>
  <c r="E50" i="2"/>
  <c r="A51" i="2"/>
  <c r="B51" i="2"/>
  <c r="D51" i="2"/>
  <c r="E51" i="2"/>
  <c r="A52" i="2"/>
  <c r="B52" i="2"/>
  <c r="D52" i="2"/>
  <c r="E52" i="2"/>
  <c r="A53" i="2"/>
  <c r="B53" i="2"/>
  <c r="D53" i="2"/>
  <c r="E53" i="2"/>
  <c r="A54" i="2"/>
  <c r="B54" i="2"/>
  <c r="D54" i="2"/>
  <c r="E54" i="2"/>
  <c r="A55" i="2"/>
  <c r="B55" i="2"/>
  <c r="D55" i="2"/>
  <c r="E55" i="2"/>
  <c r="A56" i="2"/>
  <c r="B56" i="2"/>
  <c r="D56" i="2"/>
  <c r="E56" i="2"/>
  <c r="A57" i="2"/>
  <c r="B57" i="2"/>
  <c r="D57" i="2"/>
  <c r="E57" i="2"/>
  <c r="A58" i="2"/>
  <c r="B58" i="2"/>
  <c r="D58" i="2"/>
  <c r="E58" i="2"/>
  <c r="A59" i="2"/>
  <c r="B59" i="2"/>
  <c r="D59" i="2"/>
  <c r="E59" i="2"/>
  <c r="A60" i="2"/>
  <c r="B60" i="2"/>
  <c r="D60" i="2"/>
  <c r="E60" i="2"/>
  <c r="A61" i="2"/>
  <c r="B61" i="2"/>
  <c r="D61" i="2"/>
  <c r="E61" i="2"/>
  <c r="A62" i="2"/>
  <c r="B62" i="2"/>
  <c r="D62" i="2"/>
  <c r="E62" i="2"/>
  <c r="A63" i="2"/>
  <c r="B63" i="2"/>
  <c r="D63" i="2"/>
  <c r="E63" i="2"/>
  <c r="A64" i="2"/>
  <c r="B64" i="2"/>
  <c r="D64" i="2"/>
  <c r="E64" i="2"/>
  <c r="A65" i="2"/>
  <c r="B65" i="2"/>
  <c r="D65" i="2"/>
  <c r="E65" i="2"/>
  <c r="A66" i="2"/>
  <c r="B66" i="2"/>
  <c r="D66" i="2"/>
  <c r="E66" i="2"/>
  <c r="A67" i="2"/>
  <c r="B67" i="2"/>
  <c r="D67" i="2"/>
  <c r="E67" i="2"/>
  <c r="A68" i="2"/>
  <c r="B68" i="2"/>
  <c r="D68" i="2"/>
  <c r="E68" i="2"/>
  <c r="A69" i="2"/>
  <c r="B69" i="2"/>
  <c r="D69" i="2"/>
  <c r="E69" i="2"/>
  <c r="A70" i="2"/>
  <c r="B70" i="2"/>
  <c r="D70" i="2"/>
  <c r="E70" i="2"/>
  <c r="A71" i="2"/>
  <c r="B71" i="2"/>
  <c r="D71" i="2"/>
  <c r="E71" i="2"/>
  <c r="A72" i="2"/>
  <c r="B72" i="2"/>
  <c r="D72" i="2"/>
  <c r="E72" i="2"/>
  <c r="A73" i="2"/>
  <c r="B73" i="2"/>
  <c r="D73" i="2"/>
  <c r="E73" i="2"/>
  <c r="A74" i="2"/>
  <c r="B74" i="2"/>
  <c r="D74" i="2"/>
  <c r="E74" i="2"/>
  <c r="A75" i="2"/>
  <c r="B75" i="2"/>
  <c r="D75" i="2"/>
  <c r="E75" i="2"/>
  <c r="A76" i="2"/>
  <c r="B76" i="2"/>
  <c r="D76" i="2"/>
  <c r="E76" i="2"/>
  <c r="A77" i="2"/>
  <c r="B77" i="2"/>
  <c r="D77" i="2"/>
  <c r="E77" i="2"/>
  <c r="A78" i="2"/>
  <c r="B78" i="2"/>
  <c r="D78" i="2"/>
  <c r="E78" i="2"/>
  <c r="A79" i="2"/>
  <c r="B79" i="2"/>
  <c r="D79" i="2"/>
  <c r="E79" i="2"/>
  <c r="A80" i="2"/>
  <c r="B80" i="2"/>
  <c r="D80" i="2"/>
  <c r="E80" i="2"/>
  <c r="A81" i="2"/>
  <c r="B81" i="2"/>
  <c r="D81" i="2"/>
  <c r="E81" i="2"/>
  <c r="A82" i="2"/>
  <c r="B82" i="2"/>
  <c r="D82" i="2"/>
  <c r="E82" i="2"/>
  <c r="A83" i="2"/>
  <c r="B83" i="2"/>
  <c r="D83" i="2"/>
  <c r="E83" i="2"/>
  <c r="A84" i="2"/>
  <c r="B84" i="2"/>
  <c r="D84" i="2"/>
  <c r="E84" i="2"/>
  <c r="A85" i="2"/>
  <c r="B85" i="2"/>
  <c r="D85" i="2"/>
  <c r="E85" i="2"/>
  <c r="A86" i="2"/>
  <c r="B86" i="2"/>
  <c r="D86" i="2"/>
  <c r="E86" i="2"/>
  <c r="A87" i="2"/>
  <c r="B87" i="2"/>
  <c r="D87" i="2"/>
  <c r="E87" i="2"/>
  <c r="A88" i="2"/>
  <c r="B88" i="2"/>
  <c r="D88" i="2"/>
  <c r="E88" i="2"/>
  <c r="A89" i="2"/>
  <c r="B89" i="2"/>
  <c r="D89" i="2"/>
  <c r="E89" i="2"/>
  <c r="A90" i="2"/>
  <c r="B90" i="2"/>
  <c r="D90" i="2"/>
  <c r="E90" i="2"/>
  <c r="A91" i="2"/>
  <c r="B91" i="2"/>
  <c r="D91" i="2"/>
  <c r="E91" i="2"/>
  <c r="A92" i="2"/>
  <c r="B92" i="2"/>
  <c r="D92" i="2"/>
  <c r="E92" i="2"/>
  <c r="A93" i="2"/>
  <c r="B93" i="2"/>
  <c r="D93" i="2"/>
  <c r="E93" i="2"/>
  <c r="A94" i="2"/>
  <c r="B94" i="2"/>
  <c r="D94" i="2"/>
  <c r="E94" i="2"/>
  <c r="A95" i="2"/>
  <c r="B95" i="2"/>
  <c r="D95" i="2"/>
  <c r="E95" i="2"/>
  <c r="A96" i="2"/>
  <c r="B96" i="2"/>
  <c r="D96" i="2"/>
  <c r="E96" i="2"/>
  <c r="A97" i="2"/>
  <c r="B97" i="2"/>
  <c r="D97" i="2"/>
  <c r="E97" i="2"/>
  <c r="A98" i="2"/>
  <c r="B98" i="2"/>
  <c r="D98" i="2"/>
  <c r="E98" i="2"/>
  <c r="A99" i="2"/>
  <c r="B99" i="2"/>
  <c r="D99" i="2"/>
  <c r="E99" i="2"/>
  <c r="A100" i="2"/>
  <c r="B100" i="2"/>
  <c r="D100" i="2"/>
  <c r="E100" i="2"/>
  <c r="A101" i="2"/>
  <c r="B101" i="2"/>
  <c r="D101" i="2"/>
  <c r="E101" i="2"/>
  <c r="A102" i="2"/>
  <c r="B102" i="2"/>
  <c r="D102" i="2"/>
  <c r="E102" i="2"/>
  <c r="A103" i="2"/>
  <c r="B103" i="2"/>
  <c r="D103" i="2"/>
  <c r="E103" i="2"/>
  <c r="A104" i="2"/>
  <c r="B104" i="2"/>
  <c r="D104" i="2"/>
  <c r="E104" i="2"/>
  <c r="A105" i="2"/>
  <c r="B105" i="2"/>
  <c r="D105" i="2"/>
  <c r="E105" i="2"/>
  <c r="A106" i="2"/>
  <c r="B106" i="2"/>
  <c r="D106" i="2"/>
  <c r="E106" i="2"/>
  <c r="A107" i="2"/>
  <c r="B107" i="2"/>
  <c r="D107" i="2"/>
  <c r="E107" i="2"/>
  <c r="A108" i="2"/>
  <c r="B108" i="2"/>
  <c r="D108" i="2"/>
  <c r="E108" i="2"/>
  <c r="A109" i="2"/>
  <c r="B109" i="2"/>
  <c r="D109" i="2"/>
  <c r="E109" i="2"/>
  <c r="A110" i="2"/>
  <c r="B110" i="2"/>
  <c r="D110" i="2"/>
  <c r="E110" i="2"/>
  <c r="A111" i="2"/>
  <c r="B111" i="2"/>
  <c r="D111" i="2"/>
  <c r="E111" i="2"/>
  <c r="A112" i="2"/>
  <c r="B112" i="2"/>
  <c r="D112" i="2"/>
  <c r="E112" i="2"/>
  <c r="A113" i="2"/>
  <c r="B113" i="2"/>
  <c r="D113" i="2"/>
  <c r="E113" i="2"/>
  <c r="A114" i="2"/>
  <c r="B114" i="2"/>
  <c r="D114" i="2"/>
  <c r="E114" i="2"/>
  <c r="A115" i="2"/>
  <c r="B115" i="2"/>
  <c r="D115" i="2"/>
  <c r="E115" i="2"/>
  <c r="A116" i="2"/>
  <c r="B116" i="2"/>
  <c r="D116" i="2"/>
  <c r="E116" i="2"/>
  <c r="A117" i="2"/>
  <c r="B117" i="2"/>
  <c r="D117" i="2"/>
  <c r="E117" i="2"/>
  <c r="A118" i="2"/>
  <c r="B118" i="2"/>
  <c r="D118" i="2"/>
  <c r="E118" i="2"/>
  <c r="A119" i="2"/>
  <c r="B119" i="2"/>
  <c r="D119" i="2"/>
  <c r="E119" i="2"/>
  <c r="A120" i="2"/>
  <c r="B120" i="2"/>
  <c r="D120" i="2"/>
  <c r="E120" i="2"/>
  <c r="A121" i="2"/>
  <c r="B121" i="2"/>
  <c r="D121" i="2"/>
  <c r="E121" i="2"/>
  <c r="A122" i="2"/>
  <c r="B122" i="2"/>
  <c r="D122" i="2"/>
  <c r="E122" i="2"/>
  <c r="A123" i="2"/>
  <c r="B123" i="2"/>
  <c r="D123" i="2"/>
  <c r="E123" i="2"/>
  <c r="A124" i="2"/>
  <c r="B124" i="2"/>
  <c r="D124" i="2"/>
  <c r="E124" i="2"/>
  <c r="A125" i="2"/>
  <c r="B125" i="2"/>
  <c r="D125" i="2"/>
  <c r="E125" i="2"/>
  <c r="A126" i="2"/>
  <c r="B126" i="2"/>
  <c r="D126" i="2"/>
  <c r="E126" i="2"/>
  <c r="A127" i="2"/>
  <c r="B127" i="2"/>
  <c r="D127" i="2"/>
  <c r="E127" i="2"/>
  <c r="A128" i="2"/>
  <c r="B128" i="2"/>
  <c r="D128" i="2"/>
  <c r="E128" i="2"/>
  <c r="A129" i="2"/>
  <c r="B129" i="2"/>
  <c r="D129" i="2"/>
  <c r="E129" i="2"/>
  <c r="A130" i="2"/>
  <c r="B130" i="2"/>
  <c r="D130" i="2"/>
  <c r="E130" i="2"/>
  <c r="A131" i="2"/>
  <c r="B131" i="2"/>
  <c r="D131" i="2"/>
  <c r="E131" i="2"/>
  <c r="A132" i="2"/>
  <c r="B132" i="2"/>
  <c r="D132" i="2"/>
  <c r="E132" i="2"/>
  <c r="A133" i="2"/>
  <c r="B133" i="2"/>
  <c r="D133" i="2"/>
  <c r="E133" i="2"/>
  <c r="A134" i="2"/>
  <c r="B134" i="2"/>
  <c r="D134" i="2"/>
  <c r="E134" i="2"/>
  <c r="A135" i="2"/>
  <c r="B135" i="2"/>
  <c r="D135" i="2"/>
  <c r="E135" i="2"/>
  <c r="A136" i="2"/>
  <c r="B136" i="2"/>
  <c r="D136" i="2"/>
  <c r="E136" i="2"/>
  <c r="A137" i="2"/>
  <c r="B137" i="2"/>
  <c r="D137" i="2"/>
  <c r="E137" i="2"/>
  <c r="A138" i="2"/>
  <c r="B138" i="2"/>
  <c r="D138" i="2"/>
  <c r="E138" i="2"/>
  <c r="A139" i="2"/>
  <c r="B139" i="2"/>
  <c r="D139" i="2"/>
  <c r="E139" i="2"/>
  <c r="A140" i="2"/>
  <c r="B140" i="2"/>
  <c r="D140" i="2"/>
  <c r="E140" i="2"/>
  <c r="A141" i="2"/>
  <c r="B141" i="2"/>
  <c r="D141" i="2"/>
  <c r="E141" i="2"/>
  <c r="A142" i="2"/>
  <c r="B142" i="2"/>
  <c r="D142" i="2"/>
  <c r="E142" i="2"/>
  <c r="A143" i="2"/>
  <c r="B143" i="2"/>
  <c r="D143" i="2"/>
  <c r="E143" i="2"/>
  <c r="A144" i="2"/>
  <c r="B144" i="2"/>
  <c r="D144" i="2"/>
  <c r="E144" i="2"/>
  <c r="A145" i="2"/>
  <c r="B145" i="2"/>
  <c r="D145" i="2"/>
  <c r="E145" i="2"/>
  <c r="A146" i="2"/>
  <c r="B146" i="2"/>
  <c r="D146" i="2"/>
  <c r="E146" i="2"/>
  <c r="A147" i="2"/>
  <c r="B147" i="2"/>
  <c r="D147" i="2"/>
  <c r="E147" i="2"/>
  <c r="A148" i="2"/>
  <c r="B148" i="2"/>
  <c r="D148" i="2"/>
  <c r="E148" i="2"/>
  <c r="A149" i="2"/>
  <c r="B149" i="2"/>
  <c r="D149" i="2"/>
  <c r="E149" i="2"/>
  <c r="A150" i="2"/>
  <c r="B150" i="2"/>
  <c r="D150" i="2"/>
  <c r="E150" i="2"/>
  <c r="A151" i="2"/>
  <c r="B151" i="2"/>
  <c r="D151" i="2"/>
  <c r="E151" i="2"/>
  <c r="A152" i="2"/>
  <c r="B152" i="2"/>
  <c r="D152" i="2"/>
  <c r="E152" i="2"/>
  <c r="A153" i="2"/>
  <c r="B153" i="2"/>
  <c r="D153" i="2"/>
  <c r="E153" i="2"/>
  <c r="A154" i="2"/>
  <c r="B154" i="2"/>
  <c r="D154" i="2"/>
  <c r="E154" i="2"/>
  <c r="A155" i="2"/>
  <c r="B155" i="2"/>
  <c r="D155" i="2"/>
  <c r="E155" i="2"/>
  <c r="A156" i="2"/>
  <c r="B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E197" i="2"/>
  <c r="A198" i="2"/>
  <c r="B198" i="2"/>
  <c r="C198" i="2"/>
  <c r="D198" i="2"/>
  <c r="E198" i="2"/>
  <c r="A199" i="2"/>
  <c r="B199" i="2"/>
  <c r="C199" i="2"/>
  <c r="D199" i="2"/>
  <c r="E199" i="2"/>
  <c r="A200" i="2"/>
  <c r="B200" i="2"/>
  <c r="C200" i="2"/>
  <c r="D200" i="2"/>
  <c r="E200" i="2"/>
  <c r="A201" i="2"/>
  <c r="B201" i="2"/>
  <c r="C201" i="2"/>
  <c r="D201" i="2"/>
  <c r="E201" i="2"/>
  <c r="A202" i="2"/>
  <c r="B202" i="2"/>
  <c r="C202" i="2"/>
  <c r="D202" i="2"/>
  <c r="E202" i="2"/>
  <c r="A203" i="2"/>
  <c r="B203" i="2"/>
  <c r="C203" i="2"/>
  <c r="D203" i="2"/>
  <c r="E203" i="2"/>
  <c r="A204" i="2"/>
  <c r="B204" i="2"/>
  <c r="C204" i="2"/>
  <c r="D204" i="2"/>
  <c r="E204" i="2"/>
  <c r="A205" i="2"/>
  <c r="B205" i="2"/>
  <c r="C205" i="2"/>
  <c r="D205" i="2"/>
  <c r="E205" i="2"/>
  <c r="A206" i="2"/>
  <c r="B206" i="2"/>
  <c r="C206" i="2"/>
  <c r="D206" i="2"/>
  <c r="E206" i="2"/>
  <c r="A207" i="2"/>
  <c r="B207" i="2"/>
  <c r="C207" i="2"/>
  <c r="D207" i="2"/>
  <c r="E207" i="2"/>
  <c r="A208" i="2"/>
  <c r="B208" i="2"/>
  <c r="C208" i="2"/>
  <c r="D208" i="2"/>
  <c r="E208" i="2"/>
  <c r="A209" i="2"/>
  <c r="B209" i="2"/>
  <c r="C209" i="2"/>
  <c r="D209" i="2"/>
  <c r="E209" i="2"/>
  <c r="A210" i="2"/>
  <c r="B210" i="2"/>
  <c r="C210" i="2"/>
  <c r="D210" i="2"/>
  <c r="E210" i="2"/>
  <c r="A211" i="2"/>
  <c r="B211" i="2"/>
  <c r="C211" i="2"/>
  <c r="D211" i="2"/>
  <c r="E211" i="2"/>
  <c r="A212" i="2"/>
  <c r="B212" i="2"/>
  <c r="C212" i="2"/>
  <c r="D212" i="2"/>
  <c r="E212" i="2"/>
  <c r="A213" i="2"/>
  <c r="B213" i="2"/>
  <c r="C213" i="2"/>
  <c r="D213" i="2"/>
  <c r="E213" i="2"/>
  <c r="A214" i="2"/>
  <c r="B214" i="2"/>
  <c r="C214" i="2"/>
  <c r="D214" i="2"/>
  <c r="E214" i="2"/>
  <c r="A215" i="2"/>
  <c r="B215" i="2"/>
  <c r="C215" i="2"/>
  <c r="D215" i="2"/>
  <c r="E215" i="2"/>
  <c r="A216" i="2"/>
  <c r="B216" i="2"/>
  <c r="C216" i="2"/>
  <c r="D216" i="2"/>
  <c r="E216" i="2"/>
  <c r="A217" i="2"/>
  <c r="B217" i="2"/>
  <c r="C217" i="2"/>
  <c r="D217" i="2"/>
  <c r="E217" i="2"/>
  <c r="A218" i="2"/>
  <c r="B218" i="2"/>
  <c r="C218" i="2"/>
  <c r="D218" i="2"/>
  <c r="E218" i="2"/>
  <c r="A219" i="2"/>
  <c r="B219" i="2"/>
  <c r="C219" i="2"/>
  <c r="D219" i="2"/>
  <c r="E219" i="2"/>
  <c r="A220" i="2"/>
  <c r="B220" i="2"/>
  <c r="C220" i="2"/>
  <c r="D220" i="2"/>
  <c r="E220" i="2"/>
  <c r="A221" i="2"/>
  <c r="B221" i="2"/>
  <c r="C221" i="2"/>
  <c r="D221" i="2"/>
  <c r="E221" i="2"/>
  <c r="A222" i="2"/>
  <c r="B222" i="2"/>
  <c r="C222" i="2"/>
  <c r="D222" i="2"/>
  <c r="E222" i="2"/>
  <c r="A223" i="2"/>
  <c r="B223" i="2"/>
  <c r="C223" i="2"/>
  <c r="D223" i="2"/>
  <c r="E223" i="2"/>
  <c r="A224" i="2"/>
  <c r="B224" i="2"/>
  <c r="C224" i="2"/>
  <c r="D224" i="2"/>
  <c r="E224" i="2"/>
  <c r="A225" i="2"/>
  <c r="B225" i="2"/>
  <c r="C225" i="2"/>
  <c r="D225" i="2"/>
  <c r="E225" i="2"/>
  <c r="A226" i="2"/>
  <c r="B226" i="2"/>
  <c r="C226" i="2"/>
  <c r="D226" i="2"/>
  <c r="E226" i="2"/>
  <c r="A227" i="2"/>
  <c r="B227" i="2"/>
  <c r="C227" i="2"/>
  <c r="D227" i="2"/>
  <c r="E227" i="2"/>
  <c r="A228" i="2"/>
  <c r="B228" i="2"/>
  <c r="C228" i="2"/>
  <c r="D228" i="2"/>
  <c r="E228" i="2"/>
  <c r="A229" i="2"/>
  <c r="B229" i="2"/>
  <c r="C229" i="2"/>
  <c r="D229" i="2"/>
  <c r="E229" i="2"/>
  <c r="A230" i="2"/>
  <c r="B230" i="2"/>
  <c r="C230" i="2"/>
  <c r="D230" i="2"/>
  <c r="E230" i="2"/>
  <c r="A231" i="2"/>
  <c r="B231" i="2"/>
  <c r="C231" i="2"/>
  <c r="D231" i="2"/>
  <c r="E231" i="2"/>
  <c r="A232" i="2"/>
  <c r="B232" i="2"/>
  <c r="C232" i="2"/>
  <c r="D232" i="2"/>
  <c r="E232" i="2"/>
  <c r="A233" i="2"/>
  <c r="B233" i="2"/>
  <c r="C233" i="2"/>
  <c r="D233" i="2"/>
  <c r="E233" i="2"/>
  <c r="A234" i="2"/>
  <c r="B234" i="2"/>
  <c r="C234" i="2"/>
  <c r="D234" i="2"/>
  <c r="E234" i="2"/>
  <c r="A235" i="2"/>
  <c r="B235" i="2"/>
  <c r="C235" i="2"/>
  <c r="D235" i="2"/>
  <c r="E235" i="2"/>
  <c r="A236" i="2"/>
  <c r="B236" i="2"/>
  <c r="C236" i="2"/>
  <c r="D236" i="2"/>
  <c r="E236" i="2"/>
  <c r="A237" i="2"/>
  <c r="B237" i="2"/>
  <c r="C237" i="2"/>
  <c r="D237" i="2"/>
  <c r="E237" i="2"/>
  <c r="A238" i="2"/>
  <c r="B238" i="2"/>
  <c r="C238" i="2"/>
  <c r="D238" i="2"/>
  <c r="E238" i="2"/>
  <c r="A239" i="2"/>
  <c r="B239" i="2"/>
  <c r="C239" i="2"/>
  <c r="D239" i="2"/>
  <c r="E239" i="2"/>
  <c r="A240" i="2"/>
  <c r="B240" i="2"/>
  <c r="C240" i="2"/>
  <c r="D240" i="2"/>
  <c r="E240" i="2"/>
  <c r="A241" i="2"/>
  <c r="B241" i="2"/>
  <c r="C241" i="2"/>
  <c r="D241" i="2"/>
  <c r="E241" i="2"/>
  <c r="A242" i="2"/>
  <c r="B242" i="2"/>
  <c r="C242" i="2"/>
  <c r="D242" i="2"/>
  <c r="E242" i="2"/>
  <c r="A243" i="2"/>
  <c r="B243" i="2"/>
  <c r="C243" i="2"/>
  <c r="D243" i="2"/>
  <c r="E243" i="2"/>
  <c r="A244" i="2"/>
  <c r="B244" i="2"/>
  <c r="C244" i="2"/>
  <c r="D244" i="2"/>
  <c r="E244" i="2"/>
  <c r="A245" i="2"/>
  <c r="B245" i="2"/>
  <c r="C245" i="2"/>
  <c r="D245" i="2"/>
  <c r="E245" i="2"/>
  <c r="A246" i="2"/>
  <c r="B246" i="2"/>
  <c r="C246" i="2"/>
  <c r="D246" i="2"/>
  <c r="E246" i="2"/>
  <c r="A247" i="2"/>
  <c r="B247" i="2"/>
  <c r="C247" i="2"/>
  <c r="D247" i="2"/>
  <c r="E247" i="2"/>
  <c r="A248" i="2"/>
  <c r="B248" i="2"/>
  <c r="C248" i="2"/>
  <c r="D248" i="2"/>
  <c r="E248" i="2"/>
  <c r="A249" i="2"/>
  <c r="B249" i="2"/>
  <c r="C249" i="2"/>
  <c r="D249" i="2"/>
  <c r="E249" i="2"/>
  <c r="A250" i="2"/>
  <c r="B250" i="2"/>
  <c r="C250" i="2"/>
  <c r="D250" i="2"/>
  <c r="E250" i="2"/>
  <c r="A251" i="2"/>
  <c r="B251" i="2"/>
  <c r="C251" i="2"/>
  <c r="D251" i="2"/>
  <c r="E251" i="2"/>
  <c r="A252" i="2"/>
  <c r="B252" i="2"/>
  <c r="C252" i="2"/>
  <c r="D252" i="2"/>
  <c r="E252" i="2"/>
  <c r="A253" i="2"/>
  <c r="B253" i="2"/>
  <c r="C253" i="2"/>
  <c r="D253" i="2"/>
  <c r="E253" i="2"/>
  <c r="A254" i="2"/>
  <c r="B254" i="2"/>
  <c r="C254" i="2"/>
  <c r="D254" i="2"/>
  <c r="E254" i="2"/>
  <c r="A255" i="2"/>
  <c r="B255" i="2"/>
  <c r="C255" i="2"/>
  <c r="D255" i="2"/>
  <c r="E255" i="2"/>
  <c r="A256" i="2"/>
  <c r="B256" i="2"/>
  <c r="C256" i="2"/>
  <c r="D256" i="2"/>
  <c r="E256" i="2"/>
  <c r="A257" i="2"/>
  <c r="B257" i="2"/>
  <c r="C257" i="2"/>
  <c r="D257" i="2"/>
  <c r="E257" i="2"/>
  <c r="A258" i="2"/>
  <c r="B258" i="2"/>
  <c r="C258" i="2"/>
  <c r="D258" i="2"/>
  <c r="E258" i="2"/>
  <c r="A259" i="2"/>
  <c r="B259" i="2"/>
  <c r="C259" i="2"/>
  <c r="D259" i="2"/>
  <c r="E259" i="2"/>
  <c r="A260" i="2"/>
  <c r="B260" i="2"/>
  <c r="C260" i="2"/>
  <c r="D260" i="2"/>
  <c r="E260" i="2"/>
  <c r="A261" i="2"/>
  <c r="B261" i="2"/>
  <c r="C261" i="2"/>
  <c r="D261" i="2"/>
  <c r="E261" i="2"/>
  <c r="A262" i="2"/>
  <c r="B262" i="2"/>
  <c r="C262" i="2"/>
  <c r="D262" i="2"/>
  <c r="E262" i="2"/>
  <c r="A263" i="2"/>
  <c r="B263" i="2"/>
  <c r="C263" i="2"/>
  <c r="D263" i="2"/>
  <c r="E263" i="2"/>
  <c r="A264" i="2"/>
  <c r="B264" i="2"/>
  <c r="C264" i="2"/>
  <c r="D264" i="2"/>
  <c r="E264" i="2"/>
  <c r="A265" i="2"/>
  <c r="B265" i="2"/>
  <c r="C265" i="2"/>
  <c r="D265" i="2"/>
  <c r="E265" i="2"/>
  <c r="A266" i="2"/>
  <c r="B266" i="2"/>
  <c r="C266" i="2"/>
  <c r="D266" i="2"/>
  <c r="E266" i="2"/>
  <c r="A267" i="2"/>
  <c r="B267" i="2"/>
  <c r="C267" i="2"/>
  <c r="D267" i="2"/>
  <c r="E267" i="2"/>
  <c r="A268" i="2"/>
  <c r="B268" i="2"/>
  <c r="C268" i="2"/>
  <c r="D268" i="2"/>
  <c r="E268" i="2"/>
  <c r="A269" i="2"/>
  <c r="B269" i="2"/>
  <c r="C269" i="2"/>
  <c r="D269" i="2"/>
  <c r="E269" i="2"/>
  <c r="A270" i="2"/>
  <c r="B270" i="2"/>
  <c r="C270" i="2"/>
  <c r="D270" i="2"/>
  <c r="E270" i="2"/>
  <c r="A271" i="2"/>
  <c r="B271" i="2"/>
  <c r="C271" i="2"/>
  <c r="D271" i="2"/>
  <c r="E271" i="2"/>
  <c r="A272" i="2"/>
  <c r="B272" i="2"/>
  <c r="C272" i="2"/>
  <c r="D272" i="2"/>
  <c r="E272" i="2"/>
  <c r="A273" i="2"/>
  <c r="B273" i="2"/>
  <c r="C273" i="2"/>
  <c r="D273" i="2"/>
  <c r="E273" i="2"/>
  <c r="A274" i="2"/>
  <c r="B274" i="2"/>
  <c r="C274" i="2"/>
  <c r="D274" i="2"/>
  <c r="E274" i="2"/>
  <c r="A275" i="2"/>
  <c r="B275" i="2"/>
  <c r="C275" i="2"/>
  <c r="D275" i="2"/>
  <c r="E275" i="2"/>
  <c r="A276" i="2"/>
  <c r="B276" i="2"/>
  <c r="C276" i="2"/>
  <c r="D276" i="2"/>
  <c r="E276" i="2"/>
  <c r="A277" i="2"/>
  <c r="B277" i="2"/>
  <c r="C277" i="2"/>
  <c r="D277" i="2"/>
  <c r="E277" i="2"/>
  <c r="A278" i="2"/>
  <c r="B278" i="2"/>
  <c r="C278" i="2"/>
  <c r="D278" i="2"/>
  <c r="E278" i="2"/>
  <c r="A279" i="2"/>
  <c r="B279" i="2"/>
  <c r="C279" i="2"/>
  <c r="D279" i="2"/>
  <c r="E279" i="2"/>
  <c r="A280" i="2"/>
  <c r="B280" i="2"/>
  <c r="C280" i="2"/>
  <c r="D280" i="2"/>
  <c r="E280" i="2"/>
  <c r="A281" i="2"/>
  <c r="B281" i="2"/>
  <c r="C281" i="2"/>
  <c r="D281" i="2"/>
  <c r="E281" i="2"/>
  <c r="A282" i="2"/>
  <c r="B282" i="2"/>
  <c r="C282" i="2"/>
  <c r="D282" i="2"/>
  <c r="E282" i="2"/>
  <c r="A283" i="2"/>
  <c r="B283" i="2"/>
  <c r="C283" i="2"/>
  <c r="D283" i="2"/>
  <c r="E283" i="2"/>
  <c r="A284" i="2"/>
  <c r="B284" i="2"/>
  <c r="C284" i="2"/>
  <c r="D284" i="2"/>
  <c r="E284" i="2"/>
  <c r="A285" i="2"/>
  <c r="B285" i="2"/>
  <c r="C285" i="2"/>
  <c r="D285" i="2"/>
  <c r="E285" i="2"/>
  <c r="A286" i="2"/>
  <c r="B286" i="2"/>
  <c r="C286" i="2"/>
  <c r="D286" i="2"/>
  <c r="E286" i="2"/>
  <c r="A287" i="2"/>
  <c r="B287" i="2"/>
  <c r="C287" i="2"/>
  <c r="D287" i="2"/>
  <c r="E287" i="2"/>
  <c r="A288" i="2"/>
  <c r="B288" i="2"/>
  <c r="C288" i="2"/>
  <c r="D288" i="2"/>
  <c r="E288" i="2"/>
  <c r="A289" i="2"/>
  <c r="B289" i="2"/>
  <c r="C289" i="2"/>
  <c r="D289" i="2"/>
  <c r="E289" i="2"/>
  <c r="A290" i="2"/>
  <c r="B290" i="2"/>
  <c r="C290" i="2"/>
  <c r="D290" i="2"/>
  <c r="E290" i="2"/>
  <c r="A291" i="2"/>
  <c r="B291" i="2"/>
  <c r="C291" i="2"/>
  <c r="D291" i="2"/>
  <c r="E291" i="2"/>
  <c r="A292" i="2"/>
  <c r="B292" i="2"/>
  <c r="C292" i="2"/>
  <c r="D292" i="2"/>
  <c r="E292" i="2"/>
  <c r="A293" i="2"/>
  <c r="B293" i="2"/>
  <c r="C293" i="2"/>
  <c r="D293" i="2"/>
  <c r="E293" i="2"/>
  <c r="A294" i="2"/>
  <c r="B294" i="2"/>
  <c r="C294" i="2"/>
  <c r="D294" i="2"/>
  <c r="E294" i="2"/>
  <c r="A295" i="2"/>
  <c r="B295" i="2"/>
  <c r="C295" i="2"/>
  <c r="D295" i="2"/>
  <c r="E295" i="2"/>
  <c r="A296" i="2"/>
  <c r="B296" i="2"/>
  <c r="C296" i="2"/>
  <c r="D296" i="2"/>
  <c r="E296" i="2"/>
  <c r="A297" i="2"/>
  <c r="B297" i="2"/>
  <c r="C297" i="2"/>
  <c r="D297" i="2"/>
  <c r="E297" i="2"/>
  <c r="A298" i="2"/>
  <c r="B298" i="2"/>
  <c r="C298" i="2"/>
  <c r="D298" i="2"/>
  <c r="E298" i="2"/>
  <c r="A299" i="2"/>
  <c r="B299" i="2"/>
  <c r="C299" i="2"/>
  <c r="D299" i="2"/>
  <c r="E299" i="2"/>
  <c r="A300" i="2"/>
  <c r="B300" i="2"/>
  <c r="C300" i="2"/>
  <c r="D300" i="2"/>
  <c r="E300" i="2"/>
  <c r="A301" i="2"/>
  <c r="B301" i="2"/>
  <c r="C301" i="2"/>
  <c r="D301" i="2"/>
  <c r="E301" i="2"/>
  <c r="A302" i="2"/>
  <c r="B302" i="2"/>
  <c r="C302" i="2"/>
  <c r="D302" i="2"/>
  <c r="E302" i="2"/>
  <c r="A303" i="2"/>
  <c r="B303" i="2"/>
  <c r="C303" i="2"/>
  <c r="D303" i="2"/>
  <c r="E303" i="2"/>
  <c r="A304" i="2"/>
  <c r="B304" i="2"/>
  <c r="C304" i="2"/>
  <c r="D304" i="2"/>
  <c r="E304" i="2"/>
  <c r="A305" i="2"/>
  <c r="B305" i="2"/>
  <c r="C305" i="2"/>
  <c r="D305" i="2"/>
  <c r="E305" i="2"/>
  <c r="A306" i="2"/>
  <c r="B306" i="2"/>
  <c r="C306" i="2"/>
  <c r="D306" i="2"/>
  <c r="E306" i="2"/>
  <c r="A307" i="2"/>
  <c r="B307" i="2"/>
  <c r="C307" i="2"/>
  <c r="D307" i="2"/>
  <c r="E307" i="2"/>
  <c r="A308" i="2"/>
  <c r="B308" i="2"/>
  <c r="C308" i="2"/>
  <c r="D308" i="2"/>
  <c r="E308" i="2"/>
  <c r="A309" i="2"/>
  <c r="B309" i="2"/>
  <c r="C309" i="2"/>
  <c r="D309" i="2"/>
  <c r="E309" i="2"/>
  <c r="A310" i="2"/>
  <c r="B310" i="2"/>
  <c r="C310" i="2"/>
  <c r="D310" i="2"/>
  <c r="E310" i="2"/>
  <c r="A311" i="2"/>
  <c r="B311" i="2"/>
  <c r="C311" i="2"/>
  <c r="D311" i="2"/>
  <c r="E311" i="2"/>
  <c r="A312" i="2"/>
  <c r="B312" i="2"/>
  <c r="C312" i="2"/>
  <c r="D312" i="2"/>
  <c r="E312" i="2"/>
  <c r="A313" i="2"/>
  <c r="B313" i="2"/>
  <c r="C313" i="2"/>
  <c r="D313" i="2"/>
  <c r="E313" i="2"/>
  <c r="A314" i="2"/>
  <c r="B314" i="2"/>
  <c r="C314" i="2"/>
  <c r="D314" i="2"/>
  <c r="E314" i="2"/>
  <c r="A315" i="2"/>
  <c r="B315" i="2"/>
  <c r="C315" i="2"/>
  <c r="D315" i="2"/>
  <c r="E315" i="2"/>
  <c r="A316" i="2"/>
  <c r="B316" i="2"/>
  <c r="C316" i="2"/>
  <c r="D316" i="2"/>
  <c r="E316" i="2"/>
  <c r="A317" i="2"/>
  <c r="B317" i="2"/>
  <c r="C317" i="2"/>
  <c r="D317" i="2"/>
  <c r="E317" i="2"/>
  <c r="A318" i="2"/>
  <c r="B318" i="2"/>
  <c r="C318" i="2"/>
  <c r="D318" i="2"/>
  <c r="E318" i="2"/>
  <c r="A319" i="2"/>
  <c r="B319" i="2"/>
  <c r="C319" i="2"/>
  <c r="D319" i="2"/>
  <c r="E319" i="2"/>
  <c r="A320" i="2"/>
  <c r="B320" i="2"/>
  <c r="C320" i="2"/>
  <c r="D320" i="2"/>
  <c r="E320" i="2"/>
  <c r="A321" i="2"/>
  <c r="B321" i="2"/>
  <c r="C321" i="2"/>
  <c r="D321" i="2"/>
  <c r="E321" i="2"/>
  <c r="A322" i="2"/>
  <c r="B322" i="2"/>
  <c r="C322" i="2"/>
  <c r="D322" i="2"/>
  <c r="E322" i="2"/>
  <c r="A323" i="2"/>
  <c r="B323" i="2"/>
  <c r="C323" i="2"/>
  <c r="D323" i="2"/>
  <c r="E323" i="2"/>
  <c r="A324" i="2"/>
  <c r="B324" i="2"/>
  <c r="C324" i="2"/>
  <c r="D324" i="2"/>
  <c r="E324" i="2"/>
  <c r="A325" i="2"/>
  <c r="B325" i="2"/>
  <c r="C325" i="2"/>
  <c r="D325" i="2"/>
  <c r="E325" i="2"/>
  <c r="A326" i="2"/>
  <c r="B326" i="2"/>
  <c r="C326" i="2"/>
  <c r="D326" i="2"/>
  <c r="E326" i="2"/>
  <c r="A327" i="2"/>
  <c r="B327" i="2"/>
  <c r="C327" i="2"/>
  <c r="D327" i="2"/>
  <c r="E327" i="2"/>
  <c r="A328" i="2"/>
  <c r="B328" i="2"/>
  <c r="C328" i="2"/>
  <c r="D328" i="2"/>
  <c r="E328" i="2"/>
  <c r="A329" i="2"/>
  <c r="B329" i="2"/>
  <c r="C329" i="2"/>
  <c r="D329" i="2"/>
  <c r="E329" i="2"/>
  <c r="A330" i="2"/>
  <c r="B330" i="2"/>
  <c r="C330" i="2"/>
  <c r="D330" i="2"/>
  <c r="E330" i="2"/>
  <c r="A331" i="2"/>
  <c r="B331" i="2"/>
  <c r="C331" i="2"/>
  <c r="D331" i="2"/>
  <c r="E331" i="2"/>
  <c r="A332" i="2"/>
  <c r="B332" i="2"/>
  <c r="C332" i="2"/>
  <c r="D332" i="2"/>
  <c r="E332" i="2"/>
  <c r="A333" i="2"/>
  <c r="B333" i="2"/>
  <c r="C333" i="2"/>
  <c r="D333" i="2"/>
  <c r="E333" i="2"/>
  <c r="A334" i="2"/>
  <c r="B334" i="2"/>
  <c r="C334" i="2"/>
  <c r="D334" i="2"/>
  <c r="E334" i="2"/>
  <c r="A335" i="2"/>
  <c r="B335" i="2"/>
  <c r="C335" i="2"/>
  <c r="D335" i="2"/>
  <c r="E335" i="2"/>
  <c r="A336" i="2"/>
  <c r="B336" i="2"/>
  <c r="C336" i="2"/>
  <c r="D336" i="2"/>
  <c r="E336" i="2"/>
  <c r="A337" i="2"/>
  <c r="B337" i="2"/>
  <c r="C337" i="2"/>
  <c r="D337" i="2"/>
  <c r="E337" i="2"/>
  <c r="A338" i="2"/>
  <c r="B338" i="2"/>
  <c r="C338" i="2"/>
  <c r="D338" i="2"/>
  <c r="E338" i="2"/>
  <c r="A339" i="2"/>
  <c r="B339" i="2"/>
  <c r="C339" i="2"/>
  <c r="D339" i="2"/>
  <c r="E339" i="2"/>
  <c r="A340" i="2"/>
  <c r="B340" i="2"/>
  <c r="C340" i="2"/>
  <c r="D340" i="2"/>
  <c r="E340" i="2"/>
  <c r="A341" i="2"/>
  <c r="B341" i="2"/>
  <c r="C341" i="2"/>
  <c r="D341" i="2"/>
  <c r="E341" i="2"/>
  <c r="A342" i="2"/>
  <c r="B342" i="2"/>
  <c r="C342" i="2"/>
  <c r="D342" i="2"/>
  <c r="E342" i="2"/>
  <c r="A343" i="2"/>
  <c r="B343" i="2"/>
  <c r="C343" i="2"/>
  <c r="D343" i="2"/>
  <c r="E343" i="2"/>
  <c r="A344" i="2"/>
  <c r="B344" i="2"/>
  <c r="C344" i="2"/>
  <c r="D344" i="2"/>
  <c r="E344" i="2"/>
  <c r="A345" i="2"/>
  <c r="B345" i="2"/>
  <c r="C345" i="2"/>
  <c r="D345" i="2"/>
  <c r="E345" i="2"/>
  <c r="A346" i="2"/>
  <c r="B346" i="2"/>
  <c r="C346" i="2"/>
  <c r="D346" i="2"/>
  <c r="E346" i="2"/>
  <c r="A347" i="2"/>
  <c r="B347" i="2"/>
  <c r="C347" i="2"/>
  <c r="D347" i="2"/>
  <c r="E347" i="2"/>
  <c r="A348" i="2"/>
  <c r="B348" i="2"/>
  <c r="C348" i="2"/>
  <c r="D348" i="2"/>
  <c r="E348" i="2"/>
  <c r="A349" i="2"/>
  <c r="B349" i="2"/>
  <c r="C349" i="2"/>
  <c r="D349" i="2"/>
  <c r="E349" i="2"/>
  <c r="A350" i="2"/>
  <c r="B350" i="2"/>
  <c r="C350" i="2"/>
  <c r="D350" i="2"/>
  <c r="E350" i="2"/>
  <c r="A351" i="2"/>
  <c r="B351" i="2"/>
  <c r="C351" i="2"/>
  <c r="D351" i="2"/>
  <c r="E351" i="2"/>
  <c r="A352" i="2"/>
  <c r="B352" i="2"/>
  <c r="C352" i="2"/>
  <c r="D352" i="2"/>
  <c r="E352" i="2"/>
  <c r="A353" i="2"/>
  <c r="B353" i="2"/>
  <c r="C353" i="2"/>
  <c r="D353" i="2"/>
  <c r="E353" i="2"/>
  <c r="A354" i="2"/>
  <c r="B354" i="2"/>
  <c r="C354" i="2"/>
  <c r="D354" i="2"/>
  <c r="E354" i="2"/>
  <c r="A355" i="2"/>
  <c r="B355" i="2"/>
  <c r="C355" i="2"/>
  <c r="D355" i="2"/>
  <c r="E355" i="2"/>
  <c r="A356" i="2"/>
  <c r="B356" i="2"/>
  <c r="C356" i="2"/>
  <c r="D356" i="2"/>
  <c r="E356" i="2"/>
  <c r="A357" i="2"/>
  <c r="B357" i="2"/>
  <c r="C357" i="2"/>
  <c r="D357" i="2"/>
  <c r="E357" i="2"/>
  <c r="A358" i="2"/>
  <c r="B358" i="2"/>
  <c r="C358" i="2"/>
  <c r="D358" i="2"/>
  <c r="E358" i="2"/>
  <c r="A359" i="2"/>
  <c r="B359" i="2"/>
  <c r="C359" i="2"/>
  <c r="D359" i="2"/>
  <c r="E359" i="2"/>
  <c r="A360" i="2"/>
  <c r="B360" i="2"/>
  <c r="C360" i="2"/>
  <c r="D360" i="2"/>
  <c r="E360" i="2"/>
  <c r="A361" i="2"/>
  <c r="B361" i="2"/>
  <c r="C361" i="2"/>
  <c r="D361" i="2"/>
  <c r="E361" i="2"/>
  <c r="A362" i="2"/>
  <c r="B362" i="2"/>
  <c r="C362" i="2"/>
  <c r="D362" i="2"/>
  <c r="E362" i="2"/>
  <c r="A363" i="2"/>
  <c r="B363" i="2"/>
  <c r="C363" i="2"/>
  <c r="D363" i="2"/>
  <c r="E363" i="2"/>
  <c r="A364" i="2"/>
  <c r="B364" i="2"/>
  <c r="C364" i="2"/>
  <c r="D364" i="2"/>
  <c r="E364" i="2"/>
  <c r="A365" i="2"/>
  <c r="B365" i="2"/>
  <c r="C365" i="2"/>
  <c r="D365" i="2"/>
  <c r="E365" i="2"/>
  <c r="A366" i="2"/>
  <c r="B366" i="2"/>
  <c r="C366" i="2"/>
  <c r="D366" i="2"/>
  <c r="E366" i="2"/>
  <c r="A367" i="2"/>
  <c r="B367" i="2"/>
  <c r="C367" i="2"/>
  <c r="D367" i="2"/>
  <c r="E367" i="2"/>
  <c r="A368" i="2"/>
  <c r="B368" i="2"/>
  <c r="C368" i="2"/>
  <c r="D368" i="2"/>
  <c r="E368" i="2"/>
  <c r="A369" i="2"/>
  <c r="B369" i="2"/>
  <c r="C369" i="2"/>
  <c r="D369" i="2"/>
  <c r="E369" i="2"/>
  <c r="A370" i="2"/>
  <c r="B370" i="2"/>
  <c r="C370" i="2"/>
  <c r="D370" i="2"/>
  <c r="E370" i="2"/>
  <c r="A371" i="2"/>
  <c r="B371" i="2"/>
  <c r="C371" i="2"/>
  <c r="D371" i="2"/>
  <c r="E371" i="2"/>
  <c r="A372" i="2"/>
  <c r="B372" i="2"/>
  <c r="C372" i="2"/>
  <c r="D372" i="2"/>
  <c r="E372" i="2"/>
  <c r="A373" i="2"/>
  <c r="B373" i="2"/>
  <c r="C373" i="2"/>
  <c r="D373" i="2"/>
  <c r="E373" i="2"/>
  <c r="A374" i="2"/>
  <c r="B374" i="2"/>
  <c r="C374" i="2"/>
  <c r="D374" i="2"/>
  <c r="E374" i="2"/>
  <c r="A375" i="2"/>
  <c r="B375" i="2"/>
  <c r="C375" i="2"/>
  <c r="D375" i="2"/>
  <c r="E375" i="2"/>
  <c r="A376" i="2"/>
  <c r="B376" i="2"/>
  <c r="C376" i="2"/>
  <c r="D376" i="2"/>
  <c r="E376" i="2"/>
  <c r="A377" i="2"/>
  <c r="B377" i="2"/>
  <c r="C377" i="2"/>
  <c r="D377" i="2"/>
  <c r="E377" i="2"/>
  <c r="A378" i="2"/>
  <c r="B378" i="2"/>
  <c r="C378" i="2"/>
  <c r="D378" i="2"/>
  <c r="E378" i="2"/>
  <c r="A379" i="2"/>
  <c r="B379" i="2"/>
  <c r="C379" i="2"/>
  <c r="D379" i="2"/>
  <c r="E379" i="2"/>
  <c r="A380" i="2"/>
  <c r="B380" i="2"/>
  <c r="C380" i="2"/>
  <c r="D380" i="2"/>
  <c r="E380" i="2"/>
  <c r="A381" i="2"/>
  <c r="B381" i="2"/>
  <c r="C381" i="2"/>
  <c r="D381" i="2"/>
  <c r="E381" i="2"/>
  <c r="A382" i="2"/>
  <c r="B382" i="2"/>
  <c r="C382" i="2"/>
  <c r="D382" i="2"/>
  <c r="E382" i="2"/>
  <c r="A383" i="2"/>
  <c r="B383" i="2"/>
  <c r="C383" i="2"/>
  <c r="D383" i="2"/>
  <c r="E383" i="2"/>
  <c r="A384" i="2"/>
  <c r="B384" i="2"/>
  <c r="C384" i="2"/>
  <c r="D384" i="2"/>
  <c r="E384" i="2"/>
  <c r="A385" i="2"/>
  <c r="B385" i="2"/>
  <c r="C385" i="2"/>
  <c r="D385" i="2"/>
  <c r="E385" i="2"/>
  <c r="A386" i="2"/>
  <c r="B386" i="2"/>
  <c r="C386" i="2"/>
  <c r="D386" i="2"/>
  <c r="E386" i="2"/>
  <c r="A387" i="2"/>
  <c r="B387" i="2"/>
  <c r="C387" i="2"/>
  <c r="D387" i="2"/>
  <c r="E387" i="2"/>
  <c r="A388" i="2"/>
  <c r="B388" i="2"/>
  <c r="C388" i="2"/>
  <c r="D388" i="2"/>
  <c r="E388" i="2"/>
  <c r="A389" i="2"/>
  <c r="B389" i="2"/>
  <c r="C389" i="2"/>
  <c r="D389" i="2"/>
  <c r="E389" i="2"/>
  <c r="A390" i="2"/>
  <c r="B390" i="2"/>
  <c r="C390" i="2"/>
  <c r="D390" i="2"/>
  <c r="E390" i="2"/>
  <c r="A391" i="2"/>
  <c r="B391" i="2"/>
  <c r="C391" i="2"/>
  <c r="D391" i="2"/>
  <c r="E391" i="2"/>
  <c r="A392" i="2"/>
  <c r="B392" i="2"/>
  <c r="C392" i="2"/>
  <c r="D392" i="2"/>
  <c r="E392" i="2"/>
  <c r="A393" i="2"/>
  <c r="B393" i="2"/>
  <c r="C393" i="2"/>
  <c r="D393" i="2"/>
  <c r="E393" i="2"/>
  <c r="A394" i="2"/>
  <c r="B394" i="2"/>
  <c r="C394" i="2"/>
  <c r="D394" i="2"/>
  <c r="E394" i="2"/>
  <c r="A395" i="2"/>
  <c r="B395" i="2"/>
  <c r="C395" i="2"/>
  <c r="D395" i="2"/>
  <c r="E395" i="2"/>
  <c r="A396" i="2"/>
  <c r="B396" i="2"/>
  <c r="C396" i="2"/>
  <c r="D396" i="2"/>
  <c r="E396" i="2"/>
  <c r="A397" i="2"/>
  <c r="B397" i="2"/>
  <c r="C397" i="2"/>
  <c r="D397" i="2"/>
  <c r="E397" i="2"/>
  <c r="A398" i="2"/>
  <c r="B398" i="2"/>
  <c r="C398" i="2"/>
  <c r="D398" i="2"/>
  <c r="E398" i="2"/>
  <c r="A399" i="2"/>
  <c r="B399" i="2"/>
  <c r="C399" i="2"/>
  <c r="D399" i="2"/>
  <c r="E399" i="2"/>
  <c r="A400" i="2"/>
  <c r="B400" i="2"/>
  <c r="C400" i="2"/>
  <c r="D400" i="2"/>
  <c r="E400" i="2"/>
  <c r="A401" i="2"/>
  <c r="B401" i="2"/>
  <c r="C401" i="2"/>
  <c r="D401" i="2"/>
  <c r="E401" i="2"/>
  <c r="A402" i="2"/>
  <c r="B402" i="2"/>
  <c r="C402" i="2"/>
  <c r="D402" i="2"/>
  <c r="E402" i="2"/>
  <c r="A403" i="2"/>
  <c r="B403" i="2"/>
  <c r="C403" i="2"/>
  <c r="D403" i="2"/>
  <c r="E403" i="2"/>
  <c r="A404" i="2"/>
  <c r="B404" i="2"/>
  <c r="C404" i="2"/>
  <c r="D404" i="2"/>
  <c r="E404" i="2"/>
  <c r="A405" i="2"/>
  <c r="B405" i="2"/>
  <c r="C405" i="2"/>
  <c r="D405" i="2"/>
  <c r="E405" i="2"/>
  <c r="A406" i="2"/>
  <c r="B406" i="2"/>
  <c r="C406" i="2"/>
  <c r="D406" i="2"/>
  <c r="E406" i="2"/>
  <c r="A407" i="2"/>
  <c r="B407" i="2"/>
  <c r="C407" i="2"/>
  <c r="D407" i="2"/>
  <c r="E407" i="2"/>
  <c r="A408" i="2"/>
  <c r="B408" i="2"/>
  <c r="C408" i="2"/>
  <c r="D408" i="2"/>
  <c r="E408" i="2"/>
  <c r="A409" i="2"/>
  <c r="B409" i="2"/>
  <c r="C409" i="2"/>
  <c r="D409" i="2"/>
  <c r="E409" i="2"/>
  <c r="A410" i="2"/>
  <c r="B410" i="2"/>
  <c r="C410" i="2"/>
  <c r="D410" i="2"/>
  <c r="E410" i="2"/>
  <c r="A411" i="2"/>
  <c r="B411" i="2"/>
  <c r="C411" i="2"/>
  <c r="D411" i="2"/>
  <c r="E411" i="2"/>
  <c r="A412" i="2"/>
  <c r="B412" i="2"/>
  <c r="C412" i="2"/>
  <c r="D412" i="2"/>
  <c r="E412" i="2"/>
  <c r="A413" i="2"/>
  <c r="B413" i="2"/>
  <c r="C413" i="2"/>
  <c r="D413" i="2"/>
  <c r="E413" i="2"/>
  <c r="A414" i="2"/>
  <c r="B414" i="2"/>
  <c r="C414" i="2"/>
  <c r="D414" i="2"/>
  <c r="E414" i="2"/>
  <c r="A415" i="2"/>
  <c r="B415" i="2"/>
  <c r="C415" i="2"/>
  <c r="D415" i="2"/>
  <c r="E415" i="2"/>
  <c r="A416" i="2"/>
  <c r="B416" i="2"/>
  <c r="C416" i="2"/>
  <c r="D416" i="2"/>
  <c r="E416" i="2"/>
  <c r="A417" i="2"/>
  <c r="B417" i="2"/>
  <c r="C417" i="2"/>
  <c r="D417" i="2"/>
  <c r="E417" i="2"/>
  <c r="A418" i="2"/>
  <c r="B418" i="2"/>
  <c r="C418" i="2"/>
  <c r="D418" i="2"/>
  <c r="E418" i="2"/>
  <c r="A419" i="2"/>
  <c r="B419" i="2"/>
  <c r="C419" i="2"/>
  <c r="D419" i="2"/>
  <c r="E419" i="2"/>
  <c r="A420" i="2"/>
  <c r="B420" i="2"/>
  <c r="C420" i="2"/>
  <c r="D420" i="2"/>
  <c r="E420" i="2"/>
  <c r="A421" i="2"/>
  <c r="B421" i="2"/>
  <c r="C421" i="2"/>
  <c r="D421" i="2"/>
  <c r="E421" i="2"/>
  <c r="A422" i="2"/>
  <c r="B422" i="2"/>
  <c r="C422" i="2"/>
  <c r="D422" i="2"/>
  <c r="E422" i="2"/>
  <c r="A423" i="2"/>
  <c r="B423" i="2"/>
  <c r="C423" i="2"/>
  <c r="D423" i="2"/>
  <c r="E423" i="2"/>
  <c r="A424" i="2"/>
  <c r="B424" i="2"/>
  <c r="C424" i="2"/>
  <c r="D424" i="2"/>
  <c r="E424" i="2"/>
  <c r="A425" i="2"/>
  <c r="B425" i="2"/>
  <c r="C425" i="2"/>
  <c r="D425" i="2"/>
  <c r="E425" i="2"/>
  <c r="A426" i="2"/>
  <c r="B426" i="2"/>
  <c r="C426" i="2"/>
  <c r="D426" i="2"/>
  <c r="E426" i="2"/>
  <c r="A427" i="2"/>
  <c r="B427" i="2"/>
  <c r="C427" i="2"/>
  <c r="D427" i="2"/>
  <c r="E427" i="2"/>
  <c r="A428" i="2"/>
  <c r="B428" i="2"/>
  <c r="C428" i="2"/>
  <c r="D428" i="2"/>
  <c r="E428" i="2"/>
  <c r="A429" i="2"/>
  <c r="B429" i="2"/>
  <c r="C429" i="2"/>
  <c r="D429" i="2"/>
  <c r="E429" i="2"/>
  <c r="A430" i="2"/>
  <c r="B430" i="2"/>
  <c r="C430" i="2"/>
  <c r="D430" i="2"/>
  <c r="E430" i="2"/>
  <c r="A431" i="2"/>
  <c r="B431" i="2"/>
  <c r="C431" i="2"/>
  <c r="D431" i="2"/>
  <c r="E431" i="2"/>
  <c r="A432" i="2"/>
  <c r="B432" i="2"/>
  <c r="C432" i="2"/>
  <c r="D432" i="2"/>
  <c r="E432" i="2"/>
  <c r="A433" i="2"/>
  <c r="B433" i="2"/>
  <c r="C433" i="2"/>
  <c r="D433" i="2"/>
  <c r="E433" i="2"/>
  <c r="A434" i="2"/>
  <c r="B434" i="2"/>
  <c r="C434" i="2"/>
  <c r="D434" i="2"/>
  <c r="E434" i="2"/>
  <c r="A435" i="2"/>
  <c r="B435" i="2"/>
  <c r="C435" i="2"/>
  <c r="D435" i="2"/>
  <c r="E435" i="2"/>
  <c r="A436" i="2"/>
  <c r="B436" i="2"/>
  <c r="C436" i="2"/>
  <c r="D436" i="2"/>
  <c r="E436" i="2"/>
  <c r="A437" i="2"/>
  <c r="B437" i="2"/>
  <c r="C437" i="2"/>
  <c r="D437" i="2"/>
  <c r="E437" i="2"/>
  <c r="A438" i="2"/>
  <c r="B438" i="2"/>
  <c r="C438" i="2"/>
  <c r="D438" i="2"/>
  <c r="E438" i="2"/>
  <c r="A439" i="2"/>
  <c r="B439" i="2"/>
  <c r="C439" i="2"/>
  <c r="D439" i="2"/>
  <c r="E439" i="2"/>
  <c r="A440" i="2"/>
  <c r="B440" i="2"/>
  <c r="C440" i="2"/>
  <c r="D440" i="2"/>
  <c r="E440" i="2"/>
  <c r="A441" i="2"/>
  <c r="B441" i="2"/>
  <c r="C441" i="2"/>
  <c r="D441" i="2"/>
  <c r="E441" i="2"/>
  <c r="A442" i="2"/>
  <c r="B442" i="2"/>
  <c r="C442" i="2"/>
  <c r="D442" i="2"/>
  <c r="E442" i="2"/>
  <c r="A443" i="2"/>
  <c r="B443" i="2"/>
  <c r="C443" i="2"/>
  <c r="D443" i="2"/>
  <c r="E443" i="2"/>
  <c r="A444" i="2"/>
  <c r="B444" i="2"/>
  <c r="C444" i="2"/>
  <c r="D444" i="2"/>
  <c r="E444" i="2"/>
  <c r="A445" i="2"/>
  <c r="B445" i="2"/>
  <c r="C445" i="2"/>
  <c r="D445" i="2"/>
  <c r="E445" i="2"/>
  <c r="A446" i="2"/>
  <c r="B446" i="2"/>
  <c r="C446" i="2"/>
  <c r="D446" i="2"/>
  <c r="E446" i="2"/>
  <c r="A447" i="2"/>
  <c r="B447" i="2"/>
  <c r="C447" i="2"/>
  <c r="D447" i="2"/>
  <c r="E447" i="2"/>
  <c r="A448" i="2"/>
  <c r="B448" i="2"/>
  <c r="C448" i="2"/>
  <c r="D448" i="2"/>
  <c r="E448" i="2"/>
  <c r="A449" i="2"/>
  <c r="B449" i="2"/>
  <c r="C449" i="2"/>
  <c r="D449" i="2"/>
  <c r="E449" i="2"/>
  <c r="A450" i="2"/>
  <c r="B450" i="2"/>
  <c r="C450" i="2"/>
  <c r="D450" i="2"/>
  <c r="E450" i="2"/>
  <c r="A451" i="2"/>
  <c r="B451" i="2"/>
  <c r="C451" i="2"/>
  <c r="D451" i="2"/>
  <c r="E451" i="2"/>
  <c r="A452" i="2"/>
  <c r="B452" i="2"/>
  <c r="C452" i="2"/>
  <c r="D452" i="2"/>
  <c r="E452" i="2"/>
  <c r="A453" i="2"/>
  <c r="B453" i="2"/>
  <c r="C453" i="2"/>
  <c r="D453" i="2"/>
  <c r="E453" i="2"/>
  <c r="A454" i="2"/>
  <c r="B454" i="2"/>
  <c r="C454" i="2"/>
  <c r="D454" i="2"/>
  <c r="E454" i="2"/>
  <c r="A455" i="2"/>
  <c r="B455" i="2"/>
  <c r="C455" i="2"/>
  <c r="D455" i="2"/>
  <c r="E455" i="2"/>
  <c r="A456" i="2"/>
  <c r="B456" i="2"/>
  <c r="C456" i="2"/>
  <c r="D456" i="2"/>
  <c r="E456" i="2"/>
  <c r="A457" i="2"/>
  <c r="B457" i="2"/>
  <c r="C457" i="2"/>
  <c r="D457" i="2"/>
  <c r="E457" i="2"/>
  <c r="A458" i="2"/>
  <c r="B458" i="2"/>
  <c r="C458" i="2"/>
  <c r="D458" i="2"/>
  <c r="E458" i="2"/>
  <c r="A459" i="2"/>
  <c r="B459" i="2"/>
  <c r="C459" i="2"/>
  <c r="D459" i="2"/>
  <c r="E459" i="2"/>
  <c r="A460" i="2"/>
  <c r="B460" i="2"/>
  <c r="C460" i="2"/>
  <c r="D460" i="2"/>
  <c r="E460" i="2"/>
  <c r="A461" i="2"/>
  <c r="B461" i="2"/>
  <c r="C461" i="2"/>
  <c r="D461" i="2"/>
  <c r="E461" i="2"/>
  <c r="A462" i="2"/>
  <c r="B462" i="2"/>
  <c r="C462" i="2"/>
  <c r="D462" i="2"/>
  <c r="E462" i="2"/>
  <c r="A463" i="2"/>
  <c r="B463" i="2"/>
  <c r="C463" i="2"/>
  <c r="D463" i="2"/>
  <c r="E463" i="2"/>
  <c r="A464" i="2"/>
  <c r="B464" i="2"/>
  <c r="C464" i="2"/>
  <c r="D464" i="2"/>
  <c r="E464" i="2"/>
  <c r="A465" i="2"/>
  <c r="B465" i="2"/>
  <c r="C465" i="2"/>
  <c r="D465" i="2"/>
  <c r="E465" i="2"/>
  <c r="A466" i="2"/>
  <c r="B466" i="2"/>
  <c r="C466" i="2"/>
  <c r="D466" i="2"/>
  <c r="E466" i="2"/>
  <c r="A467" i="2"/>
  <c r="B467" i="2"/>
  <c r="C467" i="2"/>
  <c r="D467" i="2"/>
  <c r="E467" i="2"/>
  <c r="A468" i="2"/>
  <c r="B468" i="2"/>
  <c r="C468" i="2"/>
  <c r="D468" i="2"/>
  <c r="E468" i="2"/>
  <c r="A469" i="2"/>
  <c r="B469" i="2"/>
  <c r="C469" i="2"/>
  <c r="D469" i="2"/>
  <c r="E469" i="2"/>
  <c r="A470" i="2"/>
  <c r="B470" i="2"/>
  <c r="C470" i="2"/>
  <c r="D470" i="2"/>
  <c r="E470" i="2"/>
  <c r="A471" i="2"/>
  <c r="B471" i="2"/>
  <c r="C471" i="2"/>
  <c r="D471" i="2"/>
  <c r="E471" i="2"/>
  <c r="A472" i="2"/>
  <c r="B472" i="2"/>
  <c r="C472" i="2"/>
  <c r="D472" i="2"/>
  <c r="E472" i="2"/>
  <c r="A473" i="2"/>
  <c r="B473" i="2"/>
  <c r="C473" i="2"/>
  <c r="D473" i="2"/>
  <c r="E473" i="2"/>
  <c r="A474" i="2"/>
  <c r="B474" i="2"/>
  <c r="C474" i="2"/>
  <c r="D474" i="2"/>
  <c r="E474" i="2"/>
  <c r="A475" i="2"/>
  <c r="B475" i="2"/>
  <c r="C475" i="2"/>
  <c r="D475" i="2"/>
  <c r="E475" i="2"/>
  <c r="A476" i="2"/>
  <c r="B476" i="2"/>
  <c r="C476" i="2"/>
  <c r="D476" i="2"/>
  <c r="E476" i="2"/>
  <c r="A477" i="2"/>
  <c r="B477" i="2"/>
  <c r="C477" i="2"/>
  <c r="D477" i="2"/>
  <c r="E477" i="2"/>
  <c r="A478" i="2"/>
  <c r="B478" i="2"/>
  <c r="C478" i="2"/>
  <c r="D478" i="2"/>
  <c r="E478" i="2"/>
  <c r="A479" i="2"/>
  <c r="B479" i="2"/>
  <c r="C479" i="2"/>
  <c r="D479" i="2"/>
  <c r="E479" i="2"/>
  <c r="A480" i="2"/>
  <c r="B480" i="2"/>
  <c r="C480" i="2"/>
  <c r="D480" i="2"/>
  <c r="E480" i="2"/>
  <c r="A481" i="2"/>
  <c r="B481" i="2"/>
  <c r="C481" i="2"/>
  <c r="D481" i="2"/>
  <c r="E481" i="2"/>
  <c r="A482" i="2"/>
  <c r="B482" i="2"/>
  <c r="C482" i="2"/>
  <c r="D482" i="2"/>
  <c r="E482" i="2"/>
  <c r="A483" i="2"/>
  <c r="B483" i="2"/>
  <c r="C483" i="2"/>
  <c r="D483" i="2"/>
  <c r="E483" i="2"/>
  <c r="A484" i="2"/>
  <c r="B484" i="2"/>
  <c r="C484" i="2"/>
  <c r="D484" i="2"/>
  <c r="E484" i="2"/>
  <c r="A485" i="2"/>
  <c r="B485" i="2"/>
  <c r="C485" i="2"/>
  <c r="D485" i="2"/>
  <c r="E485" i="2"/>
  <c r="A486" i="2"/>
  <c r="B486" i="2"/>
  <c r="C486" i="2"/>
  <c r="D486" i="2"/>
  <c r="E486" i="2"/>
  <c r="A487" i="2"/>
  <c r="B487" i="2"/>
  <c r="C487" i="2"/>
  <c r="D487" i="2"/>
  <c r="E487" i="2"/>
  <c r="A488" i="2"/>
  <c r="B488" i="2"/>
  <c r="C488" i="2"/>
  <c r="D488" i="2"/>
  <c r="E488" i="2"/>
  <c r="A489" i="2"/>
  <c r="B489" i="2"/>
  <c r="C489" i="2"/>
  <c r="D489" i="2"/>
  <c r="E489" i="2"/>
  <c r="A490" i="2"/>
  <c r="B490" i="2"/>
  <c r="C490" i="2"/>
  <c r="D490" i="2"/>
  <c r="E490" i="2"/>
  <c r="A491" i="2"/>
  <c r="B491" i="2"/>
  <c r="C491" i="2"/>
  <c r="D491" i="2"/>
  <c r="E491" i="2"/>
  <c r="A492" i="2"/>
  <c r="B492" i="2"/>
  <c r="C492" i="2"/>
  <c r="D492" i="2"/>
  <c r="E492" i="2"/>
  <c r="A493" i="2"/>
  <c r="B493" i="2"/>
  <c r="C493" i="2"/>
  <c r="D493" i="2"/>
  <c r="E493" i="2"/>
  <c r="A494" i="2"/>
  <c r="B494" i="2"/>
  <c r="C494" i="2"/>
  <c r="D494" i="2"/>
  <c r="E494" i="2"/>
  <c r="A495" i="2"/>
  <c r="B495" i="2"/>
  <c r="C495" i="2"/>
  <c r="D495" i="2"/>
  <c r="E495" i="2"/>
  <c r="A496" i="2"/>
  <c r="B496" i="2"/>
  <c r="C496" i="2"/>
  <c r="D496" i="2"/>
  <c r="E496" i="2"/>
  <c r="A497" i="2"/>
  <c r="B497" i="2"/>
  <c r="C497" i="2"/>
  <c r="D497" i="2"/>
  <c r="E497" i="2"/>
  <c r="A498" i="2"/>
  <c r="B498" i="2"/>
  <c r="C498" i="2"/>
  <c r="D498" i="2"/>
  <c r="E498" i="2"/>
  <c r="A499" i="2"/>
  <c r="B499" i="2"/>
  <c r="C499" i="2"/>
  <c r="D499" i="2"/>
  <c r="E499" i="2"/>
  <c r="A500" i="2"/>
  <c r="B500" i="2"/>
  <c r="C500" i="2"/>
  <c r="D500" i="2"/>
  <c r="E500" i="2"/>
  <c r="A501" i="2"/>
  <c r="B501" i="2"/>
  <c r="C501" i="2"/>
  <c r="D501" i="2"/>
  <c r="E501" i="2"/>
  <c r="A502" i="2"/>
  <c r="B502" i="2"/>
  <c r="C502" i="2"/>
  <c r="D502" i="2"/>
  <c r="E502" i="2"/>
  <c r="A503" i="2"/>
  <c r="B503" i="2"/>
  <c r="C503" i="2"/>
  <c r="D503" i="2"/>
  <c r="E503" i="2"/>
  <c r="A504" i="2"/>
  <c r="B504" i="2"/>
  <c r="C504" i="2"/>
  <c r="D504" i="2"/>
  <c r="E504" i="2"/>
  <c r="A505" i="2"/>
  <c r="B505" i="2"/>
  <c r="C505" i="2"/>
  <c r="D505" i="2"/>
  <c r="E505" i="2"/>
  <c r="A506" i="2"/>
  <c r="B506" i="2"/>
  <c r="C506" i="2"/>
  <c r="D506" i="2"/>
  <c r="E506" i="2"/>
  <c r="A507" i="2"/>
  <c r="B507" i="2"/>
  <c r="C507" i="2"/>
  <c r="D507" i="2"/>
  <c r="E507" i="2"/>
  <c r="A508" i="2"/>
  <c r="B508" i="2"/>
  <c r="C508" i="2"/>
  <c r="D508" i="2"/>
  <c r="E508" i="2"/>
  <c r="A509" i="2"/>
  <c r="B509" i="2"/>
  <c r="C509" i="2"/>
  <c r="D509" i="2"/>
  <c r="E509" i="2"/>
  <c r="A510" i="2"/>
  <c r="B510" i="2"/>
  <c r="C510" i="2"/>
  <c r="D510" i="2"/>
  <c r="E510" i="2"/>
  <c r="B1" i="2"/>
  <c r="C1" i="2"/>
  <c r="D1" i="2"/>
  <c r="E1" i="2"/>
  <c r="A1" i="2"/>
  <c r="C156" i="23"/>
  <c r="C156" i="2" s="1"/>
  <c r="C155" i="23"/>
  <c r="C155" i="2" s="1"/>
  <c r="C154" i="23"/>
  <c r="C154" i="2" s="1"/>
  <c r="C153" i="23"/>
  <c r="C153" i="2" s="1"/>
  <c r="C152" i="23"/>
  <c r="C152" i="2" s="1"/>
  <c r="C151" i="23"/>
  <c r="C151" i="2" s="1"/>
  <c r="C150" i="23"/>
  <c r="C150" i="2" s="1"/>
  <c r="C149" i="23"/>
  <c r="C149" i="2" s="1"/>
  <c r="C148" i="23"/>
  <c r="C148" i="2" s="1"/>
  <c r="C147" i="23"/>
  <c r="C147" i="2" s="1"/>
  <c r="C146" i="23"/>
  <c r="C146" i="2" s="1"/>
  <c r="C145" i="23"/>
  <c r="C145" i="2" s="1"/>
  <c r="C144" i="23"/>
  <c r="C144" i="2" s="1"/>
  <c r="C143" i="23"/>
  <c r="C143" i="2" s="1"/>
  <c r="C142" i="23"/>
  <c r="C142" i="2" s="1"/>
  <c r="C141" i="23"/>
  <c r="C141" i="2" s="1"/>
  <c r="C140" i="23"/>
  <c r="C140" i="2" s="1"/>
  <c r="C139" i="23"/>
  <c r="C139" i="2" s="1"/>
  <c r="C138" i="23"/>
  <c r="C138" i="2" s="1"/>
  <c r="C137" i="23"/>
  <c r="C137" i="2" s="1"/>
  <c r="C136" i="23"/>
  <c r="C136" i="2" s="1"/>
  <c r="C135" i="23"/>
  <c r="C135" i="2" s="1"/>
  <c r="C134" i="23"/>
  <c r="C134" i="2" s="1"/>
  <c r="C133" i="23"/>
  <c r="C133" i="2" s="1"/>
  <c r="C132" i="23"/>
  <c r="C132" i="2" s="1"/>
  <c r="C131" i="23"/>
  <c r="C131" i="2" s="1"/>
  <c r="C130" i="23"/>
  <c r="C130" i="2" s="1"/>
  <c r="C129" i="23"/>
  <c r="C129" i="2" s="1"/>
  <c r="C128" i="23"/>
  <c r="C128" i="2" s="1"/>
  <c r="C127" i="23"/>
  <c r="C127" i="2" s="1"/>
  <c r="C126" i="23"/>
  <c r="C126" i="2" s="1"/>
  <c r="C125" i="23"/>
  <c r="C125" i="2" s="1"/>
  <c r="C124" i="23"/>
  <c r="C124" i="2" s="1"/>
  <c r="C123" i="23"/>
  <c r="C123" i="2" s="1"/>
  <c r="C122" i="23"/>
  <c r="C122" i="2" s="1"/>
  <c r="C121" i="23"/>
  <c r="C121" i="2" s="1"/>
  <c r="C120" i="23"/>
  <c r="C120" i="2" s="1"/>
  <c r="C119" i="23"/>
  <c r="C119" i="2" s="1"/>
  <c r="C118" i="23"/>
  <c r="C118" i="2" s="1"/>
  <c r="C117" i="23"/>
  <c r="C117" i="2" s="1"/>
  <c r="C116" i="23"/>
  <c r="C116" i="2" s="1"/>
  <c r="C115" i="23"/>
  <c r="C115" i="2" s="1"/>
  <c r="C114" i="23"/>
  <c r="C114" i="2" s="1"/>
  <c r="C113" i="23"/>
  <c r="C113" i="2" s="1"/>
  <c r="C112" i="23"/>
  <c r="C112" i="2" s="1"/>
  <c r="C111" i="23"/>
  <c r="C111" i="2" s="1"/>
  <c r="C110" i="23"/>
  <c r="C110" i="2" s="1"/>
  <c r="C109" i="23"/>
  <c r="C109" i="2" s="1"/>
  <c r="C108" i="23"/>
  <c r="C108" i="2" s="1"/>
  <c r="C107" i="23"/>
  <c r="C107" i="2" s="1"/>
  <c r="C106" i="23"/>
  <c r="C106" i="2" s="1"/>
  <c r="C105" i="23"/>
  <c r="C105" i="2" s="1"/>
  <c r="C104" i="23"/>
  <c r="C104" i="2" s="1"/>
  <c r="C103" i="23"/>
  <c r="C103" i="2" s="1"/>
  <c r="C102" i="23"/>
  <c r="C102" i="2" s="1"/>
  <c r="C101" i="23"/>
  <c r="C101" i="2" s="1"/>
  <c r="C100" i="23"/>
  <c r="C100" i="2" s="1"/>
  <c r="C99" i="23"/>
  <c r="C99" i="2" s="1"/>
  <c r="C98" i="23"/>
  <c r="C98" i="2" s="1"/>
  <c r="C97" i="23"/>
  <c r="C97" i="2" s="1"/>
  <c r="C96" i="23"/>
  <c r="C96" i="2" s="1"/>
  <c r="C95" i="23"/>
  <c r="C95" i="2" s="1"/>
  <c r="C94" i="23"/>
  <c r="C94" i="2" s="1"/>
  <c r="C93" i="23"/>
  <c r="C93" i="2" s="1"/>
  <c r="C92" i="23"/>
  <c r="C92" i="2" s="1"/>
  <c r="C91" i="23"/>
  <c r="C91" i="2" s="1"/>
  <c r="C90" i="23"/>
  <c r="C90" i="2" s="1"/>
  <c r="C89" i="23"/>
  <c r="C89" i="2" s="1"/>
  <c r="C88" i="23"/>
  <c r="C88" i="2" s="1"/>
  <c r="C87" i="23"/>
  <c r="C87" i="2" s="1"/>
  <c r="C86" i="23"/>
  <c r="C86" i="2" s="1"/>
  <c r="C85" i="23"/>
  <c r="C85" i="2" s="1"/>
  <c r="C84" i="23"/>
  <c r="C84" i="2" s="1"/>
  <c r="C83" i="23"/>
  <c r="C83" i="2" s="1"/>
  <c r="C82" i="23"/>
  <c r="C82" i="2" s="1"/>
  <c r="C81" i="23"/>
  <c r="C81" i="2" s="1"/>
  <c r="C80" i="23"/>
  <c r="C80" i="2" s="1"/>
  <c r="C79" i="23"/>
  <c r="C79" i="2" s="1"/>
  <c r="C78" i="23"/>
  <c r="C78" i="2" s="1"/>
  <c r="C77" i="23"/>
  <c r="C77" i="2" s="1"/>
  <c r="C76" i="23"/>
  <c r="C76" i="2" s="1"/>
  <c r="C75" i="23"/>
  <c r="C75" i="2" s="1"/>
  <c r="C74" i="23"/>
  <c r="C74" i="2" s="1"/>
  <c r="C73" i="23"/>
  <c r="C73" i="2" s="1"/>
  <c r="C72" i="23"/>
  <c r="C72" i="2" s="1"/>
  <c r="C71" i="23"/>
  <c r="C71" i="2" s="1"/>
  <c r="C70" i="23"/>
  <c r="C70" i="2" s="1"/>
  <c r="C69" i="23"/>
  <c r="C69" i="2" s="1"/>
  <c r="C68" i="23"/>
  <c r="C68" i="2" s="1"/>
  <c r="C67" i="23"/>
  <c r="C67" i="2" s="1"/>
  <c r="C66" i="23"/>
  <c r="C66" i="2" s="1"/>
  <c r="C65" i="23"/>
  <c r="C65" i="2" s="1"/>
  <c r="C64" i="23"/>
  <c r="C64" i="2" s="1"/>
  <c r="C63" i="23"/>
  <c r="C63" i="2" s="1"/>
  <c r="C62" i="23"/>
  <c r="C62" i="2" s="1"/>
  <c r="C61" i="23"/>
  <c r="C61" i="2" s="1"/>
  <c r="C60" i="23"/>
  <c r="C60" i="2" s="1"/>
  <c r="C59" i="23"/>
  <c r="C59" i="2" s="1"/>
  <c r="C58" i="23"/>
  <c r="C58" i="2" s="1"/>
  <c r="C57" i="23"/>
  <c r="C57" i="2" s="1"/>
  <c r="C56" i="23"/>
  <c r="C56" i="2" s="1"/>
  <c r="C55" i="23"/>
  <c r="C55" i="2" s="1"/>
  <c r="C54" i="23"/>
  <c r="C54" i="2" s="1"/>
  <c r="C53" i="23"/>
  <c r="C53" i="2" s="1"/>
  <c r="C52" i="23"/>
  <c r="C52" i="2" s="1"/>
  <c r="C51" i="23"/>
  <c r="C51" i="2" s="1"/>
  <c r="C50" i="23"/>
  <c r="C50" i="2" s="1"/>
  <c r="C49" i="23"/>
  <c r="C49" i="2" s="1"/>
  <c r="C48" i="23"/>
  <c r="C48" i="2" s="1"/>
  <c r="C47" i="23"/>
  <c r="C47" i="2" s="1"/>
  <c r="C46" i="23"/>
  <c r="C46" i="2" s="1"/>
  <c r="C45" i="23"/>
  <c r="C45" i="2" s="1"/>
  <c r="C44" i="23"/>
  <c r="C44" i="2" s="1"/>
  <c r="C43" i="23"/>
  <c r="C43" i="2" s="1"/>
  <c r="C42" i="23"/>
  <c r="C42" i="2" s="1"/>
  <c r="C41" i="23"/>
  <c r="C41" i="2" s="1"/>
  <c r="C40" i="23"/>
  <c r="C40" i="2" s="1"/>
  <c r="C39" i="23"/>
  <c r="C39" i="2" s="1"/>
  <c r="C38" i="23"/>
  <c r="C38" i="2" s="1"/>
  <c r="C37" i="23"/>
  <c r="C37" i="2" s="1"/>
  <c r="C36" i="23"/>
  <c r="C36" i="2" s="1"/>
  <c r="C35" i="23"/>
  <c r="C35" i="2" s="1"/>
  <c r="C34" i="23"/>
  <c r="C34" i="2" s="1"/>
  <c r="C33" i="23"/>
  <c r="C33" i="2" s="1"/>
  <c r="C32" i="23"/>
  <c r="C32" i="2" s="1"/>
  <c r="C31" i="23"/>
  <c r="C31" i="2" s="1"/>
  <c r="C30" i="23"/>
  <c r="C30" i="2" s="1"/>
  <c r="C29" i="23"/>
  <c r="C29" i="2" s="1"/>
  <c r="C28" i="23"/>
  <c r="C28" i="2" s="1"/>
  <c r="C27" i="23"/>
  <c r="C27" i="2" s="1"/>
  <c r="C26" i="23"/>
  <c r="C26" i="2" s="1"/>
  <c r="C25" i="23"/>
  <c r="C25" i="2" s="1"/>
  <c r="C24" i="23"/>
  <c r="C24" i="2" s="1"/>
  <c r="C23" i="23"/>
  <c r="C23" i="2" s="1"/>
  <c r="C22" i="23"/>
  <c r="C22" i="2" s="1"/>
  <c r="C21" i="23"/>
  <c r="C21" i="2" s="1"/>
  <c r="C20" i="23"/>
  <c r="C20" i="2" s="1"/>
  <c r="C19" i="23"/>
  <c r="C19" i="2" s="1"/>
  <c r="C18" i="23"/>
  <c r="C18" i="2" s="1"/>
  <c r="C17" i="23"/>
  <c r="C17" i="2" s="1"/>
  <c r="C16" i="23"/>
  <c r="C16" i="2" s="1"/>
  <c r="C15" i="23"/>
  <c r="C15" i="2" s="1"/>
  <c r="C14" i="23"/>
  <c r="C14" i="2" s="1"/>
  <c r="C13" i="23"/>
  <c r="C13" i="2" s="1"/>
  <c r="C12" i="23"/>
  <c r="C12" i="2" s="1"/>
  <c r="C11" i="23"/>
  <c r="C11" i="2" s="1"/>
  <c r="C10" i="23"/>
  <c r="C10" i="2" s="1"/>
  <c r="C9" i="23"/>
  <c r="C9" i="2" s="1"/>
  <c r="C8" i="23"/>
  <c r="C8" i="2" s="1"/>
  <c r="C7" i="23"/>
  <c r="C7" i="2" s="1"/>
  <c r="C6" i="23"/>
  <c r="C6" i="2" s="1"/>
  <c r="C5" i="23"/>
  <c r="C5" i="2" s="1"/>
  <c r="C4" i="23"/>
  <c r="C4" i="2" s="1"/>
  <c r="C3" i="23"/>
  <c r="C3" i="2" s="1"/>
  <c r="C2" i="23"/>
  <c r="C2" i="2" s="1"/>
  <c r="AX452" i="1"/>
  <c r="AT452" i="1"/>
  <c r="AS452" i="1"/>
  <c r="AN452" i="1"/>
  <c r="AM452" i="1"/>
  <c r="AL452" i="1"/>
  <c r="AW452" i="1" s="1"/>
  <c r="AK452" i="1"/>
  <c r="AG452" i="1"/>
  <c r="AF452" i="1"/>
  <c r="AE452" i="1"/>
  <c r="AD452" i="1"/>
  <c r="AC452" i="1"/>
  <c r="AB452" i="1"/>
  <c r="Z452" i="1"/>
  <c r="Y452" i="1"/>
  <c r="X452" i="1"/>
  <c r="W452" i="1"/>
  <c r="V452" i="1"/>
  <c r="U452" i="1"/>
  <c r="T452" i="1"/>
  <c r="BA452" i="1" s="1"/>
  <c r="S452" i="1"/>
  <c r="R452" i="1"/>
  <c r="Q452" i="1"/>
  <c r="P452" i="1"/>
  <c r="O452" i="1"/>
  <c r="N452" i="1"/>
  <c r="AZ452" i="1" s="1"/>
  <c r="M452" i="1"/>
  <c r="L452" i="1"/>
  <c r="H452" i="1"/>
  <c r="AY452" i="1" s="1"/>
  <c r="G452" i="1"/>
  <c r="F452" i="1"/>
  <c r="E452" i="1"/>
  <c r="D452" i="1"/>
  <c r="C452" i="1"/>
  <c r="B452" i="1"/>
  <c r="A452" i="1"/>
  <c r="AY451" i="1"/>
  <c r="AV451" i="1"/>
  <c r="AT451" i="1"/>
  <c r="AS451" i="1"/>
  <c r="AN451" i="1"/>
  <c r="AR451" i="1" s="1"/>
  <c r="AL451" i="1"/>
  <c r="AK451" i="1"/>
  <c r="AH451" i="1"/>
  <c r="AG451" i="1"/>
  <c r="AF451" i="1"/>
  <c r="AE451" i="1"/>
  <c r="AD451" i="1"/>
  <c r="AC451" i="1"/>
  <c r="AB451" i="1"/>
  <c r="Z451" i="1"/>
  <c r="Y451" i="1"/>
  <c r="X451" i="1"/>
  <c r="W451" i="1"/>
  <c r="V451" i="1"/>
  <c r="U451" i="1"/>
  <c r="T451" i="1"/>
  <c r="BA451" i="1" s="1"/>
  <c r="S451" i="1"/>
  <c r="R451" i="1"/>
  <c r="Q451" i="1"/>
  <c r="P451" i="1"/>
  <c r="O451" i="1"/>
  <c r="N451" i="1"/>
  <c r="AZ451" i="1" s="1"/>
  <c r="M451" i="1"/>
  <c r="L451" i="1"/>
  <c r="H451" i="1"/>
  <c r="G451" i="1"/>
  <c r="F451" i="1"/>
  <c r="E451" i="1"/>
  <c r="D451" i="1"/>
  <c r="C451" i="1"/>
  <c r="B451" i="1"/>
  <c r="A451" i="1"/>
  <c r="AZ450" i="1"/>
  <c r="AY450" i="1"/>
  <c r="AX450" i="1"/>
  <c r="AW450" i="1"/>
  <c r="AT450" i="1"/>
  <c r="AS450" i="1"/>
  <c r="AN450" i="1"/>
  <c r="AR450" i="1" s="1"/>
  <c r="AM450" i="1"/>
  <c r="AL450" i="1"/>
  <c r="AK450" i="1"/>
  <c r="AG450" i="1"/>
  <c r="AF450" i="1"/>
  <c r="AE450" i="1"/>
  <c r="AD450" i="1"/>
  <c r="AC450" i="1"/>
  <c r="AB450" i="1"/>
  <c r="Z450" i="1"/>
  <c r="Y450" i="1"/>
  <c r="X450" i="1"/>
  <c r="W450" i="1"/>
  <c r="V450" i="1"/>
  <c r="U450" i="1"/>
  <c r="T450" i="1"/>
  <c r="BA450" i="1" s="1"/>
  <c r="S450" i="1"/>
  <c r="R450" i="1"/>
  <c r="Q450" i="1"/>
  <c r="P450" i="1"/>
  <c r="O450" i="1"/>
  <c r="N450" i="1"/>
  <c r="M450" i="1"/>
  <c r="L450" i="1"/>
  <c r="H450" i="1"/>
  <c r="G450" i="1"/>
  <c r="F450" i="1"/>
  <c r="E450" i="1"/>
  <c r="D450" i="1"/>
  <c r="C450" i="1"/>
  <c r="B450" i="1"/>
  <c r="A450" i="1"/>
  <c r="AZ449" i="1"/>
  <c r="AX449" i="1"/>
  <c r="AW449" i="1"/>
  <c r="AT449" i="1"/>
  <c r="AS449" i="1"/>
  <c r="AN449" i="1"/>
  <c r="AL449" i="1"/>
  <c r="AM449" i="1" s="1"/>
  <c r="AK449" i="1"/>
  <c r="AJ449" i="1"/>
  <c r="AI449" i="1"/>
  <c r="AH449" i="1"/>
  <c r="AG449" i="1"/>
  <c r="AF449" i="1"/>
  <c r="AE449" i="1"/>
  <c r="AD449" i="1"/>
  <c r="AC449" i="1"/>
  <c r="AB449" i="1"/>
  <c r="AA449" i="1"/>
  <c r="AO449" i="1" s="1"/>
  <c r="Z449" i="1"/>
  <c r="Y449" i="1"/>
  <c r="X449" i="1"/>
  <c r="W449" i="1"/>
  <c r="V449" i="1"/>
  <c r="U449" i="1"/>
  <c r="T449" i="1"/>
  <c r="BA449" i="1" s="1"/>
  <c r="S449" i="1"/>
  <c r="R449" i="1"/>
  <c r="Q449" i="1"/>
  <c r="P449" i="1"/>
  <c r="O449" i="1"/>
  <c r="N449" i="1"/>
  <c r="M449" i="1"/>
  <c r="L449" i="1"/>
  <c r="H449" i="1"/>
  <c r="AY449" i="1" s="1"/>
  <c r="G449" i="1"/>
  <c r="F449" i="1"/>
  <c r="E449" i="1"/>
  <c r="D449" i="1"/>
  <c r="C449" i="1"/>
  <c r="B449" i="1"/>
  <c r="A449" i="1"/>
  <c r="AZ448" i="1"/>
  <c r="AX448" i="1"/>
  <c r="AT448" i="1"/>
  <c r="AS448" i="1"/>
  <c r="AP448" i="1"/>
  <c r="AN448" i="1"/>
  <c r="AM448" i="1"/>
  <c r="AL448" i="1"/>
  <c r="AW448" i="1" s="1"/>
  <c r="AK448" i="1"/>
  <c r="AR448" i="1" s="1"/>
  <c r="AJ448" i="1"/>
  <c r="AI448" i="1"/>
  <c r="AH448" i="1"/>
  <c r="AG448" i="1"/>
  <c r="AF448" i="1"/>
  <c r="AE448" i="1"/>
  <c r="AD448" i="1"/>
  <c r="AC448" i="1"/>
  <c r="AB448" i="1"/>
  <c r="AA448" i="1"/>
  <c r="AO448" i="1" s="1"/>
  <c r="Z448" i="1"/>
  <c r="Y448" i="1"/>
  <c r="X448" i="1"/>
  <c r="W448" i="1"/>
  <c r="V448" i="1"/>
  <c r="U448" i="1"/>
  <c r="T448" i="1"/>
  <c r="BA448" i="1" s="1"/>
  <c r="S448" i="1"/>
  <c r="R448" i="1"/>
  <c r="Q448" i="1"/>
  <c r="P448" i="1"/>
  <c r="O448" i="1"/>
  <c r="N448" i="1"/>
  <c r="M448" i="1"/>
  <c r="L448" i="1"/>
  <c r="H448" i="1"/>
  <c r="AY448" i="1" s="1"/>
  <c r="G448" i="1"/>
  <c r="F448" i="1"/>
  <c r="E448" i="1"/>
  <c r="D448" i="1"/>
  <c r="C448" i="1"/>
  <c r="B448" i="1"/>
  <c r="A448" i="1"/>
  <c r="BA447" i="1"/>
  <c r="AY447" i="1"/>
  <c r="AU447" i="1"/>
  <c r="AT447" i="1"/>
  <c r="AS447" i="1"/>
  <c r="AR447" i="1"/>
  <c r="AP447" i="1"/>
  <c r="AN447" i="1"/>
  <c r="AL447" i="1"/>
  <c r="AK447" i="1"/>
  <c r="AI447" i="1"/>
  <c r="AH447" i="1"/>
  <c r="AG447" i="1"/>
  <c r="AV447" i="1" s="1"/>
  <c r="AF447" i="1"/>
  <c r="AE447" i="1"/>
  <c r="AD447" i="1"/>
  <c r="AC447" i="1"/>
  <c r="AB447" i="1"/>
  <c r="Z447" i="1"/>
  <c r="Y447" i="1"/>
  <c r="X447" i="1"/>
  <c r="W447" i="1"/>
  <c r="V447" i="1"/>
  <c r="U447" i="1"/>
  <c r="T447" i="1"/>
  <c r="S447" i="1"/>
  <c r="R447" i="1"/>
  <c r="Q447" i="1"/>
  <c r="P447" i="1"/>
  <c r="O447" i="1"/>
  <c r="N447" i="1"/>
  <c r="AZ447" i="1" s="1"/>
  <c r="M447" i="1"/>
  <c r="L447" i="1"/>
  <c r="H447" i="1"/>
  <c r="G447" i="1"/>
  <c r="F447" i="1"/>
  <c r="E447" i="1"/>
  <c r="D447" i="1"/>
  <c r="C447" i="1"/>
  <c r="B447" i="1"/>
  <c r="A447" i="1"/>
  <c r="AV446" i="1"/>
  <c r="AU446" i="1"/>
  <c r="AT446" i="1"/>
  <c r="AS446" i="1"/>
  <c r="AN446" i="1"/>
  <c r="AM446" i="1"/>
  <c r="AL446" i="1"/>
  <c r="AX446" i="1" s="1"/>
  <c r="AK446" i="1"/>
  <c r="AR446" i="1" s="1"/>
  <c r="AJ446" i="1"/>
  <c r="AI446" i="1"/>
  <c r="AG446" i="1"/>
  <c r="AH446" i="1" s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BA446" i="1" s="1"/>
  <c r="S446" i="1"/>
  <c r="R446" i="1"/>
  <c r="Q446" i="1"/>
  <c r="P446" i="1"/>
  <c r="O446" i="1"/>
  <c r="N446" i="1"/>
  <c r="AZ446" i="1" s="1"/>
  <c r="M446" i="1"/>
  <c r="L446" i="1"/>
  <c r="H446" i="1"/>
  <c r="AY446" i="1" s="1"/>
  <c r="G446" i="1"/>
  <c r="F446" i="1"/>
  <c r="E446" i="1"/>
  <c r="D446" i="1"/>
  <c r="C446" i="1"/>
  <c r="B446" i="1"/>
  <c r="A446" i="1"/>
  <c r="BA445" i="1"/>
  <c r="AY445" i="1"/>
  <c r="AV445" i="1"/>
  <c r="AU445" i="1"/>
  <c r="AT445" i="1"/>
  <c r="AS445" i="1"/>
  <c r="AP445" i="1"/>
  <c r="AN445" i="1"/>
  <c r="AR445" i="1" s="1"/>
  <c r="AM445" i="1"/>
  <c r="AL445" i="1"/>
  <c r="AX445" i="1" s="1"/>
  <c r="AK445" i="1"/>
  <c r="AJ445" i="1"/>
  <c r="AI445" i="1"/>
  <c r="AH445" i="1"/>
  <c r="AG445" i="1"/>
  <c r="AF445" i="1"/>
  <c r="AA445" i="1" s="1"/>
  <c r="AO445" i="1" s="1"/>
  <c r="AE445" i="1"/>
  <c r="AD445" i="1"/>
  <c r="AC445" i="1"/>
  <c r="AB445" i="1"/>
  <c r="Z445" i="1"/>
  <c r="Y445" i="1"/>
  <c r="X445" i="1"/>
  <c r="W445" i="1"/>
  <c r="V445" i="1"/>
  <c r="U445" i="1"/>
  <c r="T445" i="1"/>
  <c r="S445" i="1"/>
  <c r="R445" i="1"/>
  <c r="Q445" i="1"/>
  <c r="P445" i="1"/>
  <c r="O445" i="1"/>
  <c r="N445" i="1"/>
  <c r="AZ445" i="1" s="1"/>
  <c r="M445" i="1"/>
  <c r="L445" i="1"/>
  <c r="H445" i="1"/>
  <c r="G445" i="1"/>
  <c r="F445" i="1"/>
  <c r="E445" i="1"/>
  <c r="D445" i="1"/>
  <c r="C445" i="1"/>
  <c r="B445" i="1"/>
  <c r="A445" i="1"/>
  <c r="AW444" i="1"/>
  <c r="AV444" i="1"/>
  <c r="AU444" i="1"/>
  <c r="AT444" i="1"/>
  <c r="AS444" i="1"/>
  <c r="AN444" i="1"/>
  <c r="AL444" i="1"/>
  <c r="AK444" i="1"/>
  <c r="AI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BA444" i="1" s="1"/>
  <c r="S444" i="1"/>
  <c r="R444" i="1"/>
  <c r="Q444" i="1"/>
  <c r="P444" i="1"/>
  <c r="O444" i="1"/>
  <c r="N444" i="1"/>
  <c r="AZ444" i="1" s="1"/>
  <c r="M444" i="1"/>
  <c r="L444" i="1"/>
  <c r="H444" i="1"/>
  <c r="AY444" i="1" s="1"/>
  <c r="G444" i="1"/>
  <c r="F444" i="1"/>
  <c r="E444" i="1"/>
  <c r="D444" i="1"/>
  <c r="C444" i="1"/>
  <c r="B444" i="1"/>
  <c r="A444" i="1"/>
  <c r="BA443" i="1"/>
  <c r="AY443" i="1"/>
  <c r="AU443" i="1"/>
  <c r="AT443" i="1"/>
  <c r="AS443" i="1"/>
  <c r="AP443" i="1"/>
  <c r="AN443" i="1"/>
  <c r="AR443" i="1" s="1"/>
  <c r="AL443" i="1"/>
  <c r="AK443" i="1"/>
  <c r="AJ443" i="1"/>
  <c r="AG443" i="1"/>
  <c r="AF443" i="1"/>
  <c r="AE443" i="1"/>
  <c r="AD443" i="1"/>
  <c r="AC443" i="1"/>
  <c r="AB443" i="1"/>
  <c r="Z443" i="1"/>
  <c r="Y443" i="1"/>
  <c r="X443" i="1"/>
  <c r="W443" i="1"/>
  <c r="V443" i="1"/>
  <c r="U443" i="1"/>
  <c r="T443" i="1"/>
  <c r="S443" i="1"/>
  <c r="R443" i="1"/>
  <c r="Q443" i="1"/>
  <c r="P443" i="1"/>
  <c r="O443" i="1"/>
  <c r="N443" i="1"/>
  <c r="AZ443" i="1" s="1"/>
  <c r="M443" i="1"/>
  <c r="L443" i="1"/>
  <c r="H443" i="1"/>
  <c r="G443" i="1"/>
  <c r="F443" i="1"/>
  <c r="E443" i="1"/>
  <c r="D443" i="1"/>
  <c r="C443" i="1"/>
  <c r="B443" i="1"/>
  <c r="A443" i="1"/>
  <c r="AZ442" i="1"/>
  <c r="AY442" i="1"/>
  <c r="AX442" i="1"/>
  <c r="AW442" i="1"/>
  <c r="AV442" i="1"/>
  <c r="AT442" i="1"/>
  <c r="AS442" i="1"/>
  <c r="AN442" i="1"/>
  <c r="AM442" i="1"/>
  <c r="AL442" i="1"/>
  <c r="AK442" i="1"/>
  <c r="AH442" i="1"/>
  <c r="AG442" i="1"/>
  <c r="AF442" i="1"/>
  <c r="AE442" i="1"/>
  <c r="AD442" i="1"/>
  <c r="AC442" i="1"/>
  <c r="AB442" i="1"/>
  <c r="Z442" i="1"/>
  <c r="Y442" i="1"/>
  <c r="X442" i="1"/>
  <c r="W442" i="1"/>
  <c r="V442" i="1"/>
  <c r="U442" i="1"/>
  <c r="T442" i="1"/>
  <c r="BA442" i="1" s="1"/>
  <c r="S442" i="1"/>
  <c r="R442" i="1"/>
  <c r="Q442" i="1"/>
  <c r="P442" i="1"/>
  <c r="O442" i="1"/>
  <c r="N442" i="1"/>
  <c r="M442" i="1"/>
  <c r="L442" i="1"/>
  <c r="H442" i="1"/>
  <c r="G442" i="1"/>
  <c r="F442" i="1"/>
  <c r="E442" i="1"/>
  <c r="D442" i="1"/>
  <c r="C442" i="1"/>
  <c r="B442" i="1"/>
  <c r="A442" i="1"/>
  <c r="AY441" i="1"/>
  <c r="AT441" i="1"/>
  <c r="AS441" i="1"/>
  <c r="AP441" i="1"/>
  <c r="AN441" i="1"/>
  <c r="AR441" i="1" s="1"/>
  <c r="AL441" i="1"/>
  <c r="AM441" i="1" s="1"/>
  <c r="AK441" i="1"/>
  <c r="AG441" i="1"/>
  <c r="AF441" i="1"/>
  <c r="AE441" i="1"/>
  <c r="AD441" i="1"/>
  <c r="AC441" i="1"/>
  <c r="AB441" i="1"/>
  <c r="Z441" i="1"/>
  <c r="Y441" i="1"/>
  <c r="X441" i="1"/>
  <c r="W441" i="1"/>
  <c r="V441" i="1"/>
  <c r="U441" i="1"/>
  <c r="T441" i="1"/>
  <c r="BA441" i="1" s="1"/>
  <c r="S441" i="1"/>
  <c r="R441" i="1"/>
  <c r="Q441" i="1"/>
  <c r="P441" i="1"/>
  <c r="O441" i="1"/>
  <c r="N441" i="1"/>
  <c r="AZ441" i="1" s="1"/>
  <c r="M441" i="1"/>
  <c r="L441" i="1"/>
  <c r="H441" i="1"/>
  <c r="G441" i="1"/>
  <c r="F441" i="1"/>
  <c r="E441" i="1"/>
  <c r="D441" i="1"/>
  <c r="C441" i="1"/>
  <c r="B441" i="1"/>
  <c r="A441" i="1"/>
  <c r="AZ440" i="1"/>
  <c r="AY440" i="1"/>
  <c r="AX440" i="1"/>
  <c r="AW440" i="1"/>
  <c r="AV440" i="1"/>
  <c r="AT440" i="1"/>
  <c r="AS440" i="1"/>
  <c r="AN440" i="1"/>
  <c r="AM440" i="1"/>
  <c r="AL440" i="1"/>
  <c r="AK440" i="1"/>
  <c r="AG440" i="1"/>
  <c r="AF440" i="1"/>
  <c r="AJ440" i="1" s="1"/>
  <c r="AE440" i="1"/>
  <c r="AD440" i="1"/>
  <c r="AC440" i="1"/>
  <c r="AB440" i="1"/>
  <c r="Z440" i="1"/>
  <c r="Y440" i="1"/>
  <c r="X440" i="1"/>
  <c r="W440" i="1"/>
  <c r="V440" i="1"/>
  <c r="U440" i="1"/>
  <c r="T440" i="1"/>
  <c r="BA440" i="1" s="1"/>
  <c r="S440" i="1"/>
  <c r="R440" i="1"/>
  <c r="Q440" i="1"/>
  <c r="P440" i="1"/>
  <c r="O440" i="1"/>
  <c r="N440" i="1"/>
  <c r="M440" i="1"/>
  <c r="L440" i="1"/>
  <c r="H440" i="1"/>
  <c r="G440" i="1"/>
  <c r="F440" i="1"/>
  <c r="E440" i="1"/>
  <c r="D440" i="1"/>
  <c r="C440" i="1"/>
  <c r="B440" i="1"/>
  <c r="A440" i="1"/>
  <c r="AX439" i="1"/>
  <c r="AW439" i="1"/>
  <c r="AU439" i="1"/>
  <c r="AT439" i="1"/>
  <c r="AS439" i="1"/>
  <c r="AN439" i="1"/>
  <c r="AL439" i="1"/>
  <c r="AM439" i="1" s="1"/>
  <c r="AK439" i="1"/>
  <c r="AI439" i="1"/>
  <c r="AA439" i="1" s="1"/>
  <c r="AO439" i="1" s="1"/>
  <c r="AG439" i="1"/>
  <c r="AV439" i="1" s="1"/>
  <c r="AF439" i="1"/>
  <c r="AJ439" i="1" s="1"/>
  <c r="AE439" i="1"/>
  <c r="AD439" i="1"/>
  <c r="AC439" i="1"/>
  <c r="AB439" i="1"/>
  <c r="Z439" i="1"/>
  <c r="Y439" i="1"/>
  <c r="X439" i="1"/>
  <c r="W439" i="1"/>
  <c r="V439" i="1"/>
  <c r="U439" i="1"/>
  <c r="T439" i="1"/>
  <c r="BA439" i="1" s="1"/>
  <c r="S439" i="1"/>
  <c r="R439" i="1"/>
  <c r="Q439" i="1"/>
  <c r="P439" i="1"/>
  <c r="O439" i="1"/>
  <c r="N439" i="1"/>
  <c r="AZ439" i="1" s="1"/>
  <c r="M439" i="1"/>
  <c r="L439" i="1"/>
  <c r="H439" i="1"/>
  <c r="AY439" i="1" s="1"/>
  <c r="G439" i="1"/>
  <c r="F439" i="1"/>
  <c r="E439" i="1"/>
  <c r="D439" i="1"/>
  <c r="C439" i="1"/>
  <c r="B439" i="1"/>
  <c r="A439" i="1"/>
  <c r="AX438" i="1"/>
  <c r="AV438" i="1"/>
  <c r="AU438" i="1"/>
  <c r="AT438" i="1"/>
  <c r="AS438" i="1"/>
  <c r="AN438" i="1"/>
  <c r="AM438" i="1"/>
  <c r="AL438" i="1"/>
  <c r="AK438" i="1"/>
  <c r="AR438" i="1" s="1"/>
  <c r="AJ438" i="1"/>
  <c r="AI438" i="1"/>
  <c r="AG438" i="1"/>
  <c r="AH438" i="1" s="1"/>
  <c r="AF438" i="1"/>
  <c r="AE438" i="1"/>
  <c r="AD438" i="1"/>
  <c r="AC438" i="1"/>
  <c r="AB438" i="1"/>
  <c r="AA438" i="1"/>
  <c r="AO438" i="1" s="1"/>
  <c r="Z438" i="1"/>
  <c r="Y438" i="1"/>
  <c r="X438" i="1"/>
  <c r="W438" i="1"/>
  <c r="V438" i="1"/>
  <c r="U438" i="1"/>
  <c r="T438" i="1"/>
  <c r="BA438" i="1" s="1"/>
  <c r="S438" i="1"/>
  <c r="R438" i="1"/>
  <c r="Q438" i="1"/>
  <c r="P438" i="1"/>
  <c r="O438" i="1"/>
  <c r="N438" i="1"/>
  <c r="AZ438" i="1" s="1"/>
  <c r="M438" i="1"/>
  <c r="L438" i="1"/>
  <c r="H438" i="1"/>
  <c r="AY438" i="1" s="1"/>
  <c r="G438" i="1"/>
  <c r="F438" i="1"/>
  <c r="E438" i="1"/>
  <c r="D438" i="1"/>
  <c r="C438" i="1"/>
  <c r="B438" i="1"/>
  <c r="A438" i="1"/>
  <c r="BA437" i="1"/>
  <c r="AV437" i="1"/>
  <c r="AU437" i="1"/>
  <c r="AT437" i="1"/>
  <c r="AS437" i="1"/>
  <c r="AR437" i="1"/>
  <c r="AN437" i="1"/>
  <c r="AP437" i="1" s="1"/>
  <c r="AM437" i="1"/>
  <c r="AL437" i="1"/>
  <c r="AX437" i="1" s="1"/>
  <c r="AK437" i="1"/>
  <c r="AJ437" i="1"/>
  <c r="AI437" i="1"/>
  <c r="AH437" i="1"/>
  <c r="AG437" i="1"/>
  <c r="AF437" i="1"/>
  <c r="AE437" i="1"/>
  <c r="AD437" i="1"/>
  <c r="AC437" i="1"/>
  <c r="AB437" i="1"/>
  <c r="AA437" i="1"/>
  <c r="AO437" i="1" s="1"/>
  <c r="Z437" i="1"/>
  <c r="Y437" i="1"/>
  <c r="X437" i="1"/>
  <c r="W437" i="1"/>
  <c r="V437" i="1"/>
  <c r="U437" i="1"/>
  <c r="T437" i="1"/>
  <c r="S437" i="1"/>
  <c r="R437" i="1"/>
  <c r="Q437" i="1"/>
  <c r="P437" i="1"/>
  <c r="O437" i="1"/>
  <c r="N437" i="1"/>
  <c r="AZ437" i="1" s="1"/>
  <c r="M437" i="1"/>
  <c r="L437" i="1"/>
  <c r="H437" i="1"/>
  <c r="AY437" i="1" s="1"/>
  <c r="G437" i="1"/>
  <c r="F437" i="1"/>
  <c r="E437" i="1"/>
  <c r="D437" i="1"/>
  <c r="C437" i="1"/>
  <c r="B437" i="1"/>
  <c r="A437" i="1"/>
  <c r="AZ436" i="1"/>
  <c r="AV436" i="1"/>
  <c r="AU436" i="1"/>
  <c r="AT436" i="1"/>
  <c r="AS436" i="1"/>
  <c r="AN436" i="1"/>
  <c r="AL436" i="1"/>
  <c r="AK436" i="1"/>
  <c r="AR436" i="1" s="1"/>
  <c r="AJ436" i="1"/>
  <c r="AI436" i="1"/>
  <c r="AG436" i="1"/>
  <c r="AH436" i="1" s="1"/>
  <c r="AF436" i="1"/>
  <c r="AE436" i="1"/>
  <c r="AD436" i="1"/>
  <c r="AC436" i="1"/>
  <c r="AB436" i="1"/>
  <c r="AA436" i="1"/>
  <c r="AO436" i="1" s="1"/>
  <c r="Z436" i="1"/>
  <c r="Y436" i="1"/>
  <c r="X436" i="1"/>
  <c r="W436" i="1"/>
  <c r="V436" i="1"/>
  <c r="U436" i="1"/>
  <c r="T436" i="1"/>
  <c r="BA436" i="1" s="1"/>
  <c r="S436" i="1"/>
  <c r="R436" i="1"/>
  <c r="Q436" i="1"/>
  <c r="P436" i="1"/>
  <c r="O436" i="1"/>
  <c r="N436" i="1"/>
  <c r="M436" i="1"/>
  <c r="L436" i="1"/>
  <c r="H436" i="1"/>
  <c r="AY436" i="1" s="1"/>
  <c r="G436" i="1"/>
  <c r="F436" i="1"/>
  <c r="E436" i="1"/>
  <c r="D436" i="1"/>
  <c r="C436" i="1"/>
  <c r="B436" i="1"/>
  <c r="A436" i="1"/>
  <c r="BA435" i="1"/>
  <c r="AY435" i="1"/>
  <c r="AX435" i="1"/>
  <c r="AW435" i="1"/>
  <c r="AT435" i="1"/>
  <c r="AS435" i="1"/>
  <c r="AP435" i="1"/>
  <c r="AN435" i="1"/>
  <c r="AR435" i="1" s="1"/>
  <c r="AM435" i="1"/>
  <c r="AL435" i="1"/>
  <c r="AK435" i="1"/>
  <c r="AH435" i="1"/>
  <c r="AG435" i="1"/>
  <c r="AF435" i="1"/>
  <c r="AE435" i="1"/>
  <c r="AD435" i="1"/>
  <c r="AC435" i="1"/>
  <c r="AB435" i="1"/>
  <c r="Z435" i="1"/>
  <c r="Y435" i="1"/>
  <c r="X435" i="1"/>
  <c r="W435" i="1"/>
  <c r="V435" i="1"/>
  <c r="U435" i="1"/>
  <c r="T435" i="1"/>
  <c r="S435" i="1"/>
  <c r="R435" i="1"/>
  <c r="Q435" i="1"/>
  <c r="P435" i="1"/>
  <c r="O435" i="1"/>
  <c r="N435" i="1"/>
  <c r="AZ435" i="1" s="1"/>
  <c r="M435" i="1"/>
  <c r="L435" i="1"/>
  <c r="H435" i="1"/>
  <c r="G435" i="1"/>
  <c r="F435" i="1"/>
  <c r="E435" i="1"/>
  <c r="D435" i="1"/>
  <c r="C435" i="1"/>
  <c r="B435" i="1"/>
  <c r="A435" i="1"/>
  <c r="AY434" i="1"/>
  <c r="AW434" i="1"/>
  <c r="AT434" i="1"/>
  <c r="AS434" i="1"/>
  <c r="AN434" i="1"/>
  <c r="AM434" i="1"/>
  <c r="AL434" i="1"/>
  <c r="AK434" i="1"/>
  <c r="AG434" i="1"/>
  <c r="AU434" i="1" s="1"/>
  <c r="AF434" i="1"/>
  <c r="AE434" i="1"/>
  <c r="AD434" i="1"/>
  <c r="AC434" i="1"/>
  <c r="AB434" i="1"/>
  <c r="Z434" i="1"/>
  <c r="Y434" i="1"/>
  <c r="X434" i="1"/>
  <c r="W434" i="1"/>
  <c r="V434" i="1"/>
  <c r="U434" i="1"/>
  <c r="T434" i="1"/>
  <c r="BA434" i="1" s="1"/>
  <c r="S434" i="1"/>
  <c r="R434" i="1"/>
  <c r="Q434" i="1"/>
  <c r="P434" i="1"/>
  <c r="O434" i="1"/>
  <c r="N434" i="1"/>
  <c r="AZ434" i="1" s="1"/>
  <c r="M434" i="1"/>
  <c r="L434" i="1"/>
  <c r="H434" i="1"/>
  <c r="G434" i="1"/>
  <c r="F434" i="1"/>
  <c r="E434" i="1"/>
  <c r="D434" i="1"/>
  <c r="C434" i="1"/>
  <c r="B434" i="1"/>
  <c r="A434" i="1"/>
  <c r="AY433" i="1"/>
  <c r="AV433" i="1"/>
  <c r="AU433" i="1"/>
  <c r="AT433" i="1"/>
  <c r="AS433" i="1"/>
  <c r="AN433" i="1"/>
  <c r="AL433" i="1"/>
  <c r="AX433" i="1" s="1"/>
  <c r="AK433" i="1"/>
  <c r="AH433" i="1"/>
  <c r="AG433" i="1"/>
  <c r="AF433" i="1"/>
  <c r="AE433" i="1"/>
  <c r="AD433" i="1"/>
  <c r="AC433" i="1"/>
  <c r="AB433" i="1"/>
  <c r="Z433" i="1"/>
  <c r="Y433" i="1"/>
  <c r="X433" i="1"/>
  <c r="W433" i="1"/>
  <c r="V433" i="1"/>
  <c r="U433" i="1"/>
  <c r="T433" i="1"/>
  <c r="BA433" i="1" s="1"/>
  <c r="S433" i="1"/>
  <c r="R433" i="1"/>
  <c r="Q433" i="1"/>
  <c r="P433" i="1"/>
  <c r="O433" i="1"/>
  <c r="N433" i="1"/>
  <c r="AZ433" i="1" s="1"/>
  <c r="M433" i="1"/>
  <c r="L433" i="1"/>
  <c r="H433" i="1"/>
  <c r="G433" i="1"/>
  <c r="F433" i="1"/>
  <c r="E433" i="1"/>
  <c r="D433" i="1"/>
  <c r="C433" i="1"/>
  <c r="B433" i="1"/>
  <c r="A433" i="1"/>
  <c r="BA432" i="1"/>
  <c r="AZ432" i="1"/>
  <c r="AY432" i="1"/>
  <c r="AX432" i="1"/>
  <c r="AW432" i="1"/>
  <c r="AV432" i="1"/>
  <c r="AT432" i="1"/>
  <c r="AS432" i="1"/>
  <c r="AP432" i="1"/>
  <c r="AN432" i="1"/>
  <c r="AM432" i="1"/>
  <c r="AL432" i="1"/>
  <c r="AK432" i="1"/>
  <c r="AH432" i="1"/>
  <c r="AG432" i="1"/>
  <c r="AF432" i="1"/>
  <c r="AE432" i="1"/>
  <c r="AD432" i="1"/>
  <c r="AC432" i="1"/>
  <c r="AB432" i="1"/>
  <c r="Z432" i="1"/>
  <c r="Y432" i="1"/>
  <c r="X432" i="1"/>
  <c r="W432" i="1"/>
  <c r="V432" i="1"/>
  <c r="U432" i="1"/>
  <c r="T432" i="1"/>
  <c r="S432" i="1"/>
  <c r="R432" i="1"/>
  <c r="Q432" i="1"/>
  <c r="P432" i="1"/>
  <c r="O432" i="1"/>
  <c r="N432" i="1"/>
  <c r="M432" i="1"/>
  <c r="L432" i="1"/>
  <c r="H432" i="1"/>
  <c r="G432" i="1"/>
  <c r="F432" i="1"/>
  <c r="E432" i="1"/>
  <c r="D432" i="1"/>
  <c r="C432" i="1"/>
  <c r="B432" i="1"/>
  <c r="A432" i="1"/>
  <c r="AY431" i="1"/>
  <c r="AX431" i="1"/>
  <c r="AW431" i="1"/>
  <c r="AT431" i="1"/>
  <c r="AS431" i="1"/>
  <c r="AN431" i="1"/>
  <c r="AL431" i="1"/>
  <c r="AM431" i="1" s="1"/>
  <c r="AK431" i="1"/>
  <c r="AJ431" i="1"/>
  <c r="AG431" i="1"/>
  <c r="AF431" i="1"/>
  <c r="AE431" i="1"/>
  <c r="AD431" i="1"/>
  <c r="AC431" i="1"/>
  <c r="AB431" i="1"/>
  <c r="Z431" i="1"/>
  <c r="Y431" i="1"/>
  <c r="X431" i="1"/>
  <c r="W431" i="1"/>
  <c r="V431" i="1"/>
  <c r="U431" i="1"/>
  <c r="T431" i="1"/>
  <c r="BA431" i="1" s="1"/>
  <c r="S431" i="1"/>
  <c r="R431" i="1"/>
  <c r="Q431" i="1"/>
  <c r="P431" i="1"/>
  <c r="O431" i="1"/>
  <c r="N431" i="1"/>
  <c r="AZ431" i="1" s="1"/>
  <c r="M431" i="1"/>
  <c r="L431" i="1"/>
  <c r="H431" i="1"/>
  <c r="G431" i="1"/>
  <c r="F431" i="1"/>
  <c r="E431" i="1"/>
  <c r="D431" i="1"/>
  <c r="C431" i="1"/>
  <c r="B431" i="1"/>
  <c r="A431" i="1"/>
  <c r="AY430" i="1"/>
  <c r="AV430" i="1"/>
  <c r="AU430" i="1"/>
  <c r="AT430" i="1"/>
  <c r="AS430" i="1"/>
  <c r="AN430" i="1"/>
  <c r="AL430" i="1"/>
  <c r="AK430" i="1"/>
  <c r="AR430" i="1" s="1"/>
  <c r="AJ430" i="1"/>
  <c r="AG430" i="1"/>
  <c r="AF430" i="1"/>
  <c r="AE430" i="1"/>
  <c r="AD430" i="1"/>
  <c r="AC430" i="1"/>
  <c r="AB430" i="1"/>
  <c r="Z430" i="1"/>
  <c r="Y430" i="1"/>
  <c r="X430" i="1"/>
  <c r="W430" i="1"/>
  <c r="V430" i="1"/>
  <c r="U430" i="1"/>
  <c r="T430" i="1"/>
  <c r="BA430" i="1" s="1"/>
  <c r="S430" i="1"/>
  <c r="R430" i="1"/>
  <c r="Q430" i="1"/>
  <c r="P430" i="1"/>
  <c r="O430" i="1"/>
  <c r="N430" i="1"/>
  <c r="AZ430" i="1" s="1"/>
  <c r="M430" i="1"/>
  <c r="L430" i="1"/>
  <c r="H430" i="1"/>
  <c r="G430" i="1"/>
  <c r="F430" i="1"/>
  <c r="E430" i="1"/>
  <c r="D430" i="1"/>
  <c r="C430" i="1"/>
  <c r="B430" i="1"/>
  <c r="A430" i="1"/>
  <c r="AY429" i="1"/>
  <c r="AV429" i="1"/>
  <c r="AU429" i="1"/>
  <c r="AT429" i="1"/>
  <c r="AS429" i="1"/>
  <c r="AN429" i="1"/>
  <c r="AL429" i="1"/>
  <c r="AK429" i="1"/>
  <c r="AJ429" i="1"/>
  <c r="AI429" i="1"/>
  <c r="AH429" i="1"/>
  <c r="AG429" i="1"/>
  <c r="AF429" i="1"/>
  <c r="AA429" i="1" s="1"/>
  <c r="AE429" i="1"/>
  <c r="AD429" i="1"/>
  <c r="AC429" i="1"/>
  <c r="AB429" i="1"/>
  <c r="Z429" i="1"/>
  <c r="Y429" i="1"/>
  <c r="X429" i="1"/>
  <c r="W429" i="1"/>
  <c r="V429" i="1"/>
  <c r="U429" i="1"/>
  <c r="T429" i="1"/>
  <c r="BA429" i="1" s="1"/>
  <c r="S429" i="1"/>
  <c r="R429" i="1"/>
  <c r="Q429" i="1"/>
  <c r="P429" i="1"/>
  <c r="O429" i="1"/>
  <c r="N429" i="1"/>
  <c r="AZ429" i="1" s="1"/>
  <c r="M429" i="1"/>
  <c r="L429" i="1"/>
  <c r="H429" i="1"/>
  <c r="G429" i="1"/>
  <c r="F429" i="1"/>
  <c r="E429" i="1"/>
  <c r="D429" i="1"/>
  <c r="C429" i="1"/>
  <c r="B429" i="1"/>
  <c r="A429" i="1"/>
  <c r="BA428" i="1"/>
  <c r="AU428" i="1"/>
  <c r="AT428" i="1"/>
  <c r="AS428" i="1"/>
  <c r="AR428" i="1"/>
  <c r="AN428" i="1"/>
  <c r="AM428" i="1"/>
  <c r="AL428" i="1"/>
  <c r="AX428" i="1" s="1"/>
  <c r="AK428" i="1"/>
  <c r="AJ428" i="1"/>
  <c r="AG428" i="1"/>
  <c r="AF428" i="1"/>
  <c r="AE428" i="1"/>
  <c r="AD428" i="1"/>
  <c r="AC428" i="1"/>
  <c r="AB428" i="1"/>
  <c r="Z428" i="1"/>
  <c r="Y428" i="1"/>
  <c r="X428" i="1"/>
  <c r="W428" i="1"/>
  <c r="V428" i="1"/>
  <c r="U428" i="1"/>
  <c r="T428" i="1"/>
  <c r="S428" i="1"/>
  <c r="R428" i="1"/>
  <c r="Q428" i="1"/>
  <c r="P428" i="1"/>
  <c r="O428" i="1"/>
  <c r="N428" i="1"/>
  <c r="AZ428" i="1" s="1"/>
  <c r="M428" i="1"/>
  <c r="L428" i="1"/>
  <c r="H428" i="1"/>
  <c r="AY428" i="1" s="1"/>
  <c r="G428" i="1"/>
  <c r="F428" i="1"/>
  <c r="E428" i="1"/>
  <c r="D428" i="1"/>
  <c r="C428" i="1"/>
  <c r="B428" i="1"/>
  <c r="A428" i="1"/>
  <c r="BA427" i="1"/>
  <c r="AY427" i="1"/>
  <c r="AX427" i="1"/>
  <c r="AU427" i="1"/>
  <c r="AT427" i="1"/>
  <c r="AS427" i="1"/>
  <c r="AN427" i="1"/>
  <c r="AL427" i="1"/>
  <c r="AW427" i="1" s="1"/>
  <c r="AK427" i="1"/>
  <c r="AJ427" i="1"/>
  <c r="AH427" i="1"/>
  <c r="AG427" i="1"/>
  <c r="AF427" i="1"/>
  <c r="AE427" i="1"/>
  <c r="AD427" i="1"/>
  <c r="AC427" i="1"/>
  <c r="AB427" i="1"/>
  <c r="Z427" i="1"/>
  <c r="Y427" i="1"/>
  <c r="X427" i="1"/>
  <c r="W427" i="1"/>
  <c r="V427" i="1"/>
  <c r="U427" i="1"/>
  <c r="T427" i="1"/>
  <c r="S427" i="1"/>
  <c r="R427" i="1"/>
  <c r="Q427" i="1"/>
  <c r="P427" i="1"/>
  <c r="O427" i="1"/>
  <c r="N427" i="1"/>
  <c r="AZ427" i="1" s="1"/>
  <c r="M427" i="1"/>
  <c r="L427" i="1"/>
  <c r="H427" i="1"/>
  <c r="G427" i="1"/>
  <c r="F427" i="1"/>
  <c r="E427" i="1"/>
  <c r="D427" i="1"/>
  <c r="C427" i="1"/>
  <c r="B427" i="1"/>
  <c r="A427" i="1"/>
  <c r="AY426" i="1"/>
  <c r="AX426" i="1"/>
  <c r="AW426" i="1"/>
  <c r="AT426" i="1"/>
  <c r="AS426" i="1"/>
  <c r="AR426" i="1"/>
  <c r="AP426" i="1"/>
  <c r="AN426" i="1"/>
  <c r="AM426" i="1"/>
  <c r="AL426" i="1"/>
  <c r="AK426" i="1"/>
  <c r="AH426" i="1"/>
  <c r="AG426" i="1"/>
  <c r="AF426" i="1"/>
  <c r="AE426" i="1"/>
  <c r="AD426" i="1"/>
  <c r="AC426" i="1"/>
  <c r="AB426" i="1"/>
  <c r="Z426" i="1"/>
  <c r="Y426" i="1"/>
  <c r="X426" i="1"/>
  <c r="W426" i="1"/>
  <c r="V426" i="1"/>
  <c r="U426" i="1"/>
  <c r="T426" i="1"/>
  <c r="BA426" i="1" s="1"/>
  <c r="S426" i="1"/>
  <c r="R426" i="1"/>
  <c r="Q426" i="1"/>
  <c r="P426" i="1"/>
  <c r="O426" i="1"/>
  <c r="N426" i="1"/>
  <c r="AZ426" i="1" s="1"/>
  <c r="M426" i="1"/>
  <c r="L426" i="1"/>
  <c r="H426" i="1"/>
  <c r="G426" i="1"/>
  <c r="F426" i="1"/>
  <c r="E426" i="1"/>
  <c r="D426" i="1"/>
  <c r="C426" i="1"/>
  <c r="B426" i="1"/>
  <c r="A426" i="1"/>
  <c r="AY425" i="1"/>
  <c r="AX425" i="1"/>
  <c r="AW425" i="1"/>
  <c r="AU425" i="1"/>
  <c r="AT425" i="1"/>
  <c r="AS425" i="1"/>
  <c r="AN425" i="1"/>
  <c r="AR425" i="1" s="1"/>
  <c r="AM425" i="1"/>
  <c r="AL425" i="1"/>
  <c r="AK425" i="1"/>
  <c r="AG425" i="1"/>
  <c r="AF425" i="1"/>
  <c r="AE425" i="1"/>
  <c r="AD425" i="1"/>
  <c r="AC425" i="1"/>
  <c r="AB425" i="1"/>
  <c r="Z425" i="1"/>
  <c r="Y425" i="1"/>
  <c r="X425" i="1"/>
  <c r="W425" i="1"/>
  <c r="V425" i="1"/>
  <c r="U425" i="1"/>
  <c r="T425" i="1"/>
  <c r="BA425" i="1" s="1"/>
  <c r="S425" i="1"/>
  <c r="R425" i="1"/>
  <c r="Q425" i="1"/>
  <c r="P425" i="1"/>
  <c r="O425" i="1"/>
  <c r="N425" i="1"/>
  <c r="AZ425" i="1" s="1"/>
  <c r="M425" i="1"/>
  <c r="L425" i="1"/>
  <c r="H425" i="1"/>
  <c r="G425" i="1"/>
  <c r="F425" i="1"/>
  <c r="E425" i="1"/>
  <c r="D425" i="1"/>
  <c r="C425" i="1"/>
  <c r="B425" i="1"/>
  <c r="A425" i="1"/>
  <c r="BA424" i="1"/>
  <c r="AZ424" i="1"/>
  <c r="AY424" i="1"/>
  <c r="AX424" i="1"/>
  <c r="AW424" i="1"/>
  <c r="AV424" i="1"/>
  <c r="AT424" i="1"/>
  <c r="AS424" i="1"/>
  <c r="AN424" i="1"/>
  <c r="AM424" i="1"/>
  <c r="AL424" i="1"/>
  <c r="AK424" i="1"/>
  <c r="AI424" i="1"/>
  <c r="AH424" i="1"/>
  <c r="AG424" i="1"/>
  <c r="AF424" i="1"/>
  <c r="AA424" i="1" s="1"/>
  <c r="AO424" i="1" s="1"/>
  <c r="AE424" i="1"/>
  <c r="AD424" i="1"/>
  <c r="AC424" i="1"/>
  <c r="AB424" i="1"/>
  <c r="Z424" i="1"/>
  <c r="Y424" i="1"/>
  <c r="X424" i="1"/>
  <c r="W424" i="1"/>
  <c r="V424" i="1"/>
  <c r="U424" i="1"/>
  <c r="T424" i="1"/>
  <c r="S424" i="1"/>
  <c r="R424" i="1"/>
  <c r="Q424" i="1"/>
  <c r="P424" i="1"/>
  <c r="O424" i="1"/>
  <c r="N424" i="1"/>
  <c r="M424" i="1"/>
  <c r="L424" i="1"/>
  <c r="H424" i="1"/>
  <c r="G424" i="1"/>
  <c r="F424" i="1"/>
  <c r="E424" i="1"/>
  <c r="D424" i="1"/>
  <c r="C424" i="1"/>
  <c r="B424" i="1"/>
  <c r="A424" i="1"/>
  <c r="BA423" i="1"/>
  <c r="AY423" i="1"/>
  <c r="AX423" i="1"/>
  <c r="AW423" i="1"/>
  <c r="AU423" i="1"/>
  <c r="AT423" i="1"/>
  <c r="AS423" i="1"/>
  <c r="AN423" i="1"/>
  <c r="AL423" i="1"/>
  <c r="AM423" i="1" s="1"/>
  <c r="AK423" i="1"/>
  <c r="AH423" i="1"/>
  <c r="AG423" i="1"/>
  <c r="AF423" i="1"/>
  <c r="AE423" i="1"/>
  <c r="AD423" i="1"/>
  <c r="AC423" i="1"/>
  <c r="AB423" i="1"/>
  <c r="Z423" i="1"/>
  <c r="Y423" i="1"/>
  <c r="X423" i="1"/>
  <c r="W423" i="1"/>
  <c r="V423" i="1"/>
  <c r="U423" i="1"/>
  <c r="T423" i="1"/>
  <c r="S423" i="1"/>
  <c r="R423" i="1"/>
  <c r="Q423" i="1"/>
  <c r="P423" i="1"/>
  <c r="O423" i="1"/>
  <c r="N423" i="1"/>
  <c r="AZ423" i="1" s="1"/>
  <c r="M423" i="1"/>
  <c r="L423" i="1"/>
  <c r="H423" i="1"/>
  <c r="G423" i="1"/>
  <c r="F423" i="1"/>
  <c r="E423" i="1"/>
  <c r="D423" i="1"/>
  <c r="C423" i="1"/>
  <c r="B423" i="1"/>
  <c r="A423" i="1"/>
  <c r="BA422" i="1"/>
  <c r="AY422" i="1"/>
  <c r="AX422" i="1"/>
  <c r="AT422" i="1"/>
  <c r="AS422" i="1"/>
  <c r="AP422" i="1"/>
  <c r="AN422" i="1"/>
  <c r="AM422" i="1"/>
  <c r="AL422" i="1"/>
  <c r="AW422" i="1" s="1"/>
  <c r="AK422" i="1"/>
  <c r="AR422" i="1" s="1"/>
  <c r="AG422" i="1"/>
  <c r="AF422" i="1"/>
  <c r="AE422" i="1"/>
  <c r="AD422" i="1"/>
  <c r="AC422" i="1"/>
  <c r="AB422" i="1"/>
  <c r="Z422" i="1"/>
  <c r="Y422" i="1"/>
  <c r="X422" i="1"/>
  <c r="W422" i="1"/>
  <c r="V422" i="1"/>
  <c r="U422" i="1"/>
  <c r="T422" i="1"/>
  <c r="S422" i="1"/>
  <c r="R422" i="1"/>
  <c r="Q422" i="1"/>
  <c r="P422" i="1"/>
  <c r="O422" i="1"/>
  <c r="N422" i="1"/>
  <c r="AZ422" i="1" s="1"/>
  <c r="M422" i="1"/>
  <c r="L422" i="1"/>
  <c r="H422" i="1"/>
  <c r="G422" i="1"/>
  <c r="F422" i="1"/>
  <c r="E422" i="1"/>
  <c r="D422" i="1"/>
  <c r="C422" i="1"/>
  <c r="B422" i="1"/>
  <c r="A422" i="1"/>
  <c r="AZ421" i="1"/>
  <c r="AY421" i="1"/>
  <c r="AV421" i="1"/>
  <c r="AU421" i="1"/>
  <c r="AT421" i="1"/>
  <c r="AS421" i="1"/>
  <c r="AP421" i="1"/>
  <c r="AN421" i="1"/>
  <c r="AM421" i="1"/>
  <c r="AL421" i="1"/>
  <c r="AX421" i="1" s="1"/>
  <c r="AK421" i="1"/>
  <c r="AJ421" i="1"/>
  <c r="AI421" i="1"/>
  <c r="AH421" i="1"/>
  <c r="AG421" i="1"/>
  <c r="AF421" i="1"/>
  <c r="AA421" i="1" s="1"/>
  <c r="AO421" i="1" s="1"/>
  <c r="AE421" i="1"/>
  <c r="AD421" i="1"/>
  <c r="AC421" i="1"/>
  <c r="AB421" i="1"/>
  <c r="Z421" i="1"/>
  <c r="Y421" i="1"/>
  <c r="X421" i="1"/>
  <c r="W421" i="1"/>
  <c r="V421" i="1"/>
  <c r="U421" i="1"/>
  <c r="T421" i="1"/>
  <c r="BA421" i="1" s="1"/>
  <c r="S421" i="1"/>
  <c r="R421" i="1"/>
  <c r="Q421" i="1"/>
  <c r="P421" i="1"/>
  <c r="O421" i="1"/>
  <c r="N421" i="1"/>
  <c r="M421" i="1"/>
  <c r="L421" i="1"/>
  <c r="H421" i="1"/>
  <c r="G421" i="1"/>
  <c r="F421" i="1"/>
  <c r="E421" i="1"/>
  <c r="D421" i="1"/>
  <c r="C421" i="1"/>
  <c r="B421" i="1"/>
  <c r="A421" i="1"/>
  <c r="AV420" i="1"/>
  <c r="AU420" i="1"/>
  <c r="AT420" i="1"/>
  <c r="AS420" i="1"/>
  <c r="AN420" i="1"/>
  <c r="AL420" i="1"/>
  <c r="AK420" i="1"/>
  <c r="AJ420" i="1"/>
  <c r="AI420" i="1"/>
  <c r="AA420" i="1" s="1"/>
  <c r="AO420" i="1" s="1"/>
  <c r="AG420" i="1"/>
  <c r="AH420" i="1" s="1"/>
  <c r="AF420" i="1"/>
  <c r="AE420" i="1"/>
  <c r="AD420" i="1"/>
  <c r="AC420" i="1"/>
  <c r="AB420" i="1"/>
  <c r="Z420" i="1"/>
  <c r="Y420" i="1"/>
  <c r="X420" i="1"/>
  <c r="W420" i="1"/>
  <c r="V420" i="1"/>
  <c r="U420" i="1"/>
  <c r="T420" i="1"/>
  <c r="BA420" i="1" s="1"/>
  <c r="S420" i="1"/>
  <c r="R420" i="1"/>
  <c r="Q420" i="1"/>
  <c r="P420" i="1"/>
  <c r="O420" i="1"/>
  <c r="N420" i="1"/>
  <c r="AZ420" i="1" s="1"/>
  <c r="M420" i="1"/>
  <c r="L420" i="1"/>
  <c r="H420" i="1"/>
  <c r="AY420" i="1" s="1"/>
  <c r="G420" i="1"/>
  <c r="F420" i="1"/>
  <c r="E420" i="1"/>
  <c r="D420" i="1"/>
  <c r="C420" i="1"/>
  <c r="B420" i="1"/>
  <c r="A420" i="1"/>
  <c r="BA419" i="1"/>
  <c r="AY419" i="1"/>
  <c r="AT419" i="1"/>
  <c r="AS419" i="1"/>
  <c r="AP419" i="1"/>
  <c r="AN419" i="1"/>
  <c r="AL419" i="1"/>
  <c r="AK419" i="1"/>
  <c r="AG419" i="1"/>
  <c r="AF419" i="1"/>
  <c r="AE419" i="1"/>
  <c r="AD419" i="1"/>
  <c r="AC419" i="1"/>
  <c r="AB419" i="1"/>
  <c r="Z419" i="1"/>
  <c r="Y419" i="1"/>
  <c r="X419" i="1"/>
  <c r="W419" i="1"/>
  <c r="V419" i="1"/>
  <c r="U419" i="1"/>
  <c r="T419" i="1"/>
  <c r="S419" i="1"/>
  <c r="R419" i="1"/>
  <c r="Q419" i="1"/>
  <c r="P419" i="1"/>
  <c r="O419" i="1"/>
  <c r="N419" i="1"/>
  <c r="AZ419" i="1" s="1"/>
  <c r="M419" i="1"/>
  <c r="L419" i="1"/>
  <c r="H419" i="1"/>
  <c r="G419" i="1"/>
  <c r="F419" i="1"/>
  <c r="E419" i="1"/>
  <c r="D419" i="1"/>
  <c r="C419" i="1"/>
  <c r="B419" i="1"/>
  <c r="A419" i="1"/>
  <c r="AX418" i="1"/>
  <c r="AW418" i="1"/>
  <c r="AV418" i="1"/>
  <c r="AT418" i="1"/>
  <c r="AS418" i="1"/>
  <c r="AR418" i="1"/>
  <c r="AP418" i="1"/>
  <c r="AN418" i="1"/>
  <c r="AM418" i="1"/>
  <c r="AL418" i="1"/>
  <c r="AK418" i="1"/>
  <c r="AI418" i="1"/>
  <c r="AA418" i="1" s="1"/>
  <c r="AO418" i="1" s="1"/>
  <c r="AG418" i="1"/>
  <c r="AF418" i="1"/>
  <c r="AE418" i="1"/>
  <c r="AD418" i="1"/>
  <c r="AC418" i="1"/>
  <c r="AB418" i="1"/>
  <c r="Z418" i="1"/>
  <c r="Y418" i="1"/>
  <c r="X418" i="1"/>
  <c r="W418" i="1"/>
  <c r="V418" i="1"/>
  <c r="U418" i="1"/>
  <c r="T418" i="1"/>
  <c r="BA418" i="1" s="1"/>
  <c r="S418" i="1"/>
  <c r="R418" i="1"/>
  <c r="Q418" i="1"/>
  <c r="P418" i="1"/>
  <c r="O418" i="1"/>
  <c r="N418" i="1"/>
  <c r="AZ418" i="1" s="1"/>
  <c r="M418" i="1"/>
  <c r="L418" i="1"/>
  <c r="H418" i="1"/>
  <c r="AY418" i="1" s="1"/>
  <c r="G418" i="1"/>
  <c r="F418" i="1"/>
  <c r="E418" i="1"/>
  <c r="D418" i="1"/>
  <c r="C418" i="1"/>
  <c r="B418" i="1"/>
  <c r="A418" i="1"/>
  <c r="AZ417" i="1"/>
  <c r="AX417" i="1"/>
  <c r="AW417" i="1"/>
  <c r="AV417" i="1"/>
  <c r="AT417" i="1"/>
  <c r="AS417" i="1"/>
  <c r="AR417" i="1"/>
  <c r="AP417" i="1"/>
  <c r="AN417" i="1"/>
  <c r="AM417" i="1"/>
  <c r="AL417" i="1"/>
  <c r="AK417" i="1"/>
  <c r="AJ417" i="1"/>
  <c r="AI417" i="1"/>
  <c r="AA417" i="1" s="1"/>
  <c r="AO417" i="1" s="1"/>
  <c r="AG417" i="1"/>
  <c r="AU417" i="1" s="1"/>
  <c r="AF417" i="1"/>
  <c r="AE417" i="1"/>
  <c r="AD417" i="1"/>
  <c r="AC417" i="1"/>
  <c r="AB417" i="1"/>
  <c r="Z417" i="1"/>
  <c r="Y417" i="1"/>
  <c r="X417" i="1"/>
  <c r="W417" i="1"/>
  <c r="V417" i="1"/>
  <c r="U417" i="1"/>
  <c r="T417" i="1"/>
  <c r="BA417" i="1" s="1"/>
  <c r="S417" i="1"/>
  <c r="R417" i="1"/>
  <c r="Q417" i="1"/>
  <c r="P417" i="1"/>
  <c r="O417" i="1"/>
  <c r="N417" i="1"/>
  <c r="M417" i="1"/>
  <c r="L417" i="1"/>
  <c r="H417" i="1"/>
  <c r="AY417" i="1" s="1"/>
  <c r="G417" i="1"/>
  <c r="F417" i="1"/>
  <c r="E417" i="1"/>
  <c r="D417" i="1"/>
  <c r="C417" i="1"/>
  <c r="B417" i="1"/>
  <c r="A417" i="1"/>
  <c r="BA416" i="1"/>
  <c r="AZ416" i="1"/>
  <c r="AX416" i="1"/>
  <c r="AW416" i="1"/>
  <c r="AT416" i="1"/>
  <c r="AS416" i="1"/>
  <c r="AR416" i="1"/>
  <c r="AP416" i="1"/>
  <c r="AN416" i="1"/>
  <c r="AM416" i="1"/>
  <c r="AL416" i="1"/>
  <c r="AK416" i="1"/>
  <c r="AI416" i="1"/>
  <c r="AH416" i="1"/>
  <c r="AG416" i="1"/>
  <c r="AF416" i="1"/>
  <c r="AE416" i="1"/>
  <c r="AD416" i="1"/>
  <c r="AC416" i="1"/>
  <c r="AB416" i="1"/>
  <c r="AA416" i="1"/>
  <c r="AO416" i="1" s="1"/>
  <c r="Z416" i="1"/>
  <c r="Y416" i="1"/>
  <c r="X416" i="1"/>
  <c r="W416" i="1"/>
  <c r="V416" i="1"/>
  <c r="U416" i="1"/>
  <c r="T416" i="1"/>
  <c r="S416" i="1"/>
  <c r="R416" i="1"/>
  <c r="Q416" i="1"/>
  <c r="P416" i="1"/>
  <c r="O416" i="1"/>
  <c r="N416" i="1"/>
  <c r="M416" i="1"/>
  <c r="L416" i="1"/>
  <c r="H416" i="1"/>
  <c r="AY416" i="1" s="1"/>
  <c r="G416" i="1"/>
  <c r="F416" i="1"/>
  <c r="E416" i="1"/>
  <c r="D416" i="1"/>
  <c r="C416" i="1"/>
  <c r="B416" i="1"/>
  <c r="A416" i="1"/>
  <c r="BA415" i="1"/>
  <c r="AZ415" i="1"/>
  <c r="AY415" i="1"/>
  <c r="AX415" i="1"/>
  <c r="AT415" i="1"/>
  <c r="AS415" i="1"/>
  <c r="AR415" i="1"/>
  <c r="AN415" i="1"/>
  <c r="AP415" i="1" s="1"/>
  <c r="AL415" i="1"/>
  <c r="AK415" i="1"/>
  <c r="AH415" i="1"/>
  <c r="AG415" i="1"/>
  <c r="AF415" i="1"/>
  <c r="AE415" i="1"/>
  <c r="AD415" i="1"/>
  <c r="AC415" i="1"/>
  <c r="AB415" i="1"/>
  <c r="Z415" i="1"/>
  <c r="Y415" i="1"/>
  <c r="X415" i="1"/>
  <c r="W415" i="1"/>
  <c r="V415" i="1"/>
  <c r="U415" i="1"/>
  <c r="T415" i="1"/>
  <c r="S415" i="1"/>
  <c r="R415" i="1"/>
  <c r="Q415" i="1"/>
  <c r="P415" i="1"/>
  <c r="O415" i="1"/>
  <c r="N415" i="1"/>
  <c r="M415" i="1"/>
  <c r="L415" i="1"/>
  <c r="H415" i="1"/>
  <c r="G415" i="1"/>
  <c r="F415" i="1"/>
  <c r="E415" i="1"/>
  <c r="D415" i="1"/>
  <c r="C415" i="1"/>
  <c r="B415" i="1"/>
  <c r="A415" i="1"/>
  <c r="BA414" i="1"/>
  <c r="AY414" i="1"/>
  <c r="AX414" i="1"/>
  <c r="AT414" i="1"/>
  <c r="AS414" i="1"/>
  <c r="AR414" i="1"/>
  <c r="AP414" i="1"/>
  <c r="AN414" i="1"/>
  <c r="AM414" i="1"/>
  <c r="AL414" i="1"/>
  <c r="AW414" i="1" s="1"/>
  <c r="AK414" i="1"/>
  <c r="AG414" i="1"/>
  <c r="AF414" i="1"/>
  <c r="AE414" i="1"/>
  <c r="AD414" i="1"/>
  <c r="AC414" i="1"/>
  <c r="AB414" i="1"/>
  <c r="Z414" i="1"/>
  <c r="Y414" i="1"/>
  <c r="X414" i="1"/>
  <c r="W414" i="1"/>
  <c r="V414" i="1"/>
  <c r="U414" i="1"/>
  <c r="T414" i="1"/>
  <c r="S414" i="1"/>
  <c r="R414" i="1"/>
  <c r="Q414" i="1"/>
  <c r="P414" i="1"/>
  <c r="O414" i="1"/>
  <c r="N414" i="1"/>
  <c r="AZ414" i="1" s="1"/>
  <c r="M414" i="1"/>
  <c r="L414" i="1"/>
  <c r="H414" i="1"/>
  <c r="G414" i="1"/>
  <c r="F414" i="1"/>
  <c r="E414" i="1"/>
  <c r="D414" i="1"/>
  <c r="C414" i="1"/>
  <c r="B414" i="1"/>
  <c r="A414" i="1"/>
  <c r="BA413" i="1"/>
  <c r="AY413" i="1"/>
  <c r="AW413" i="1"/>
  <c r="AV413" i="1"/>
  <c r="AU413" i="1"/>
  <c r="AT413" i="1"/>
  <c r="AS413" i="1"/>
  <c r="AN413" i="1"/>
  <c r="AM413" i="1"/>
  <c r="AL413" i="1"/>
  <c r="AX413" i="1" s="1"/>
  <c r="AK413" i="1"/>
  <c r="AI413" i="1"/>
  <c r="AH413" i="1"/>
  <c r="AG413" i="1"/>
  <c r="AF413" i="1"/>
  <c r="AE413" i="1"/>
  <c r="AD413" i="1"/>
  <c r="AC413" i="1"/>
  <c r="AB413" i="1"/>
  <c r="Z413" i="1"/>
  <c r="Y413" i="1"/>
  <c r="X413" i="1"/>
  <c r="W413" i="1"/>
  <c r="V413" i="1"/>
  <c r="U413" i="1"/>
  <c r="T413" i="1"/>
  <c r="S413" i="1"/>
  <c r="R413" i="1"/>
  <c r="Q413" i="1"/>
  <c r="P413" i="1"/>
  <c r="O413" i="1"/>
  <c r="N413" i="1"/>
  <c r="AZ413" i="1" s="1"/>
  <c r="M413" i="1"/>
  <c r="L413" i="1"/>
  <c r="H413" i="1"/>
  <c r="G413" i="1"/>
  <c r="F413" i="1"/>
  <c r="E413" i="1"/>
  <c r="D413" i="1"/>
  <c r="C413" i="1"/>
  <c r="B413" i="1"/>
  <c r="A413" i="1"/>
  <c r="AZ412" i="1"/>
  <c r="AX412" i="1"/>
  <c r="AV412" i="1"/>
  <c r="AU412" i="1"/>
  <c r="AT412" i="1"/>
  <c r="AS412" i="1"/>
  <c r="AN412" i="1"/>
  <c r="AM412" i="1"/>
  <c r="AL412" i="1"/>
  <c r="AW412" i="1" s="1"/>
  <c r="AK412" i="1"/>
  <c r="AG412" i="1"/>
  <c r="AH412" i="1" s="1"/>
  <c r="AF412" i="1"/>
  <c r="AJ412" i="1" s="1"/>
  <c r="AE412" i="1"/>
  <c r="AD412" i="1"/>
  <c r="AC412" i="1"/>
  <c r="AB412" i="1"/>
  <c r="Z412" i="1"/>
  <c r="Y412" i="1"/>
  <c r="X412" i="1"/>
  <c r="W412" i="1"/>
  <c r="V412" i="1"/>
  <c r="U412" i="1"/>
  <c r="T412" i="1"/>
  <c r="BA412" i="1" s="1"/>
  <c r="S412" i="1"/>
  <c r="R412" i="1"/>
  <c r="Q412" i="1"/>
  <c r="P412" i="1"/>
  <c r="O412" i="1"/>
  <c r="N412" i="1"/>
  <c r="M412" i="1"/>
  <c r="L412" i="1"/>
  <c r="H412" i="1"/>
  <c r="AY412" i="1" s="1"/>
  <c r="G412" i="1"/>
  <c r="F412" i="1"/>
  <c r="E412" i="1"/>
  <c r="D412" i="1"/>
  <c r="C412" i="1"/>
  <c r="B412" i="1"/>
  <c r="A412" i="1"/>
  <c r="AY411" i="1"/>
  <c r="AU411" i="1"/>
  <c r="AT411" i="1"/>
  <c r="AS411" i="1"/>
  <c r="AN411" i="1"/>
  <c r="AL411" i="1"/>
  <c r="AK411" i="1"/>
  <c r="AH411" i="1"/>
  <c r="AG411" i="1"/>
  <c r="AI411" i="1" s="1"/>
  <c r="AA411" i="1" s="1"/>
  <c r="AF411" i="1"/>
  <c r="AE411" i="1"/>
  <c r="AD411" i="1"/>
  <c r="AC411" i="1"/>
  <c r="AB411" i="1"/>
  <c r="Z411" i="1"/>
  <c r="Y411" i="1"/>
  <c r="X411" i="1"/>
  <c r="W411" i="1"/>
  <c r="V411" i="1"/>
  <c r="U411" i="1"/>
  <c r="T411" i="1"/>
  <c r="BA411" i="1" s="1"/>
  <c r="S411" i="1"/>
  <c r="R411" i="1"/>
  <c r="Q411" i="1"/>
  <c r="P411" i="1"/>
  <c r="O411" i="1"/>
  <c r="N411" i="1"/>
  <c r="AZ411" i="1" s="1"/>
  <c r="M411" i="1"/>
  <c r="L411" i="1"/>
  <c r="H411" i="1"/>
  <c r="G411" i="1"/>
  <c r="F411" i="1"/>
  <c r="E411" i="1"/>
  <c r="D411" i="1"/>
  <c r="C411" i="1"/>
  <c r="B411" i="1"/>
  <c r="A411" i="1"/>
  <c r="AZ410" i="1"/>
  <c r="AX410" i="1"/>
  <c r="AW410" i="1"/>
  <c r="AT410" i="1"/>
  <c r="AS410" i="1"/>
  <c r="AP410" i="1"/>
  <c r="AO410" i="1"/>
  <c r="AN410" i="1"/>
  <c r="AL410" i="1"/>
  <c r="AM410" i="1" s="1"/>
  <c r="AK410" i="1"/>
  <c r="AI410" i="1"/>
  <c r="AH410" i="1"/>
  <c r="AG410" i="1"/>
  <c r="AF410" i="1"/>
  <c r="AA410" i="1" s="1"/>
  <c r="AE410" i="1"/>
  <c r="AD410" i="1"/>
  <c r="AC410" i="1"/>
  <c r="AB410" i="1"/>
  <c r="Z410" i="1"/>
  <c r="Y410" i="1"/>
  <c r="X410" i="1"/>
  <c r="W410" i="1"/>
  <c r="V410" i="1"/>
  <c r="U410" i="1"/>
  <c r="T410" i="1"/>
  <c r="BA410" i="1" s="1"/>
  <c r="S410" i="1"/>
  <c r="R410" i="1"/>
  <c r="Q410" i="1"/>
  <c r="P410" i="1"/>
  <c r="O410" i="1"/>
  <c r="N410" i="1"/>
  <c r="M410" i="1"/>
  <c r="L410" i="1"/>
  <c r="H410" i="1"/>
  <c r="AY410" i="1" s="1"/>
  <c r="G410" i="1"/>
  <c r="F410" i="1"/>
  <c r="E410" i="1"/>
  <c r="D410" i="1"/>
  <c r="C410" i="1"/>
  <c r="B410" i="1"/>
  <c r="A410" i="1"/>
  <c r="AZ409" i="1"/>
  <c r="AX409" i="1"/>
  <c r="AW409" i="1"/>
  <c r="AT409" i="1"/>
  <c r="AS409" i="1"/>
  <c r="AR409" i="1"/>
  <c r="AP409" i="1"/>
  <c r="AN409" i="1"/>
  <c r="AL409" i="1"/>
  <c r="AM409" i="1" s="1"/>
  <c r="AK409" i="1"/>
  <c r="AJ409" i="1"/>
  <c r="AI409" i="1"/>
  <c r="AG409" i="1"/>
  <c r="AF409" i="1"/>
  <c r="AE409" i="1"/>
  <c r="AD409" i="1"/>
  <c r="AC409" i="1"/>
  <c r="AB409" i="1"/>
  <c r="AA409" i="1"/>
  <c r="AO409" i="1" s="1"/>
  <c r="Z409" i="1"/>
  <c r="Y409" i="1"/>
  <c r="X409" i="1"/>
  <c r="W409" i="1"/>
  <c r="V409" i="1"/>
  <c r="U409" i="1"/>
  <c r="T409" i="1"/>
  <c r="BA409" i="1" s="1"/>
  <c r="S409" i="1"/>
  <c r="R409" i="1"/>
  <c r="Q409" i="1"/>
  <c r="P409" i="1"/>
  <c r="O409" i="1"/>
  <c r="N409" i="1"/>
  <c r="M409" i="1"/>
  <c r="L409" i="1"/>
  <c r="H409" i="1"/>
  <c r="AY409" i="1" s="1"/>
  <c r="G409" i="1"/>
  <c r="F409" i="1"/>
  <c r="E409" i="1"/>
  <c r="D409" i="1"/>
  <c r="C409" i="1"/>
  <c r="B409" i="1"/>
  <c r="A409" i="1"/>
  <c r="BA408" i="1"/>
  <c r="AZ408" i="1"/>
  <c r="AX408" i="1"/>
  <c r="AT408" i="1"/>
  <c r="AS408" i="1"/>
  <c r="AP408" i="1"/>
  <c r="AO408" i="1"/>
  <c r="AN408" i="1"/>
  <c r="AR408" i="1" s="1"/>
  <c r="AL408" i="1"/>
  <c r="AW408" i="1" s="1"/>
  <c r="AK408" i="1"/>
  <c r="AI408" i="1"/>
  <c r="AH408" i="1"/>
  <c r="AG408" i="1"/>
  <c r="AF408" i="1"/>
  <c r="AA408" i="1" s="1"/>
  <c r="AE408" i="1"/>
  <c r="AD408" i="1"/>
  <c r="AC408" i="1"/>
  <c r="AB408" i="1"/>
  <c r="Z408" i="1"/>
  <c r="Y408" i="1"/>
  <c r="X408" i="1"/>
  <c r="W408" i="1"/>
  <c r="V408" i="1"/>
  <c r="U408" i="1"/>
  <c r="T408" i="1"/>
  <c r="S408" i="1"/>
  <c r="R408" i="1"/>
  <c r="Q408" i="1"/>
  <c r="P408" i="1"/>
  <c r="O408" i="1"/>
  <c r="N408" i="1"/>
  <c r="M408" i="1"/>
  <c r="L408" i="1"/>
  <c r="H408" i="1"/>
  <c r="AY408" i="1" s="1"/>
  <c r="G408" i="1"/>
  <c r="F408" i="1"/>
  <c r="E408" i="1"/>
  <c r="D408" i="1"/>
  <c r="C408" i="1"/>
  <c r="B408" i="1"/>
  <c r="A408" i="1"/>
  <c r="AX407" i="1"/>
  <c r="AT407" i="1"/>
  <c r="AS407" i="1"/>
  <c r="AP407" i="1"/>
  <c r="AN407" i="1"/>
  <c r="AL407" i="1"/>
  <c r="AK407" i="1"/>
  <c r="AR407" i="1" s="1"/>
  <c r="AJ407" i="1"/>
  <c r="AG407" i="1"/>
  <c r="AF407" i="1"/>
  <c r="AE407" i="1"/>
  <c r="AD407" i="1"/>
  <c r="AC407" i="1"/>
  <c r="AB407" i="1"/>
  <c r="Z407" i="1"/>
  <c r="Y407" i="1"/>
  <c r="X407" i="1"/>
  <c r="W407" i="1"/>
  <c r="V407" i="1"/>
  <c r="U407" i="1"/>
  <c r="T407" i="1"/>
  <c r="BA407" i="1" s="1"/>
  <c r="S407" i="1"/>
  <c r="R407" i="1"/>
  <c r="Q407" i="1"/>
  <c r="P407" i="1"/>
  <c r="O407" i="1"/>
  <c r="N407" i="1"/>
  <c r="AZ407" i="1" s="1"/>
  <c r="M407" i="1"/>
  <c r="L407" i="1"/>
  <c r="H407" i="1"/>
  <c r="AY407" i="1" s="1"/>
  <c r="G407" i="1"/>
  <c r="F407" i="1"/>
  <c r="E407" i="1"/>
  <c r="D407" i="1"/>
  <c r="C407" i="1"/>
  <c r="B407" i="1"/>
  <c r="A407" i="1"/>
  <c r="BA406" i="1"/>
  <c r="AV406" i="1"/>
  <c r="AU406" i="1"/>
  <c r="AT406" i="1"/>
  <c r="AS406" i="1"/>
  <c r="AP406" i="1"/>
  <c r="AN406" i="1"/>
  <c r="AL406" i="1"/>
  <c r="AK406" i="1"/>
  <c r="AR406" i="1" s="1"/>
  <c r="AJ406" i="1"/>
  <c r="AI406" i="1"/>
  <c r="AH406" i="1"/>
  <c r="AG406" i="1"/>
  <c r="AF406" i="1"/>
  <c r="AE406" i="1"/>
  <c r="AD406" i="1"/>
  <c r="AC406" i="1"/>
  <c r="AB406" i="1"/>
  <c r="AA406" i="1"/>
  <c r="AO406" i="1" s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AZ406" i="1" s="1"/>
  <c r="M406" i="1"/>
  <c r="L406" i="1"/>
  <c r="H406" i="1"/>
  <c r="AY406" i="1" s="1"/>
  <c r="G406" i="1"/>
  <c r="F406" i="1"/>
  <c r="E406" i="1"/>
  <c r="D406" i="1"/>
  <c r="C406" i="1"/>
  <c r="B406" i="1"/>
  <c r="A406" i="1"/>
  <c r="BA405" i="1"/>
  <c r="AV405" i="1"/>
  <c r="AU405" i="1"/>
  <c r="AT405" i="1"/>
  <c r="AS405" i="1"/>
  <c r="AN405" i="1"/>
  <c r="AL405" i="1"/>
  <c r="AK405" i="1"/>
  <c r="AI405" i="1"/>
  <c r="AA405" i="1" s="1"/>
  <c r="AG405" i="1"/>
  <c r="AH405" i="1" s="1"/>
  <c r="AF405" i="1"/>
  <c r="AJ405" i="1" s="1"/>
  <c r="AE405" i="1"/>
  <c r="AD405" i="1"/>
  <c r="AC405" i="1"/>
  <c r="AB405" i="1"/>
  <c r="Z405" i="1"/>
  <c r="Y405" i="1"/>
  <c r="X405" i="1"/>
  <c r="W405" i="1"/>
  <c r="V405" i="1"/>
  <c r="U405" i="1"/>
  <c r="T405" i="1"/>
  <c r="S405" i="1"/>
  <c r="R405" i="1"/>
  <c r="Q405" i="1"/>
  <c r="P405" i="1"/>
  <c r="O405" i="1"/>
  <c r="N405" i="1"/>
  <c r="AZ405" i="1" s="1"/>
  <c r="M405" i="1"/>
  <c r="L405" i="1"/>
  <c r="H405" i="1"/>
  <c r="AY405" i="1" s="1"/>
  <c r="G405" i="1"/>
  <c r="F405" i="1"/>
  <c r="E405" i="1"/>
  <c r="D405" i="1"/>
  <c r="C405" i="1"/>
  <c r="B405" i="1"/>
  <c r="A405" i="1"/>
  <c r="AY404" i="1"/>
  <c r="AX404" i="1"/>
  <c r="AT404" i="1"/>
  <c r="AS404" i="1"/>
  <c r="AN404" i="1"/>
  <c r="AM404" i="1"/>
  <c r="AL404" i="1"/>
  <c r="AW404" i="1" s="1"/>
  <c r="AK404" i="1"/>
  <c r="AG404" i="1"/>
  <c r="AF404" i="1"/>
  <c r="AE404" i="1"/>
  <c r="AD404" i="1"/>
  <c r="AC404" i="1"/>
  <c r="AB404" i="1"/>
  <c r="Z404" i="1"/>
  <c r="Y404" i="1"/>
  <c r="X404" i="1"/>
  <c r="W404" i="1"/>
  <c r="V404" i="1"/>
  <c r="U404" i="1"/>
  <c r="T404" i="1"/>
  <c r="BA404" i="1" s="1"/>
  <c r="S404" i="1"/>
  <c r="R404" i="1"/>
  <c r="Q404" i="1"/>
  <c r="P404" i="1"/>
  <c r="O404" i="1"/>
  <c r="N404" i="1"/>
  <c r="AZ404" i="1" s="1"/>
  <c r="M404" i="1"/>
  <c r="L404" i="1"/>
  <c r="H404" i="1"/>
  <c r="G404" i="1"/>
  <c r="F404" i="1"/>
  <c r="E404" i="1"/>
  <c r="D404" i="1"/>
  <c r="C404" i="1"/>
  <c r="B404" i="1"/>
  <c r="A404" i="1"/>
  <c r="AZ403" i="1"/>
  <c r="AY403" i="1"/>
  <c r="AW403" i="1"/>
  <c r="AU403" i="1"/>
  <c r="AT403" i="1"/>
  <c r="AS403" i="1"/>
  <c r="AN403" i="1"/>
  <c r="AL403" i="1"/>
  <c r="AK403" i="1"/>
  <c r="AR403" i="1" s="1"/>
  <c r="AH403" i="1"/>
  <c r="AG403" i="1"/>
  <c r="AF403" i="1"/>
  <c r="AE403" i="1"/>
  <c r="AD403" i="1"/>
  <c r="AC403" i="1"/>
  <c r="AB403" i="1"/>
  <c r="Z403" i="1"/>
  <c r="Y403" i="1"/>
  <c r="X403" i="1"/>
  <c r="W403" i="1"/>
  <c r="V403" i="1"/>
  <c r="U403" i="1"/>
  <c r="T403" i="1"/>
  <c r="BA403" i="1" s="1"/>
  <c r="S403" i="1"/>
  <c r="R403" i="1"/>
  <c r="Q403" i="1"/>
  <c r="P403" i="1"/>
  <c r="O403" i="1"/>
  <c r="N403" i="1"/>
  <c r="M403" i="1"/>
  <c r="L403" i="1"/>
  <c r="H403" i="1"/>
  <c r="G403" i="1"/>
  <c r="F403" i="1"/>
  <c r="E403" i="1"/>
  <c r="D403" i="1"/>
  <c r="C403" i="1"/>
  <c r="B403" i="1"/>
  <c r="A403" i="1"/>
  <c r="AZ402" i="1"/>
  <c r="AT402" i="1"/>
  <c r="AS402" i="1"/>
  <c r="AN402" i="1"/>
  <c r="AR402" i="1" s="1"/>
  <c r="AL402" i="1"/>
  <c r="AK402" i="1"/>
  <c r="AG402" i="1"/>
  <c r="AF402" i="1"/>
  <c r="AE402" i="1"/>
  <c r="AD402" i="1"/>
  <c r="AC402" i="1"/>
  <c r="AB402" i="1"/>
  <c r="Z402" i="1"/>
  <c r="Y402" i="1"/>
  <c r="X402" i="1"/>
  <c r="W402" i="1"/>
  <c r="V402" i="1"/>
  <c r="U402" i="1"/>
  <c r="T402" i="1"/>
  <c r="BA402" i="1" s="1"/>
  <c r="S402" i="1"/>
  <c r="R402" i="1"/>
  <c r="Q402" i="1"/>
  <c r="P402" i="1"/>
  <c r="O402" i="1"/>
  <c r="N402" i="1"/>
  <c r="M402" i="1"/>
  <c r="L402" i="1"/>
  <c r="H402" i="1"/>
  <c r="AY402" i="1" s="1"/>
  <c r="G402" i="1"/>
  <c r="F402" i="1"/>
  <c r="E402" i="1"/>
  <c r="D402" i="1"/>
  <c r="C402" i="1"/>
  <c r="B402" i="1"/>
  <c r="A402" i="1"/>
  <c r="BA401" i="1"/>
  <c r="AZ401" i="1"/>
  <c r="AY401" i="1"/>
  <c r="AX401" i="1"/>
  <c r="AW401" i="1"/>
  <c r="AT401" i="1"/>
  <c r="AS401" i="1"/>
  <c r="AR401" i="1"/>
  <c r="AN401" i="1"/>
  <c r="AP401" i="1" s="1"/>
  <c r="AM401" i="1"/>
  <c r="AL401" i="1"/>
  <c r="AK401" i="1"/>
  <c r="AJ401" i="1"/>
  <c r="AG401" i="1"/>
  <c r="AF401" i="1"/>
  <c r="AE401" i="1"/>
  <c r="AD401" i="1"/>
  <c r="AC401" i="1"/>
  <c r="AB401" i="1"/>
  <c r="Z401" i="1"/>
  <c r="Y401" i="1"/>
  <c r="X401" i="1"/>
  <c r="W401" i="1"/>
  <c r="V401" i="1"/>
  <c r="U401" i="1"/>
  <c r="T401" i="1"/>
  <c r="S401" i="1"/>
  <c r="R401" i="1"/>
  <c r="Q401" i="1"/>
  <c r="P401" i="1"/>
  <c r="O401" i="1"/>
  <c r="N401" i="1"/>
  <c r="M401" i="1"/>
  <c r="L401" i="1"/>
  <c r="H401" i="1"/>
  <c r="G401" i="1"/>
  <c r="F401" i="1"/>
  <c r="E401" i="1"/>
  <c r="D401" i="1"/>
  <c r="C401" i="1"/>
  <c r="B401" i="1"/>
  <c r="A401" i="1"/>
  <c r="BA400" i="1"/>
  <c r="AZ400" i="1"/>
  <c r="AY400" i="1"/>
  <c r="AX400" i="1"/>
  <c r="AT400" i="1"/>
  <c r="AS400" i="1"/>
  <c r="AN400" i="1"/>
  <c r="AL400" i="1"/>
  <c r="AM400" i="1" s="1"/>
  <c r="AK400" i="1"/>
  <c r="AG400" i="1"/>
  <c r="AF400" i="1"/>
  <c r="AE400" i="1"/>
  <c r="AD400" i="1"/>
  <c r="AC400" i="1"/>
  <c r="AB400" i="1"/>
  <c r="Z400" i="1"/>
  <c r="Y400" i="1"/>
  <c r="X400" i="1"/>
  <c r="W400" i="1"/>
  <c r="V400" i="1"/>
  <c r="U400" i="1"/>
  <c r="T400" i="1"/>
  <c r="S400" i="1"/>
  <c r="R400" i="1"/>
  <c r="Q400" i="1"/>
  <c r="P400" i="1"/>
  <c r="O400" i="1"/>
  <c r="N400" i="1"/>
  <c r="M400" i="1"/>
  <c r="L400" i="1"/>
  <c r="H400" i="1"/>
  <c r="G400" i="1"/>
  <c r="F400" i="1"/>
  <c r="E400" i="1"/>
  <c r="D400" i="1"/>
  <c r="C400" i="1"/>
  <c r="B400" i="1"/>
  <c r="A400" i="1"/>
  <c r="AZ399" i="1"/>
  <c r="AY399" i="1"/>
  <c r="AX399" i="1"/>
  <c r="AV399" i="1"/>
  <c r="AT399" i="1"/>
  <c r="AS399" i="1"/>
  <c r="AR399" i="1"/>
  <c r="AP399" i="1"/>
  <c r="AN399" i="1"/>
  <c r="AM399" i="1"/>
  <c r="AL399" i="1"/>
  <c r="AW399" i="1" s="1"/>
  <c r="AK399" i="1"/>
  <c r="AG399" i="1"/>
  <c r="AF399" i="1"/>
  <c r="AE399" i="1"/>
  <c r="AD399" i="1"/>
  <c r="AC399" i="1"/>
  <c r="AB399" i="1"/>
  <c r="Z399" i="1"/>
  <c r="Y399" i="1"/>
  <c r="X399" i="1"/>
  <c r="W399" i="1"/>
  <c r="V399" i="1"/>
  <c r="U399" i="1"/>
  <c r="T399" i="1"/>
  <c r="BA399" i="1" s="1"/>
  <c r="S399" i="1"/>
  <c r="R399" i="1"/>
  <c r="Q399" i="1"/>
  <c r="P399" i="1"/>
  <c r="O399" i="1"/>
  <c r="N399" i="1"/>
  <c r="M399" i="1"/>
  <c r="L399" i="1"/>
  <c r="H399" i="1"/>
  <c r="G399" i="1"/>
  <c r="F399" i="1"/>
  <c r="E399" i="1"/>
  <c r="D399" i="1"/>
  <c r="C399" i="1"/>
  <c r="B399" i="1"/>
  <c r="A399" i="1"/>
  <c r="AY398" i="1"/>
  <c r="AW398" i="1"/>
  <c r="AV398" i="1"/>
  <c r="AU398" i="1"/>
  <c r="AT398" i="1"/>
  <c r="AS398" i="1"/>
  <c r="AR398" i="1"/>
  <c r="AN398" i="1"/>
  <c r="AP398" i="1" s="1"/>
  <c r="AM398" i="1"/>
  <c r="AL398" i="1"/>
  <c r="AX398" i="1" s="1"/>
  <c r="AK398" i="1"/>
  <c r="AJ398" i="1"/>
  <c r="AI398" i="1"/>
  <c r="AH398" i="1"/>
  <c r="AG398" i="1"/>
  <c r="AF398" i="1"/>
  <c r="AA398" i="1" s="1"/>
  <c r="AO398" i="1" s="1"/>
  <c r="AE398" i="1"/>
  <c r="AD398" i="1"/>
  <c r="AC398" i="1"/>
  <c r="AB398" i="1"/>
  <c r="Z398" i="1"/>
  <c r="Y398" i="1"/>
  <c r="X398" i="1"/>
  <c r="W398" i="1"/>
  <c r="V398" i="1"/>
  <c r="U398" i="1"/>
  <c r="T398" i="1"/>
  <c r="BA398" i="1" s="1"/>
  <c r="S398" i="1"/>
  <c r="R398" i="1"/>
  <c r="Q398" i="1"/>
  <c r="P398" i="1"/>
  <c r="O398" i="1"/>
  <c r="N398" i="1"/>
  <c r="AZ398" i="1" s="1"/>
  <c r="M398" i="1"/>
  <c r="L398" i="1"/>
  <c r="H398" i="1"/>
  <c r="G398" i="1"/>
  <c r="F398" i="1"/>
  <c r="E398" i="1"/>
  <c r="D398" i="1"/>
  <c r="C398" i="1"/>
  <c r="B398" i="1"/>
  <c r="A398" i="1"/>
  <c r="AZ397" i="1"/>
  <c r="AW397" i="1"/>
  <c r="AV397" i="1"/>
  <c r="AU397" i="1"/>
  <c r="AT397" i="1"/>
  <c r="AS397" i="1"/>
  <c r="AP397" i="1"/>
  <c r="AN397" i="1"/>
  <c r="AR397" i="1" s="1"/>
  <c r="AM397" i="1"/>
  <c r="AL397" i="1"/>
  <c r="AX397" i="1" s="1"/>
  <c r="AK397" i="1"/>
  <c r="AJ397" i="1"/>
  <c r="AI397" i="1"/>
  <c r="AH397" i="1"/>
  <c r="AG397" i="1"/>
  <c r="AF397" i="1"/>
  <c r="AA397" i="1" s="1"/>
  <c r="AO397" i="1" s="1"/>
  <c r="AE397" i="1"/>
  <c r="AD397" i="1"/>
  <c r="AC397" i="1"/>
  <c r="AB397" i="1"/>
  <c r="Z397" i="1"/>
  <c r="Y397" i="1"/>
  <c r="X397" i="1"/>
  <c r="W397" i="1"/>
  <c r="V397" i="1"/>
  <c r="U397" i="1"/>
  <c r="T397" i="1"/>
  <c r="BA397" i="1" s="1"/>
  <c r="S397" i="1"/>
  <c r="R397" i="1"/>
  <c r="Q397" i="1"/>
  <c r="P397" i="1"/>
  <c r="O397" i="1"/>
  <c r="N397" i="1"/>
  <c r="M397" i="1"/>
  <c r="L397" i="1"/>
  <c r="H397" i="1"/>
  <c r="AY397" i="1" s="1"/>
  <c r="G397" i="1"/>
  <c r="F397" i="1"/>
  <c r="E397" i="1"/>
  <c r="D397" i="1"/>
  <c r="C397" i="1"/>
  <c r="B397" i="1"/>
  <c r="A397" i="1"/>
  <c r="AZ396" i="1"/>
  <c r="AX396" i="1"/>
  <c r="AW396" i="1"/>
  <c r="AV396" i="1"/>
  <c r="AT396" i="1"/>
  <c r="AS396" i="1"/>
  <c r="AN396" i="1"/>
  <c r="AM396" i="1"/>
  <c r="AL396" i="1"/>
  <c r="AK396" i="1"/>
  <c r="AI396" i="1"/>
  <c r="AH396" i="1"/>
  <c r="AG396" i="1"/>
  <c r="AU396" i="1" s="1"/>
  <c r="AF396" i="1"/>
  <c r="AE396" i="1"/>
  <c r="AD396" i="1"/>
  <c r="AC396" i="1"/>
  <c r="AB396" i="1"/>
  <c r="Z396" i="1"/>
  <c r="Y396" i="1"/>
  <c r="X396" i="1"/>
  <c r="W396" i="1"/>
  <c r="V396" i="1"/>
  <c r="U396" i="1"/>
  <c r="T396" i="1"/>
  <c r="BA396" i="1" s="1"/>
  <c r="S396" i="1"/>
  <c r="R396" i="1"/>
  <c r="Q396" i="1"/>
  <c r="P396" i="1"/>
  <c r="O396" i="1"/>
  <c r="N396" i="1"/>
  <c r="M396" i="1"/>
  <c r="L396" i="1"/>
  <c r="H396" i="1"/>
  <c r="AY396" i="1" s="1"/>
  <c r="G396" i="1"/>
  <c r="F396" i="1"/>
  <c r="E396" i="1"/>
  <c r="D396" i="1"/>
  <c r="C396" i="1"/>
  <c r="B396" i="1"/>
  <c r="A396" i="1"/>
  <c r="AX395" i="1"/>
  <c r="AW395" i="1"/>
  <c r="AT395" i="1"/>
  <c r="AS395" i="1"/>
  <c r="AN395" i="1"/>
  <c r="AL395" i="1"/>
  <c r="AM395" i="1" s="1"/>
  <c r="AK395" i="1"/>
  <c r="AG395" i="1"/>
  <c r="AF395" i="1"/>
  <c r="AE395" i="1"/>
  <c r="AD395" i="1"/>
  <c r="AC395" i="1"/>
  <c r="AB395" i="1"/>
  <c r="Z395" i="1"/>
  <c r="Y395" i="1"/>
  <c r="X395" i="1"/>
  <c r="W395" i="1"/>
  <c r="V395" i="1"/>
  <c r="U395" i="1"/>
  <c r="T395" i="1"/>
  <c r="BA395" i="1" s="1"/>
  <c r="S395" i="1"/>
  <c r="R395" i="1"/>
  <c r="Q395" i="1"/>
  <c r="P395" i="1"/>
  <c r="O395" i="1"/>
  <c r="N395" i="1"/>
  <c r="AZ395" i="1" s="1"/>
  <c r="M395" i="1"/>
  <c r="L395" i="1"/>
  <c r="H395" i="1"/>
  <c r="AY395" i="1" s="1"/>
  <c r="G395" i="1"/>
  <c r="F395" i="1"/>
  <c r="E395" i="1"/>
  <c r="D395" i="1"/>
  <c r="C395" i="1"/>
  <c r="B395" i="1"/>
  <c r="A395" i="1"/>
  <c r="BA394" i="1"/>
  <c r="AX394" i="1"/>
  <c r="AT394" i="1"/>
  <c r="AS394" i="1"/>
  <c r="AR394" i="1"/>
  <c r="AN394" i="1"/>
  <c r="AM394" i="1"/>
  <c r="AL394" i="1"/>
  <c r="AK394" i="1"/>
  <c r="AJ394" i="1"/>
  <c r="AG394" i="1"/>
  <c r="AH394" i="1" s="1"/>
  <c r="AF394" i="1"/>
  <c r="AE394" i="1"/>
  <c r="AD394" i="1"/>
  <c r="AC394" i="1"/>
  <c r="AB394" i="1"/>
  <c r="Z394" i="1"/>
  <c r="Y394" i="1"/>
  <c r="X394" i="1"/>
  <c r="W394" i="1"/>
  <c r="V394" i="1"/>
  <c r="U394" i="1"/>
  <c r="T394" i="1"/>
  <c r="S394" i="1"/>
  <c r="R394" i="1"/>
  <c r="Q394" i="1"/>
  <c r="P394" i="1"/>
  <c r="O394" i="1"/>
  <c r="N394" i="1"/>
  <c r="AZ394" i="1" s="1"/>
  <c r="M394" i="1"/>
  <c r="L394" i="1"/>
  <c r="H394" i="1"/>
  <c r="AY394" i="1" s="1"/>
  <c r="G394" i="1"/>
  <c r="F394" i="1"/>
  <c r="E394" i="1"/>
  <c r="D394" i="1"/>
  <c r="C394" i="1"/>
  <c r="B394" i="1"/>
  <c r="A394" i="1"/>
  <c r="BA393" i="1"/>
  <c r="AV393" i="1"/>
  <c r="AU393" i="1"/>
  <c r="AT393" i="1"/>
  <c r="AS393" i="1"/>
  <c r="AN393" i="1"/>
  <c r="AL393" i="1"/>
  <c r="AX393" i="1" s="1"/>
  <c r="AK393" i="1"/>
  <c r="AI393" i="1"/>
  <c r="AH393" i="1"/>
  <c r="AG393" i="1"/>
  <c r="AF393" i="1"/>
  <c r="AJ393" i="1" s="1"/>
  <c r="AE393" i="1"/>
  <c r="AD393" i="1"/>
  <c r="AC393" i="1"/>
  <c r="AB393" i="1"/>
  <c r="AA393" i="1"/>
  <c r="AO393" i="1" s="1"/>
  <c r="Z393" i="1"/>
  <c r="Y393" i="1"/>
  <c r="X393" i="1"/>
  <c r="W393" i="1"/>
  <c r="V393" i="1"/>
  <c r="U393" i="1"/>
  <c r="T393" i="1"/>
  <c r="S393" i="1"/>
  <c r="R393" i="1"/>
  <c r="Q393" i="1"/>
  <c r="P393" i="1"/>
  <c r="O393" i="1"/>
  <c r="N393" i="1"/>
  <c r="AZ393" i="1" s="1"/>
  <c r="M393" i="1"/>
  <c r="L393" i="1"/>
  <c r="H393" i="1"/>
  <c r="AY393" i="1" s="1"/>
  <c r="G393" i="1"/>
  <c r="F393" i="1"/>
  <c r="E393" i="1"/>
  <c r="D393" i="1"/>
  <c r="C393" i="1"/>
  <c r="B393" i="1"/>
  <c r="A393" i="1"/>
  <c r="BA392" i="1"/>
  <c r="AU392" i="1"/>
  <c r="AT392" i="1"/>
  <c r="AS392" i="1"/>
  <c r="AN392" i="1"/>
  <c r="AL392" i="1"/>
  <c r="AX392" i="1" s="1"/>
  <c r="AK392" i="1"/>
  <c r="AR392" i="1" s="1"/>
  <c r="AG392" i="1"/>
  <c r="AF392" i="1"/>
  <c r="AE392" i="1"/>
  <c r="AD392" i="1"/>
  <c r="AC392" i="1"/>
  <c r="AB392" i="1"/>
  <c r="Z392" i="1"/>
  <c r="Y392" i="1"/>
  <c r="X392" i="1"/>
  <c r="W392" i="1"/>
  <c r="V392" i="1"/>
  <c r="U392" i="1"/>
  <c r="T392" i="1"/>
  <c r="S392" i="1"/>
  <c r="R392" i="1"/>
  <c r="Q392" i="1"/>
  <c r="P392" i="1"/>
  <c r="O392" i="1"/>
  <c r="N392" i="1"/>
  <c r="AZ392" i="1" s="1"/>
  <c r="M392" i="1"/>
  <c r="L392" i="1"/>
  <c r="H392" i="1"/>
  <c r="AY392" i="1" s="1"/>
  <c r="G392" i="1"/>
  <c r="F392" i="1"/>
  <c r="E392" i="1"/>
  <c r="D392" i="1"/>
  <c r="C392" i="1"/>
  <c r="B392" i="1"/>
  <c r="A392" i="1"/>
  <c r="BA391" i="1"/>
  <c r="AY391" i="1"/>
  <c r="AX391" i="1"/>
  <c r="AW391" i="1"/>
  <c r="AU391" i="1"/>
  <c r="AT391" i="1"/>
  <c r="AS391" i="1"/>
  <c r="AN391" i="1"/>
  <c r="AM391" i="1"/>
  <c r="AL391" i="1"/>
  <c r="AK391" i="1"/>
  <c r="AJ391" i="1"/>
  <c r="AH391" i="1"/>
  <c r="AG391" i="1"/>
  <c r="AF391" i="1"/>
  <c r="AE391" i="1"/>
  <c r="AD391" i="1"/>
  <c r="AC391" i="1"/>
  <c r="AB391" i="1"/>
  <c r="Z391" i="1"/>
  <c r="Y391" i="1"/>
  <c r="X391" i="1"/>
  <c r="W391" i="1"/>
  <c r="V391" i="1"/>
  <c r="U391" i="1"/>
  <c r="T391" i="1"/>
  <c r="S391" i="1"/>
  <c r="R391" i="1"/>
  <c r="Q391" i="1"/>
  <c r="P391" i="1"/>
  <c r="O391" i="1"/>
  <c r="N391" i="1"/>
  <c r="AZ391" i="1" s="1"/>
  <c r="M391" i="1"/>
  <c r="L391" i="1"/>
  <c r="H391" i="1"/>
  <c r="G391" i="1"/>
  <c r="F391" i="1"/>
  <c r="E391" i="1"/>
  <c r="D391" i="1"/>
  <c r="C391" i="1"/>
  <c r="B391" i="1"/>
  <c r="A391" i="1"/>
  <c r="AZ390" i="1"/>
  <c r="AY390" i="1"/>
  <c r="AX390" i="1"/>
  <c r="AU390" i="1"/>
  <c r="AT390" i="1"/>
  <c r="AS390" i="1"/>
  <c r="AN390" i="1"/>
  <c r="AL390" i="1"/>
  <c r="AM390" i="1" s="1"/>
  <c r="AK390" i="1"/>
  <c r="AH390" i="1"/>
  <c r="AG390" i="1"/>
  <c r="AF390" i="1"/>
  <c r="AE390" i="1"/>
  <c r="AD390" i="1"/>
  <c r="AC390" i="1"/>
  <c r="AB390" i="1"/>
  <c r="Z390" i="1"/>
  <c r="Y390" i="1"/>
  <c r="X390" i="1"/>
  <c r="W390" i="1"/>
  <c r="V390" i="1"/>
  <c r="U390" i="1"/>
  <c r="T390" i="1"/>
  <c r="BA390" i="1" s="1"/>
  <c r="S390" i="1"/>
  <c r="R390" i="1"/>
  <c r="Q390" i="1"/>
  <c r="P390" i="1"/>
  <c r="O390" i="1"/>
  <c r="N390" i="1"/>
  <c r="M390" i="1"/>
  <c r="L390" i="1"/>
  <c r="H390" i="1"/>
  <c r="G390" i="1"/>
  <c r="F390" i="1"/>
  <c r="E390" i="1"/>
  <c r="D390" i="1"/>
  <c r="C390" i="1"/>
  <c r="B390" i="1"/>
  <c r="A390" i="1"/>
  <c r="AX389" i="1"/>
  <c r="AT389" i="1"/>
  <c r="AS389" i="1"/>
  <c r="AN389" i="1"/>
  <c r="AP389" i="1" s="1"/>
  <c r="AL389" i="1"/>
  <c r="AM389" i="1" s="1"/>
  <c r="AK389" i="1"/>
  <c r="AH389" i="1"/>
  <c r="AG389" i="1"/>
  <c r="AF389" i="1"/>
  <c r="AE389" i="1"/>
  <c r="AD389" i="1"/>
  <c r="AC389" i="1"/>
  <c r="AB389" i="1"/>
  <c r="Z389" i="1"/>
  <c r="Y389" i="1"/>
  <c r="X389" i="1"/>
  <c r="W389" i="1"/>
  <c r="V389" i="1"/>
  <c r="U389" i="1"/>
  <c r="T389" i="1"/>
  <c r="BA389" i="1" s="1"/>
  <c r="S389" i="1"/>
  <c r="R389" i="1"/>
  <c r="Q389" i="1"/>
  <c r="P389" i="1"/>
  <c r="O389" i="1"/>
  <c r="N389" i="1"/>
  <c r="AZ389" i="1" s="1"/>
  <c r="M389" i="1"/>
  <c r="L389" i="1"/>
  <c r="H389" i="1"/>
  <c r="AY389" i="1" s="1"/>
  <c r="G389" i="1"/>
  <c r="F389" i="1"/>
  <c r="E389" i="1"/>
  <c r="D389" i="1"/>
  <c r="C389" i="1"/>
  <c r="B389" i="1"/>
  <c r="A389" i="1"/>
  <c r="BA388" i="1"/>
  <c r="AZ388" i="1"/>
  <c r="AY388" i="1"/>
  <c r="AX388" i="1"/>
  <c r="AW388" i="1"/>
  <c r="AV388" i="1"/>
  <c r="AT388" i="1"/>
  <c r="AS388" i="1"/>
  <c r="AR388" i="1"/>
  <c r="AP388" i="1"/>
  <c r="AN388" i="1"/>
  <c r="AM388" i="1"/>
  <c r="AL388" i="1"/>
  <c r="AK388" i="1"/>
  <c r="AG388" i="1"/>
  <c r="AF388" i="1"/>
  <c r="AE388" i="1"/>
  <c r="AD388" i="1"/>
  <c r="AC388" i="1"/>
  <c r="AB388" i="1"/>
  <c r="Z388" i="1"/>
  <c r="Y388" i="1"/>
  <c r="X388" i="1"/>
  <c r="W388" i="1"/>
  <c r="V388" i="1"/>
  <c r="U388" i="1"/>
  <c r="T388" i="1"/>
  <c r="S388" i="1"/>
  <c r="R388" i="1"/>
  <c r="Q388" i="1"/>
  <c r="P388" i="1"/>
  <c r="O388" i="1"/>
  <c r="N388" i="1"/>
  <c r="M388" i="1"/>
  <c r="L388" i="1"/>
  <c r="H388" i="1"/>
  <c r="G388" i="1"/>
  <c r="F388" i="1"/>
  <c r="E388" i="1"/>
  <c r="D388" i="1"/>
  <c r="C388" i="1"/>
  <c r="B388" i="1"/>
  <c r="A388" i="1"/>
  <c r="AZ387" i="1"/>
  <c r="AY387" i="1"/>
  <c r="AX387" i="1"/>
  <c r="AU387" i="1"/>
  <c r="AT387" i="1"/>
  <c r="AS387" i="1"/>
  <c r="AN387" i="1"/>
  <c r="AL387" i="1"/>
  <c r="AM387" i="1" s="1"/>
  <c r="AK387" i="1"/>
  <c r="AH387" i="1"/>
  <c r="AG387" i="1"/>
  <c r="AF387" i="1"/>
  <c r="AJ387" i="1" s="1"/>
  <c r="AE387" i="1"/>
  <c r="AD387" i="1"/>
  <c r="AC387" i="1"/>
  <c r="AB387" i="1"/>
  <c r="Z387" i="1"/>
  <c r="Y387" i="1"/>
  <c r="X387" i="1"/>
  <c r="W387" i="1"/>
  <c r="V387" i="1"/>
  <c r="U387" i="1"/>
  <c r="T387" i="1"/>
  <c r="BA387" i="1" s="1"/>
  <c r="S387" i="1"/>
  <c r="R387" i="1"/>
  <c r="Q387" i="1"/>
  <c r="P387" i="1"/>
  <c r="O387" i="1"/>
  <c r="N387" i="1"/>
  <c r="M387" i="1"/>
  <c r="L387" i="1"/>
  <c r="H387" i="1"/>
  <c r="G387" i="1"/>
  <c r="F387" i="1"/>
  <c r="E387" i="1"/>
  <c r="D387" i="1"/>
  <c r="C387" i="1"/>
  <c r="B387" i="1"/>
  <c r="A387" i="1"/>
  <c r="AZ386" i="1"/>
  <c r="AY386" i="1"/>
  <c r="AX386" i="1"/>
  <c r="AT386" i="1"/>
  <c r="AS386" i="1"/>
  <c r="AP386" i="1"/>
  <c r="AN386" i="1"/>
  <c r="AM386" i="1"/>
  <c r="AL386" i="1"/>
  <c r="AW386" i="1" s="1"/>
  <c r="AK386" i="1"/>
  <c r="AR386" i="1" s="1"/>
  <c r="AG386" i="1"/>
  <c r="AF386" i="1"/>
  <c r="AE386" i="1"/>
  <c r="AD386" i="1"/>
  <c r="AC386" i="1"/>
  <c r="AB386" i="1"/>
  <c r="Z386" i="1"/>
  <c r="Y386" i="1"/>
  <c r="X386" i="1"/>
  <c r="W386" i="1"/>
  <c r="V386" i="1"/>
  <c r="U386" i="1"/>
  <c r="T386" i="1"/>
  <c r="BA386" i="1" s="1"/>
  <c r="S386" i="1"/>
  <c r="R386" i="1"/>
  <c r="Q386" i="1"/>
  <c r="P386" i="1"/>
  <c r="O386" i="1"/>
  <c r="N386" i="1"/>
  <c r="M386" i="1"/>
  <c r="L386" i="1"/>
  <c r="H386" i="1"/>
  <c r="G386" i="1"/>
  <c r="F386" i="1"/>
  <c r="E386" i="1"/>
  <c r="D386" i="1"/>
  <c r="C386" i="1"/>
  <c r="B386" i="1"/>
  <c r="A386" i="1"/>
  <c r="AY385" i="1"/>
  <c r="AV385" i="1"/>
  <c r="AU385" i="1"/>
  <c r="AT385" i="1"/>
  <c r="AS385" i="1"/>
  <c r="AP385" i="1"/>
  <c r="AN385" i="1"/>
  <c r="AR385" i="1" s="1"/>
  <c r="AM385" i="1"/>
  <c r="AL385" i="1"/>
  <c r="AX385" i="1" s="1"/>
  <c r="AK385" i="1"/>
  <c r="AJ385" i="1"/>
  <c r="AI385" i="1"/>
  <c r="AH385" i="1"/>
  <c r="AG385" i="1"/>
  <c r="AF385" i="1"/>
  <c r="AE385" i="1"/>
  <c r="AD385" i="1"/>
  <c r="AC385" i="1"/>
  <c r="AB385" i="1"/>
  <c r="AA385" i="1"/>
  <c r="Z385" i="1"/>
  <c r="Y385" i="1"/>
  <c r="X385" i="1"/>
  <c r="W385" i="1"/>
  <c r="V385" i="1"/>
  <c r="U385" i="1"/>
  <c r="T385" i="1"/>
  <c r="BA385" i="1" s="1"/>
  <c r="S385" i="1"/>
  <c r="R385" i="1"/>
  <c r="Q385" i="1"/>
  <c r="P385" i="1"/>
  <c r="O385" i="1"/>
  <c r="N385" i="1"/>
  <c r="AZ385" i="1" s="1"/>
  <c r="M385" i="1"/>
  <c r="L385" i="1"/>
  <c r="H385" i="1"/>
  <c r="G385" i="1"/>
  <c r="F385" i="1"/>
  <c r="E385" i="1"/>
  <c r="D385" i="1"/>
  <c r="C385" i="1"/>
  <c r="B385" i="1"/>
  <c r="A385" i="1"/>
  <c r="AU384" i="1"/>
  <c r="AT384" i="1"/>
  <c r="AS384" i="1"/>
  <c r="AR384" i="1"/>
  <c r="AN384" i="1"/>
  <c r="AL384" i="1"/>
  <c r="AK384" i="1"/>
  <c r="AI384" i="1"/>
  <c r="AA384" i="1" s="1"/>
  <c r="AG384" i="1"/>
  <c r="AF384" i="1"/>
  <c r="AE384" i="1"/>
  <c r="AD384" i="1"/>
  <c r="AC384" i="1"/>
  <c r="AB384" i="1"/>
  <c r="Z384" i="1"/>
  <c r="Y384" i="1"/>
  <c r="X384" i="1"/>
  <c r="W384" i="1"/>
  <c r="V384" i="1"/>
  <c r="U384" i="1"/>
  <c r="T384" i="1"/>
  <c r="BA384" i="1" s="1"/>
  <c r="S384" i="1"/>
  <c r="R384" i="1"/>
  <c r="Q384" i="1"/>
  <c r="P384" i="1"/>
  <c r="O384" i="1"/>
  <c r="N384" i="1"/>
  <c r="AZ384" i="1" s="1"/>
  <c r="M384" i="1"/>
  <c r="L384" i="1"/>
  <c r="H384" i="1"/>
  <c r="AY384" i="1" s="1"/>
  <c r="G384" i="1"/>
  <c r="F384" i="1"/>
  <c r="E384" i="1"/>
  <c r="D384" i="1"/>
  <c r="C384" i="1"/>
  <c r="B384" i="1"/>
  <c r="A384" i="1"/>
  <c r="AY383" i="1"/>
  <c r="AV383" i="1"/>
  <c r="AU383" i="1"/>
  <c r="AT383" i="1"/>
  <c r="AS383" i="1"/>
  <c r="AN383" i="1"/>
  <c r="AL383" i="1"/>
  <c r="AK383" i="1"/>
  <c r="AJ383" i="1"/>
  <c r="AH383" i="1"/>
  <c r="AG383" i="1"/>
  <c r="AI383" i="1" s="1"/>
  <c r="AF383" i="1"/>
  <c r="AE383" i="1"/>
  <c r="AD383" i="1"/>
  <c r="AC383" i="1"/>
  <c r="AB383" i="1"/>
  <c r="Z383" i="1"/>
  <c r="Y383" i="1"/>
  <c r="X383" i="1"/>
  <c r="W383" i="1"/>
  <c r="V383" i="1"/>
  <c r="U383" i="1"/>
  <c r="T383" i="1"/>
  <c r="BA383" i="1" s="1"/>
  <c r="S383" i="1"/>
  <c r="R383" i="1"/>
  <c r="Q383" i="1"/>
  <c r="P383" i="1"/>
  <c r="O383" i="1"/>
  <c r="N383" i="1"/>
  <c r="AZ383" i="1" s="1"/>
  <c r="M383" i="1"/>
  <c r="L383" i="1"/>
  <c r="H383" i="1"/>
  <c r="G383" i="1"/>
  <c r="F383" i="1"/>
  <c r="E383" i="1"/>
  <c r="D383" i="1"/>
  <c r="C383" i="1"/>
  <c r="B383" i="1"/>
  <c r="A383" i="1"/>
  <c r="AY382" i="1"/>
  <c r="AV382" i="1"/>
  <c r="AU382" i="1"/>
  <c r="AT382" i="1"/>
  <c r="AS382" i="1"/>
  <c r="AR382" i="1"/>
  <c r="AN382" i="1"/>
  <c r="AL382" i="1"/>
  <c r="AK382" i="1"/>
  <c r="AI382" i="1"/>
  <c r="AH382" i="1"/>
  <c r="AG382" i="1"/>
  <c r="AF382" i="1"/>
  <c r="AA382" i="1" s="1"/>
  <c r="AE382" i="1"/>
  <c r="AD382" i="1"/>
  <c r="AC382" i="1"/>
  <c r="AB382" i="1"/>
  <c r="Z382" i="1"/>
  <c r="Y382" i="1"/>
  <c r="X382" i="1"/>
  <c r="W382" i="1"/>
  <c r="V382" i="1"/>
  <c r="U382" i="1"/>
  <c r="T382" i="1"/>
  <c r="BA382" i="1" s="1"/>
  <c r="S382" i="1"/>
  <c r="R382" i="1"/>
  <c r="Q382" i="1"/>
  <c r="P382" i="1"/>
  <c r="O382" i="1"/>
  <c r="N382" i="1"/>
  <c r="AZ382" i="1" s="1"/>
  <c r="M382" i="1"/>
  <c r="L382" i="1"/>
  <c r="H382" i="1"/>
  <c r="G382" i="1"/>
  <c r="F382" i="1"/>
  <c r="E382" i="1"/>
  <c r="D382" i="1"/>
  <c r="C382" i="1"/>
  <c r="B382" i="1"/>
  <c r="A382" i="1"/>
  <c r="BA381" i="1"/>
  <c r="AZ381" i="1"/>
  <c r="AV381" i="1"/>
  <c r="AU381" i="1"/>
  <c r="AT381" i="1"/>
  <c r="AS381" i="1"/>
  <c r="AR381" i="1"/>
  <c r="AP381" i="1"/>
  <c r="AN381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T381" i="1"/>
  <c r="S381" i="1"/>
  <c r="R381" i="1"/>
  <c r="Q381" i="1"/>
  <c r="P381" i="1"/>
  <c r="O381" i="1"/>
  <c r="N381" i="1"/>
  <c r="M381" i="1"/>
  <c r="L381" i="1"/>
  <c r="H381" i="1"/>
  <c r="AY381" i="1" s="1"/>
  <c r="G381" i="1"/>
  <c r="F381" i="1"/>
  <c r="E381" i="1"/>
  <c r="D381" i="1"/>
  <c r="C381" i="1"/>
  <c r="B381" i="1"/>
  <c r="A381" i="1"/>
  <c r="BA380" i="1"/>
  <c r="AZ380" i="1"/>
  <c r="AX380" i="1"/>
  <c r="AW380" i="1"/>
  <c r="AV380" i="1"/>
  <c r="AT380" i="1"/>
  <c r="AS380" i="1"/>
  <c r="AN380" i="1"/>
  <c r="AR380" i="1" s="1"/>
  <c r="AM380" i="1"/>
  <c r="AL380" i="1"/>
  <c r="AK380" i="1"/>
  <c r="AI380" i="1"/>
  <c r="AH380" i="1"/>
  <c r="AG380" i="1"/>
  <c r="AU380" i="1" s="1"/>
  <c r="AF380" i="1"/>
  <c r="AE380" i="1"/>
  <c r="AD380" i="1"/>
  <c r="AC380" i="1"/>
  <c r="AB380" i="1"/>
  <c r="Z380" i="1"/>
  <c r="Y380" i="1"/>
  <c r="X380" i="1"/>
  <c r="W380" i="1"/>
  <c r="V380" i="1"/>
  <c r="U380" i="1"/>
  <c r="T380" i="1"/>
  <c r="S380" i="1"/>
  <c r="R380" i="1"/>
  <c r="Q380" i="1"/>
  <c r="P380" i="1"/>
  <c r="O380" i="1"/>
  <c r="N380" i="1"/>
  <c r="M380" i="1"/>
  <c r="L380" i="1"/>
  <c r="H380" i="1"/>
  <c r="AY380" i="1" s="1"/>
  <c r="G380" i="1"/>
  <c r="F380" i="1"/>
  <c r="E380" i="1"/>
  <c r="D380" i="1"/>
  <c r="C380" i="1"/>
  <c r="B380" i="1"/>
  <c r="A380" i="1"/>
  <c r="BA379" i="1"/>
  <c r="AZ379" i="1"/>
  <c r="AX379" i="1"/>
  <c r="AU379" i="1"/>
  <c r="AT379" i="1"/>
  <c r="AS379" i="1"/>
  <c r="AN379" i="1"/>
  <c r="AL379" i="1"/>
  <c r="AM379" i="1" s="1"/>
  <c r="AK379" i="1"/>
  <c r="AI379" i="1"/>
  <c r="AA379" i="1" s="1"/>
  <c r="AO379" i="1" s="1"/>
  <c r="AG379" i="1"/>
  <c r="AF379" i="1"/>
  <c r="AE379" i="1"/>
  <c r="AD379" i="1"/>
  <c r="AC379" i="1"/>
  <c r="AB379" i="1"/>
  <c r="Z379" i="1"/>
  <c r="Y379" i="1"/>
  <c r="X379" i="1"/>
  <c r="W379" i="1"/>
  <c r="V379" i="1"/>
  <c r="U379" i="1"/>
  <c r="T379" i="1"/>
  <c r="S379" i="1"/>
  <c r="R379" i="1"/>
  <c r="Q379" i="1"/>
  <c r="P379" i="1"/>
  <c r="O379" i="1"/>
  <c r="N379" i="1"/>
  <c r="M379" i="1"/>
  <c r="L379" i="1"/>
  <c r="H379" i="1"/>
  <c r="AY379" i="1" s="1"/>
  <c r="G379" i="1"/>
  <c r="F379" i="1"/>
  <c r="E379" i="1"/>
  <c r="D379" i="1"/>
  <c r="C379" i="1"/>
  <c r="B379" i="1"/>
  <c r="A379" i="1"/>
  <c r="BA378" i="1"/>
  <c r="AX378" i="1"/>
  <c r="AV378" i="1"/>
  <c r="AU378" i="1"/>
  <c r="AT378" i="1"/>
  <c r="AS378" i="1"/>
  <c r="AR378" i="1"/>
  <c r="AN378" i="1"/>
  <c r="AL378" i="1"/>
  <c r="AK378" i="1"/>
  <c r="AI378" i="1"/>
  <c r="AH378" i="1"/>
  <c r="AG378" i="1"/>
  <c r="AJ378" i="1" s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P378" i="1"/>
  <c r="O378" i="1"/>
  <c r="N378" i="1"/>
  <c r="AZ378" i="1" s="1"/>
  <c r="M378" i="1"/>
  <c r="L378" i="1"/>
  <c r="H378" i="1"/>
  <c r="AY378" i="1" s="1"/>
  <c r="G378" i="1"/>
  <c r="F378" i="1"/>
  <c r="E378" i="1"/>
  <c r="D378" i="1"/>
  <c r="C378" i="1"/>
  <c r="B378" i="1"/>
  <c r="A378" i="1"/>
  <c r="BA377" i="1"/>
  <c r="AZ377" i="1"/>
  <c r="AY377" i="1"/>
  <c r="AV377" i="1"/>
  <c r="AU377" i="1"/>
  <c r="AT377" i="1"/>
  <c r="AS377" i="1"/>
  <c r="AR377" i="1"/>
  <c r="AP377" i="1"/>
  <c r="AN377" i="1"/>
  <c r="AL377" i="1"/>
  <c r="AK377" i="1"/>
  <c r="AJ377" i="1"/>
  <c r="AI377" i="1"/>
  <c r="AH377" i="1"/>
  <c r="AG377" i="1"/>
  <c r="AF377" i="1"/>
  <c r="AA377" i="1" s="1"/>
  <c r="AE377" i="1"/>
  <c r="AD377" i="1"/>
  <c r="AC377" i="1"/>
  <c r="AB377" i="1"/>
  <c r="Z377" i="1"/>
  <c r="Y377" i="1"/>
  <c r="X377" i="1"/>
  <c r="W377" i="1"/>
  <c r="V377" i="1"/>
  <c r="U377" i="1"/>
  <c r="T377" i="1"/>
  <c r="S377" i="1"/>
  <c r="R377" i="1"/>
  <c r="Q377" i="1"/>
  <c r="P377" i="1"/>
  <c r="O377" i="1"/>
  <c r="N377" i="1"/>
  <c r="M377" i="1"/>
  <c r="L377" i="1"/>
  <c r="H377" i="1"/>
  <c r="G377" i="1"/>
  <c r="F377" i="1"/>
  <c r="E377" i="1"/>
  <c r="D377" i="1"/>
  <c r="C377" i="1"/>
  <c r="B377" i="1"/>
  <c r="A377" i="1"/>
  <c r="AZ376" i="1"/>
  <c r="AW376" i="1"/>
  <c r="AV376" i="1"/>
  <c r="AU376" i="1"/>
  <c r="AT376" i="1"/>
  <c r="AS376" i="1"/>
  <c r="AN376" i="1"/>
  <c r="AL376" i="1"/>
  <c r="AK376" i="1"/>
  <c r="AI376" i="1"/>
  <c r="AA376" i="1" s="1"/>
  <c r="AO376" i="1" s="1"/>
  <c r="AG376" i="1"/>
  <c r="AH376" i="1" s="1"/>
  <c r="AF376" i="1"/>
  <c r="AJ376" i="1" s="1"/>
  <c r="AE376" i="1"/>
  <c r="AD376" i="1"/>
  <c r="AC376" i="1"/>
  <c r="AB376" i="1"/>
  <c r="Z376" i="1"/>
  <c r="Y376" i="1"/>
  <c r="X376" i="1"/>
  <c r="W376" i="1"/>
  <c r="V376" i="1"/>
  <c r="U376" i="1"/>
  <c r="T376" i="1"/>
  <c r="BA376" i="1" s="1"/>
  <c r="S376" i="1"/>
  <c r="R376" i="1"/>
  <c r="Q376" i="1"/>
  <c r="P376" i="1"/>
  <c r="O376" i="1"/>
  <c r="N376" i="1"/>
  <c r="M376" i="1"/>
  <c r="L376" i="1"/>
  <c r="H376" i="1"/>
  <c r="AY376" i="1" s="1"/>
  <c r="G376" i="1"/>
  <c r="F376" i="1"/>
  <c r="E376" i="1"/>
  <c r="D376" i="1"/>
  <c r="C376" i="1"/>
  <c r="B376" i="1"/>
  <c r="A376" i="1"/>
  <c r="AY375" i="1"/>
  <c r="AV375" i="1"/>
  <c r="AU375" i="1"/>
  <c r="AT375" i="1"/>
  <c r="AS375" i="1"/>
  <c r="AN375" i="1"/>
  <c r="AL375" i="1"/>
  <c r="AW375" i="1" s="1"/>
  <c r="AK375" i="1"/>
  <c r="AH375" i="1"/>
  <c r="AG375" i="1"/>
  <c r="AF375" i="1"/>
  <c r="AE375" i="1"/>
  <c r="AD375" i="1"/>
  <c r="AC375" i="1"/>
  <c r="AB375" i="1"/>
  <c r="Z375" i="1"/>
  <c r="Y375" i="1"/>
  <c r="X375" i="1"/>
  <c r="W375" i="1"/>
  <c r="V375" i="1"/>
  <c r="U375" i="1"/>
  <c r="T375" i="1"/>
  <c r="BA375" i="1" s="1"/>
  <c r="S375" i="1"/>
  <c r="R375" i="1"/>
  <c r="Q375" i="1"/>
  <c r="P375" i="1"/>
  <c r="O375" i="1"/>
  <c r="N375" i="1"/>
  <c r="AZ375" i="1" s="1"/>
  <c r="M375" i="1"/>
  <c r="L375" i="1"/>
  <c r="H375" i="1"/>
  <c r="G375" i="1"/>
  <c r="F375" i="1"/>
  <c r="E375" i="1"/>
  <c r="D375" i="1"/>
  <c r="C375" i="1"/>
  <c r="B375" i="1"/>
  <c r="A375" i="1"/>
  <c r="AX374" i="1"/>
  <c r="AW374" i="1"/>
  <c r="AT374" i="1"/>
  <c r="AS374" i="1"/>
  <c r="AN374" i="1"/>
  <c r="AM374" i="1"/>
  <c r="AL374" i="1"/>
  <c r="AK374" i="1"/>
  <c r="AI374" i="1"/>
  <c r="AG374" i="1"/>
  <c r="AF374" i="1"/>
  <c r="AE374" i="1"/>
  <c r="AD374" i="1"/>
  <c r="AC374" i="1"/>
  <c r="AB374" i="1"/>
  <c r="AA374" i="1"/>
  <c r="AO374" i="1" s="1"/>
  <c r="Z374" i="1"/>
  <c r="Y374" i="1"/>
  <c r="X374" i="1"/>
  <c r="W374" i="1"/>
  <c r="V374" i="1"/>
  <c r="U374" i="1"/>
  <c r="T374" i="1"/>
  <c r="BA374" i="1" s="1"/>
  <c r="S374" i="1"/>
  <c r="R374" i="1"/>
  <c r="Q374" i="1"/>
  <c r="P374" i="1"/>
  <c r="O374" i="1"/>
  <c r="N374" i="1"/>
  <c r="AZ374" i="1" s="1"/>
  <c r="M374" i="1"/>
  <c r="L374" i="1"/>
  <c r="H374" i="1"/>
  <c r="AY374" i="1" s="1"/>
  <c r="G374" i="1"/>
  <c r="F374" i="1"/>
  <c r="E374" i="1"/>
  <c r="D374" i="1"/>
  <c r="C374" i="1"/>
  <c r="B374" i="1"/>
  <c r="A374" i="1"/>
  <c r="BA373" i="1"/>
  <c r="AZ373" i="1"/>
  <c r="AX373" i="1"/>
  <c r="AW373" i="1"/>
  <c r="AV373" i="1"/>
  <c r="AT373" i="1"/>
  <c r="AS373" i="1"/>
  <c r="AR373" i="1"/>
  <c r="AP373" i="1"/>
  <c r="AN373" i="1"/>
  <c r="AM373" i="1"/>
  <c r="AL373" i="1"/>
  <c r="AK373" i="1"/>
  <c r="AI373" i="1"/>
  <c r="AA373" i="1" s="1"/>
  <c r="AO373" i="1" s="1"/>
  <c r="AH373" i="1"/>
  <c r="AG373" i="1"/>
  <c r="AF373" i="1"/>
  <c r="AE373" i="1"/>
  <c r="AD373" i="1"/>
  <c r="AC373" i="1"/>
  <c r="AB373" i="1"/>
  <c r="Z373" i="1"/>
  <c r="Y373" i="1"/>
  <c r="X373" i="1"/>
  <c r="W373" i="1"/>
  <c r="V373" i="1"/>
  <c r="U373" i="1"/>
  <c r="T373" i="1"/>
  <c r="S373" i="1"/>
  <c r="R373" i="1"/>
  <c r="Q373" i="1"/>
  <c r="P373" i="1"/>
  <c r="O373" i="1"/>
  <c r="N373" i="1"/>
  <c r="M373" i="1"/>
  <c r="L373" i="1"/>
  <c r="H373" i="1"/>
  <c r="AY373" i="1" s="1"/>
  <c r="G373" i="1"/>
  <c r="F373" i="1"/>
  <c r="E373" i="1"/>
  <c r="D373" i="1"/>
  <c r="C373" i="1"/>
  <c r="B373" i="1"/>
  <c r="A373" i="1"/>
  <c r="BA372" i="1"/>
  <c r="AZ372" i="1"/>
  <c r="AY372" i="1"/>
  <c r="AX372" i="1"/>
  <c r="AW372" i="1"/>
  <c r="AT372" i="1"/>
  <c r="AS372" i="1"/>
  <c r="AP372" i="1"/>
  <c r="AN372" i="1"/>
  <c r="AR372" i="1" s="1"/>
  <c r="AM372" i="1"/>
  <c r="AL372" i="1"/>
  <c r="AK372" i="1"/>
  <c r="AG372" i="1"/>
  <c r="AF372" i="1"/>
  <c r="AE372" i="1"/>
  <c r="AD372" i="1"/>
  <c r="AC372" i="1"/>
  <c r="AB372" i="1"/>
  <c r="Z372" i="1"/>
  <c r="Y372" i="1"/>
  <c r="X372" i="1"/>
  <c r="W372" i="1"/>
  <c r="V372" i="1"/>
  <c r="U372" i="1"/>
  <c r="T372" i="1"/>
  <c r="S372" i="1"/>
  <c r="R372" i="1"/>
  <c r="Q372" i="1"/>
  <c r="P372" i="1"/>
  <c r="O372" i="1"/>
  <c r="N372" i="1"/>
  <c r="M372" i="1"/>
  <c r="L372" i="1"/>
  <c r="H372" i="1"/>
  <c r="G372" i="1"/>
  <c r="F372" i="1"/>
  <c r="E372" i="1"/>
  <c r="D372" i="1"/>
  <c r="C372" i="1"/>
  <c r="B372" i="1"/>
  <c r="A372" i="1"/>
  <c r="AX371" i="1"/>
  <c r="AT371" i="1"/>
  <c r="AS371" i="1"/>
  <c r="AN371" i="1"/>
  <c r="AL371" i="1"/>
  <c r="AK371" i="1"/>
  <c r="AI371" i="1"/>
  <c r="AG371" i="1"/>
  <c r="AF371" i="1"/>
  <c r="AJ371" i="1" s="1"/>
  <c r="AE371" i="1"/>
  <c r="AD371" i="1"/>
  <c r="AC371" i="1"/>
  <c r="AB371" i="1"/>
  <c r="Z371" i="1"/>
  <c r="Y371" i="1"/>
  <c r="X371" i="1"/>
  <c r="W371" i="1"/>
  <c r="V371" i="1"/>
  <c r="U371" i="1"/>
  <c r="T371" i="1"/>
  <c r="BA371" i="1" s="1"/>
  <c r="S371" i="1"/>
  <c r="R371" i="1"/>
  <c r="Q371" i="1"/>
  <c r="P371" i="1"/>
  <c r="O371" i="1"/>
  <c r="N371" i="1"/>
  <c r="AZ371" i="1" s="1"/>
  <c r="M371" i="1"/>
  <c r="L371" i="1"/>
  <c r="H371" i="1"/>
  <c r="AY371" i="1" s="1"/>
  <c r="G371" i="1"/>
  <c r="F371" i="1"/>
  <c r="E371" i="1"/>
  <c r="D371" i="1"/>
  <c r="C371" i="1"/>
  <c r="B371" i="1"/>
  <c r="A371" i="1"/>
  <c r="AV370" i="1"/>
  <c r="AU370" i="1"/>
  <c r="AT370" i="1"/>
  <c r="AS370" i="1"/>
  <c r="AR370" i="1"/>
  <c r="AN370" i="1"/>
  <c r="AL370" i="1"/>
  <c r="AX370" i="1" s="1"/>
  <c r="AK370" i="1"/>
  <c r="AJ370" i="1"/>
  <c r="AI370" i="1"/>
  <c r="AG370" i="1"/>
  <c r="AH370" i="1" s="1"/>
  <c r="AF370" i="1"/>
  <c r="AE370" i="1"/>
  <c r="AD370" i="1"/>
  <c r="AC370" i="1"/>
  <c r="AB370" i="1"/>
  <c r="AA370" i="1"/>
  <c r="Z370" i="1"/>
  <c r="Y370" i="1"/>
  <c r="X370" i="1"/>
  <c r="W370" i="1"/>
  <c r="V370" i="1"/>
  <c r="U370" i="1"/>
  <c r="T370" i="1"/>
  <c r="BA370" i="1" s="1"/>
  <c r="S370" i="1"/>
  <c r="R370" i="1"/>
  <c r="Q370" i="1"/>
  <c r="P370" i="1"/>
  <c r="O370" i="1"/>
  <c r="N370" i="1"/>
  <c r="AZ370" i="1" s="1"/>
  <c r="M370" i="1"/>
  <c r="L370" i="1"/>
  <c r="H370" i="1"/>
  <c r="AY370" i="1" s="1"/>
  <c r="G370" i="1"/>
  <c r="F370" i="1"/>
  <c r="E370" i="1"/>
  <c r="D370" i="1"/>
  <c r="C370" i="1"/>
  <c r="B370" i="1"/>
  <c r="A370" i="1"/>
  <c r="BA369" i="1"/>
  <c r="AV369" i="1"/>
  <c r="AU369" i="1"/>
  <c r="AT369" i="1"/>
  <c r="AS369" i="1"/>
  <c r="AR369" i="1"/>
  <c r="AN369" i="1"/>
  <c r="AP369" i="1" s="1"/>
  <c r="AM369" i="1"/>
  <c r="AL369" i="1"/>
  <c r="AX369" i="1" s="1"/>
  <c r="AK369" i="1"/>
  <c r="AI369" i="1"/>
  <c r="AH369" i="1"/>
  <c r="AG369" i="1"/>
  <c r="AF369" i="1"/>
  <c r="AJ369" i="1" s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P369" i="1"/>
  <c r="O369" i="1"/>
  <c r="N369" i="1"/>
  <c r="AZ369" i="1" s="1"/>
  <c r="M369" i="1"/>
  <c r="L369" i="1"/>
  <c r="H369" i="1"/>
  <c r="AY369" i="1" s="1"/>
  <c r="G369" i="1"/>
  <c r="F369" i="1"/>
  <c r="E369" i="1"/>
  <c r="D369" i="1"/>
  <c r="C369" i="1"/>
  <c r="B369" i="1"/>
  <c r="A369" i="1"/>
  <c r="BA368" i="1"/>
  <c r="AX368" i="1"/>
  <c r="AU368" i="1"/>
  <c r="AT368" i="1"/>
  <c r="AS368" i="1"/>
  <c r="AN368" i="1"/>
  <c r="AL368" i="1"/>
  <c r="AW368" i="1" s="1"/>
  <c r="AK368" i="1"/>
  <c r="AG368" i="1"/>
  <c r="AF368" i="1"/>
  <c r="AE368" i="1"/>
  <c r="AD368" i="1"/>
  <c r="AC368" i="1"/>
  <c r="AB368" i="1"/>
  <c r="Z368" i="1"/>
  <c r="Y368" i="1"/>
  <c r="X368" i="1"/>
  <c r="W368" i="1"/>
  <c r="V368" i="1"/>
  <c r="U368" i="1"/>
  <c r="T368" i="1"/>
  <c r="S368" i="1"/>
  <c r="R368" i="1"/>
  <c r="Q368" i="1"/>
  <c r="P368" i="1"/>
  <c r="O368" i="1"/>
  <c r="N368" i="1"/>
  <c r="AZ368" i="1" s="1"/>
  <c r="M368" i="1"/>
  <c r="L368" i="1"/>
  <c r="H368" i="1"/>
  <c r="AY368" i="1" s="1"/>
  <c r="G368" i="1"/>
  <c r="F368" i="1"/>
  <c r="E368" i="1"/>
  <c r="D368" i="1"/>
  <c r="C368" i="1"/>
  <c r="B368" i="1"/>
  <c r="A368" i="1"/>
  <c r="BA367" i="1"/>
  <c r="AY367" i="1"/>
  <c r="AX367" i="1"/>
  <c r="AV367" i="1"/>
  <c r="AU367" i="1"/>
  <c r="AT367" i="1"/>
  <c r="AS367" i="1"/>
  <c r="AN367" i="1"/>
  <c r="AM367" i="1"/>
  <c r="AL367" i="1"/>
  <c r="AW367" i="1" s="1"/>
  <c r="AK367" i="1"/>
  <c r="AJ367" i="1"/>
  <c r="AG367" i="1"/>
  <c r="AI367" i="1" s="1"/>
  <c r="AA367" i="1" s="1"/>
  <c r="AF367" i="1"/>
  <c r="AE367" i="1"/>
  <c r="AD367" i="1"/>
  <c r="AC367" i="1"/>
  <c r="AB367" i="1"/>
  <c r="Z367" i="1"/>
  <c r="Y367" i="1"/>
  <c r="X367" i="1"/>
  <c r="W367" i="1"/>
  <c r="V367" i="1"/>
  <c r="U367" i="1"/>
  <c r="T367" i="1"/>
  <c r="S367" i="1"/>
  <c r="R367" i="1"/>
  <c r="Q367" i="1"/>
  <c r="P367" i="1"/>
  <c r="O367" i="1"/>
  <c r="N367" i="1"/>
  <c r="AZ367" i="1" s="1"/>
  <c r="M367" i="1"/>
  <c r="L367" i="1"/>
  <c r="H367" i="1"/>
  <c r="G367" i="1"/>
  <c r="F367" i="1"/>
  <c r="E367" i="1"/>
  <c r="D367" i="1"/>
  <c r="C367" i="1"/>
  <c r="B367" i="1"/>
  <c r="A367" i="1"/>
  <c r="AZ366" i="1"/>
  <c r="AU366" i="1"/>
  <c r="AT366" i="1"/>
  <c r="AS366" i="1"/>
  <c r="AP366" i="1"/>
  <c r="AN366" i="1"/>
  <c r="AL366" i="1"/>
  <c r="AM366" i="1" s="1"/>
  <c r="AK366" i="1"/>
  <c r="AR366" i="1" s="1"/>
  <c r="AI366" i="1"/>
  <c r="AH366" i="1"/>
  <c r="AG366" i="1"/>
  <c r="AF366" i="1"/>
  <c r="AE366" i="1"/>
  <c r="AD366" i="1"/>
  <c r="AC366" i="1"/>
  <c r="AB366" i="1"/>
  <c r="AA366" i="1"/>
  <c r="AO366" i="1" s="1"/>
  <c r="Z366" i="1"/>
  <c r="Y366" i="1"/>
  <c r="X366" i="1"/>
  <c r="W366" i="1"/>
  <c r="V366" i="1"/>
  <c r="U366" i="1"/>
  <c r="T366" i="1"/>
  <c r="BA366" i="1" s="1"/>
  <c r="S366" i="1"/>
  <c r="R366" i="1"/>
  <c r="Q366" i="1"/>
  <c r="P366" i="1"/>
  <c r="O366" i="1"/>
  <c r="N366" i="1"/>
  <c r="M366" i="1"/>
  <c r="L366" i="1"/>
  <c r="H366" i="1"/>
  <c r="AY366" i="1" s="1"/>
  <c r="G366" i="1"/>
  <c r="F366" i="1"/>
  <c r="E366" i="1"/>
  <c r="D366" i="1"/>
  <c r="C366" i="1"/>
  <c r="B366" i="1"/>
  <c r="A366" i="1"/>
  <c r="BA365" i="1"/>
  <c r="AZ365" i="1"/>
  <c r="AT365" i="1"/>
  <c r="AS365" i="1"/>
  <c r="AR365" i="1"/>
  <c r="AN365" i="1"/>
  <c r="AL365" i="1"/>
  <c r="AK365" i="1"/>
  <c r="AI365" i="1"/>
  <c r="AH365" i="1"/>
  <c r="AG365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P365" i="1"/>
  <c r="O365" i="1"/>
  <c r="N365" i="1"/>
  <c r="M365" i="1"/>
  <c r="L365" i="1"/>
  <c r="H365" i="1"/>
  <c r="AY365" i="1" s="1"/>
  <c r="G365" i="1"/>
  <c r="F365" i="1"/>
  <c r="E365" i="1"/>
  <c r="D365" i="1"/>
  <c r="C365" i="1"/>
  <c r="B365" i="1"/>
  <c r="A365" i="1"/>
  <c r="BA364" i="1"/>
  <c r="AZ364" i="1"/>
  <c r="AX364" i="1"/>
  <c r="AW364" i="1"/>
  <c r="AV364" i="1"/>
  <c r="AT364" i="1"/>
  <c r="AS364" i="1"/>
  <c r="AR364" i="1"/>
  <c r="AP364" i="1"/>
  <c r="AN364" i="1"/>
  <c r="AM364" i="1"/>
  <c r="AL364" i="1"/>
  <c r="AK364" i="1"/>
  <c r="AI364" i="1"/>
  <c r="AG364" i="1"/>
  <c r="AF364" i="1"/>
  <c r="AE364" i="1"/>
  <c r="AD364" i="1"/>
  <c r="AC364" i="1"/>
  <c r="AB364" i="1"/>
  <c r="AA364" i="1"/>
  <c r="AO364" i="1" s="1"/>
  <c r="Z364" i="1"/>
  <c r="Y364" i="1"/>
  <c r="X364" i="1"/>
  <c r="W364" i="1"/>
  <c r="V364" i="1"/>
  <c r="U364" i="1"/>
  <c r="T364" i="1"/>
  <c r="S364" i="1"/>
  <c r="R364" i="1"/>
  <c r="Q364" i="1"/>
  <c r="P364" i="1"/>
  <c r="O364" i="1"/>
  <c r="N364" i="1"/>
  <c r="M364" i="1"/>
  <c r="L364" i="1"/>
  <c r="H364" i="1"/>
  <c r="AY364" i="1" s="1"/>
  <c r="G364" i="1"/>
  <c r="F364" i="1"/>
  <c r="E364" i="1"/>
  <c r="D364" i="1"/>
  <c r="C364" i="1"/>
  <c r="B364" i="1"/>
  <c r="A364" i="1"/>
  <c r="BA363" i="1"/>
  <c r="AZ363" i="1"/>
  <c r="AY363" i="1"/>
  <c r="AX363" i="1"/>
  <c r="AT363" i="1"/>
  <c r="AS363" i="1"/>
  <c r="AP363" i="1"/>
  <c r="AN363" i="1"/>
  <c r="AR363" i="1" s="1"/>
  <c r="AL363" i="1"/>
  <c r="AM363" i="1" s="1"/>
  <c r="AK363" i="1"/>
  <c r="AG363" i="1"/>
  <c r="AF363" i="1"/>
  <c r="AE363" i="1"/>
  <c r="AD363" i="1"/>
  <c r="AC363" i="1"/>
  <c r="AB363" i="1"/>
  <c r="Z363" i="1"/>
  <c r="Y363" i="1"/>
  <c r="X363" i="1"/>
  <c r="W363" i="1"/>
  <c r="V363" i="1"/>
  <c r="U363" i="1"/>
  <c r="T363" i="1"/>
  <c r="S363" i="1"/>
  <c r="R363" i="1"/>
  <c r="Q363" i="1"/>
  <c r="P363" i="1"/>
  <c r="O363" i="1"/>
  <c r="N363" i="1"/>
  <c r="M363" i="1"/>
  <c r="L363" i="1"/>
  <c r="H363" i="1"/>
  <c r="G363" i="1"/>
  <c r="F363" i="1"/>
  <c r="E363" i="1"/>
  <c r="D363" i="1"/>
  <c r="C363" i="1"/>
  <c r="B363" i="1"/>
  <c r="A363" i="1"/>
  <c r="AZ362" i="1"/>
  <c r="AX362" i="1"/>
  <c r="AV362" i="1"/>
  <c r="AT362" i="1"/>
  <c r="AS362" i="1"/>
  <c r="AR362" i="1"/>
  <c r="AP362" i="1"/>
  <c r="AN362" i="1"/>
  <c r="AM362" i="1"/>
  <c r="AL362" i="1"/>
  <c r="AW362" i="1" s="1"/>
  <c r="AK362" i="1"/>
  <c r="AJ362" i="1"/>
  <c r="AI362" i="1"/>
  <c r="AA362" i="1" s="1"/>
  <c r="AO362" i="1" s="1"/>
  <c r="AG362" i="1"/>
  <c r="AU362" i="1" s="1"/>
  <c r="AF362" i="1"/>
  <c r="AE362" i="1"/>
  <c r="AD362" i="1"/>
  <c r="AC362" i="1"/>
  <c r="AB362" i="1"/>
  <c r="Z362" i="1"/>
  <c r="Y362" i="1"/>
  <c r="X362" i="1"/>
  <c r="W362" i="1"/>
  <c r="V362" i="1"/>
  <c r="U362" i="1"/>
  <c r="T362" i="1"/>
  <c r="BA362" i="1" s="1"/>
  <c r="S362" i="1"/>
  <c r="R362" i="1"/>
  <c r="Q362" i="1"/>
  <c r="P362" i="1"/>
  <c r="O362" i="1"/>
  <c r="N362" i="1"/>
  <c r="M362" i="1"/>
  <c r="L362" i="1"/>
  <c r="H362" i="1"/>
  <c r="AY362" i="1" s="1"/>
  <c r="G362" i="1"/>
  <c r="F362" i="1"/>
  <c r="E362" i="1"/>
  <c r="D362" i="1"/>
  <c r="C362" i="1"/>
  <c r="B362" i="1"/>
  <c r="A362" i="1"/>
  <c r="BA361" i="1"/>
  <c r="AV361" i="1"/>
  <c r="AU361" i="1"/>
  <c r="AT361" i="1"/>
  <c r="AS361" i="1"/>
  <c r="AR361" i="1"/>
  <c r="AN361" i="1"/>
  <c r="AM361" i="1"/>
  <c r="AL361" i="1"/>
  <c r="AX361" i="1" s="1"/>
  <c r="AK361" i="1"/>
  <c r="AJ361" i="1"/>
  <c r="AI361" i="1"/>
  <c r="AH361" i="1"/>
  <c r="AG361" i="1"/>
  <c r="AF361" i="1"/>
  <c r="AE361" i="1"/>
  <c r="AD361" i="1"/>
  <c r="AC361" i="1"/>
  <c r="AB361" i="1"/>
  <c r="AA361" i="1"/>
  <c r="Z361" i="1"/>
  <c r="Y361" i="1"/>
  <c r="X361" i="1"/>
  <c r="W361" i="1"/>
  <c r="V361" i="1"/>
  <c r="U361" i="1"/>
  <c r="T361" i="1"/>
  <c r="S361" i="1"/>
  <c r="R361" i="1"/>
  <c r="Q361" i="1"/>
  <c r="P361" i="1"/>
  <c r="O361" i="1"/>
  <c r="N361" i="1"/>
  <c r="AZ361" i="1" s="1"/>
  <c r="M361" i="1"/>
  <c r="L361" i="1"/>
  <c r="H361" i="1"/>
  <c r="AY361" i="1" s="1"/>
  <c r="G361" i="1"/>
  <c r="F361" i="1"/>
  <c r="E361" i="1"/>
  <c r="D361" i="1"/>
  <c r="C361" i="1"/>
  <c r="B361" i="1"/>
  <c r="A361" i="1"/>
  <c r="BA360" i="1"/>
  <c r="AV360" i="1"/>
  <c r="AU360" i="1"/>
  <c r="AT360" i="1"/>
  <c r="AS360" i="1"/>
  <c r="AN360" i="1"/>
  <c r="AL360" i="1"/>
  <c r="AK360" i="1"/>
  <c r="AR360" i="1" s="1"/>
  <c r="AI360" i="1"/>
  <c r="AG360" i="1"/>
  <c r="AF360" i="1"/>
  <c r="AE360" i="1"/>
  <c r="AD360" i="1"/>
  <c r="AC360" i="1"/>
  <c r="AB360" i="1"/>
  <c r="Z360" i="1"/>
  <c r="Y360" i="1"/>
  <c r="X360" i="1"/>
  <c r="W360" i="1"/>
  <c r="V360" i="1"/>
  <c r="U360" i="1"/>
  <c r="T360" i="1"/>
  <c r="S360" i="1"/>
  <c r="R360" i="1"/>
  <c r="Q360" i="1"/>
  <c r="P360" i="1"/>
  <c r="O360" i="1"/>
  <c r="N360" i="1"/>
  <c r="AZ360" i="1" s="1"/>
  <c r="M360" i="1"/>
  <c r="L360" i="1"/>
  <c r="H360" i="1"/>
  <c r="AY360" i="1" s="1"/>
  <c r="G360" i="1"/>
  <c r="F360" i="1"/>
  <c r="E360" i="1"/>
  <c r="D360" i="1"/>
  <c r="C360" i="1"/>
  <c r="B360" i="1"/>
  <c r="A360" i="1"/>
  <c r="AY359" i="1"/>
  <c r="AX359" i="1"/>
  <c r="AV359" i="1"/>
  <c r="AU359" i="1"/>
  <c r="AT359" i="1"/>
  <c r="AS359" i="1"/>
  <c r="AN359" i="1"/>
  <c r="AL359" i="1"/>
  <c r="AK359" i="1"/>
  <c r="AJ359" i="1"/>
  <c r="AH359" i="1"/>
  <c r="AG359" i="1"/>
  <c r="AI359" i="1" s="1"/>
  <c r="AF359" i="1"/>
  <c r="AE359" i="1"/>
  <c r="AD359" i="1"/>
  <c r="AC359" i="1"/>
  <c r="AB359" i="1"/>
  <c r="Z359" i="1"/>
  <c r="Y359" i="1"/>
  <c r="X359" i="1"/>
  <c r="W359" i="1"/>
  <c r="V359" i="1"/>
  <c r="U359" i="1"/>
  <c r="T359" i="1"/>
  <c r="BA359" i="1" s="1"/>
  <c r="S359" i="1"/>
  <c r="R359" i="1"/>
  <c r="Q359" i="1"/>
  <c r="P359" i="1"/>
  <c r="O359" i="1"/>
  <c r="N359" i="1"/>
  <c r="AZ359" i="1" s="1"/>
  <c r="M359" i="1"/>
  <c r="L359" i="1"/>
  <c r="H359" i="1"/>
  <c r="G359" i="1"/>
  <c r="F359" i="1"/>
  <c r="E359" i="1"/>
  <c r="D359" i="1"/>
  <c r="C359" i="1"/>
  <c r="B359" i="1"/>
  <c r="A359" i="1"/>
  <c r="AZ358" i="1"/>
  <c r="AY358" i="1"/>
  <c r="AX358" i="1"/>
  <c r="AT358" i="1"/>
  <c r="AS358" i="1"/>
  <c r="AP358" i="1"/>
  <c r="AO358" i="1"/>
  <c r="AN358" i="1"/>
  <c r="AL358" i="1"/>
  <c r="AW358" i="1" s="1"/>
  <c r="AK358" i="1"/>
  <c r="AR358" i="1" s="1"/>
  <c r="AI358" i="1"/>
  <c r="AH358" i="1"/>
  <c r="AG358" i="1"/>
  <c r="AF358" i="1"/>
  <c r="AE358" i="1"/>
  <c r="AD358" i="1"/>
  <c r="AC358" i="1"/>
  <c r="AB358" i="1"/>
  <c r="AA358" i="1"/>
  <c r="Z358" i="1"/>
  <c r="Y358" i="1"/>
  <c r="X358" i="1"/>
  <c r="W358" i="1"/>
  <c r="V358" i="1"/>
  <c r="U358" i="1"/>
  <c r="T358" i="1"/>
  <c r="BA358" i="1" s="1"/>
  <c r="S358" i="1"/>
  <c r="R358" i="1"/>
  <c r="Q358" i="1"/>
  <c r="P358" i="1"/>
  <c r="O358" i="1"/>
  <c r="N358" i="1"/>
  <c r="M358" i="1"/>
  <c r="L358" i="1"/>
  <c r="H358" i="1"/>
  <c r="G358" i="1"/>
  <c r="F358" i="1"/>
  <c r="E358" i="1"/>
  <c r="D358" i="1"/>
  <c r="C358" i="1"/>
  <c r="B358" i="1"/>
  <c r="A358" i="1"/>
  <c r="AZ357" i="1"/>
  <c r="AX357" i="1"/>
  <c r="AV357" i="1"/>
  <c r="AT357" i="1"/>
  <c r="AS357" i="1"/>
  <c r="AR357" i="1"/>
  <c r="AP357" i="1"/>
  <c r="AN357" i="1"/>
  <c r="AM357" i="1"/>
  <c r="AL357" i="1"/>
  <c r="AW357" i="1" s="1"/>
  <c r="AK357" i="1"/>
  <c r="AJ357" i="1"/>
  <c r="AI357" i="1"/>
  <c r="AH357" i="1"/>
  <c r="AG357" i="1"/>
  <c r="AU357" i="1" s="1"/>
  <c r="AF357" i="1"/>
  <c r="AE357" i="1"/>
  <c r="AD357" i="1"/>
  <c r="AC357" i="1"/>
  <c r="AB357" i="1"/>
  <c r="AA357" i="1"/>
  <c r="AO357" i="1" s="1"/>
  <c r="Z357" i="1"/>
  <c r="Y357" i="1"/>
  <c r="X357" i="1"/>
  <c r="W357" i="1"/>
  <c r="V357" i="1"/>
  <c r="U357" i="1"/>
  <c r="T357" i="1"/>
  <c r="BA357" i="1" s="1"/>
  <c r="S357" i="1"/>
  <c r="R357" i="1"/>
  <c r="Q357" i="1"/>
  <c r="P357" i="1"/>
  <c r="O357" i="1"/>
  <c r="N357" i="1"/>
  <c r="M357" i="1"/>
  <c r="L357" i="1"/>
  <c r="H357" i="1"/>
  <c r="AY357" i="1" s="1"/>
  <c r="G357" i="1"/>
  <c r="F357" i="1"/>
  <c r="E357" i="1"/>
  <c r="D357" i="1"/>
  <c r="C357" i="1"/>
  <c r="B357" i="1"/>
  <c r="A357" i="1"/>
  <c r="BA356" i="1"/>
  <c r="AZ356" i="1"/>
  <c r="AX356" i="1"/>
  <c r="AW356" i="1"/>
  <c r="AT356" i="1"/>
  <c r="AS356" i="1"/>
  <c r="AR356" i="1"/>
  <c r="AP356" i="1"/>
  <c r="AN356" i="1"/>
  <c r="AM356" i="1"/>
  <c r="AL356" i="1"/>
  <c r="AK356" i="1"/>
  <c r="AJ356" i="1"/>
  <c r="AI356" i="1"/>
  <c r="AH356" i="1"/>
  <c r="AG356" i="1"/>
  <c r="AU356" i="1" s="1"/>
  <c r="AF356" i="1"/>
  <c r="AE356" i="1"/>
  <c r="AD356" i="1"/>
  <c r="AC356" i="1"/>
  <c r="AB356" i="1"/>
  <c r="AA356" i="1"/>
  <c r="AO356" i="1" s="1"/>
  <c r="Z356" i="1"/>
  <c r="Y356" i="1"/>
  <c r="X356" i="1"/>
  <c r="W356" i="1"/>
  <c r="V356" i="1"/>
  <c r="U356" i="1"/>
  <c r="T356" i="1"/>
  <c r="S356" i="1"/>
  <c r="R356" i="1"/>
  <c r="Q356" i="1"/>
  <c r="P356" i="1"/>
  <c r="O356" i="1"/>
  <c r="N356" i="1"/>
  <c r="M356" i="1"/>
  <c r="L356" i="1"/>
  <c r="H356" i="1"/>
  <c r="AY356" i="1" s="1"/>
  <c r="G356" i="1"/>
  <c r="F356" i="1"/>
  <c r="E356" i="1"/>
  <c r="D356" i="1"/>
  <c r="C356" i="1"/>
  <c r="B356" i="1"/>
  <c r="A356" i="1"/>
  <c r="BA355" i="1"/>
  <c r="AY355" i="1"/>
  <c r="AW355" i="1"/>
  <c r="AU355" i="1"/>
  <c r="AT355" i="1"/>
  <c r="AS355" i="1"/>
  <c r="AN355" i="1"/>
  <c r="AL355" i="1"/>
  <c r="AK355" i="1"/>
  <c r="AR355" i="1" s="1"/>
  <c r="AH355" i="1"/>
  <c r="AG355" i="1"/>
  <c r="AF355" i="1"/>
  <c r="AE355" i="1"/>
  <c r="AD355" i="1"/>
  <c r="AC355" i="1"/>
  <c r="AB355" i="1"/>
  <c r="Z355" i="1"/>
  <c r="Y355" i="1"/>
  <c r="X355" i="1"/>
  <c r="W355" i="1"/>
  <c r="V355" i="1"/>
  <c r="U355" i="1"/>
  <c r="T355" i="1"/>
  <c r="S355" i="1"/>
  <c r="R355" i="1"/>
  <c r="Q355" i="1"/>
  <c r="P355" i="1"/>
  <c r="O355" i="1"/>
  <c r="N355" i="1"/>
  <c r="AZ355" i="1" s="1"/>
  <c r="M355" i="1"/>
  <c r="L355" i="1"/>
  <c r="H355" i="1"/>
  <c r="G355" i="1"/>
  <c r="F355" i="1"/>
  <c r="E355" i="1"/>
  <c r="D355" i="1"/>
  <c r="C355" i="1"/>
  <c r="B355" i="1"/>
  <c r="A355" i="1"/>
  <c r="BA354" i="1"/>
  <c r="AY354" i="1"/>
  <c r="AT354" i="1"/>
  <c r="AS354" i="1"/>
  <c r="AP354" i="1"/>
  <c r="AN354" i="1"/>
  <c r="AL354" i="1"/>
  <c r="AK354" i="1"/>
  <c r="AR354" i="1" s="1"/>
  <c r="AG354" i="1"/>
  <c r="AF354" i="1"/>
  <c r="AE354" i="1"/>
  <c r="AD354" i="1"/>
  <c r="AC354" i="1"/>
  <c r="AB354" i="1"/>
  <c r="Z354" i="1"/>
  <c r="Y354" i="1"/>
  <c r="X354" i="1"/>
  <c r="W354" i="1"/>
  <c r="V354" i="1"/>
  <c r="U354" i="1"/>
  <c r="T354" i="1"/>
  <c r="S354" i="1"/>
  <c r="R354" i="1"/>
  <c r="Q354" i="1"/>
  <c r="P354" i="1"/>
  <c r="O354" i="1"/>
  <c r="N354" i="1"/>
  <c r="AZ354" i="1" s="1"/>
  <c r="M354" i="1"/>
  <c r="L354" i="1"/>
  <c r="H354" i="1"/>
  <c r="G354" i="1"/>
  <c r="F354" i="1"/>
  <c r="E354" i="1"/>
  <c r="D354" i="1"/>
  <c r="C354" i="1"/>
  <c r="B354" i="1"/>
  <c r="A354" i="1"/>
  <c r="AZ353" i="1"/>
  <c r="AY353" i="1"/>
  <c r="AW353" i="1"/>
  <c r="AV353" i="1"/>
  <c r="AU353" i="1"/>
  <c r="AT353" i="1"/>
  <c r="AS353" i="1"/>
  <c r="AP353" i="1"/>
  <c r="AN353" i="1"/>
  <c r="AR353" i="1" s="1"/>
  <c r="AM353" i="1"/>
  <c r="AL353" i="1"/>
  <c r="AX353" i="1" s="1"/>
  <c r="AK353" i="1"/>
  <c r="AI353" i="1"/>
  <c r="AH353" i="1"/>
  <c r="AG353" i="1"/>
  <c r="AF353" i="1"/>
  <c r="AE353" i="1"/>
  <c r="AD353" i="1"/>
  <c r="AC353" i="1"/>
  <c r="AB353" i="1"/>
  <c r="Z353" i="1"/>
  <c r="Y353" i="1"/>
  <c r="X353" i="1"/>
  <c r="W353" i="1"/>
  <c r="V353" i="1"/>
  <c r="U353" i="1"/>
  <c r="T353" i="1"/>
  <c r="BA353" i="1" s="1"/>
  <c r="S353" i="1"/>
  <c r="R353" i="1"/>
  <c r="Q353" i="1"/>
  <c r="P353" i="1"/>
  <c r="O353" i="1"/>
  <c r="N353" i="1"/>
  <c r="M353" i="1"/>
  <c r="L353" i="1"/>
  <c r="H353" i="1"/>
  <c r="G353" i="1"/>
  <c r="F353" i="1"/>
  <c r="E353" i="1"/>
  <c r="D353" i="1"/>
  <c r="C353" i="1"/>
  <c r="B353" i="1"/>
  <c r="A353" i="1"/>
  <c r="AW352" i="1"/>
  <c r="AV352" i="1"/>
  <c r="AU352" i="1"/>
  <c r="AT352" i="1"/>
  <c r="AS352" i="1"/>
  <c r="AN352" i="1"/>
  <c r="AM352" i="1"/>
  <c r="AL352" i="1"/>
  <c r="AX352" i="1" s="1"/>
  <c r="AK352" i="1"/>
  <c r="AJ352" i="1"/>
  <c r="AI352" i="1"/>
  <c r="AA352" i="1" s="1"/>
  <c r="AO352" i="1" s="1"/>
  <c r="AG352" i="1"/>
  <c r="AH352" i="1" s="1"/>
  <c r="AF352" i="1"/>
  <c r="AE352" i="1"/>
  <c r="AD352" i="1"/>
  <c r="AC352" i="1"/>
  <c r="AB352" i="1"/>
  <c r="Z352" i="1"/>
  <c r="Y352" i="1"/>
  <c r="X352" i="1"/>
  <c r="W352" i="1"/>
  <c r="V352" i="1"/>
  <c r="U352" i="1"/>
  <c r="T352" i="1"/>
  <c r="BA352" i="1" s="1"/>
  <c r="S352" i="1"/>
  <c r="R352" i="1"/>
  <c r="Q352" i="1"/>
  <c r="P352" i="1"/>
  <c r="O352" i="1"/>
  <c r="N352" i="1"/>
  <c r="AZ352" i="1" s="1"/>
  <c r="M352" i="1"/>
  <c r="L352" i="1"/>
  <c r="H352" i="1"/>
  <c r="AY352" i="1" s="1"/>
  <c r="G352" i="1"/>
  <c r="F352" i="1"/>
  <c r="E352" i="1"/>
  <c r="D352" i="1"/>
  <c r="C352" i="1"/>
  <c r="B352" i="1"/>
  <c r="A352" i="1"/>
  <c r="BA351" i="1"/>
  <c r="AY351" i="1"/>
  <c r="AV351" i="1"/>
  <c r="AU351" i="1"/>
  <c r="AT351" i="1"/>
  <c r="AS351" i="1"/>
  <c r="AN351" i="1"/>
  <c r="AL351" i="1"/>
  <c r="AK351" i="1"/>
  <c r="AJ351" i="1"/>
  <c r="AG351" i="1"/>
  <c r="AF351" i="1"/>
  <c r="AE351" i="1"/>
  <c r="AD351" i="1"/>
  <c r="AC351" i="1"/>
  <c r="AB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AZ351" i="1" s="1"/>
  <c r="M351" i="1"/>
  <c r="L351" i="1"/>
  <c r="H351" i="1"/>
  <c r="G351" i="1"/>
  <c r="F351" i="1"/>
  <c r="E351" i="1"/>
  <c r="D351" i="1"/>
  <c r="C351" i="1"/>
  <c r="B351" i="1"/>
  <c r="A351" i="1"/>
  <c r="AZ350" i="1"/>
  <c r="AY350" i="1"/>
  <c r="AX350" i="1"/>
  <c r="AW350" i="1"/>
  <c r="AT350" i="1"/>
  <c r="AS350" i="1"/>
  <c r="AN350" i="1"/>
  <c r="AR350" i="1" s="1"/>
  <c r="AM350" i="1"/>
  <c r="AL350" i="1"/>
  <c r="AK350" i="1"/>
  <c r="AH350" i="1"/>
  <c r="AG350" i="1"/>
  <c r="AF350" i="1"/>
  <c r="AE350" i="1"/>
  <c r="AD350" i="1"/>
  <c r="AC350" i="1"/>
  <c r="AB350" i="1"/>
  <c r="Z350" i="1"/>
  <c r="Y350" i="1"/>
  <c r="X350" i="1"/>
  <c r="W350" i="1"/>
  <c r="V350" i="1"/>
  <c r="U350" i="1"/>
  <c r="T350" i="1"/>
  <c r="BA350" i="1" s="1"/>
  <c r="S350" i="1"/>
  <c r="R350" i="1"/>
  <c r="Q350" i="1"/>
  <c r="P350" i="1"/>
  <c r="O350" i="1"/>
  <c r="N350" i="1"/>
  <c r="M350" i="1"/>
  <c r="L350" i="1"/>
  <c r="H350" i="1"/>
  <c r="G350" i="1"/>
  <c r="F350" i="1"/>
  <c r="E350" i="1"/>
  <c r="D350" i="1"/>
  <c r="C350" i="1"/>
  <c r="B350" i="1"/>
  <c r="A350" i="1"/>
  <c r="AZ349" i="1"/>
  <c r="AY349" i="1"/>
  <c r="AX349" i="1"/>
  <c r="AW349" i="1"/>
  <c r="AV349" i="1"/>
  <c r="AT349" i="1"/>
  <c r="AS349" i="1"/>
  <c r="AN349" i="1"/>
  <c r="AM349" i="1"/>
  <c r="AL349" i="1"/>
  <c r="AK349" i="1"/>
  <c r="AI349" i="1"/>
  <c r="AH349" i="1"/>
  <c r="AG349" i="1"/>
  <c r="AU349" i="1" s="1"/>
  <c r="AF349" i="1"/>
  <c r="AE349" i="1"/>
  <c r="AD349" i="1"/>
  <c r="AC349" i="1"/>
  <c r="AB349" i="1"/>
  <c r="Z349" i="1"/>
  <c r="Y349" i="1"/>
  <c r="X349" i="1"/>
  <c r="W349" i="1"/>
  <c r="V349" i="1"/>
  <c r="U349" i="1"/>
  <c r="T349" i="1"/>
  <c r="BA349" i="1" s="1"/>
  <c r="S349" i="1"/>
  <c r="R349" i="1"/>
  <c r="Q349" i="1"/>
  <c r="P349" i="1"/>
  <c r="O349" i="1"/>
  <c r="N349" i="1"/>
  <c r="M349" i="1"/>
  <c r="L349" i="1"/>
  <c r="H349" i="1"/>
  <c r="G349" i="1"/>
  <c r="F349" i="1"/>
  <c r="E349" i="1"/>
  <c r="D349" i="1"/>
  <c r="C349" i="1"/>
  <c r="B349" i="1"/>
  <c r="A349" i="1"/>
  <c r="AZ348" i="1"/>
  <c r="AY348" i="1"/>
  <c r="AX348" i="1"/>
  <c r="AW348" i="1"/>
  <c r="AT348" i="1"/>
  <c r="AS348" i="1"/>
  <c r="AN348" i="1"/>
  <c r="AM348" i="1"/>
  <c r="AL348" i="1"/>
  <c r="AK348" i="1"/>
  <c r="AI348" i="1"/>
  <c r="AH348" i="1"/>
  <c r="AG348" i="1"/>
  <c r="AF348" i="1"/>
  <c r="AE348" i="1"/>
  <c r="AD348" i="1"/>
  <c r="AC348" i="1"/>
  <c r="AB348" i="1"/>
  <c r="Z348" i="1"/>
  <c r="Y348" i="1"/>
  <c r="X348" i="1"/>
  <c r="W348" i="1"/>
  <c r="V348" i="1"/>
  <c r="U348" i="1"/>
  <c r="T348" i="1"/>
  <c r="BA348" i="1" s="1"/>
  <c r="S348" i="1"/>
  <c r="R348" i="1"/>
  <c r="Q348" i="1"/>
  <c r="P348" i="1"/>
  <c r="O348" i="1"/>
  <c r="N348" i="1"/>
  <c r="M348" i="1"/>
  <c r="L348" i="1"/>
  <c r="H348" i="1"/>
  <c r="G348" i="1"/>
  <c r="F348" i="1"/>
  <c r="E348" i="1"/>
  <c r="D348" i="1"/>
  <c r="C348" i="1"/>
  <c r="B348" i="1"/>
  <c r="A348" i="1"/>
  <c r="BA347" i="1"/>
  <c r="AZ347" i="1"/>
  <c r="AX347" i="1"/>
  <c r="AW347" i="1"/>
  <c r="AT347" i="1"/>
  <c r="AS347" i="1"/>
  <c r="AR347" i="1"/>
  <c r="AN347" i="1"/>
  <c r="AL347" i="1"/>
  <c r="AK347" i="1"/>
  <c r="AI347" i="1"/>
  <c r="AH347" i="1"/>
  <c r="AG347" i="1"/>
  <c r="AF347" i="1"/>
  <c r="AE347" i="1"/>
  <c r="AD347" i="1"/>
  <c r="AC347" i="1"/>
  <c r="AB347" i="1"/>
  <c r="AA347" i="1"/>
  <c r="AO347" i="1" s="1"/>
  <c r="Z347" i="1"/>
  <c r="Y347" i="1"/>
  <c r="X347" i="1"/>
  <c r="W347" i="1"/>
  <c r="V347" i="1"/>
  <c r="U347" i="1"/>
  <c r="T347" i="1"/>
  <c r="S347" i="1"/>
  <c r="R347" i="1"/>
  <c r="Q347" i="1"/>
  <c r="P347" i="1"/>
  <c r="O347" i="1"/>
  <c r="N347" i="1"/>
  <c r="M347" i="1"/>
  <c r="L347" i="1"/>
  <c r="H347" i="1"/>
  <c r="AY347" i="1" s="1"/>
  <c r="G347" i="1"/>
  <c r="F347" i="1"/>
  <c r="E347" i="1"/>
  <c r="D347" i="1"/>
  <c r="C347" i="1"/>
  <c r="B347" i="1"/>
  <c r="A347" i="1"/>
  <c r="BA346" i="1"/>
  <c r="AZ346" i="1"/>
  <c r="AX346" i="1"/>
  <c r="AT346" i="1"/>
  <c r="AS346" i="1"/>
  <c r="AR346" i="1"/>
  <c r="AP346" i="1"/>
  <c r="AN346" i="1"/>
  <c r="AM346" i="1"/>
  <c r="AL346" i="1"/>
  <c r="AW346" i="1" s="1"/>
  <c r="AK346" i="1"/>
  <c r="AI346" i="1"/>
  <c r="AH346" i="1"/>
  <c r="AG346" i="1"/>
  <c r="AF346" i="1"/>
  <c r="AE346" i="1"/>
  <c r="AD346" i="1"/>
  <c r="AC346" i="1"/>
  <c r="AB346" i="1"/>
  <c r="AA346" i="1"/>
  <c r="AO346" i="1" s="1"/>
  <c r="Z346" i="1"/>
  <c r="Y346" i="1"/>
  <c r="X346" i="1"/>
  <c r="W346" i="1"/>
  <c r="V346" i="1"/>
  <c r="U346" i="1"/>
  <c r="T346" i="1"/>
  <c r="S346" i="1"/>
  <c r="R346" i="1"/>
  <c r="Q346" i="1"/>
  <c r="P346" i="1"/>
  <c r="O346" i="1"/>
  <c r="N346" i="1"/>
  <c r="M346" i="1"/>
  <c r="L346" i="1"/>
  <c r="H346" i="1"/>
  <c r="AY346" i="1" s="1"/>
  <c r="G346" i="1"/>
  <c r="F346" i="1"/>
  <c r="E346" i="1"/>
  <c r="D346" i="1"/>
  <c r="C346" i="1"/>
  <c r="B346" i="1"/>
  <c r="A346" i="1"/>
  <c r="BA345" i="1"/>
  <c r="AZ345" i="1"/>
  <c r="AY345" i="1"/>
  <c r="AW345" i="1"/>
  <c r="AV345" i="1"/>
  <c r="AU345" i="1"/>
  <c r="AT345" i="1"/>
  <c r="AS345" i="1"/>
  <c r="AR345" i="1"/>
  <c r="AP345" i="1"/>
  <c r="AN345" i="1"/>
  <c r="AM345" i="1"/>
  <c r="AL345" i="1"/>
  <c r="AX345" i="1" s="1"/>
  <c r="AK345" i="1"/>
  <c r="AI345" i="1"/>
  <c r="AH345" i="1"/>
  <c r="AG345" i="1"/>
  <c r="AF345" i="1"/>
  <c r="AE345" i="1"/>
  <c r="AD345" i="1"/>
  <c r="AC345" i="1"/>
  <c r="AB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H345" i="1"/>
  <c r="G345" i="1"/>
  <c r="F345" i="1"/>
  <c r="E345" i="1"/>
  <c r="D345" i="1"/>
  <c r="C345" i="1"/>
  <c r="B345" i="1"/>
  <c r="A345" i="1"/>
  <c r="AW344" i="1"/>
  <c r="AV344" i="1"/>
  <c r="AU344" i="1"/>
  <c r="AT344" i="1"/>
  <c r="AS344" i="1"/>
  <c r="AN344" i="1"/>
  <c r="AL344" i="1"/>
  <c r="AK344" i="1"/>
  <c r="AJ344" i="1"/>
  <c r="AG344" i="1"/>
  <c r="AH344" i="1" s="1"/>
  <c r="AF344" i="1"/>
  <c r="AE344" i="1"/>
  <c r="AD344" i="1"/>
  <c r="AC344" i="1"/>
  <c r="AB344" i="1"/>
  <c r="Z344" i="1"/>
  <c r="Y344" i="1"/>
  <c r="X344" i="1"/>
  <c r="W344" i="1"/>
  <c r="V344" i="1"/>
  <c r="U344" i="1"/>
  <c r="T344" i="1"/>
  <c r="BA344" i="1" s="1"/>
  <c r="S344" i="1"/>
  <c r="R344" i="1"/>
  <c r="Q344" i="1"/>
  <c r="P344" i="1"/>
  <c r="O344" i="1"/>
  <c r="N344" i="1"/>
  <c r="AZ344" i="1" s="1"/>
  <c r="M344" i="1"/>
  <c r="L344" i="1"/>
  <c r="H344" i="1"/>
  <c r="AY344" i="1" s="1"/>
  <c r="G344" i="1"/>
  <c r="F344" i="1"/>
  <c r="E344" i="1"/>
  <c r="D344" i="1"/>
  <c r="C344" i="1"/>
  <c r="B344" i="1"/>
  <c r="A344" i="1"/>
  <c r="AY343" i="1"/>
  <c r="AV343" i="1"/>
  <c r="AU343" i="1"/>
  <c r="AT343" i="1"/>
  <c r="AS343" i="1"/>
  <c r="AN343" i="1"/>
  <c r="AM343" i="1"/>
  <c r="AL343" i="1"/>
  <c r="AX343" i="1" s="1"/>
  <c r="AK343" i="1"/>
  <c r="AJ343" i="1"/>
  <c r="AH343" i="1"/>
  <c r="AG343" i="1"/>
  <c r="AI343" i="1" s="1"/>
  <c r="AA343" i="1" s="1"/>
  <c r="AF343" i="1"/>
  <c r="AE343" i="1"/>
  <c r="AD343" i="1"/>
  <c r="AC343" i="1"/>
  <c r="AB343" i="1"/>
  <c r="Z343" i="1"/>
  <c r="Y343" i="1"/>
  <c r="X343" i="1"/>
  <c r="W343" i="1"/>
  <c r="V343" i="1"/>
  <c r="U343" i="1"/>
  <c r="T343" i="1"/>
  <c r="BA343" i="1" s="1"/>
  <c r="S343" i="1"/>
  <c r="R343" i="1"/>
  <c r="Q343" i="1"/>
  <c r="P343" i="1"/>
  <c r="O343" i="1"/>
  <c r="N343" i="1"/>
  <c r="AZ343" i="1" s="1"/>
  <c r="M343" i="1"/>
  <c r="L343" i="1"/>
  <c r="H343" i="1"/>
  <c r="G343" i="1"/>
  <c r="F343" i="1"/>
  <c r="E343" i="1"/>
  <c r="D343" i="1"/>
  <c r="C343" i="1"/>
  <c r="B343" i="1"/>
  <c r="A343" i="1"/>
  <c r="AZ342" i="1"/>
  <c r="AX342" i="1"/>
  <c r="AW342" i="1"/>
  <c r="AT342" i="1"/>
  <c r="AS342" i="1"/>
  <c r="AR342" i="1"/>
  <c r="AP342" i="1"/>
  <c r="AN342" i="1"/>
  <c r="AL342" i="1"/>
  <c r="AM342" i="1" s="1"/>
  <c r="AK342" i="1"/>
  <c r="AG342" i="1"/>
  <c r="AF342" i="1"/>
  <c r="AE342" i="1"/>
  <c r="AD342" i="1"/>
  <c r="AC342" i="1"/>
  <c r="AB342" i="1"/>
  <c r="Z342" i="1"/>
  <c r="Y342" i="1"/>
  <c r="X342" i="1"/>
  <c r="W342" i="1"/>
  <c r="V342" i="1"/>
  <c r="U342" i="1"/>
  <c r="T342" i="1"/>
  <c r="BA342" i="1" s="1"/>
  <c r="S342" i="1"/>
  <c r="R342" i="1"/>
  <c r="Q342" i="1"/>
  <c r="P342" i="1"/>
  <c r="O342" i="1"/>
  <c r="N342" i="1"/>
  <c r="M342" i="1"/>
  <c r="L342" i="1"/>
  <c r="H342" i="1"/>
  <c r="AY342" i="1" s="1"/>
  <c r="G342" i="1"/>
  <c r="F342" i="1"/>
  <c r="E342" i="1"/>
  <c r="D342" i="1"/>
  <c r="C342" i="1"/>
  <c r="B342" i="1"/>
  <c r="A342" i="1"/>
  <c r="BA341" i="1"/>
  <c r="AZ341" i="1"/>
  <c r="AY341" i="1"/>
  <c r="AX341" i="1"/>
  <c r="AW341" i="1"/>
  <c r="AT341" i="1"/>
  <c r="AS341" i="1"/>
  <c r="AP341" i="1"/>
  <c r="AN341" i="1"/>
  <c r="AR341" i="1" s="1"/>
  <c r="AL341" i="1"/>
  <c r="AM341" i="1" s="1"/>
  <c r="AK341" i="1"/>
  <c r="AG341" i="1"/>
  <c r="AF341" i="1"/>
  <c r="AE341" i="1"/>
  <c r="AD341" i="1"/>
  <c r="AC341" i="1"/>
  <c r="AB341" i="1"/>
  <c r="Z341" i="1"/>
  <c r="Y341" i="1"/>
  <c r="X341" i="1"/>
  <c r="W341" i="1"/>
  <c r="V341" i="1"/>
  <c r="U341" i="1"/>
  <c r="T341" i="1"/>
  <c r="S341" i="1"/>
  <c r="R341" i="1"/>
  <c r="Q341" i="1"/>
  <c r="P341" i="1"/>
  <c r="O341" i="1"/>
  <c r="N341" i="1"/>
  <c r="M341" i="1"/>
  <c r="L341" i="1"/>
  <c r="H341" i="1"/>
  <c r="G341" i="1"/>
  <c r="F341" i="1"/>
  <c r="E341" i="1"/>
  <c r="D341" i="1"/>
  <c r="C341" i="1"/>
  <c r="B341" i="1"/>
  <c r="A341" i="1"/>
  <c r="BA340" i="1"/>
  <c r="AZ340" i="1"/>
  <c r="AY340" i="1"/>
  <c r="AX340" i="1"/>
  <c r="AW340" i="1"/>
  <c r="AT340" i="1"/>
  <c r="AS340" i="1"/>
  <c r="AN340" i="1"/>
  <c r="AM340" i="1"/>
  <c r="AL340" i="1"/>
  <c r="AK340" i="1"/>
  <c r="AI340" i="1"/>
  <c r="AH340" i="1"/>
  <c r="AG340" i="1"/>
  <c r="AF340" i="1"/>
  <c r="AE340" i="1"/>
  <c r="AD340" i="1"/>
  <c r="AC340" i="1"/>
  <c r="AB340" i="1"/>
  <c r="Z340" i="1"/>
  <c r="Y340" i="1"/>
  <c r="X340" i="1"/>
  <c r="W340" i="1"/>
  <c r="V340" i="1"/>
  <c r="U340" i="1"/>
  <c r="T340" i="1"/>
  <c r="S340" i="1"/>
  <c r="R340" i="1"/>
  <c r="Q340" i="1"/>
  <c r="P340" i="1"/>
  <c r="O340" i="1"/>
  <c r="N340" i="1"/>
  <c r="M340" i="1"/>
  <c r="L340" i="1"/>
  <c r="H340" i="1"/>
  <c r="G340" i="1"/>
  <c r="F340" i="1"/>
  <c r="E340" i="1"/>
  <c r="D340" i="1"/>
  <c r="C340" i="1"/>
  <c r="B340" i="1"/>
  <c r="A340" i="1"/>
  <c r="AZ339" i="1"/>
  <c r="AX339" i="1"/>
  <c r="AT339" i="1"/>
  <c r="AS339" i="1"/>
  <c r="AR339" i="1"/>
  <c r="AN339" i="1"/>
  <c r="AP339" i="1" s="1"/>
  <c r="AL339" i="1"/>
  <c r="AM339" i="1" s="1"/>
  <c r="AK339" i="1"/>
  <c r="AJ339" i="1"/>
  <c r="AI339" i="1"/>
  <c r="AH339" i="1"/>
  <c r="AG339" i="1"/>
  <c r="AF339" i="1"/>
  <c r="AE339" i="1"/>
  <c r="AD339" i="1"/>
  <c r="AC339" i="1"/>
  <c r="AB339" i="1"/>
  <c r="AA339" i="1"/>
  <c r="AO339" i="1" s="1"/>
  <c r="Z339" i="1"/>
  <c r="Y339" i="1"/>
  <c r="X339" i="1"/>
  <c r="W339" i="1"/>
  <c r="V339" i="1"/>
  <c r="U339" i="1"/>
  <c r="T339" i="1"/>
  <c r="BA339" i="1" s="1"/>
  <c r="S339" i="1"/>
  <c r="R339" i="1"/>
  <c r="Q339" i="1"/>
  <c r="P339" i="1"/>
  <c r="O339" i="1"/>
  <c r="N339" i="1"/>
  <c r="M339" i="1"/>
  <c r="L339" i="1"/>
  <c r="H339" i="1"/>
  <c r="AY339" i="1" s="1"/>
  <c r="G339" i="1"/>
  <c r="F339" i="1"/>
  <c r="E339" i="1"/>
  <c r="D339" i="1"/>
  <c r="C339" i="1"/>
  <c r="B339" i="1"/>
  <c r="A339" i="1"/>
  <c r="BA338" i="1"/>
  <c r="AZ338" i="1"/>
  <c r="AY338" i="1"/>
  <c r="AX338" i="1"/>
  <c r="AT338" i="1"/>
  <c r="AS338" i="1"/>
  <c r="AR338" i="1"/>
  <c r="AP338" i="1"/>
  <c r="AN338" i="1"/>
  <c r="AM338" i="1"/>
  <c r="AL338" i="1"/>
  <c r="AW338" i="1" s="1"/>
  <c r="AK338" i="1"/>
  <c r="AH338" i="1"/>
  <c r="AG338" i="1"/>
  <c r="AU338" i="1" s="1"/>
  <c r="AF338" i="1"/>
  <c r="AE338" i="1"/>
  <c r="AD338" i="1"/>
  <c r="AC338" i="1"/>
  <c r="AB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H338" i="1"/>
  <c r="G338" i="1"/>
  <c r="F338" i="1"/>
  <c r="E338" i="1"/>
  <c r="D338" i="1"/>
  <c r="C338" i="1"/>
  <c r="B338" i="1"/>
  <c r="A338" i="1"/>
  <c r="BA337" i="1"/>
  <c r="AZ337" i="1"/>
  <c r="AY337" i="1"/>
  <c r="AW337" i="1"/>
  <c r="AV337" i="1"/>
  <c r="AU337" i="1"/>
  <c r="AT337" i="1"/>
  <c r="AS337" i="1"/>
  <c r="AP337" i="1"/>
  <c r="AN337" i="1"/>
  <c r="AR337" i="1" s="1"/>
  <c r="AM337" i="1"/>
  <c r="AL337" i="1"/>
  <c r="AX337" i="1" s="1"/>
  <c r="AK337" i="1"/>
  <c r="AI337" i="1"/>
  <c r="AH337" i="1"/>
  <c r="AG337" i="1"/>
  <c r="AF337" i="1"/>
  <c r="AE337" i="1"/>
  <c r="AD337" i="1"/>
  <c r="AC337" i="1"/>
  <c r="AB337" i="1"/>
  <c r="Z337" i="1"/>
  <c r="Y337" i="1"/>
  <c r="X337" i="1"/>
  <c r="W337" i="1"/>
  <c r="V337" i="1"/>
  <c r="U337" i="1"/>
  <c r="T337" i="1"/>
  <c r="S337" i="1"/>
  <c r="R337" i="1"/>
  <c r="Q337" i="1"/>
  <c r="P337" i="1"/>
  <c r="O337" i="1"/>
  <c r="N337" i="1"/>
  <c r="M337" i="1"/>
  <c r="L337" i="1"/>
  <c r="H337" i="1"/>
  <c r="G337" i="1"/>
  <c r="F337" i="1"/>
  <c r="E337" i="1"/>
  <c r="D337" i="1"/>
  <c r="C337" i="1"/>
  <c r="B337" i="1"/>
  <c r="A337" i="1"/>
  <c r="AZ336" i="1"/>
  <c r="AV336" i="1"/>
  <c r="AU336" i="1"/>
  <c r="AT336" i="1"/>
  <c r="AS336" i="1"/>
  <c r="AN336" i="1"/>
  <c r="AL336" i="1"/>
  <c r="AX336" i="1" s="1"/>
  <c r="AK336" i="1"/>
  <c r="AG336" i="1"/>
  <c r="AF336" i="1"/>
  <c r="AE336" i="1"/>
  <c r="AD336" i="1"/>
  <c r="AC336" i="1"/>
  <c r="AB336" i="1"/>
  <c r="Z336" i="1"/>
  <c r="Y336" i="1"/>
  <c r="X336" i="1"/>
  <c r="W336" i="1"/>
  <c r="V336" i="1"/>
  <c r="U336" i="1"/>
  <c r="T336" i="1"/>
  <c r="BA336" i="1" s="1"/>
  <c r="S336" i="1"/>
  <c r="R336" i="1"/>
  <c r="Q336" i="1"/>
  <c r="P336" i="1"/>
  <c r="O336" i="1"/>
  <c r="N336" i="1"/>
  <c r="M336" i="1"/>
  <c r="L336" i="1"/>
  <c r="H336" i="1"/>
  <c r="AY336" i="1" s="1"/>
  <c r="G336" i="1"/>
  <c r="F336" i="1"/>
  <c r="E336" i="1"/>
  <c r="D336" i="1"/>
  <c r="C336" i="1"/>
  <c r="B336" i="1"/>
  <c r="A336" i="1"/>
  <c r="AY335" i="1"/>
  <c r="AV335" i="1"/>
  <c r="AU335" i="1"/>
  <c r="AT335" i="1"/>
  <c r="AS335" i="1"/>
  <c r="AN335" i="1"/>
  <c r="AL335" i="1"/>
  <c r="AM335" i="1" s="1"/>
  <c r="AK335" i="1"/>
  <c r="AJ335" i="1"/>
  <c r="AH335" i="1"/>
  <c r="AG335" i="1"/>
  <c r="AI335" i="1" s="1"/>
  <c r="AA335" i="1" s="1"/>
  <c r="AF335" i="1"/>
  <c r="AE335" i="1"/>
  <c r="AD335" i="1"/>
  <c r="AC335" i="1"/>
  <c r="AB335" i="1"/>
  <c r="Z335" i="1"/>
  <c r="Y335" i="1"/>
  <c r="X335" i="1"/>
  <c r="W335" i="1"/>
  <c r="V335" i="1"/>
  <c r="U335" i="1"/>
  <c r="T335" i="1"/>
  <c r="BA335" i="1" s="1"/>
  <c r="S335" i="1"/>
  <c r="R335" i="1"/>
  <c r="Q335" i="1"/>
  <c r="P335" i="1"/>
  <c r="O335" i="1"/>
  <c r="N335" i="1"/>
  <c r="AZ335" i="1" s="1"/>
  <c r="M335" i="1"/>
  <c r="L335" i="1"/>
  <c r="H335" i="1"/>
  <c r="G335" i="1"/>
  <c r="F335" i="1"/>
  <c r="E335" i="1"/>
  <c r="D335" i="1"/>
  <c r="C335" i="1"/>
  <c r="B335" i="1"/>
  <c r="A335" i="1"/>
  <c r="AZ334" i="1"/>
  <c r="AX334" i="1"/>
  <c r="AT334" i="1"/>
  <c r="AS334" i="1"/>
  <c r="AR334" i="1"/>
  <c r="AP334" i="1"/>
  <c r="AN334" i="1"/>
  <c r="AL334" i="1"/>
  <c r="AK334" i="1"/>
  <c r="AH334" i="1"/>
  <c r="AG334" i="1"/>
  <c r="AF334" i="1"/>
  <c r="AE334" i="1"/>
  <c r="AD334" i="1"/>
  <c r="AC334" i="1"/>
  <c r="AB334" i="1"/>
  <c r="Z334" i="1"/>
  <c r="Y334" i="1"/>
  <c r="X334" i="1"/>
  <c r="W334" i="1"/>
  <c r="V334" i="1"/>
  <c r="U334" i="1"/>
  <c r="T334" i="1"/>
  <c r="BA334" i="1" s="1"/>
  <c r="S334" i="1"/>
  <c r="R334" i="1"/>
  <c r="Q334" i="1"/>
  <c r="P334" i="1"/>
  <c r="O334" i="1"/>
  <c r="N334" i="1"/>
  <c r="M334" i="1"/>
  <c r="L334" i="1"/>
  <c r="H334" i="1"/>
  <c r="AY334" i="1" s="1"/>
  <c r="G334" i="1"/>
  <c r="F334" i="1"/>
  <c r="E334" i="1"/>
  <c r="D334" i="1"/>
  <c r="C334" i="1"/>
  <c r="B334" i="1"/>
  <c r="A334" i="1"/>
  <c r="BA333" i="1"/>
  <c r="AZ333" i="1"/>
  <c r="AY333" i="1"/>
  <c r="AT333" i="1"/>
  <c r="AS333" i="1"/>
  <c r="AN333" i="1"/>
  <c r="AL333" i="1"/>
  <c r="AM333" i="1" s="1"/>
  <c r="AK333" i="1"/>
  <c r="AG333" i="1"/>
  <c r="AF333" i="1"/>
  <c r="AE333" i="1"/>
  <c r="AD333" i="1"/>
  <c r="AC333" i="1"/>
  <c r="AB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H333" i="1"/>
  <c r="G333" i="1"/>
  <c r="F333" i="1"/>
  <c r="E333" i="1"/>
  <c r="D333" i="1"/>
  <c r="C333" i="1"/>
  <c r="B333" i="1"/>
  <c r="A333" i="1"/>
  <c r="AZ332" i="1"/>
  <c r="AY332" i="1"/>
  <c r="AX332" i="1"/>
  <c r="AW332" i="1"/>
  <c r="AV332" i="1"/>
  <c r="AT332" i="1"/>
  <c r="AS332" i="1"/>
  <c r="AP332" i="1"/>
  <c r="AN332" i="1"/>
  <c r="AR332" i="1" s="1"/>
  <c r="AM332" i="1"/>
  <c r="AL332" i="1"/>
  <c r="AK332" i="1"/>
  <c r="AJ332" i="1"/>
  <c r="AH332" i="1"/>
  <c r="AG332" i="1"/>
  <c r="AF332" i="1"/>
  <c r="AE332" i="1"/>
  <c r="AD332" i="1"/>
  <c r="AC332" i="1"/>
  <c r="AB332" i="1"/>
  <c r="Z332" i="1"/>
  <c r="Y332" i="1"/>
  <c r="X332" i="1"/>
  <c r="W332" i="1"/>
  <c r="V332" i="1"/>
  <c r="U332" i="1"/>
  <c r="T332" i="1"/>
  <c r="BA332" i="1" s="1"/>
  <c r="S332" i="1"/>
  <c r="R332" i="1"/>
  <c r="Q332" i="1"/>
  <c r="P332" i="1"/>
  <c r="O332" i="1"/>
  <c r="N332" i="1"/>
  <c r="M332" i="1"/>
  <c r="L332" i="1"/>
  <c r="H332" i="1"/>
  <c r="G332" i="1"/>
  <c r="F332" i="1"/>
  <c r="E332" i="1"/>
  <c r="D332" i="1"/>
  <c r="C332" i="1"/>
  <c r="B332" i="1"/>
  <c r="A332" i="1"/>
  <c r="AY331" i="1"/>
  <c r="AX331" i="1"/>
  <c r="AT331" i="1"/>
  <c r="AS331" i="1"/>
  <c r="AN331" i="1"/>
  <c r="AL331" i="1"/>
  <c r="AK331" i="1"/>
  <c r="AG331" i="1"/>
  <c r="AF331" i="1"/>
  <c r="AE331" i="1"/>
  <c r="AD331" i="1"/>
  <c r="AC331" i="1"/>
  <c r="AB331" i="1"/>
  <c r="Z331" i="1"/>
  <c r="Y331" i="1"/>
  <c r="X331" i="1"/>
  <c r="W331" i="1"/>
  <c r="V331" i="1"/>
  <c r="U331" i="1"/>
  <c r="T331" i="1"/>
  <c r="BA331" i="1" s="1"/>
  <c r="S331" i="1"/>
  <c r="R331" i="1"/>
  <c r="Q331" i="1"/>
  <c r="P331" i="1"/>
  <c r="O331" i="1"/>
  <c r="N331" i="1"/>
  <c r="AZ331" i="1" s="1"/>
  <c r="M331" i="1"/>
  <c r="L331" i="1"/>
  <c r="H331" i="1"/>
  <c r="G331" i="1"/>
  <c r="F331" i="1"/>
  <c r="E331" i="1"/>
  <c r="D331" i="1"/>
  <c r="C331" i="1"/>
  <c r="B331" i="1"/>
  <c r="A331" i="1"/>
  <c r="BA330" i="1"/>
  <c r="AX330" i="1"/>
  <c r="AT330" i="1"/>
  <c r="AS330" i="1"/>
  <c r="AR330" i="1"/>
  <c r="AN330" i="1"/>
  <c r="AM330" i="1"/>
  <c r="AL330" i="1"/>
  <c r="AW330" i="1" s="1"/>
  <c r="AK330" i="1"/>
  <c r="AG330" i="1"/>
  <c r="AF330" i="1"/>
  <c r="AE330" i="1"/>
  <c r="AD330" i="1"/>
  <c r="AC330" i="1"/>
  <c r="AB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AZ330" i="1" s="1"/>
  <c r="M330" i="1"/>
  <c r="L330" i="1"/>
  <c r="H330" i="1"/>
  <c r="AY330" i="1" s="1"/>
  <c r="G330" i="1"/>
  <c r="F330" i="1"/>
  <c r="E330" i="1"/>
  <c r="D330" i="1"/>
  <c r="C330" i="1"/>
  <c r="B330" i="1"/>
  <c r="A330" i="1"/>
  <c r="BA329" i="1"/>
  <c r="AY329" i="1"/>
  <c r="AX329" i="1"/>
  <c r="AW329" i="1"/>
  <c r="AT329" i="1"/>
  <c r="AS329" i="1"/>
  <c r="AN329" i="1"/>
  <c r="AM329" i="1"/>
  <c r="AL329" i="1"/>
  <c r="AK329" i="1"/>
  <c r="AG329" i="1"/>
  <c r="AI329" i="1" s="1"/>
  <c r="AA329" i="1" s="1"/>
  <c r="AO329" i="1" s="1"/>
  <c r="AF329" i="1"/>
  <c r="AE329" i="1"/>
  <c r="AD329" i="1"/>
  <c r="AC329" i="1"/>
  <c r="AB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AZ329" i="1" s="1"/>
  <c r="M329" i="1"/>
  <c r="L329" i="1"/>
  <c r="H329" i="1"/>
  <c r="G329" i="1"/>
  <c r="F329" i="1"/>
  <c r="E329" i="1"/>
  <c r="D329" i="1"/>
  <c r="C329" i="1"/>
  <c r="B329" i="1"/>
  <c r="A329" i="1"/>
  <c r="AZ328" i="1"/>
  <c r="AX328" i="1"/>
  <c r="AW328" i="1"/>
  <c r="AV328" i="1"/>
  <c r="AT328" i="1"/>
  <c r="AS328" i="1"/>
  <c r="AN328" i="1"/>
  <c r="AP328" i="1" s="1"/>
  <c r="AM328" i="1"/>
  <c r="AL328" i="1"/>
  <c r="AK328" i="1"/>
  <c r="AR328" i="1" s="1"/>
  <c r="AI328" i="1"/>
  <c r="AH328" i="1"/>
  <c r="AG328" i="1"/>
  <c r="AF328" i="1"/>
  <c r="AE328" i="1"/>
  <c r="AD328" i="1"/>
  <c r="AC328" i="1"/>
  <c r="AB328" i="1"/>
  <c r="AA328" i="1"/>
  <c r="AO328" i="1" s="1"/>
  <c r="Z328" i="1"/>
  <c r="Y328" i="1"/>
  <c r="X328" i="1"/>
  <c r="W328" i="1"/>
  <c r="V328" i="1"/>
  <c r="U328" i="1"/>
  <c r="T328" i="1"/>
  <c r="BA328" i="1" s="1"/>
  <c r="S328" i="1"/>
  <c r="R328" i="1"/>
  <c r="Q328" i="1"/>
  <c r="P328" i="1"/>
  <c r="O328" i="1"/>
  <c r="N328" i="1"/>
  <c r="M328" i="1"/>
  <c r="L328" i="1"/>
  <c r="H328" i="1"/>
  <c r="AY328" i="1" s="1"/>
  <c r="G328" i="1"/>
  <c r="F328" i="1"/>
  <c r="E328" i="1"/>
  <c r="D328" i="1"/>
  <c r="C328" i="1"/>
  <c r="B328" i="1"/>
  <c r="A328" i="1"/>
  <c r="BA327" i="1"/>
  <c r="AZ327" i="1"/>
  <c r="AX327" i="1"/>
  <c r="AU327" i="1"/>
  <c r="AT327" i="1"/>
  <c r="AS327" i="1"/>
  <c r="AR327" i="1"/>
  <c r="AP327" i="1"/>
  <c r="AN327" i="1"/>
  <c r="AL327" i="1"/>
  <c r="AM327" i="1" s="1"/>
  <c r="AK327" i="1"/>
  <c r="AJ327" i="1"/>
  <c r="AI327" i="1"/>
  <c r="AH327" i="1"/>
  <c r="AG327" i="1"/>
  <c r="AV327" i="1" s="1"/>
  <c r="AF327" i="1"/>
  <c r="AE327" i="1"/>
  <c r="AD327" i="1"/>
  <c r="AC327" i="1"/>
  <c r="AB327" i="1"/>
  <c r="AA327" i="1"/>
  <c r="AO327" i="1" s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H327" i="1"/>
  <c r="AY327" i="1" s="1"/>
  <c r="G327" i="1"/>
  <c r="F327" i="1"/>
  <c r="E327" i="1"/>
  <c r="D327" i="1"/>
  <c r="C327" i="1"/>
  <c r="B327" i="1"/>
  <c r="A327" i="1"/>
  <c r="BA326" i="1"/>
  <c r="AZ326" i="1"/>
  <c r="AX326" i="1"/>
  <c r="AW326" i="1"/>
  <c r="AT326" i="1"/>
  <c r="AS326" i="1"/>
  <c r="AR326" i="1"/>
  <c r="AP326" i="1"/>
  <c r="AN326" i="1"/>
  <c r="AM326" i="1"/>
  <c r="AL326" i="1"/>
  <c r="AK326" i="1"/>
  <c r="AJ326" i="1"/>
  <c r="AI326" i="1"/>
  <c r="AH326" i="1"/>
  <c r="AG326" i="1"/>
  <c r="AU326" i="1" s="1"/>
  <c r="AF326" i="1"/>
  <c r="AE326" i="1"/>
  <c r="AD326" i="1"/>
  <c r="AC326" i="1"/>
  <c r="AB326" i="1"/>
  <c r="AA326" i="1"/>
  <c r="AO326" i="1" s="1"/>
  <c r="Z326" i="1"/>
  <c r="Y326" i="1"/>
  <c r="X326" i="1"/>
  <c r="W326" i="1"/>
  <c r="V326" i="1"/>
  <c r="U326" i="1"/>
  <c r="T326" i="1"/>
  <c r="S326" i="1"/>
  <c r="R326" i="1"/>
  <c r="Q326" i="1"/>
  <c r="P326" i="1"/>
  <c r="O326" i="1"/>
  <c r="N326" i="1"/>
  <c r="M326" i="1"/>
  <c r="L326" i="1"/>
  <c r="H326" i="1"/>
  <c r="AY326" i="1" s="1"/>
  <c r="G326" i="1"/>
  <c r="F326" i="1"/>
  <c r="E326" i="1"/>
  <c r="D326" i="1"/>
  <c r="C326" i="1"/>
  <c r="B326" i="1"/>
  <c r="A326" i="1"/>
  <c r="BA325" i="1"/>
  <c r="AZ325" i="1"/>
  <c r="AY325" i="1"/>
  <c r="AU325" i="1"/>
  <c r="AT325" i="1"/>
  <c r="AS325" i="1"/>
  <c r="AN325" i="1"/>
  <c r="AR325" i="1" s="1"/>
  <c r="AL325" i="1"/>
  <c r="AW325" i="1" s="1"/>
  <c r="AK325" i="1"/>
  <c r="AI325" i="1"/>
  <c r="AH325" i="1"/>
  <c r="AG325" i="1"/>
  <c r="AV325" i="1" s="1"/>
  <c r="AF325" i="1"/>
  <c r="AE325" i="1"/>
  <c r="AD325" i="1"/>
  <c r="AC325" i="1"/>
  <c r="AB325" i="1"/>
  <c r="Z325" i="1"/>
  <c r="Y325" i="1"/>
  <c r="X325" i="1"/>
  <c r="W325" i="1"/>
  <c r="V325" i="1"/>
  <c r="U325" i="1"/>
  <c r="T325" i="1"/>
  <c r="S325" i="1"/>
  <c r="R325" i="1"/>
  <c r="Q325" i="1"/>
  <c r="P325" i="1"/>
  <c r="O325" i="1"/>
  <c r="N325" i="1"/>
  <c r="M325" i="1"/>
  <c r="L325" i="1"/>
  <c r="H325" i="1"/>
  <c r="G325" i="1"/>
  <c r="F325" i="1"/>
  <c r="E325" i="1"/>
  <c r="D325" i="1"/>
  <c r="C325" i="1"/>
  <c r="B325" i="1"/>
  <c r="A325" i="1"/>
  <c r="AZ324" i="1"/>
  <c r="AV324" i="1"/>
  <c r="AU324" i="1"/>
  <c r="AT324" i="1"/>
  <c r="AS324" i="1"/>
  <c r="AN324" i="1"/>
  <c r="AL324" i="1"/>
  <c r="AK324" i="1"/>
  <c r="AR324" i="1" s="1"/>
  <c r="AJ324" i="1"/>
  <c r="AG324" i="1"/>
  <c r="AH324" i="1" s="1"/>
  <c r="AF324" i="1"/>
  <c r="AE324" i="1"/>
  <c r="AD324" i="1"/>
  <c r="AC324" i="1"/>
  <c r="AB324" i="1"/>
  <c r="Z324" i="1"/>
  <c r="Y324" i="1"/>
  <c r="X324" i="1"/>
  <c r="W324" i="1"/>
  <c r="V324" i="1"/>
  <c r="U324" i="1"/>
  <c r="T324" i="1"/>
  <c r="BA324" i="1" s="1"/>
  <c r="S324" i="1"/>
  <c r="R324" i="1"/>
  <c r="Q324" i="1"/>
  <c r="P324" i="1"/>
  <c r="O324" i="1"/>
  <c r="N324" i="1"/>
  <c r="M324" i="1"/>
  <c r="L324" i="1"/>
  <c r="H324" i="1"/>
  <c r="AY324" i="1" s="1"/>
  <c r="G324" i="1"/>
  <c r="F324" i="1"/>
  <c r="E324" i="1"/>
  <c r="D324" i="1"/>
  <c r="C324" i="1"/>
  <c r="B324" i="1"/>
  <c r="A324" i="1"/>
  <c r="BA323" i="1"/>
  <c r="AY323" i="1"/>
  <c r="AV323" i="1"/>
  <c r="AU323" i="1"/>
  <c r="AT323" i="1"/>
  <c r="AS323" i="1"/>
  <c r="AP323" i="1"/>
  <c r="AN323" i="1"/>
  <c r="AR323" i="1" s="1"/>
  <c r="AL323" i="1"/>
  <c r="AX323" i="1" s="1"/>
  <c r="AK323" i="1"/>
  <c r="AJ323" i="1"/>
  <c r="AI323" i="1"/>
  <c r="AH323" i="1"/>
  <c r="AG323" i="1"/>
  <c r="AF323" i="1"/>
  <c r="AA323" i="1" s="1"/>
  <c r="AO323" i="1" s="1"/>
  <c r="AE323" i="1"/>
  <c r="AD323" i="1"/>
  <c r="AC323" i="1"/>
  <c r="AB323" i="1"/>
  <c r="Z323" i="1"/>
  <c r="Y323" i="1"/>
  <c r="X323" i="1"/>
  <c r="W323" i="1"/>
  <c r="V323" i="1"/>
  <c r="U323" i="1"/>
  <c r="T323" i="1"/>
  <c r="S323" i="1"/>
  <c r="R323" i="1"/>
  <c r="Q323" i="1"/>
  <c r="P323" i="1"/>
  <c r="O323" i="1"/>
  <c r="N323" i="1"/>
  <c r="AZ323" i="1" s="1"/>
  <c r="M323" i="1"/>
  <c r="L323" i="1"/>
  <c r="H323" i="1"/>
  <c r="G323" i="1"/>
  <c r="F323" i="1"/>
  <c r="E323" i="1"/>
  <c r="D323" i="1"/>
  <c r="C323" i="1"/>
  <c r="B323" i="1"/>
  <c r="A323" i="1"/>
  <c r="AZ322" i="1"/>
  <c r="AW322" i="1"/>
  <c r="AV322" i="1"/>
  <c r="AU322" i="1"/>
  <c r="AT322" i="1"/>
  <c r="AS322" i="1"/>
  <c r="AN322" i="1"/>
  <c r="AM322" i="1"/>
  <c r="AL322" i="1"/>
  <c r="AX322" i="1" s="1"/>
  <c r="AK322" i="1"/>
  <c r="AG322" i="1"/>
  <c r="AF322" i="1"/>
  <c r="AE322" i="1"/>
  <c r="AD322" i="1"/>
  <c r="AC322" i="1"/>
  <c r="AB322" i="1"/>
  <c r="Z322" i="1"/>
  <c r="Y322" i="1"/>
  <c r="X322" i="1"/>
  <c r="W322" i="1"/>
  <c r="V322" i="1"/>
  <c r="U322" i="1"/>
  <c r="T322" i="1"/>
  <c r="BA322" i="1" s="1"/>
  <c r="S322" i="1"/>
  <c r="R322" i="1"/>
  <c r="Q322" i="1"/>
  <c r="P322" i="1"/>
  <c r="O322" i="1"/>
  <c r="N322" i="1"/>
  <c r="M322" i="1"/>
  <c r="L322" i="1"/>
  <c r="H322" i="1"/>
  <c r="AY322" i="1" s="1"/>
  <c r="G322" i="1"/>
  <c r="F322" i="1"/>
  <c r="E322" i="1"/>
  <c r="D322" i="1"/>
  <c r="C322" i="1"/>
  <c r="B322" i="1"/>
  <c r="A322" i="1"/>
  <c r="AY321" i="1"/>
  <c r="AV321" i="1"/>
  <c r="AU321" i="1"/>
  <c r="AT321" i="1"/>
  <c r="AS321" i="1"/>
  <c r="AN321" i="1"/>
  <c r="AR321" i="1" s="1"/>
  <c r="AL321" i="1"/>
  <c r="AP321" i="1" s="1"/>
  <c r="AK321" i="1"/>
  <c r="AJ321" i="1"/>
  <c r="AH321" i="1"/>
  <c r="AG321" i="1"/>
  <c r="AI321" i="1" s="1"/>
  <c r="AA321" i="1" s="1"/>
  <c r="AO321" i="1" s="1"/>
  <c r="AF321" i="1"/>
  <c r="AE321" i="1"/>
  <c r="AD321" i="1"/>
  <c r="AC321" i="1"/>
  <c r="AB321" i="1"/>
  <c r="Z321" i="1"/>
  <c r="Y321" i="1"/>
  <c r="X321" i="1"/>
  <c r="W321" i="1"/>
  <c r="V321" i="1"/>
  <c r="U321" i="1"/>
  <c r="T321" i="1"/>
  <c r="BA321" i="1" s="1"/>
  <c r="S321" i="1"/>
  <c r="R321" i="1"/>
  <c r="Q321" i="1"/>
  <c r="P321" i="1"/>
  <c r="O321" i="1"/>
  <c r="N321" i="1"/>
  <c r="AZ321" i="1" s="1"/>
  <c r="M321" i="1"/>
  <c r="L321" i="1"/>
  <c r="H321" i="1"/>
  <c r="G321" i="1"/>
  <c r="F321" i="1"/>
  <c r="E321" i="1"/>
  <c r="D321" i="1"/>
  <c r="C321" i="1"/>
  <c r="B321" i="1"/>
  <c r="A321" i="1"/>
  <c r="AZ320" i="1"/>
  <c r="AY320" i="1"/>
  <c r="AX320" i="1"/>
  <c r="AW320" i="1"/>
  <c r="AT320" i="1"/>
  <c r="AS320" i="1"/>
  <c r="AN320" i="1"/>
  <c r="AM320" i="1"/>
  <c r="AL320" i="1"/>
  <c r="AK320" i="1"/>
  <c r="AH320" i="1"/>
  <c r="AG320" i="1"/>
  <c r="AF320" i="1"/>
  <c r="AE320" i="1"/>
  <c r="AD320" i="1"/>
  <c r="AC320" i="1"/>
  <c r="AB320" i="1"/>
  <c r="Z320" i="1"/>
  <c r="Y320" i="1"/>
  <c r="X320" i="1"/>
  <c r="W320" i="1"/>
  <c r="V320" i="1"/>
  <c r="U320" i="1"/>
  <c r="T320" i="1"/>
  <c r="BA320" i="1" s="1"/>
  <c r="S320" i="1"/>
  <c r="R320" i="1"/>
  <c r="Q320" i="1"/>
  <c r="P320" i="1"/>
  <c r="O320" i="1"/>
  <c r="N320" i="1"/>
  <c r="M320" i="1"/>
  <c r="L320" i="1"/>
  <c r="H320" i="1"/>
  <c r="G320" i="1"/>
  <c r="F320" i="1"/>
  <c r="E320" i="1"/>
  <c r="D320" i="1"/>
  <c r="C320" i="1"/>
  <c r="B320" i="1"/>
  <c r="A320" i="1"/>
  <c r="BA319" i="1"/>
  <c r="AY319" i="1"/>
  <c r="AX319" i="1"/>
  <c r="AW319" i="1"/>
  <c r="AT319" i="1"/>
  <c r="AS319" i="1"/>
  <c r="AN319" i="1"/>
  <c r="AL319" i="1"/>
  <c r="AM319" i="1" s="1"/>
  <c r="AK319" i="1"/>
  <c r="AG319" i="1"/>
  <c r="AV319" i="1" s="1"/>
  <c r="AF319" i="1"/>
  <c r="AE319" i="1"/>
  <c r="AD319" i="1"/>
  <c r="AC319" i="1"/>
  <c r="AB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AZ319" i="1" s="1"/>
  <c r="M319" i="1"/>
  <c r="L319" i="1"/>
  <c r="H319" i="1"/>
  <c r="G319" i="1"/>
  <c r="F319" i="1"/>
  <c r="E319" i="1"/>
  <c r="D319" i="1"/>
  <c r="C319" i="1"/>
  <c r="B319" i="1"/>
  <c r="A319" i="1"/>
  <c r="AZ318" i="1"/>
  <c r="AY318" i="1"/>
  <c r="AX318" i="1"/>
  <c r="AV318" i="1"/>
  <c r="AT318" i="1"/>
  <c r="AS318" i="1"/>
  <c r="AP318" i="1"/>
  <c r="AN318" i="1"/>
  <c r="AM318" i="1"/>
  <c r="AL318" i="1"/>
  <c r="AW318" i="1" s="1"/>
  <c r="AK318" i="1"/>
  <c r="AR318" i="1" s="1"/>
  <c r="AJ318" i="1"/>
  <c r="AH318" i="1"/>
  <c r="AG318" i="1"/>
  <c r="AU318" i="1" s="1"/>
  <c r="AF318" i="1"/>
  <c r="AE318" i="1"/>
  <c r="AD318" i="1"/>
  <c r="AC318" i="1"/>
  <c r="AB318" i="1"/>
  <c r="Z318" i="1"/>
  <c r="Y318" i="1"/>
  <c r="X318" i="1"/>
  <c r="W318" i="1"/>
  <c r="V318" i="1"/>
  <c r="U318" i="1"/>
  <c r="T318" i="1"/>
  <c r="BA318" i="1" s="1"/>
  <c r="S318" i="1"/>
  <c r="R318" i="1"/>
  <c r="Q318" i="1"/>
  <c r="P318" i="1"/>
  <c r="O318" i="1"/>
  <c r="N318" i="1"/>
  <c r="M318" i="1"/>
  <c r="L318" i="1"/>
  <c r="H318" i="1"/>
  <c r="G318" i="1"/>
  <c r="F318" i="1"/>
  <c r="E318" i="1"/>
  <c r="D318" i="1"/>
  <c r="C318" i="1"/>
  <c r="B318" i="1"/>
  <c r="A318" i="1"/>
  <c r="AZ317" i="1"/>
  <c r="AW317" i="1"/>
  <c r="AU317" i="1"/>
  <c r="AT317" i="1"/>
  <c r="AS317" i="1"/>
  <c r="AN317" i="1"/>
  <c r="AP317" i="1" s="1"/>
  <c r="AL317" i="1"/>
  <c r="AK317" i="1"/>
  <c r="AR317" i="1" s="1"/>
  <c r="AJ317" i="1"/>
  <c r="AI317" i="1"/>
  <c r="AH317" i="1"/>
  <c r="AG317" i="1"/>
  <c r="AV317" i="1" s="1"/>
  <c r="AF317" i="1"/>
  <c r="AE317" i="1"/>
  <c r="AD317" i="1"/>
  <c r="AC317" i="1"/>
  <c r="AB317" i="1"/>
  <c r="AA317" i="1"/>
  <c r="AO317" i="1" s="1"/>
  <c r="Z317" i="1"/>
  <c r="Y317" i="1"/>
  <c r="X317" i="1"/>
  <c r="W317" i="1"/>
  <c r="V317" i="1"/>
  <c r="U317" i="1"/>
  <c r="T317" i="1"/>
  <c r="BA317" i="1" s="1"/>
  <c r="S317" i="1"/>
  <c r="R317" i="1"/>
  <c r="Q317" i="1"/>
  <c r="P317" i="1"/>
  <c r="O317" i="1"/>
  <c r="N317" i="1"/>
  <c r="M317" i="1"/>
  <c r="L317" i="1"/>
  <c r="H317" i="1"/>
  <c r="AY317" i="1" s="1"/>
  <c r="G317" i="1"/>
  <c r="F317" i="1"/>
  <c r="E317" i="1"/>
  <c r="D317" i="1"/>
  <c r="C317" i="1"/>
  <c r="B317" i="1"/>
  <c r="A317" i="1"/>
  <c r="BA316" i="1"/>
  <c r="AZ316" i="1"/>
  <c r="AX316" i="1"/>
  <c r="AT316" i="1"/>
  <c r="AS316" i="1"/>
  <c r="AR316" i="1"/>
  <c r="AP316" i="1"/>
  <c r="AN316" i="1"/>
  <c r="AL316" i="1"/>
  <c r="AW316" i="1" s="1"/>
  <c r="AK316" i="1"/>
  <c r="AG316" i="1"/>
  <c r="AH316" i="1" s="1"/>
  <c r="AF316" i="1"/>
  <c r="AE316" i="1"/>
  <c r="AD316" i="1"/>
  <c r="AC316" i="1"/>
  <c r="AB316" i="1"/>
  <c r="Z316" i="1"/>
  <c r="Y316" i="1"/>
  <c r="X316" i="1"/>
  <c r="W316" i="1"/>
  <c r="V316" i="1"/>
  <c r="U316" i="1"/>
  <c r="T316" i="1"/>
  <c r="S316" i="1"/>
  <c r="R316" i="1"/>
  <c r="Q316" i="1"/>
  <c r="P316" i="1"/>
  <c r="O316" i="1"/>
  <c r="N316" i="1"/>
  <c r="M316" i="1"/>
  <c r="L316" i="1"/>
  <c r="H316" i="1"/>
  <c r="AY316" i="1" s="1"/>
  <c r="G316" i="1"/>
  <c r="F316" i="1"/>
  <c r="E316" i="1"/>
  <c r="D316" i="1"/>
  <c r="C316" i="1"/>
  <c r="B316" i="1"/>
  <c r="A316" i="1"/>
  <c r="AZ315" i="1"/>
  <c r="AY315" i="1"/>
  <c r="AX315" i="1"/>
  <c r="AT315" i="1"/>
  <c r="AS315" i="1"/>
  <c r="AR315" i="1"/>
  <c r="AP315" i="1"/>
  <c r="AN315" i="1"/>
  <c r="AM315" i="1"/>
  <c r="AL315" i="1"/>
  <c r="AW315" i="1" s="1"/>
  <c r="AK315" i="1"/>
  <c r="AJ315" i="1"/>
  <c r="AI315" i="1"/>
  <c r="AH315" i="1"/>
  <c r="AG315" i="1"/>
  <c r="AV315" i="1" s="1"/>
  <c r="AF315" i="1"/>
  <c r="AE315" i="1"/>
  <c r="AD315" i="1"/>
  <c r="AC315" i="1"/>
  <c r="AB315" i="1"/>
  <c r="AA315" i="1"/>
  <c r="AO315" i="1" s="1"/>
  <c r="Z315" i="1"/>
  <c r="Y315" i="1"/>
  <c r="X315" i="1"/>
  <c r="W315" i="1"/>
  <c r="V315" i="1"/>
  <c r="U315" i="1"/>
  <c r="T315" i="1"/>
  <c r="BA315" i="1" s="1"/>
  <c r="S315" i="1"/>
  <c r="R315" i="1"/>
  <c r="Q315" i="1"/>
  <c r="P315" i="1"/>
  <c r="O315" i="1"/>
  <c r="N315" i="1"/>
  <c r="M315" i="1"/>
  <c r="L315" i="1"/>
  <c r="H315" i="1"/>
  <c r="G315" i="1"/>
  <c r="F315" i="1"/>
  <c r="E315" i="1"/>
  <c r="D315" i="1"/>
  <c r="C315" i="1"/>
  <c r="B315" i="1"/>
  <c r="A315" i="1"/>
  <c r="BA314" i="1"/>
  <c r="AZ314" i="1"/>
  <c r="AV314" i="1"/>
  <c r="AU314" i="1"/>
  <c r="AT314" i="1"/>
  <c r="AS314" i="1"/>
  <c r="AR314" i="1"/>
  <c r="AN314" i="1"/>
  <c r="AL314" i="1"/>
  <c r="AP314" i="1" s="1"/>
  <c r="AK314" i="1"/>
  <c r="AJ314" i="1"/>
  <c r="AI314" i="1"/>
  <c r="AH314" i="1"/>
  <c r="AG314" i="1"/>
  <c r="AF314" i="1"/>
  <c r="AE314" i="1"/>
  <c r="AD314" i="1"/>
  <c r="AC314" i="1"/>
  <c r="AB314" i="1"/>
  <c r="AA314" i="1"/>
  <c r="AO314" i="1" s="1"/>
  <c r="Z314" i="1"/>
  <c r="Y314" i="1"/>
  <c r="X314" i="1"/>
  <c r="W314" i="1"/>
  <c r="V314" i="1"/>
  <c r="U314" i="1"/>
  <c r="T314" i="1"/>
  <c r="S314" i="1"/>
  <c r="R314" i="1"/>
  <c r="Q314" i="1"/>
  <c r="P314" i="1"/>
  <c r="O314" i="1"/>
  <c r="N314" i="1"/>
  <c r="M314" i="1"/>
  <c r="L314" i="1"/>
  <c r="H314" i="1"/>
  <c r="AY314" i="1" s="1"/>
  <c r="G314" i="1"/>
  <c r="F314" i="1"/>
  <c r="E314" i="1"/>
  <c r="D314" i="1"/>
  <c r="C314" i="1"/>
  <c r="B314" i="1"/>
  <c r="A314" i="1"/>
  <c r="AV313" i="1"/>
  <c r="AU313" i="1"/>
  <c r="AT313" i="1"/>
  <c r="AS313" i="1"/>
  <c r="AN313" i="1"/>
  <c r="AP313" i="1" s="1"/>
  <c r="AM313" i="1"/>
  <c r="AL313" i="1"/>
  <c r="AX313" i="1" s="1"/>
  <c r="AK313" i="1"/>
  <c r="AR313" i="1" s="1"/>
  <c r="AJ313" i="1"/>
  <c r="AI313" i="1"/>
  <c r="AG313" i="1"/>
  <c r="AH313" i="1" s="1"/>
  <c r="AF313" i="1"/>
  <c r="AE313" i="1"/>
  <c r="AD313" i="1"/>
  <c r="AC313" i="1"/>
  <c r="AB313" i="1"/>
  <c r="AA313" i="1"/>
  <c r="AO313" i="1" s="1"/>
  <c r="Z313" i="1"/>
  <c r="Y313" i="1"/>
  <c r="X313" i="1"/>
  <c r="W313" i="1"/>
  <c r="V313" i="1"/>
  <c r="U313" i="1"/>
  <c r="T313" i="1"/>
  <c r="BA313" i="1" s="1"/>
  <c r="S313" i="1"/>
  <c r="R313" i="1"/>
  <c r="Q313" i="1"/>
  <c r="P313" i="1"/>
  <c r="O313" i="1"/>
  <c r="N313" i="1"/>
  <c r="AZ313" i="1" s="1"/>
  <c r="M313" i="1"/>
  <c r="L313" i="1"/>
  <c r="H313" i="1"/>
  <c r="AY313" i="1" s="1"/>
  <c r="G313" i="1"/>
  <c r="F313" i="1"/>
  <c r="E313" i="1"/>
  <c r="D313" i="1"/>
  <c r="C313" i="1"/>
  <c r="B313" i="1"/>
  <c r="A313" i="1"/>
  <c r="AY312" i="1"/>
  <c r="AV312" i="1"/>
  <c r="AU312" i="1"/>
  <c r="AT312" i="1"/>
  <c r="AS312" i="1"/>
  <c r="AN312" i="1"/>
  <c r="AR312" i="1" s="1"/>
  <c r="AL312" i="1"/>
  <c r="AK312" i="1"/>
  <c r="AH312" i="1"/>
  <c r="AG312" i="1"/>
  <c r="AI312" i="1" s="1"/>
  <c r="AA312" i="1" s="1"/>
  <c r="AO312" i="1" s="1"/>
  <c r="AF312" i="1"/>
  <c r="AJ312" i="1" s="1"/>
  <c r="AE312" i="1"/>
  <c r="AD312" i="1"/>
  <c r="AC312" i="1"/>
  <c r="AB312" i="1"/>
  <c r="Z312" i="1"/>
  <c r="Y312" i="1"/>
  <c r="X312" i="1"/>
  <c r="W312" i="1"/>
  <c r="V312" i="1"/>
  <c r="U312" i="1"/>
  <c r="T312" i="1"/>
  <c r="BA312" i="1" s="1"/>
  <c r="S312" i="1"/>
  <c r="R312" i="1"/>
  <c r="Q312" i="1"/>
  <c r="P312" i="1"/>
  <c r="O312" i="1"/>
  <c r="N312" i="1"/>
  <c r="AZ312" i="1" s="1"/>
  <c r="M312" i="1"/>
  <c r="L312" i="1"/>
  <c r="H312" i="1"/>
  <c r="G312" i="1"/>
  <c r="F312" i="1"/>
  <c r="E312" i="1"/>
  <c r="D312" i="1"/>
  <c r="C312" i="1"/>
  <c r="B312" i="1"/>
  <c r="A312" i="1"/>
  <c r="AV311" i="1"/>
  <c r="AU311" i="1"/>
  <c r="AT311" i="1"/>
  <c r="AS311" i="1"/>
  <c r="AN311" i="1"/>
  <c r="AR311" i="1" s="1"/>
  <c r="AM311" i="1"/>
  <c r="AL311" i="1"/>
  <c r="AK311" i="1"/>
  <c r="AG311" i="1"/>
  <c r="AJ311" i="1" s="1"/>
  <c r="AF311" i="1"/>
  <c r="AE311" i="1"/>
  <c r="AD311" i="1"/>
  <c r="AC311" i="1"/>
  <c r="AB311" i="1"/>
  <c r="Z311" i="1"/>
  <c r="Y311" i="1"/>
  <c r="X311" i="1"/>
  <c r="W311" i="1"/>
  <c r="V311" i="1"/>
  <c r="U311" i="1"/>
  <c r="T311" i="1"/>
  <c r="BA311" i="1" s="1"/>
  <c r="S311" i="1"/>
  <c r="R311" i="1"/>
  <c r="Q311" i="1"/>
  <c r="P311" i="1"/>
  <c r="O311" i="1"/>
  <c r="N311" i="1"/>
  <c r="AZ311" i="1" s="1"/>
  <c r="M311" i="1"/>
  <c r="L311" i="1"/>
  <c r="H311" i="1"/>
  <c r="AY311" i="1" s="1"/>
  <c r="G311" i="1"/>
  <c r="F311" i="1"/>
  <c r="E311" i="1"/>
  <c r="D311" i="1"/>
  <c r="C311" i="1"/>
  <c r="B311" i="1"/>
  <c r="A311" i="1"/>
  <c r="AY310" i="1"/>
  <c r="AX310" i="1"/>
  <c r="AW310" i="1"/>
  <c r="AV310" i="1"/>
  <c r="AT310" i="1"/>
  <c r="AS310" i="1"/>
  <c r="AN310" i="1"/>
  <c r="AM310" i="1"/>
  <c r="AL310" i="1"/>
  <c r="AK310" i="1"/>
  <c r="AH310" i="1"/>
  <c r="AG310" i="1"/>
  <c r="AU310" i="1" s="1"/>
  <c r="AF310" i="1"/>
  <c r="AE310" i="1"/>
  <c r="AD310" i="1"/>
  <c r="AC310" i="1"/>
  <c r="AB310" i="1"/>
  <c r="Z310" i="1"/>
  <c r="Y310" i="1"/>
  <c r="X310" i="1"/>
  <c r="W310" i="1"/>
  <c r="V310" i="1"/>
  <c r="U310" i="1"/>
  <c r="T310" i="1"/>
  <c r="BA310" i="1" s="1"/>
  <c r="S310" i="1"/>
  <c r="R310" i="1"/>
  <c r="Q310" i="1"/>
  <c r="P310" i="1"/>
  <c r="O310" i="1"/>
  <c r="N310" i="1"/>
  <c r="AZ310" i="1" s="1"/>
  <c r="M310" i="1"/>
  <c r="L310" i="1"/>
  <c r="H310" i="1"/>
  <c r="G310" i="1"/>
  <c r="F310" i="1"/>
  <c r="E310" i="1"/>
  <c r="D310" i="1"/>
  <c r="C310" i="1"/>
  <c r="B310" i="1"/>
  <c r="A310" i="1"/>
  <c r="AZ309" i="1"/>
  <c r="AX309" i="1"/>
  <c r="AW309" i="1"/>
  <c r="AT309" i="1"/>
  <c r="AS309" i="1"/>
  <c r="AN309" i="1"/>
  <c r="AM309" i="1"/>
  <c r="AL309" i="1"/>
  <c r="AK309" i="1"/>
  <c r="AG309" i="1"/>
  <c r="AF309" i="1"/>
  <c r="AE309" i="1"/>
  <c r="AD309" i="1"/>
  <c r="AC309" i="1"/>
  <c r="AB309" i="1"/>
  <c r="Z309" i="1"/>
  <c r="Y309" i="1"/>
  <c r="X309" i="1"/>
  <c r="W309" i="1"/>
  <c r="V309" i="1"/>
  <c r="U309" i="1"/>
  <c r="T309" i="1"/>
  <c r="BA309" i="1" s="1"/>
  <c r="S309" i="1"/>
  <c r="R309" i="1"/>
  <c r="Q309" i="1"/>
  <c r="P309" i="1"/>
  <c r="O309" i="1"/>
  <c r="N309" i="1"/>
  <c r="M309" i="1"/>
  <c r="L309" i="1"/>
  <c r="H309" i="1"/>
  <c r="AY309" i="1" s="1"/>
  <c r="G309" i="1"/>
  <c r="F309" i="1"/>
  <c r="E309" i="1"/>
  <c r="D309" i="1"/>
  <c r="C309" i="1"/>
  <c r="B309" i="1"/>
  <c r="A309" i="1"/>
  <c r="AZ308" i="1"/>
  <c r="AY308" i="1"/>
  <c r="AX308" i="1"/>
  <c r="AW308" i="1"/>
  <c r="AT308" i="1"/>
  <c r="AS308" i="1"/>
  <c r="AR308" i="1"/>
  <c r="AP308" i="1"/>
  <c r="AN308" i="1"/>
  <c r="AL308" i="1"/>
  <c r="AM308" i="1" s="1"/>
  <c r="AK308" i="1"/>
  <c r="AH308" i="1"/>
  <c r="AG308" i="1"/>
  <c r="AF308" i="1"/>
  <c r="AE308" i="1"/>
  <c r="AD308" i="1"/>
  <c r="AC308" i="1"/>
  <c r="AB308" i="1"/>
  <c r="Z308" i="1"/>
  <c r="Y308" i="1"/>
  <c r="X308" i="1"/>
  <c r="W308" i="1"/>
  <c r="V308" i="1"/>
  <c r="U308" i="1"/>
  <c r="T308" i="1"/>
  <c r="BA308" i="1" s="1"/>
  <c r="S308" i="1"/>
  <c r="R308" i="1"/>
  <c r="Q308" i="1"/>
  <c r="P308" i="1"/>
  <c r="O308" i="1"/>
  <c r="N308" i="1"/>
  <c r="M308" i="1"/>
  <c r="L308" i="1"/>
  <c r="H308" i="1"/>
  <c r="G308" i="1"/>
  <c r="F308" i="1"/>
  <c r="E308" i="1"/>
  <c r="D308" i="1"/>
  <c r="C308" i="1"/>
  <c r="B308" i="1"/>
  <c r="A308" i="1"/>
  <c r="AZ307" i="1"/>
  <c r="AX307" i="1"/>
  <c r="AT307" i="1"/>
  <c r="AS307" i="1"/>
  <c r="AR307" i="1"/>
  <c r="AP307" i="1"/>
  <c r="AN307" i="1"/>
  <c r="AM307" i="1"/>
  <c r="AL307" i="1"/>
  <c r="AW307" i="1" s="1"/>
  <c r="AK307" i="1"/>
  <c r="AJ307" i="1"/>
  <c r="AI307" i="1"/>
  <c r="AA307" i="1" s="1"/>
  <c r="AO307" i="1" s="1"/>
  <c r="AH307" i="1"/>
  <c r="AG307" i="1"/>
  <c r="AV307" i="1" s="1"/>
  <c r="AF307" i="1"/>
  <c r="AE307" i="1"/>
  <c r="AD307" i="1"/>
  <c r="AC307" i="1"/>
  <c r="AB307" i="1"/>
  <c r="Z307" i="1"/>
  <c r="Y307" i="1"/>
  <c r="X307" i="1"/>
  <c r="W307" i="1"/>
  <c r="V307" i="1"/>
  <c r="U307" i="1"/>
  <c r="T307" i="1"/>
  <c r="BA307" i="1" s="1"/>
  <c r="S307" i="1"/>
  <c r="R307" i="1"/>
  <c r="Q307" i="1"/>
  <c r="P307" i="1"/>
  <c r="O307" i="1"/>
  <c r="N307" i="1"/>
  <c r="M307" i="1"/>
  <c r="L307" i="1"/>
  <c r="H307" i="1"/>
  <c r="AY307" i="1" s="1"/>
  <c r="G307" i="1"/>
  <c r="F307" i="1"/>
  <c r="E307" i="1"/>
  <c r="D307" i="1"/>
  <c r="C307" i="1"/>
  <c r="B307" i="1"/>
  <c r="A307" i="1"/>
  <c r="AZ306" i="1"/>
  <c r="AV306" i="1"/>
  <c r="AU306" i="1"/>
  <c r="AT306" i="1"/>
  <c r="AS306" i="1"/>
  <c r="AR306" i="1"/>
  <c r="AN306" i="1"/>
  <c r="AL306" i="1"/>
  <c r="AP306" i="1" s="1"/>
  <c r="AK306" i="1"/>
  <c r="AJ306" i="1"/>
  <c r="AI306" i="1"/>
  <c r="AA306" i="1" s="1"/>
  <c r="AO306" i="1" s="1"/>
  <c r="AH306" i="1"/>
  <c r="AG306" i="1"/>
  <c r="AF306" i="1"/>
  <c r="AE306" i="1"/>
  <c r="AD306" i="1"/>
  <c r="AC306" i="1"/>
  <c r="AB306" i="1"/>
  <c r="Z306" i="1"/>
  <c r="Y306" i="1"/>
  <c r="X306" i="1"/>
  <c r="W306" i="1"/>
  <c r="V306" i="1"/>
  <c r="U306" i="1"/>
  <c r="T306" i="1"/>
  <c r="BA306" i="1" s="1"/>
  <c r="S306" i="1"/>
  <c r="R306" i="1"/>
  <c r="Q306" i="1"/>
  <c r="P306" i="1"/>
  <c r="O306" i="1"/>
  <c r="N306" i="1"/>
  <c r="M306" i="1"/>
  <c r="L306" i="1"/>
  <c r="H306" i="1"/>
  <c r="AY306" i="1" s="1"/>
  <c r="G306" i="1"/>
  <c r="F306" i="1"/>
  <c r="E306" i="1"/>
  <c r="D306" i="1"/>
  <c r="C306" i="1"/>
  <c r="B306" i="1"/>
  <c r="A306" i="1"/>
  <c r="AV305" i="1"/>
  <c r="AU305" i="1"/>
  <c r="AT305" i="1"/>
  <c r="AS305" i="1"/>
  <c r="AN305" i="1"/>
  <c r="AP305" i="1" s="1"/>
  <c r="AM305" i="1"/>
  <c r="AL305" i="1"/>
  <c r="AX305" i="1" s="1"/>
  <c r="AK305" i="1"/>
  <c r="AR305" i="1" s="1"/>
  <c r="AJ305" i="1"/>
  <c r="AI305" i="1"/>
  <c r="AG305" i="1"/>
  <c r="AH305" i="1" s="1"/>
  <c r="AF305" i="1"/>
  <c r="AE305" i="1"/>
  <c r="AD305" i="1"/>
  <c r="AC305" i="1"/>
  <c r="AB305" i="1"/>
  <c r="AA305" i="1"/>
  <c r="AO305" i="1" s="1"/>
  <c r="Z305" i="1"/>
  <c r="Y305" i="1"/>
  <c r="X305" i="1"/>
  <c r="W305" i="1"/>
  <c r="V305" i="1"/>
  <c r="U305" i="1"/>
  <c r="T305" i="1"/>
  <c r="BA305" i="1" s="1"/>
  <c r="S305" i="1"/>
  <c r="R305" i="1"/>
  <c r="Q305" i="1"/>
  <c r="P305" i="1"/>
  <c r="O305" i="1"/>
  <c r="N305" i="1"/>
  <c r="AZ305" i="1" s="1"/>
  <c r="M305" i="1"/>
  <c r="L305" i="1"/>
  <c r="H305" i="1"/>
  <c r="AY305" i="1" s="1"/>
  <c r="G305" i="1"/>
  <c r="F305" i="1"/>
  <c r="E305" i="1"/>
  <c r="D305" i="1"/>
  <c r="C305" i="1"/>
  <c r="B305" i="1"/>
  <c r="A305" i="1"/>
  <c r="AY304" i="1"/>
  <c r="AV304" i="1"/>
  <c r="AU304" i="1"/>
  <c r="AT304" i="1"/>
  <c r="AS304" i="1"/>
  <c r="AN304" i="1"/>
  <c r="AL304" i="1"/>
  <c r="AK304" i="1"/>
  <c r="AH304" i="1"/>
  <c r="AG304" i="1"/>
  <c r="AI304" i="1" s="1"/>
  <c r="AA304" i="1" s="1"/>
  <c r="AF304" i="1"/>
  <c r="AJ304" i="1" s="1"/>
  <c r="AE304" i="1"/>
  <c r="AD304" i="1"/>
  <c r="AC304" i="1"/>
  <c r="AB304" i="1"/>
  <c r="Z304" i="1"/>
  <c r="Y304" i="1"/>
  <c r="X304" i="1"/>
  <c r="W304" i="1"/>
  <c r="V304" i="1"/>
  <c r="U304" i="1"/>
  <c r="T304" i="1"/>
  <c r="BA304" i="1" s="1"/>
  <c r="S304" i="1"/>
  <c r="R304" i="1"/>
  <c r="Q304" i="1"/>
  <c r="P304" i="1"/>
  <c r="O304" i="1"/>
  <c r="N304" i="1"/>
  <c r="AZ304" i="1" s="1"/>
  <c r="M304" i="1"/>
  <c r="L304" i="1"/>
  <c r="H304" i="1"/>
  <c r="G304" i="1"/>
  <c r="F304" i="1"/>
  <c r="E304" i="1"/>
  <c r="D304" i="1"/>
  <c r="C304" i="1"/>
  <c r="B304" i="1"/>
  <c r="A304" i="1"/>
  <c r="AV303" i="1"/>
  <c r="AU303" i="1"/>
  <c r="AT303" i="1"/>
  <c r="AS303" i="1"/>
  <c r="AN303" i="1"/>
  <c r="AR303" i="1" s="1"/>
  <c r="AL303" i="1"/>
  <c r="AK303" i="1"/>
  <c r="AG303" i="1"/>
  <c r="AJ303" i="1" s="1"/>
  <c r="AF303" i="1"/>
  <c r="AE303" i="1"/>
  <c r="AD303" i="1"/>
  <c r="AC303" i="1"/>
  <c r="AB303" i="1"/>
  <c r="Z303" i="1"/>
  <c r="Y303" i="1"/>
  <c r="X303" i="1"/>
  <c r="W303" i="1"/>
  <c r="V303" i="1"/>
  <c r="U303" i="1"/>
  <c r="T303" i="1"/>
  <c r="BA303" i="1" s="1"/>
  <c r="S303" i="1"/>
  <c r="R303" i="1"/>
  <c r="Q303" i="1"/>
  <c r="P303" i="1"/>
  <c r="O303" i="1"/>
  <c r="N303" i="1"/>
  <c r="AZ303" i="1" s="1"/>
  <c r="M303" i="1"/>
  <c r="L303" i="1"/>
  <c r="H303" i="1"/>
  <c r="AY303" i="1" s="1"/>
  <c r="G303" i="1"/>
  <c r="F303" i="1"/>
  <c r="E303" i="1"/>
  <c r="D303" i="1"/>
  <c r="C303" i="1"/>
  <c r="B303" i="1"/>
  <c r="A303" i="1"/>
  <c r="AY302" i="1"/>
  <c r="AX302" i="1"/>
  <c r="AW302" i="1"/>
  <c r="AV302" i="1"/>
  <c r="AT302" i="1"/>
  <c r="AS302" i="1"/>
  <c r="AN302" i="1"/>
  <c r="AM302" i="1"/>
  <c r="AL302" i="1"/>
  <c r="AK302" i="1"/>
  <c r="AH302" i="1"/>
  <c r="AG302" i="1"/>
  <c r="AU302" i="1" s="1"/>
  <c r="AF302" i="1"/>
  <c r="AE302" i="1"/>
  <c r="AD302" i="1"/>
  <c r="AC302" i="1"/>
  <c r="AB302" i="1"/>
  <c r="Z302" i="1"/>
  <c r="Y302" i="1"/>
  <c r="X302" i="1"/>
  <c r="W302" i="1"/>
  <c r="V302" i="1"/>
  <c r="U302" i="1"/>
  <c r="T302" i="1"/>
  <c r="BA302" i="1" s="1"/>
  <c r="S302" i="1"/>
  <c r="R302" i="1"/>
  <c r="Q302" i="1"/>
  <c r="P302" i="1"/>
  <c r="O302" i="1"/>
  <c r="N302" i="1"/>
  <c r="AZ302" i="1" s="1"/>
  <c r="M302" i="1"/>
  <c r="L302" i="1"/>
  <c r="H302" i="1"/>
  <c r="G302" i="1"/>
  <c r="F302" i="1"/>
  <c r="E302" i="1"/>
  <c r="D302" i="1"/>
  <c r="C302" i="1"/>
  <c r="B302" i="1"/>
  <c r="A302" i="1"/>
  <c r="AZ301" i="1"/>
  <c r="AX301" i="1"/>
  <c r="AW301" i="1"/>
  <c r="AT301" i="1"/>
  <c r="AS301" i="1"/>
  <c r="AN301" i="1"/>
  <c r="AM301" i="1"/>
  <c r="AL301" i="1"/>
  <c r="AK301" i="1"/>
  <c r="AG301" i="1"/>
  <c r="AF301" i="1"/>
  <c r="AE301" i="1"/>
  <c r="AD301" i="1"/>
  <c r="AC301" i="1"/>
  <c r="AB301" i="1"/>
  <c r="Z301" i="1"/>
  <c r="Y301" i="1"/>
  <c r="X301" i="1"/>
  <c r="W301" i="1"/>
  <c r="V301" i="1"/>
  <c r="U301" i="1"/>
  <c r="T301" i="1"/>
  <c r="BA301" i="1" s="1"/>
  <c r="S301" i="1"/>
  <c r="R301" i="1"/>
  <c r="Q301" i="1"/>
  <c r="P301" i="1"/>
  <c r="O301" i="1"/>
  <c r="N301" i="1"/>
  <c r="M301" i="1"/>
  <c r="L301" i="1"/>
  <c r="H301" i="1"/>
  <c r="AY301" i="1" s="1"/>
  <c r="G301" i="1"/>
  <c r="F301" i="1"/>
  <c r="E301" i="1"/>
  <c r="D301" i="1"/>
  <c r="C301" i="1"/>
  <c r="B301" i="1"/>
  <c r="A301" i="1"/>
  <c r="AZ300" i="1"/>
  <c r="AY300" i="1"/>
  <c r="AX300" i="1"/>
  <c r="AW300" i="1"/>
  <c r="AT300" i="1"/>
  <c r="AS300" i="1"/>
  <c r="AR300" i="1"/>
  <c r="AP300" i="1"/>
  <c r="AN300" i="1"/>
  <c r="AL300" i="1"/>
  <c r="AM300" i="1" s="1"/>
  <c r="AK300" i="1"/>
  <c r="AG300" i="1"/>
  <c r="AF300" i="1"/>
  <c r="AE300" i="1"/>
  <c r="AD300" i="1"/>
  <c r="AC300" i="1"/>
  <c r="AB300" i="1"/>
  <c r="Z300" i="1"/>
  <c r="Y300" i="1"/>
  <c r="X300" i="1"/>
  <c r="W300" i="1"/>
  <c r="V300" i="1"/>
  <c r="U300" i="1"/>
  <c r="T300" i="1"/>
  <c r="BA300" i="1" s="1"/>
  <c r="S300" i="1"/>
  <c r="R300" i="1"/>
  <c r="Q300" i="1"/>
  <c r="P300" i="1"/>
  <c r="O300" i="1"/>
  <c r="N300" i="1"/>
  <c r="M300" i="1"/>
  <c r="L300" i="1"/>
  <c r="H300" i="1"/>
  <c r="G300" i="1"/>
  <c r="F300" i="1"/>
  <c r="E300" i="1"/>
  <c r="D300" i="1"/>
  <c r="C300" i="1"/>
  <c r="B300" i="1"/>
  <c r="A300" i="1"/>
  <c r="AZ299" i="1"/>
  <c r="AY299" i="1"/>
  <c r="AX299" i="1"/>
  <c r="AT299" i="1"/>
  <c r="AS299" i="1"/>
  <c r="AR299" i="1"/>
  <c r="AP299" i="1"/>
  <c r="AN299" i="1"/>
  <c r="AM299" i="1"/>
  <c r="AL299" i="1"/>
  <c r="AW299" i="1" s="1"/>
  <c r="AK299" i="1"/>
  <c r="AJ299" i="1"/>
  <c r="AI299" i="1"/>
  <c r="AH299" i="1"/>
  <c r="AG299" i="1"/>
  <c r="AV299" i="1" s="1"/>
  <c r="AF299" i="1"/>
  <c r="AE299" i="1"/>
  <c r="AD299" i="1"/>
  <c r="AC299" i="1"/>
  <c r="AB299" i="1"/>
  <c r="AA299" i="1"/>
  <c r="AO299" i="1" s="1"/>
  <c r="Z299" i="1"/>
  <c r="Y299" i="1"/>
  <c r="X299" i="1"/>
  <c r="W299" i="1"/>
  <c r="V299" i="1"/>
  <c r="U299" i="1"/>
  <c r="T299" i="1"/>
  <c r="BA299" i="1" s="1"/>
  <c r="S299" i="1"/>
  <c r="R299" i="1"/>
  <c r="Q299" i="1"/>
  <c r="P299" i="1"/>
  <c r="O299" i="1"/>
  <c r="N299" i="1"/>
  <c r="M299" i="1"/>
  <c r="L299" i="1"/>
  <c r="H299" i="1"/>
  <c r="G299" i="1"/>
  <c r="F299" i="1"/>
  <c r="E299" i="1"/>
  <c r="D299" i="1"/>
  <c r="C299" i="1"/>
  <c r="B299" i="1"/>
  <c r="A299" i="1"/>
  <c r="AZ298" i="1"/>
  <c r="AU298" i="1"/>
  <c r="AT298" i="1"/>
  <c r="AS298" i="1"/>
  <c r="AR298" i="1"/>
  <c r="AN298" i="1"/>
  <c r="AL298" i="1"/>
  <c r="AP298" i="1" s="1"/>
  <c r="AK298" i="1"/>
  <c r="AJ298" i="1"/>
  <c r="AI298" i="1"/>
  <c r="AH298" i="1"/>
  <c r="AG298" i="1"/>
  <c r="AV298" i="1" s="1"/>
  <c r="AF298" i="1"/>
  <c r="AE298" i="1"/>
  <c r="AD298" i="1"/>
  <c r="AC298" i="1"/>
  <c r="AB298" i="1"/>
  <c r="AA298" i="1"/>
  <c r="AO298" i="1" s="1"/>
  <c r="Z298" i="1"/>
  <c r="Y298" i="1"/>
  <c r="X298" i="1"/>
  <c r="W298" i="1"/>
  <c r="V298" i="1"/>
  <c r="U298" i="1"/>
  <c r="T298" i="1"/>
  <c r="BA298" i="1" s="1"/>
  <c r="S298" i="1"/>
  <c r="R298" i="1"/>
  <c r="Q298" i="1"/>
  <c r="P298" i="1"/>
  <c r="O298" i="1"/>
  <c r="N298" i="1"/>
  <c r="M298" i="1"/>
  <c r="L298" i="1"/>
  <c r="H298" i="1"/>
  <c r="AY298" i="1" s="1"/>
  <c r="G298" i="1"/>
  <c r="F298" i="1"/>
  <c r="E298" i="1"/>
  <c r="D298" i="1"/>
  <c r="C298" i="1"/>
  <c r="B298" i="1"/>
  <c r="A298" i="1"/>
  <c r="AV297" i="1"/>
  <c r="AU297" i="1"/>
  <c r="AT297" i="1"/>
  <c r="AS297" i="1"/>
  <c r="AN297" i="1"/>
  <c r="AL297" i="1"/>
  <c r="AP297" i="1" s="1"/>
  <c r="AK297" i="1"/>
  <c r="AR297" i="1" s="1"/>
  <c r="AJ297" i="1"/>
  <c r="AI297" i="1"/>
  <c r="AG297" i="1"/>
  <c r="AH297" i="1" s="1"/>
  <c r="AF297" i="1"/>
  <c r="AE297" i="1"/>
  <c r="AD297" i="1"/>
  <c r="AC297" i="1"/>
  <c r="AB297" i="1"/>
  <c r="AA297" i="1"/>
  <c r="AO297" i="1" s="1"/>
  <c r="Z297" i="1"/>
  <c r="Y297" i="1"/>
  <c r="X297" i="1"/>
  <c r="W297" i="1"/>
  <c r="V297" i="1"/>
  <c r="U297" i="1"/>
  <c r="T297" i="1"/>
  <c r="BA297" i="1" s="1"/>
  <c r="S297" i="1"/>
  <c r="R297" i="1"/>
  <c r="Q297" i="1"/>
  <c r="P297" i="1"/>
  <c r="O297" i="1"/>
  <c r="N297" i="1"/>
  <c r="AZ297" i="1" s="1"/>
  <c r="M297" i="1"/>
  <c r="L297" i="1"/>
  <c r="H297" i="1"/>
  <c r="AY297" i="1" s="1"/>
  <c r="G297" i="1"/>
  <c r="F297" i="1"/>
  <c r="E297" i="1"/>
  <c r="D297" i="1"/>
  <c r="C297" i="1"/>
  <c r="B297" i="1"/>
  <c r="A297" i="1"/>
  <c r="AY296" i="1"/>
  <c r="AV296" i="1"/>
  <c r="AU296" i="1"/>
  <c r="AT296" i="1"/>
  <c r="AS296" i="1"/>
  <c r="AN296" i="1"/>
  <c r="AR296" i="1" s="1"/>
  <c r="AL296" i="1"/>
  <c r="AK296" i="1"/>
  <c r="AI296" i="1"/>
  <c r="AH296" i="1"/>
  <c r="AG296" i="1"/>
  <c r="AF296" i="1"/>
  <c r="AJ296" i="1" s="1"/>
  <c r="AE296" i="1"/>
  <c r="AD296" i="1"/>
  <c r="AC296" i="1"/>
  <c r="AB296" i="1"/>
  <c r="Z296" i="1"/>
  <c r="Y296" i="1"/>
  <c r="X296" i="1"/>
  <c r="W296" i="1"/>
  <c r="V296" i="1"/>
  <c r="U296" i="1"/>
  <c r="T296" i="1"/>
  <c r="BA296" i="1" s="1"/>
  <c r="S296" i="1"/>
  <c r="R296" i="1"/>
  <c r="Q296" i="1"/>
  <c r="P296" i="1"/>
  <c r="O296" i="1"/>
  <c r="N296" i="1"/>
  <c r="AZ296" i="1" s="1"/>
  <c r="M296" i="1"/>
  <c r="L296" i="1"/>
  <c r="H296" i="1"/>
  <c r="G296" i="1"/>
  <c r="F296" i="1"/>
  <c r="E296" i="1"/>
  <c r="D296" i="1"/>
  <c r="C296" i="1"/>
  <c r="B296" i="1"/>
  <c r="A296" i="1"/>
  <c r="AV295" i="1"/>
  <c r="AU295" i="1"/>
  <c r="AT295" i="1"/>
  <c r="AS295" i="1"/>
  <c r="AN295" i="1"/>
  <c r="AR295" i="1" s="1"/>
  <c r="AL295" i="1"/>
  <c r="AK295" i="1"/>
  <c r="AG295" i="1"/>
  <c r="AJ295" i="1" s="1"/>
  <c r="AF295" i="1"/>
  <c r="AE295" i="1"/>
  <c r="AD295" i="1"/>
  <c r="AC295" i="1"/>
  <c r="AB295" i="1"/>
  <c r="Z295" i="1"/>
  <c r="Y295" i="1"/>
  <c r="X295" i="1"/>
  <c r="W295" i="1"/>
  <c r="V295" i="1"/>
  <c r="U295" i="1"/>
  <c r="T295" i="1"/>
  <c r="BA295" i="1" s="1"/>
  <c r="S295" i="1"/>
  <c r="R295" i="1"/>
  <c r="Q295" i="1"/>
  <c r="P295" i="1"/>
  <c r="O295" i="1"/>
  <c r="N295" i="1"/>
  <c r="AZ295" i="1" s="1"/>
  <c r="M295" i="1"/>
  <c r="L295" i="1"/>
  <c r="H295" i="1"/>
  <c r="AY295" i="1" s="1"/>
  <c r="G295" i="1"/>
  <c r="F295" i="1"/>
  <c r="E295" i="1"/>
  <c r="D295" i="1"/>
  <c r="C295" i="1"/>
  <c r="B295" i="1"/>
  <c r="A295" i="1"/>
  <c r="AY294" i="1"/>
  <c r="AX294" i="1"/>
  <c r="AW294" i="1"/>
  <c r="AV294" i="1"/>
  <c r="AT294" i="1"/>
  <c r="AS294" i="1"/>
  <c r="AN294" i="1"/>
  <c r="AM294" i="1"/>
  <c r="AL294" i="1"/>
  <c r="AK294" i="1"/>
  <c r="AG294" i="1"/>
  <c r="AU294" i="1" s="1"/>
  <c r="AF294" i="1"/>
  <c r="AE294" i="1"/>
  <c r="AD294" i="1"/>
  <c r="AC294" i="1"/>
  <c r="AB294" i="1"/>
  <c r="Z294" i="1"/>
  <c r="Y294" i="1"/>
  <c r="X294" i="1"/>
  <c r="W294" i="1"/>
  <c r="V294" i="1"/>
  <c r="U294" i="1"/>
  <c r="T294" i="1"/>
  <c r="BA294" i="1" s="1"/>
  <c r="S294" i="1"/>
  <c r="R294" i="1"/>
  <c r="Q294" i="1"/>
  <c r="P294" i="1"/>
  <c r="O294" i="1"/>
  <c r="N294" i="1"/>
  <c r="AZ294" i="1" s="1"/>
  <c r="M294" i="1"/>
  <c r="L294" i="1"/>
  <c r="H294" i="1"/>
  <c r="G294" i="1"/>
  <c r="F294" i="1"/>
  <c r="E294" i="1"/>
  <c r="D294" i="1"/>
  <c r="C294" i="1"/>
  <c r="B294" i="1"/>
  <c r="A294" i="1"/>
  <c r="AZ293" i="1"/>
  <c r="AY293" i="1"/>
  <c r="AX293" i="1"/>
  <c r="AW293" i="1"/>
  <c r="AT293" i="1"/>
  <c r="AS293" i="1"/>
  <c r="AN293" i="1"/>
  <c r="AM293" i="1"/>
  <c r="AL293" i="1"/>
  <c r="AK293" i="1"/>
  <c r="AG293" i="1"/>
  <c r="AF293" i="1"/>
  <c r="AE293" i="1"/>
  <c r="AD293" i="1"/>
  <c r="AC293" i="1"/>
  <c r="AB293" i="1"/>
  <c r="Z293" i="1"/>
  <c r="Y293" i="1"/>
  <c r="X293" i="1"/>
  <c r="W293" i="1"/>
  <c r="V293" i="1"/>
  <c r="U293" i="1"/>
  <c r="T293" i="1"/>
  <c r="BA293" i="1" s="1"/>
  <c r="S293" i="1"/>
  <c r="R293" i="1"/>
  <c r="Q293" i="1"/>
  <c r="P293" i="1"/>
  <c r="O293" i="1"/>
  <c r="N293" i="1"/>
  <c r="M293" i="1"/>
  <c r="L293" i="1"/>
  <c r="H293" i="1"/>
  <c r="G293" i="1"/>
  <c r="F293" i="1"/>
  <c r="E293" i="1"/>
  <c r="D293" i="1"/>
  <c r="C293" i="1"/>
  <c r="B293" i="1"/>
  <c r="A293" i="1"/>
  <c r="AZ292" i="1"/>
  <c r="AY292" i="1"/>
  <c r="AX292" i="1"/>
  <c r="AW292" i="1"/>
  <c r="AT292" i="1"/>
  <c r="AS292" i="1"/>
  <c r="AR292" i="1"/>
  <c r="AP292" i="1"/>
  <c r="AN292" i="1"/>
  <c r="AL292" i="1"/>
  <c r="AM292" i="1" s="1"/>
  <c r="AK292" i="1"/>
  <c r="AH292" i="1"/>
  <c r="AG292" i="1"/>
  <c r="AF292" i="1"/>
  <c r="AE292" i="1"/>
  <c r="AD292" i="1"/>
  <c r="AC292" i="1"/>
  <c r="AB292" i="1"/>
  <c r="Z292" i="1"/>
  <c r="Y292" i="1"/>
  <c r="X292" i="1"/>
  <c r="W292" i="1"/>
  <c r="V292" i="1"/>
  <c r="U292" i="1"/>
  <c r="T292" i="1"/>
  <c r="BA292" i="1" s="1"/>
  <c r="S292" i="1"/>
  <c r="R292" i="1"/>
  <c r="Q292" i="1"/>
  <c r="P292" i="1"/>
  <c r="O292" i="1"/>
  <c r="N292" i="1"/>
  <c r="M292" i="1"/>
  <c r="L292" i="1"/>
  <c r="H292" i="1"/>
  <c r="G292" i="1"/>
  <c r="F292" i="1"/>
  <c r="E292" i="1"/>
  <c r="D292" i="1"/>
  <c r="C292" i="1"/>
  <c r="B292" i="1"/>
  <c r="A292" i="1"/>
  <c r="AZ291" i="1"/>
  <c r="AY291" i="1"/>
  <c r="AX291" i="1"/>
  <c r="AT291" i="1"/>
  <c r="AS291" i="1"/>
  <c r="AR291" i="1"/>
  <c r="AP291" i="1"/>
  <c r="AN291" i="1"/>
  <c r="AM291" i="1"/>
  <c r="AL291" i="1"/>
  <c r="AW291" i="1" s="1"/>
  <c r="AK291" i="1"/>
  <c r="AJ291" i="1"/>
  <c r="AI291" i="1"/>
  <c r="AH291" i="1"/>
  <c r="AG291" i="1"/>
  <c r="AV291" i="1" s="1"/>
  <c r="AF291" i="1"/>
  <c r="AE291" i="1"/>
  <c r="AD291" i="1"/>
  <c r="AC291" i="1"/>
  <c r="AB291" i="1"/>
  <c r="AA291" i="1"/>
  <c r="AO291" i="1" s="1"/>
  <c r="Z291" i="1"/>
  <c r="Y291" i="1"/>
  <c r="X291" i="1"/>
  <c r="W291" i="1"/>
  <c r="V291" i="1"/>
  <c r="U291" i="1"/>
  <c r="T291" i="1"/>
  <c r="BA291" i="1" s="1"/>
  <c r="S291" i="1"/>
  <c r="R291" i="1"/>
  <c r="Q291" i="1"/>
  <c r="P291" i="1"/>
  <c r="O291" i="1"/>
  <c r="N291" i="1"/>
  <c r="M291" i="1"/>
  <c r="L291" i="1"/>
  <c r="H291" i="1"/>
  <c r="G291" i="1"/>
  <c r="F291" i="1"/>
  <c r="E291" i="1"/>
  <c r="D291" i="1"/>
  <c r="C291" i="1"/>
  <c r="B291" i="1"/>
  <c r="A291" i="1"/>
  <c r="AZ290" i="1"/>
  <c r="AU290" i="1"/>
  <c r="AT290" i="1"/>
  <c r="AS290" i="1"/>
  <c r="AR290" i="1"/>
  <c r="AN290" i="1"/>
  <c r="AL290" i="1"/>
  <c r="AP290" i="1" s="1"/>
  <c r="AK290" i="1"/>
  <c r="AJ290" i="1"/>
  <c r="AI290" i="1"/>
  <c r="AH290" i="1"/>
  <c r="AG290" i="1"/>
  <c r="AV290" i="1" s="1"/>
  <c r="AF290" i="1"/>
  <c r="AE290" i="1"/>
  <c r="AD290" i="1"/>
  <c r="AC290" i="1"/>
  <c r="AB290" i="1"/>
  <c r="AA290" i="1"/>
  <c r="AO290" i="1" s="1"/>
  <c r="Z290" i="1"/>
  <c r="Y290" i="1"/>
  <c r="X290" i="1"/>
  <c r="W290" i="1"/>
  <c r="V290" i="1"/>
  <c r="U290" i="1"/>
  <c r="T290" i="1"/>
  <c r="BA290" i="1" s="1"/>
  <c r="S290" i="1"/>
  <c r="R290" i="1"/>
  <c r="Q290" i="1"/>
  <c r="P290" i="1"/>
  <c r="O290" i="1"/>
  <c r="N290" i="1"/>
  <c r="M290" i="1"/>
  <c r="L290" i="1"/>
  <c r="H290" i="1"/>
  <c r="AY290" i="1" s="1"/>
  <c r="G290" i="1"/>
  <c r="F290" i="1"/>
  <c r="E290" i="1"/>
  <c r="D290" i="1"/>
  <c r="C290" i="1"/>
  <c r="B290" i="1"/>
  <c r="A290" i="1"/>
  <c r="AV289" i="1"/>
  <c r="AU289" i="1"/>
  <c r="AT289" i="1"/>
  <c r="AS289" i="1"/>
  <c r="AN289" i="1"/>
  <c r="AP289" i="1" s="1"/>
  <c r="AL289" i="1"/>
  <c r="AX289" i="1" s="1"/>
  <c r="AK289" i="1"/>
  <c r="AR289" i="1" s="1"/>
  <c r="AJ289" i="1"/>
  <c r="AI289" i="1"/>
  <c r="AG289" i="1"/>
  <c r="AH289" i="1" s="1"/>
  <c r="AF289" i="1"/>
  <c r="AE289" i="1"/>
  <c r="AD289" i="1"/>
  <c r="AC289" i="1"/>
  <c r="AB289" i="1"/>
  <c r="AA289" i="1"/>
  <c r="AO289" i="1" s="1"/>
  <c r="Z289" i="1"/>
  <c r="Y289" i="1"/>
  <c r="X289" i="1"/>
  <c r="W289" i="1"/>
  <c r="V289" i="1"/>
  <c r="U289" i="1"/>
  <c r="T289" i="1"/>
  <c r="BA289" i="1" s="1"/>
  <c r="S289" i="1"/>
  <c r="R289" i="1"/>
  <c r="Q289" i="1"/>
  <c r="P289" i="1"/>
  <c r="O289" i="1"/>
  <c r="N289" i="1"/>
  <c r="AZ289" i="1" s="1"/>
  <c r="M289" i="1"/>
  <c r="L289" i="1"/>
  <c r="H289" i="1"/>
  <c r="AY289" i="1" s="1"/>
  <c r="G289" i="1"/>
  <c r="F289" i="1"/>
  <c r="E289" i="1"/>
  <c r="D289" i="1"/>
  <c r="C289" i="1"/>
  <c r="B289" i="1"/>
  <c r="A289" i="1"/>
  <c r="AY288" i="1"/>
  <c r="AV288" i="1"/>
  <c r="AU288" i="1"/>
  <c r="AT288" i="1"/>
  <c r="AS288" i="1"/>
  <c r="AN288" i="1"/>
  <c r="AL288" i="1"/>
  <c r="AK288" i="1"/>
  <c r="AH288" i="1"/>
  <c r="AG288" i="1"/>
  <c r="AI288" i="1" s="1"/>
  <c r="AA288" i="1" s="1"/>
  <c r="AO288" i="1" s="1"/>
  <c r="AF288" i="1"/>
  <c r="AJ288" i="1" s="1"/>
  <c r="AE288" i="1"/>
  <c r="AD288" i="1"/>
  <c r="AC288" i="1"/>
  <c r="AB288" i="1"/>
  <c r="Z288" i="1"/>
  <c r="Y288" i="1"/>
  <c r="X288" i="1"/>
  <c r="W288" i="1"/>
  <c r="V288" i="1"/>
  <c r="U288" i="1"/>
  <c r="T288" i="1"/>
  <c r="BA288" i="1" s="1"/>
  <c r="S288" i="1"/>
  <c r="R288" i="1"/>
  <c r="Q288" i="1"/>
  <c r="P288" i="1"/>
  <c r="O288" i="1"/>
  <c r="N288" i="1"/>
  <c r="AZ288" i="1" s="1"/>
  <c r="M288" i="1"/>
  <c r="L288" i="1"/>
  <c r="H288" i="1"/>
  <c r="G288" i="1"/>
  <c r="F288" i="1"/>
  <c r="E288" i="1"/>
  <c r="D288" i="1"/>
  <c r="C288" i="1"/>
  <c r="B288" i="1"/>
  <c r="A288" i="1"/>
  <c r="AV287" i="1"/>
  <c r="AU287" i="1"/>
  <c r="AT287" i="1"/>
  <c r="AS287" i="1"/>
  <c r="AN287" i="1"/>
  <c r="AR287" i="1" s="1"/>
  <c r="AM287" i="1"/>
  <c r="AL287" i="1"/>
  <c r="AK287" i="1"/>
  <c r="AG287" i="1"/>
  <c r="AJ287" i="1" s="1"/>
  <c r="AF287" i="1"/>
  <c r="AE287" i="1"/>
  <c r="AD287" i="1"/>
  <c r="AC287" i="1"/>
  <c r="AB287" i="1"/>
  <c r="Z287" i="1"/>
  <c r="Y287" i="1"/>
  <c r="X287" i="1"/>
  <c r="W287" i="1"/>
  <c r="V287" i="1"/>
  <c r="U287" i="1"/>
  <c r="T287" i="1"/>
  <c r="BA287" i="1" s="1"/>
  <c r="S287" i="1"/>
  <c r="R287" i="1"/>
  <c r="Q287" i="1"/>
  <c r="P287" i="1"/>
  <c r="O287" i="1"/>
  <c r="N287" i="1"/>
  <c r="AZ287" i="1" s="1"/>
  <c r="M287" i="1"/>
  <c r="L287" i="1"/>
  <c r="H287" i="1"/>
  <c r="AY287" i="1" s="1"/>
  <c r="G287" i="1"/>
  <c r="F287" i="1"/>
  <c r="E287" i="1"/>
  <c r="D287" i="1"/>
  <c r="C287" i="1"/>
  <c r="B287" i="1"/>
  <c r="A287" i="1"/>
  <c r="AY286" i="1"/>
  <c r="AX286" i="1"/>
  <c r="AW286" i="1"/>
  <c r="AV286" i="1"/>
  <c r="AT286" i="1"/>
  <c r="AS286" i="1"/>
  <c r="AN286" i="1"/>
  <c r="AM286" i="1"/>
  <c r="AL286" i="1"/>
  <c r="AK286" i="1"/>
  <c r="AG286" i="1"/>
  <c r="AU286" i="1" s="1"/>
  <c r="AF286" i="1"/>
  <c r="AE286" i="1"/>
  <c r="AD286" i="1"/>
  <c r="AC286" i="1"/>
  <c r="AB286" i="1"/>
  <c r="Z286" i="1"/>
  <c r="Y286" i="1"/>
  <c r="X286" i="1"/>
  <c r="W286" i="1"/>
  <c r="V286" i="1"/>
  <c r="U286" i="1"/>
  <c r="T286" i="1"/>
  <c r="BA286" i="1" s="1"/>
  <c r="S286" i="1"/>
  <c r="R286" i="1"/>
  <c r="Q286" i="1"/>
  <c r="P286" i="1"/>
  <c r="O286" i="1"/>
  <c r="N286" i="1"/>
  <c r="AZ286" i="1" s="1"/>
  <c r="M286" i="1"/>
  <c r="L286" i="1"/>
  <c r="H286" i="1"/>
  <c r="G286" i="1"/>
  <c r="F286" i="1"/>
  <c r="E286" i="1"/>
  <c r="D286" i="1"/>
  <c r="C286" i="1"/>
  <c r="B286" i="1"/>
  <c r="A286" i="1"/>
  <c r="AZ285" i="1"/>
  <c r="AY285" i="1"/>
  <c r="AX285" i="1"/>
  <c r="AW285" i="1"/>
  <c r="AT285" i="1"/>
  <c r="AS285" i="1"/>
  <c r="AN285" i="1"/>
  <c r="AR285" i="1" s="1"/>
  <c r="AM285" i="1"/>
  <c r="AL285" i="1"/>
  <c r="AK285" i="1"/>
  <c r="AG285" i="1"/>
  <c r="AH285" i="1" s="1"/>
  <c r="AF285" i="1"/>
  <c r="AE285" i="1"/>
  <c r="AD285" i="1"/>
  <c r="AC285" i="1"/>
  <c r="AB285" i="1"/>
  <c r="Z285" i="1"/>
  <c r="Y285" i="1"/>
  <c r="X285" i="1"/>
  <c r="W285" i="1"/>
  <c r="V285" i="1"/>
  <c r="U285" i="1"/>
  <c r="T285" i="1"/>
  <c r="BA285" i="1" s="1"/>
  <c r="S285" i="1"/>
  <c r="R285" i="1"/>
  <c r="Q285" i="1"/>
  <c r="P285" i="1"/>
  <c r="O285" i="1"/>
  <c r="N285" i="1"/>
  <c r="M285" i="1"/>
  <c r="L285" i="1"/>
  <c r="H285" i="1"/>
  <c r="G285" i="1"/>
  <c r="F285" i="1"/>
  <c r="E285" i="1"/>
  <c r="D285" i="1"/>
  <c r="C285" i="1"/>
  <c r="B285" i="1"/>
  <c r="A285" i="1"/>
  <c r="AZ284" i="1"/>
  <c r="AX284" i="1"/>
  <c r="AW284" i="1"/>
  <c r="AT284" i="1"/>
  <c r="AS284" i="1"/>
  <c r="AR284" i="1"/>
  <c r="AP284" i="1"/>
  <c r="AN284" i="1"/>
  <c r="AL284" i="1"/>
  <c r="AM284" i="1" s="1"/>
  <c r="AK284" i="1"/>
  <c r="AG284" i="1"/>
  <c r="AI284" i="1" s="1"/>
  <c r="AA284" i="1" s="1"/>
  <c r="AO284" i="1" s="1"/>
  <c r="AF284" i="1"/>
  <c r="AE284" i="1"/>
  <c r="AD284" i="1"/>
  <c r="AC284" i="1"/>
  <c r="AB284" i="1"/>
  <c r="Z284" i="1"/>
  <c r="Y284" i="1"/>
  <c r="X284" i="1"/>
  <c r="W284" i="1"/>
  <c r="V284" i="1"/>
  <c r="U284" i="1"/>
  <c r="T284" i="1"/>
  <c r="BA284" i="1" s="1"/>
  <c r="S284" i="1"/>
  <c r="R284" i="1"/>
  <c r="Q284" i="1"/>
  <c r="P284" i="1"/>
  <c r="O284" i="1"/>
  <c r="N284" i="1"/>
  <c r="M284" i="1"/>
  <c r="L284" i="1"/>
  <c r="H284" i="1"/>
  <c r="AY284" i="1" s="1"/>
  <c r="G284" i="1"/>
  <c r="F284" i="1"/>
  <c r="E284" i="1"/>
  <c r="D284" i="1"/>
  <c r="C284" i="1"/>
  <c r="B284" i="1"/>
  <c r="A284" i="1"/>
  <c r="BA283" i="1"/>
  <c r="AZ283" i="1"/>
  <c r="AY283" i="1"/>
  <c r="AX283" i="1"/>
  <c r="AT283" i="1"/>
  <c r="AS283" i="1"/>
  <c r="AR283" i="1"/>
  <c r="AP283" i="1"/>
  <c r="AN283" i="1"/>
  <c r="AM283" i="1"/>
  <c r="AL283" i="1"/>
  <c r="AW283" i="1" s="1"/>
  <c r="AK283" i="1"/>
  <c r="AJ283" i="1"/>
  <c r="AI283" i="1"/>
  <c r="AH283" i="1"/>
  <c r="AG283" i="1"/>
  <c r="AV283" i="1" s="1"/>
  <c r="AF283" i="1"/>
  <c r="AE283" i="1"/>
  <c r="AD283" i="1"/>
  <c r="AC283" i="1"/>
  <c r="AB283" i="1"/>
  <c r="AA283" i="1"/>
  <c r="AO283" i="1" s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H283" i="1"/>
  <c r="G283" i="1"/>
  <c r="F283" i="1"/>
  <c r="E283" i="1"/>
  <c r="D283" i="1"/>
  <c r="C283" i="1"/>
  <c r="B283" i="1"/>
  <c r="A283" i="1"/>
  <c r="AU282" i="1"/>
  <c r="AT282" i="1"/>
  <c r="AS282" i="1"/>
  <c r="AN282" i="1"/>
  <c r="AR282" i="1" s="1"/>
  <c r="AL282" i="1"/>
  <c r="AK282" i="1"/>
  <c r="AI282" i="1"/>
  <c r="AA282" i="1" s="1"/>
  <c r="AO282" i="1" s="1"/>
  <c r="AG282" i="1"/>
  <c r="AV282" i="1" s="1"/>
  <c r="AF282" i="1"/>
  <c r="AJ282" i="1" s="1"/>
  <c r="AE282" i="1"/>
  <c r="AD282" i="1"/>
  <c r="AC282" i="1"/>
  <c r="AB282" i="1"/>
  <c r="Z282" i="1"/>
  <c r="Y282" i="1"/>
  <c r="X282" i="1"/>
  <c r="W282" i="1"/>
  <c r="V282" i="1"/>
  <c r="U282" i="1"/>
  <c r="T282" i="1"/>
  <c r="BA282" i="1" s="1"/>
  <c r="S282" i="1"/>
  <c r="R282" i="1"/>
  <c r="Q282" i="1"/>
  <c r="P282" i="1"/>
  <c r="O282" i="1"/>
  <c r="N282" i="1"/>
  <c r="AZ282" i="1" s="1"/>
  <c r="M282" i="1"/>
  <c r="L282" i="1"/>
  <c r="H282" i="1"/>
  <c r="AY282" i="1" s="1"/>
  <c r="G282" i="1"/>
  <c r="F282" i="1"/>
  <c r="E282" i="1"/>
  <c r="D282" i="1"/>
  <c r="C282" i="1"/>
  <c r="B282" i="1"/>
  <c r="A282" i="1"/>
  <c r="BA281" i="1"/>
  <c r="AV281" i="1"/>
  <c r="AT281" i="1"/>
  <c r="AS281" i="1"/>
  <c r="AN281" i="1"/>
  <c r="AP281" i="1" s="1"/>
  <c r="AL281" i="1"/>
  <c r="AK281" i="1"/>
  <c r="AJ281" i="1"/>
  <c r="AI281" i="1"/>
  <c r="AA281" i="1" s="1"/>
  <c r="AO281" i="1" s="1"/>
  <c r="AG281" i="1"/>
  <c r="AH281" i="1" s="1"/>
  <c r="AF281" i="1"/>
  <c r="AE281" i="1"/>
  <c r="AD281" i="1"/>
  <c r="AC281" i="1"/>
  <c r="AB281" i="1"/>
  <c r="Z281" i="1"/>
  <c r="Y281" i="1"/>
  <c r="X281" i="1"/>
  <c r="W281" i="1"/>
  <c r="V281" i="1"/>
  <c r="U281" i="1"/>
  <c r="T281" i="1"/>
  <c r="S281" i="1"/>
  <c r="R281" i="1"/>
  <c r="Q281" i="1"/>
  <c r="P281" i="1"/>
  <c r="O281" i="1"/>
  <c r="N281" i="1"/>
  <c r="AZ281" i="1" s="1"/>
  <c r="M281" i="1"/>
  <c r="L281" i="1"/>
  <c r="H281" i="1"/>
  <c r="AY281" i="1" s="1"/>
  <c r="G281" i="1"/>
  <c r="F281" i="1"/>
  <c r="E281" i="1"/>
  <c r="D281" i="1"/>
  <c r="C281" i="1"/>
  <c r="B281" i="1"/>
  <c r="A281" i="1"/>
  <c r="AY280" i="1"/>
  <c r="AV280" i="1"/>
  <c r="AT280" i="1"/>
  <c r="AS280" i="1"/>
  <c r="AN280" i="1"/>
  <c r="AL280" i="1"/>
  <c r="AM280" i="1" s="1"/>
  <c r="AK280" i="1"/>
  <c r="AH280" i="1"/>
  <c r="AG280" i="1"/>
  <c r="AI280" i="1" s="1"/>
  <c r="AF280" i="1"/>
  <c r="AJ280" i="1" s="1"/>
  <c r="AE280" i="1"/>
  <c r="AD280" i="1"/>
  <c r="AC280" i="1"/>
  <c r="AB280" i="1"/>
  <c r="Z280" i="1"/>
  <c r="Y280" i="1"/>
  <c r="X280" i="1"/>
  <c r="W280" i="1"/>
  <c r="V280" i="1"/>
  <c r="U280" i="1"/>
  <c r="T280" i="1"/>
  <c r="BA280" i="1" s="1"/>
  <c r="S280" i="1"/>
  <c r="R280" i="1"/>
  <c r="Q280" i="1"/>
  <c r="P280" i="1"/>
  <c r="O280" i="1"/>
  <c r="N280" i="1"/>
  <c r="AZ280" i="1" s="1"/>
  <c r="M280" i="1"/>
  <c r="L280" i="1"/>
  <c r="H280" i="1"/>
  <c r="G280" i="1"/>
  <c r="F280" i="1"/>
  <c r="E280" i="1"/>
  <c r="D280" i="1"/>
  <c r="C280" i="1"/>
  <c r="B280" i="1"/>
  <c r="A280" i="1"/>
  <c r="AU279" i="1"/>
  <c r="AT279" i="1"/>
  <c r="AS279" i="1"/>
  <c r="AN279" i="1"/>
  <c r="AL279" i="1"/>
  <c r="AK279" i="1"/>
  <c r="AG279" i="1"/>
  <c r="AF279" i="1"/>
  <c r="AE279" i="1"/>
  <c r="AD279" i="1"/>
  <c r="AC279" i="1"/>
  <c r="AB279" i="1"/>
  <c r="Z279" i="1"/>
  <c r="Y279" i="1"/>
  <c r="X279" i="1"/>
  <c r="W279" i="1"/>
  <c r="V279" i="1"/>
  <c r="U279" i="1"/>
  <c r="T279" i="1"/>
  <c r="BA279" i="1" s="1"/>
  <c r="S279" i="1"/>
  <c r="R279" i="1"/>
  <c r="Q279" i="1"/>
  <c r="P279" i="1"/>
  <c r="O279" i="1"/>
  <c r="N279" i="1"/>
  <c r="AZ279" i="1" s="1"/>
  <c r="M279" i="1"/>
  <c r="L279" i="1"/>
  <c r="H279" i="1"/>
  <c r="AY279" i="1" s="1"/>
  <c r="G279" i="1"/>
  <c r="F279" i="1"/>
  <c r="E279" i="1"/>
  <c r="D279" i="1"/>
  <c r="C279" i="1"/>
  <c r="B279" i="1"/>
  <c r="A279" i="1"/>
  <c r="AY278" i="1"/>
  <c r="AX278" i="1"/>
  <c r="AT278" i="1"/>
  <c r="AS278" i="1"/>
  <c r="AN278" i="1"/>
  <c r="AL278" i="1"/>
  <c r="AW278" i="1" s="1"/>
  <c r="AK278" i="1"/>
  <c r="AG278" i="1"/>
  <c r="AF278" i="1"/>
  <c r="AE278" i="1"/>
  <c r="AD278" i="1"/>
  <c r="AC278" i="1"/>
  <c r="AB278" i="1"/>
  <c r="Z278" i="1"/>
  <c r="Y278" i="1"/>
  <c r="X278" i="1"/>
  <c r="W278" i="1"/>
  <c r="V278" i="1"/>
  <c r="U278" i="1"/>
  <c r="T278" i="1"/>
  <c r="BA278" i="1" s="1"/>
  <c r="S278" i="1"/>
  <c r="R278" i="1"/>
  <c r="Q278" i="1"/>
  <c r="P278" i="1"/>
  <c r="O278" i="1"/>
  <c r="N278" i="1"/>
  <c r="AZ278" i="1" s="1"/>
  <c r="M278" i="1"/>
  <c r="L278" i="1"/>
  <c r="H278" i="1"/>
  <c r="G278" i="1"/>
  <c r="F278" i="1"/>
  <c r="E278" i="1"/>
  <c r="D278" i="1"/>
  <c r="C278" i="1"/>
  <c r="B278" i="1"/>
  <c r="A278" i="1"/>
  <c r="AY277" i="1"/>
  <c r="AX277" i="1"/>
  <c r="AW277" i="1"/>
  <c r="AT277" i="1"/>
  <c r="AS277" i="1"/>
  <c r="AN277" i="1"/>
  <c r="AL277" i="1"/>
  <c r="AM277" i="1" s="1"/>
  <c r="AK277" i="1"/>
  <c r="AG277" i="1"/>
  <c r="AF277" i="1"/>
  <c r="AE277" i="1"/>
  <c r="AD277" i="1"/>
  <c r="AC277" i="1"/>
  <c r="AB277" i="1"/>
  <c r="Z277" i="1"/>
  <c r="Y277" i="1"/>
  <c r="X277" i="1"/>
  <c r="W277" i="1"/>
  <c r="V277" i="1"/>
  <c r="U277" i="1"/>
  <c r="T277" i="1"/>
  <c r="BA277" i="1" s="1"/>
  <c r="S277" i="1"/>
  <c r="R277" i="1"/>
  <c r="Q277" i="1"/>
  <c r="P277" i="1"/>
  <c r="O277" i="1"/>
  <c r="N277" i="1"/>
  <c r="AZ277" i="1" s="1"/>
  <c r="M277" i="1"/>
  <c r="L277" i="1"/>
  <c r="H277" i="1"/>
  <c r="G277" i="1"/>
  <c r="F277" i="1"/>
  <c r="E277" i="1"/>
  <c r="D277" i="1"/>
  <c r="C277" i="1"/>
  <c r="B277" i="1"/>
  <c r="A277" i="1"/>
  <c r="AY276" i="1"/>
  <c r="AX276" i="1"/>
  <c r="AW276" i="1"/>
  <c r="AT276" i="1"/>
  <c r="AS276" i="1"/>
  <c r="AP276" i="1"/>
  <c r="AN276" i="1"/>
  <c r="AL276" i="1"/>
  <c r="AM276" i="1" s="1"/>
  <c r="AK276" i="1"/>
  <c r="AR276" i="1" s="1"/>
  <c r="AJ276" i="1"/>
  <c r="AG276" i="1"/>
  <c r="AH276" i="1" s="1"/>
  <c r="AF276" i="1"/>
  <c r="AE276" i="1"/>
  <c r="AD276" i="1"/>
  <c r="AC276" i="1"/>
  <c r="AB276" i="1"/>
  <c r="Z276" i="1"/>
  <c r="Y276" i="1"/>
  <c r="X276" i="1"/>
  <c r="W276" i="1"/>
  <c r="V276" i="1"/>
  <c r="U276" i="1"/>
  <c r="T276" i="1"/>
  <c r="BA276" i="1" s="1"/>
  <c r="S276" i="1"/>
  <c r="R276" i="1"/>
  <c r="Q276" i="1"/>
  <c r="P276" i="1"/>
  <c r="O276" i="1"/>
  <c r="N276" i="1"/>
  <c r="AZ276" i="1" s="1"/>
  <c r="M276" i="1"/>
  <c r="L276" i="1"/>
  <c r="H276" i="1"/>
  <c r="G276" i="1"/>
  <c r="F276" i="1"/>
  <c r="E276" i="1"/>
  <c r="D276" i="1"/>
  <c r="C276" i="1"/>
  <c r="B276" i="1"/>
  <c r="A276" i="1"/>
  <c r="AX275" i="1"/>
  <c r="AT275" i="1"/>
  <c r="AS275" i="1"/>
  <c r="AN275" i="1"/>
  <c r="AP275" i="1" s="1"/>
  <c r="AM275" i="1"/>
  <c r="AL275" i="1"/>
  <c r="AW275" i="1" s="1"/>
  <c r="AK275" i="1"/>
  <c r="AI275" i="1"/>
  <c r="AG275" i="1"/>
  <c r="AV275" i="1" s="1"/>
  <c r="AF275" i="1"/>
  <c r="AJ275" i="1" s="1"/>
  <c r="AE275" i="1"/>
  <c r="AD275" i="1"/>
  <c r="AC275" i="1"/>
  <c r="AB275" i="1"/>
  <c r="AA275" i="1"/>
  <c r="AO275" i="1" s="1"/>
  <c r="Z275" i="1"/>
  <c r="Y275" i="1"/>
  <c r="X275" i="1"/>
  <c r="W275" i="1"/>
  <c r="V275" i="1"/>
  <c r="U275" i="1"/>
  <c r="T275" i="1"/>
  <c r="BA275" i="1" s="1"/>
  <c r="S275" i="1"/>
  <c r="R275" i="1"/>
  <c r="Q275" i="1"/>
  <c r="P275" i="1"/>
  <c r="O275" i="1"/>
  <c r="N275" i="1"/>
  <c r="AZ275" i="1" s="1"/>
  <c r="M275" i="1"/>
  <c r="L275" i="1"/>
  <c r="H275" i="1"/>
  <c r="AY275" i="1" s="1"/>
  <c r="G275" i="1"/>
  <c r="F275" i="1"/>
  <c r="E275" i="1"/>
  <c r="D275" i="1"/>
  <c r="C275" i="1"/>
  <c r="B275" i="1"/>
  <c r="A275" i="1"/>
  <c r="AZ274" i="1"/>
  <c r="AT274" i="1"/>
  <c r="AS274" i="1"/>
  <c r="AN274" i="1"/>
  <c r="AL274" i="1"/>
  <c r="AK274" i="1"/>
  <c r="AR274" i="1" s="1"/>
  <c r="AG274" i="1"/>
  <c r="AU274" i="1" s="1"/>
  <c r="AF274" i="1"/>
  <c r="AJ274" i="1" s="1"/>
  <c r="AE274" i="1"/>
  <c r="AD274" i="1"/>
  <c r="AC274" i="1"/>
  <c r="AB274" i="1"/>
  <c r="Z274" i="1"/>
  <c r="Y274" i="1"/>
  <c r="X274" i="1"/>
  <c r="W274" i="1"/>
  <c r="V274" i="1"/>
  <c r="U274" i="1"/>
  <c r="T274" i="1"/>
  <c r="BA274" i="1" s="1"/>
  <c r="S274" i="1"/>
  <c r="R274" i="1"/>
  <c r="Q274" i="1"/>
  <c r="P274" i="1"/>
  <c r="O274" i="1"/>
  <c r="N274" i="1"/>
  <c r="M274" i="1"/>
  <c r="L274" i="1"/>
  <c r="H274" i="1"/>
  <c r="AY274" i="1" s="1"/>
  <c r="G274" i="1"/>
  <c r="F274" i="1"/>
  <c r="E274" i="1"/>
  <c r="D274" i="1"/>
  <c r="C274" i="1"/>
  <c r="B274" i="1"/>
  <c r="A274" i="1"/>
  <c r="AT273" i="1"/>
  <c r="AS273" i="1"/>
  <c r="AN273" i="1"/>
  <c r="AL273" i="1"/>
  <c r="AM273" i="1" s="1"/>
  <c r="AK273" i="1"/>
  <c r="AR273" i="1" s="1"/>
  <c r="AG273" i="1"/>
  <c r="AH273" i="1" s="1"/>
  <c r="AF273" i="1"/>
  <c r="AE273" i="1"/>
  <c r="AD273" i="1"/>
  <c r="AC273" i="1"/>
  <c r="AB273" i="1"/>
  <c r="Z273" i="1"/>
  <c r="Y273" i="1"/>
  <c r="X273" i="1"/>
  <c r="W273" i="1"/>
  <c r="V273" i="1"/>
  <c r="U273" i="1"/>
  <c r="T273" i="1"/>
  <c r="BA273" i="1" s="1"/>
  <c r="S273" i="1"/>
  <c r="R273" i="1"/>
  <c r="Q273" i="1"/>
  <c r="P273" i="1"/>
  <c r="O273" i="1"/>
  <c r="N273" i="1"/>
  <c r="AZ273" i="1" s="1"/>
  <c r="M273" i="1"/>
  <c r="L273" i="1"/>
  <c r="H273" i="1"/>
  <c r="AY273" i="1" s="1"/>
  <c r="G273" i="1"/>
  <c r="F273" i="1"/>
  <c r="E273" i="1"/>
  <c r="D273" i="1"/>
  <c r="C273" i="1"/>
  <c r="B273" i="1"/>
  <c r="A273" i="1"/>
  <c r="AW272" i="1"/>
  <c r="AV272" i="1"/>
  <c r="AT272" i="1"/>
  <c r="AS272" i="1"/>
  <c r="AN272" i="1"/>
  <c r="AL272" i="1"/>
  <c r="AX272" i="1" s="1"/>
  <c r="AK272" i="1"/>
  <c r="AH272" i="1"/>
  <c r="AG272" i="1"/>
  <c r="AI272" i="1" s="1"/>
  <c r="AA272" i="1" s="1"/>
  <c r="AO272" i="1" s="1"/>
  <c r="AF272" i="1"/>
  <c r="AJ272" i="1" s="1"/>
  <c r="AE272" i="1"/>
  <c r="AD272" i="1"/>
  <c r="AC272" i="1"/>
  <c r="AB272" i="1"/>
  <c r="Z272" i="1"/>
  <c r="Y272" i="1"/>
  <c r="X272" i="1"/>
  <c r="W272" i="1"/>
  <c r="V272" i="1"/>
  <c r="U272" i="1"/>
  <c r="T272" i="1"/>
  <c r="BA272" i="1" s="1"/>
  <c r="S272" i="1"/>
  <c r="R272" i="1"/>
  <c r="Q272" i="1"/>
  <c r="P272" i="1"/>
  <c r="O272" i="1"/>
  <c r="N272" i="1"/>
  <c r="AZ272" i="1" s="1"/>
  <c r="M272" i="1"/>
  <c r="L272" i="1"/>
  <c r="H272" i="1"/>
  <c r="AY272" i="1" s="1"/>
  <c r="G272" i="1"/>
  <c r="F272" i="1"/>
  <c r="E272" i="1"/>
  <c r="D272" i="1"/>
  <c r="C272" i="1"/>
  <c r="B272" i="1"/>
  <c r="A272" i="1"/>
  <c r="AT271" i="1"/>
  <c r="AS271" i="1"/>
  <c r="AN271" i="1"/>
  <c r="AL271" i="1"/>
  <c r="AW271" i="1" s="1"/>
  <c r="AK271" i="1"/>
  <c r="AG271" i="1"/>
  <c r="AV271" i="1" s="1"/>
  <c r="AF271" i="1"/>
  <c r="AE271" i="1"/>
  <c r="AD271" i="1"/>
  <c r="AC271" i="1"/>
  <c r="AB271" i="1"/>
  <c r="Z271" i="1"/>
  <c r="Y271" i="1"/>
  <c r="X271" i="1"/>
  <c r="W271" i="1"/>
  <c r="V271" i="1"/>
  <c r="U271" i="1"/>
  <c r="T271" i="1"/>
  <c r="BA271" i="1" s="1"/>
  <c r="S271" i="1"/>
  <c r="R271" i="1"/>
  <c r="Q271" i="1"/>
  <c r="P271" i="1"/>
  <c r="O271" i="1"/>
  <c r="N271" i="1"/>
  <c r="AZ271" i="1" s="1"/>
  <c r="M271" i="1"/>
  <c r="L271" i="1"/>
  <c r="H271" i="1"/>
  <c r="AY271" i="1" s="1"/>
  <c r="G271" i="1"/>
  <c r="F271" i="1"/>
  <c r="E271" i="1"/>
  <c r="D271" i="1"/>
  <c r="C271" i="1"/>
  <c r="B271" i="1"/>
  <c r="A271" i="1"/>
  <c r="AU270" i="1"/>
  <c r="AT270" i="1"/>
  <c r="AS270" i="1"/>
  <c r="AN270" i="1"/>
  <c r="AR270" i="1" s="1"/>
  <c r="AL270" i="1"/>
  <c r="AM270" i="1" s="1"/>
  <c r="AK270" i="1"/>
  <c r="AG270" i="1"/>
  <c r="AH270" i="1" s="1"/>
  <c r="AF270" i="1"/>
  <c r="AE270" i="1"/>
  <c r="AD270" i="1"/>
  <c r="AC270" i="1"/>
  <c r="AB270" i="1"/>
  <c r="Z270" i="1"/>
  <c r="Y270" i="1"/>
  <c r="X270" i="1"/>
  <c r="W270" i="1"/>
  <c r="V270" i="1"/>
  <c r="U270" i="1"/>
  <c r="T270" i="1"/>
  <c r="BA270" i="1" s="1"/>
  <c r="S270" i="1"/>
  <c r="R270" i="1"/>
  <c r="Q270" i="1"/>
  <c r="P270" i="1"/>
  <c r="O270" i="1"/>
  <c r="N270" i="1"/>
  <c r="AZ270" i="1" s="1"/>
  <c r="M270" i="1"/>
  <c r="L270" i="1"/>
  <c r="H270" i="1"/>
  <c r="AY270" i="1" s="1"/>
  <c r="G270" i="1"/>
  <c r="F270" i="1"/>
  <c r="E270" i="1"/>
  <c r="D270" i="1"/>
  <c r="C270" i="1"/>
  <c r="B270" i="1"/>
  <c r="A270" i="1"/>
  <c r="AZ269" i="1"/>
  <c r="AW269" i="1"/>
  <c r="AT269" i="1"/>
  <c r="AS269" i="1"/>
  <c r="AN269" i="1"/>
  <c r="AM269" i="1"/>
  <c r="AL269" i="1"/>
  <c r="AX269" i="1" s="1"/>
  <c r="AK269" i="1"/>
  <c r="AG269" i="1"/>
  <c r="AV269" i="1" s="1"/>
  <c r="AF269" i="1"/>
  <c r="AE269" i="1"/>
  <c r="AD269" i="1"/>
  <c r="AC269" i="1"/>
  <c r="AB269" i="1"/>
  <c r="Z269" i="1"/>
  <c r="Y269" i="1"/>
  <c r="X269" i="1"/>
  <c r="W269" i="1"/>
  <c r="V269" i="1"/>
  <c r="U269" i="1"/>
  <c r="T269" i="1"/>
  <c r="BA269" i="1" s="1"/>
  <c r="S269" i="1"/>
  <c r="R269" i="1"/>
  <c r="Q269" i="1"/>
  <c r="P269" i="1"/>
  <c r="O269" i="1"/>
  <c r="N269" i="1"/>
  <c r="M269" i="1"/>
  <c r="L269" i="1"/>
  <c r="H269" i="1"/>
  <c r="AY269" i="1" s="1"/>
  <c r="G269" i="1"/>
  <c r="F269" i="1"/>
  <c r="E269" i="1"/>
  <c r="D269" i="1"/>
  <c r="C269" i="1"/>
  <c r="B269" i="1"/>
  <c r="A269" i="1"/>
  <c r="AY268" i="1"/>
  <c r="AX268" i="1"/>
  <c r="AT268" i="1"/>
  <c r="AS268" i="1"/>
  <c r="AN268" i="1"/>
  <c r="AR268" i="1" s="1"/>
  <c r="AL268" i="1"/>
  <c r="AM268" i="1" s="1"/>
  <c r="AK268" i="1"/>
  <c r="AG268" i="1"/>
  <c r="AH268" i="1" s="1"/>
  <c r="AF268" i="1"/>
  <c r="AE268" i="1"/>
  <c r="AD268" i="1"/>
  <c r="AC268" i="1"/>
  <c r="AB268" i="1"/>
  <c r="Z268" i="1"/>
  <c r="Y268" i="1"/>
  <c r="X268" i="1"/>
  <c r="W268" i="1"/>
  <c r="V268" i="1"/>
  <c r="U268" i="1"/>
  <c r="T268" i="1"/>
  <c r="BA268" i="1" s="1"/>
  <c r="S268" i="1"/>
  <c r="R268" i="1"/>
  <c r="Q268" i="1"/>
  <c r="P268" i="1"/>
  <c r="O268" i="1"/>
  <c r="N268" i="1"/>
  <c r="AZ268" i="1" s="1"/>
  <c r="M268" i="1"/>
  <c r="L268" i="1"/>
  <c r="H268" i="1"/>
  <c r="G268" i="1"/>
  <c r="F268" i="1"/>
  <c r="E268" i="1"/>
  <c r="D268" i="1"/>
  <c r="C268" i="1"/>
  <c r="B268" i="1"/>
  <c r="A268" i="1"/>
  <c r="AT267" i="1"/>
  <c r="AS267" i="1"/>
  <c r="AN267" i="1"/>
  <c r="AL267" i="1"/>
  <c r="AK267" i="1"/>
  <c r="AR267" i="1" s="1"/>
  <c r="AI267" i="1"/>
  <c r="AA267" i="1" s="1"/>
  <c r="AH267" i="1"/>
  <c r="AG267" i="1"/>
  <c r="AJ267" i="1" s="1"/>
  <c r="AF267" i="1"/>
  <c r="AE267" i="1"/>
  <c r="AD267" i="1"/>
  <c r="AC267" i="1"/>
  <c r="AB267" i="1"/>
  <c r="Z267" i="1"/>
  <c r="Y267" i="1"/>
  <c r="X267" i="1"/>
  <c r="W267" i="1"/>
  <c r="V267" i="1"/>
  <c r="U267" i="1"/>
  <c r="T267" i="1"/>
  <c r="BA267" i="1" s="1"/>
  <c r="S267" i="1"/>
  <c r="R267" i="1"/>
  <c r="Q267" i="1"/>
  <c r="P267" i="1"/>
  <c r="O267" i="1"/>
  <c r="N267" i="1"/>
  <c r="AZ267" i="1" s="1"/>
  <c r="M267" i="1"/>
  <c r="L267" i="1"/>
  <c r="H267" i="1"/>
  <c r="AY267" i="1" s="1"/>
  <c r="G267" i="1"/>
  <c r="F267" i="1"/>
  <c r="E267" i="1"/>
  <c r="D267" i="1"/>
  <c r="C267" i="1"/>
  <c r="B267" i="1"/>
  <c r="A267" i="1"/>
  <c r="AU266" i="1"/>
  <c r="AT266" i="1"/>
  <c r="AS266" i="1"/>
  <c r="AN266" i="1"/>
  <c r="AL266" i="1"/>
  <c r="AK266" i="1"/>
  <c r="AI266" i="1"/>
  <c r="AA266" i="1" s="1"/>
  <c r="AO266" i="1" s="1"/>
  <c r="AH266" i="1"/>
  <c r="AG266" i="1"/>
  <c r="AV266" i="1" s="1"/>
  <c r="AF266" i="1"/>
  <c r="AJ266" i="1" s="1"/>
  <c r="AE266" i="1"/>
  <c r="AD266" i="1"/>
  <c r="AC266" i="1"/>
  <c r="AB266" i="1"/>
  <c r="Z266" i="1"/>
  <c r="Y266" i="1"/>
  <c r="X266" i="1"/>
  <c r="W266" i="1"/>
  <c r="V266" i="1"/>
  <c r="U266" i="1"/>
  <c r="T266" i="1"/>
  <c r="BA266" i="1" s="1"/>
  <c r="S266" i="1"/>
  <c r="R266" i="1"/>
  <c r="Q266" i="1"/>
  <c r="P266" i="1"/>
  <c r="O266" i="1"/>
  <c r="N266" i="1"/>
  <c r="AZ266" i="1" s="1"/>
  <c r="M266" i="1"/>
  <c r="L266" i="1"/>
  <c r="H266" i="1"/>
  <c r="AY266" i="1" s="1"/>
  <c r="G266" i="1"/>
  <c r="F266" i="1"/>
  <c r="E266" i="1"/>
  <c r="D266" i="1"/>
  <c r="C266" i="1"/>
  <c r="B266" i="1"/>
  <c r="A266" i="1"/>
  <c r="AZ265" i="1"/>
  <c r="AV265" i="1"/>
  <c r="AT265" i="1"/>
  <c r="AS265" i="1"/>
  <c r="AN265" i="1"/>
  <c r="AL265" i="1"/>
  <c r="AM265" i="1" s="1"/>
  <c r="AK265" i="1"/>
  <c r="AR265" i="1" s="1"/>
  <c r="AJ265" i="1"/>
  <c r="AI265" i="1"/>
  <c r="AG265" i="1"/>
  <c r="AH265" i="1" s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BA265" i="1" s="1"/>
  <c r="S265" i="1"/>
  <c r="R265" i="1"/>
  <c r="Q265" i="1"/>
  <c r="P265" i="1"/>
  <c r="O265" i="1"/>
  <c r="N265" i="1"/>
  <c r="M265" i="1"/>
  <c r="L265" i="1"/>
  <c r="H265" i="1"/>
  <c r="AY265" i="1" s="1"/>
  <c r="G265" i="1"/>
  <c r="F265" i="1"/>
  <c r="E265" i="1"/>
  <c r="D265" i="1"/>
  <c r="C265" i="1"/>
  <c r="B265" i="1"/>
  <c r="A265" i="1"/>
  <c r="AT264" i="1"/>
  <c r="AS264" i="1"/>
  <c r="AN264" i="1"/>
  <c r="AL264" i="1"/>
  <c r="AK264" i="1"/>
  <c r="AG264" i="1"/>
  <c r="AF264" i="1"/>
  <c r="AE264" i="1"/>
  <c r="AD264" i="1"/>
  <c r="AC264" i="1"/>
  <c r="AB264" i="1"/>
  <c r="Z264" i="1"/>
  <c r="Y264" i="1"/>
  <c r="X264" i="1"/>
  <c r="W264" i="1"/>
  <c r="V264" i="1"/>
  <c r="U264" i="1"/>
  <c r="T264" i="1"/>
  <c r="BA264" i="1" s="1"/>
  <c r="S264" i="1"/>
  <c r="R264" i="1"/>
  <c r="Q264" i="1"/>
  <c r="P264" i="1"/>
  <c r="O264" i="1"/>
  <c r="N264" i="1"/>
  <c r="AZ264" i="1" s="1"/>
  <c r="M264" i="1"/>
  <c r="L264" i="1"/>
  <c r="H264" i="1"/>
  <c r="AY264" i="1" s="1"/>
  <c r="G264" i="1"/>
  <c r="F264" i="1"/>
  <c r="E264" i="1"/>
  <c r="D264" i="1"/>
  <c r="C264" i="1"/>
  <c r="B264" i="1"/>
  <c r="A264" i="1"/>
  <c r="AT263" i="1"/>
  <c r="AS263" i="1"/>
  <c r="AN263" i="1"/>
  <c r="AL263" i="1"/>
  <c r="AX263" i="1" s="1"/>
  <c r="AK263" i="1"/>
  <c r="AG263" i="1"/>
  <c r="AU263" i="1" s="1"/>
  <c r="AF263" i="1"/>
  <c r="AE263" i="1"/>
  <c r="AD263" i="1"/>
  <c r="AC263" i="1"/>
  <c r="AB263" i="1"/>
  <c r="Z263" i="1"/>
  <c r="Y263" i="1"/>
  <c r="X263" i="1"/>
  <c r="W263" i="1"/>
  <c r="V263" i="1"/>
  <c r="U263" i="1"/>
  <c r="T263" i="1"/>
  <c r="BA263" i="1" s="1"/>
  <c r="S263" i="1"/>
  <c r="R263" i="1"/>
  <c r="Q263" i="1"/>
  <c r="P263" i="1"/>
  <c r="O263" i="1"/>
  <c r="N263" i="1"/>
  <c r="AZ263" i="1" s="1"/>
  <c r="M263" i="1"/>
  <c r="L263" i="1"/>
  <c r="H263" i="1"/>
  <c r="AY263" i="1" s="1"/>
  <c r="G263" i="1"/>
  <c r="F263" i="1"/>
  <c r="E263" i="1"/>
  <c r="D263" i="1"/>
  <c r="C263" i="1"/>
  <c r="B263" i="1"/>
  <c r="A263" i="1"/>
  <c r="AY262" i="1"/>
  <c r="AT262" i="1"/>
  <c r="AS262" i="1"/>
  <c r="AN262" i="1"/>
  <c r="AL262" i="1"/>
  <c r="AX262" i="1" s="1"/>
  <c r="AK262" i="1"/>
  <c r="AH262" i="1"/>
  <c r="AG262" i="1"/>
  <c r="AU262" i="1" s="1"/>
  <c r="AF262" i="1"/>
  <c r="AE262" i="1"/>
  <c r="AD262" i="1"/>
  <c r="AC262" i="1"/>
  <c r="AB262" i="1"/>
  <c r="Z262" i="1"/>
  <c r="Y262" i="1"/>
  <c r="X262" i="1"/>
  <c r="W262" i="1"/>
  <c r="V262" i="1"/>
  <c r="U262" i="1"/>
  <c r="T262" i="1"/>
  <c r="BA262" i="1" s="1"/>
  <c r="S262" i="1"/>
  <c r="R262" i="1"/>
  <c r="Q262" i="1"/>
  <c r="P262" i="1"/>
  <c r="O262" i="1"/>
  <c r="N262" i="1"/>
  <c r="AZ262" i="1" s="1"/>
  <c r="M262" i="1"/>
  <c r="L262" i="1"/>
  <c r="H262" i="1"/>
  <c r="G262" i="1"/>
  <c r="F262" i="1"/>
  <c r="E262" i="1"/>
  <c r="D262" i="1"/>
  <c r="C262" i="1"/>
  <c r="B262" i="1"/>
  <c r="A262" i="1"/>
  <c r="AY261" i="1"/>
  <c r="AX261" i="1"/>
  <c r="AT261" i="1"/>
  <c r="AS261" i="1"/>
  <c r="AP261" i="1"/>
  <c r="AN261" i="1"/>
  <c r="AL261" i="1"/>
  <c r="AM261" i="1" s="1"/>
  <c r="AK261" i="1"/>
  <c r="AG261" i="1"/>
  <c r="AV261" i="1" s="1"/>
  <c r="AF261" i="1"/>
  <c r="AE261" i="1"/>
  <c r="AD261" i="1"/>
  <c r="AC261" i="1"/>
  <c r="AB261" i="1"/>
  <c r="Z261" i="1"/>
  <c r="Y261" i="1"/>
  <c r="X261" i="1"/>
  <c r="W261" i="1"/>
  <c r="V261" i="1"/>
  <c r="U261" i="1"/>
  <c r="T261" i="1"/>
  <c r="BA261" i="1" s="1"/>
  <c r="S261" i="1"/>
  <c r="R261" i="1"/>
  <c r="Q261" i="1"/>
  <c r="P261" i="1"/>
  <c r="O261" i="1"/>
  <c r="N261" i="1"/>
  <c r="AZ261" i="1" s="1"/>
  <c r="M261" i="1"/>
  <c r="L261" i="1"/>
  <c r="H261" i="1"/>
  <c r="G261" i="1"/>
  <c r="F261" i="1"/>
  <c r="E261" i="1"/>
  <c r="D261" i="1"/>
  <c r="C261" i="1"/>
  <c r="B261" i="1"/>
  <c r="A261" i="1"/>
  <c r="AY260" i="1"/>
  <c r="AX260" i="1"/>
  <c r="AT260" i="1"/>
  <c r="AS260" i="1"/>
  <c r="AN260" i="1"/>
  <c r="AR260" i="1" s="1"/>
  <c r="AL260" i="1"/>
  <c r="AM260" i="1" s="1"/>
  <c r="AK260" i="1"/>
  <c r="AG260" i="1"/>
  <c r="AF260" i="1"/>
  <c r="AE260" i="1"/>
  <c r="AD260" i="1"/>
  <c r="AC260" i="1"/>
  <c r="AB260" i="1"/>
  <c r="Z260" i="1"/>
  <c r="Y260" i="1"/>
  <c r="X260" i="1"/>
  <c r="W260" i="1"/>
  <c r="V260" i="1"/>
  <c r="U260" i="1"/>
  <c r="T260" i="1"/>
  <c r="BA260" i="1" s="1"/>
  <c r="S260" i="1"/>
  <c r="R260" i="1"/>
  <c r="Q260" i="1"/>
  <c r="P260" i="1"/>
  <c r="O260" i="1"/>
  <c r="N260" i="1"/>
  <c r="AZ260" i="1" s="1"/>
  <c r="M260" i="1"/>
  <c r="L260" i="1"/>
  <c r="H260" i="1"/>
  <c r="G260" i="1"/>
  <c r="F260" i="1"/>
  <c r="E260" i="1"/>
  <c r="D260" i="1"/>
  <c r="C260" i="1"/>
  <c r="B260" i="1"/>
  <c r="A260" i="1"/>
  <c r="AZ259" i="1"/>
  <c r="AX259" i="1"/>
  <c r="AV259" i="1"/>
  <c r="AT259" i="1"/>
  <c r="AS259" i="1"/>
  <c r="AN259" i="1"/>
  <c r="AP259" i="1" s="1"/>
  <c r="AM259" i="1"/>
  <c r="AL259" i="1"/>
  <c r="AW259" i="1" s="1"/>
  <c r="AK259" i="1"/>
  <c r="AG259" i="1"/>
  <c r="AU259" i="1" s="1"/>
  <c r="AF259" i="1"/>
  <c r="AE259" i="1"/>
  <c r="AD259" i="1"/>
  <c r="AC259" i="1"/>
  <c r="AB259" i="1"/>
  <c r="Z259" i="1"/>
  <c r="Y259" i="1"/>
  <c r="X259" i="1"/>
  <c r="W259" i="1"/>
  <c r="V259" i="1"/>
  <c r="U259" i="1"/>
  <c r="T259" i="1"/>
  <c r="BA259" i="1" s="1"/>
  <c r="S259" i="1"/>
  <c r="R259" i="1"/>
  <c r="Q259" i="1"/>
  <c r="P259" i="1"/>
  <c r="O259" i="1"/>
  <c r="N259" i="1"/>
  <c r="M259" i="1"/>
  <c r="L259" i="1"/>
  <c r="H259" i="1"/>
  <c r="AY259" i="1" s="1"/>
  <c r="G259" i="1"/>
  <c r="F259" i="1"/>
  <c r="E259" i="1"/>
  <c r="D259" i="1"/>
  <c r="C259" i="1"/>
  <c r="B259" i="1"/>
  <c r="A259" i="1"/>
  <c r="AT258" i="1"/>
  <c r="AS258" i="1"/>
  <c r="AR258" i="1"/>
  <c r="AN258" i="1"/>
  <c r="AL258" i="1"/>
  <c r="AK258" i="1"/>
  <c r="AJ258" i="1"/>
  <c r="AG258" i="1"/>
  <c r="AV258" i="1" s="1"/>
  <c r="AF258" i="1"/>
  <c r="AE258" i="1"/>
  <c r="AD258" i="1"/>
  <c r="AC258" i="1"/>
  <c r="AB258" i="1"/>
  <c r="Z258" i="1"/>
  <c r="Y258" i="1"/>
  <c r="X258" i="1"/>
  <c r="W258" i="1"/>
  <c r="V258" i="1"/>
  <c r="U258" i="1"/>
  <c r="T258" i="1"/>
  <c r="BA258" i="1" s="1"/>
  <c r="S258" i="1"/>
  <c r="R258" i="1"/>
  <c r="Q258" i="1"/>
  <c r="P258" i="1"/>
  <c r="O258" i="1"/>
  <c r="N258" i="1"/>
  <c r="AZ258" i="1" s="1"/>
  <c r="M258" i="1"/>
  <c r="L258" i="1"/>
  <c r="H258" i="1"/>
  <c r="AY258" i="1" s="1"/>
  <c r="G258" i="1"/>
  <c r="F258" i="1"/>
  <c r="E258" i="1"/>
  <c r="D258" i="1"/>
  <c r="C258" i="1"/>
  <c r="B258" i="1"/>
  <c r="A258" i="1"/>
  <c r="BA257" i="1"/>
  <c r="AT257" i="1"/>
  <c r="AS257" i="1"/>
  <c r="AN257" i="1"/>
  <c r="AL257" i="1"/>
  <c r="AK257" i="1"/>
  <c r="AR257" i="1" s="1"/>
  <c r="AG257" i="1"/>
  <c r="AH257" i="1" s="1"/>
  <c r="AF257" i="1"/>
  <c r="AE257" i="1"/>
  <c r="AD257" i="1"/>
  <c r="AC257" i="1"/>
  <c r="AB257" i="1"/>
  <c r="Z257" i="1"/>
  <c r="Y257" i="1"/>
  <c r="X257" i="1"/>
  <c r="W257" i="1"/>
  <c r="V257" i="1"/>
  <c r="U257" i="1"/>
  <c r="T257" i="1"/>
  <c r="S257" i="1"/>
  <c r="R257" i="1"/>
  <c r="Q257" i="1"/>
  <c r="P257" i="1"/>
  <c r="O257" i="1"/>
  <c r="N257" i="1"/>
  <c r="AZ257" i="1" s="1"/>
  <c r="M257" i="1"/>
  <c r="L257" i="1"/>
  <c r="H257" i="1"/>
  <c r="AY257" i="1" s="1"/>
  <c r="G257" i="1"/>
  <c r="F257" i="1"/>
  <c r="E257" i="1"/>
  <c r="D257" i="1"/>
  <c r="C257" i="1"/>
  <c r="B257" i="1"/>
  <c r="A257" i="1"/>
  <c r="AY256" i="1"/>
  <c r="AV256" i="1"/>
  <c r="AT256" i="1"/>
  <c r="AS256" i="1"/>
  <c r="AN256" i="1"/>
  <c r="AP256" i="1" s="1"/>
  <c r="AL256" i="1"/>
  <c r="AX256" i="1" s="1"/>
  <c r="AK256" i="1"/>
  <c r="AJ256" i="1"/>
  <c r="AH256" i="1"/>
  <c r="AG256" i="1"/>
  <c r="AI256" i="1" s="1"/>
  <c r="AA256" i="1" s="1"/>
  <c r="AF256" i="1"/>
  <c r="AE256" i="1"/>
  <c r="AD256" i="1"/>
  <c r="AC256" i="1"/>
  <c r="AB256" i="1"/>
  <c r="Z256" i="1"/>
  <c r="Y256" i="1"/>
  <c r="X256" i="1"/>
  <c r="W256" i="1"/>
  <c r="V256" i="1"/>
  <c r="U256" i="1"/>
  <c r="T256" i="1"/>
  <c r="BA256" i="1" s="1"/>
  <c r="S256" i="1"/>
  <c r="R256" i="1"/>
  <c r="Q256" i="1"/>
  <c r="P256" i="1"/>
  <c r="O256" i="1"/>
  <c r="N256" i="1"/>
  <c r="AZ256" i="1" s="1"/>
  <c r="M256" i="1"/>
  <c r="L256" i="1"/>
  <c r="H256" i="1"/>
  <c r="G256" i="1"/>
  <c r="F256" i="1"/>
  <c r="E256" i="1"/>
  <c r="D256" i="1"/>
  <c r="C256" i="1"/>
  <c r="B256" i="1"/>
  <c r="A256" i="1"/>
  <c r="AX255" i="1"/>
  <c r="AW255" i="1"/>
  <c r="AT255" i="1"/>
  <c r="AS255" i="1"/>
  <c r="AN255" i="1"/>
  <c r="AM255" i="1"/>
  <c r="AL255" i="1"/>
  <c r="AK255" i="1"/>
  <c r="AI255" i="1"/>
  <c r="AA255" i="1" s="1"/>
  <c r="AO255" i="1" s="1"/>
  <c r="AG255" i="1"/>
  <c r="AF255" i="1"/>
  <c r="AE255" i="1"/>
  <c r="AD255" i="1"/>
  <c r="AC255" i="1"/>
  <c r="AB255" i="1"/>
  <c r="Z255" i="1"/>
  <c r="Y255" i="1"/>
  <c r="X255" i="1"/>
  <c r="W255" i="1"/>
  <c r="V255" i="1"/>
  <c r="U255" i="1"/>
  <c r="T255" i="1"/>
  <c r="BA255" i="1" s="1"/>
  <c r="S255" i="1"/>
  <c r="R255" i="1"/>
  <c r="Q255" i="1"/>
  <c r="P255" i="1"/>
  <c r="O255" i="1"/>
  <c r="N255" i="1"/>
  <c r="AZ255" i="1" s="1"/>
  <c r="M255" i="1"/>
  <c r="L255" i="1"/>
  <c r="H255" i="1"/>
  <c r="AY255" i="1" s="1"/>
  <c r="G255" i="1"/>
  <c r="F255" i="1"/>
  <c r="E255" i="1"/>
  <c r="D255" i="1"/>
  <c r="C255" i="1"/>
  <c r="B255" i="1"/>
  <c r="A255" i="1"/>
  <c r="AU254" i="1"/>
  <c r="AT254" i="1"/>
  <c r="AS254" i="1"/>
  <c r="AN254" i="1"/>
  <c r="AR254" i="1" s="1"/>
  <c r="AL254" i="1"/>
  <c r="AW254" i="1" s="1"/>
  <c r="AK254" i="1"/>
  <c r="AG254" i="1"/>
  <c r="AI254" i="1" s="1"/>
  <c r="AF254" i="1"/>
  <c r="AJ254" i="1" s="1"/>
  <c r="AE254" i="1"/>
  <c r="AD254" i="1"/>
  <c r="AC254" i="1"/>
  <c r="AB254" i="1"/>
  <c r="Z254" i="1"/>
  <c r="Y254" i="1"/>
  <c r="X254" i="1"/>
  <c r="W254" i="1"/>
  <c r="V254" i="1"/>
  <c r="U254" i="1"/>
  <c r="T254" i="1"/>
  <c r="BA254" i="1" s="1"/>
  <c r="S254" i="1"/>
  <c r="R254" i="1"/>
  <c r="Q254" i="1"/>
  <c r="P254" i="1"/>
  <c r="O254" i="1"/>
  <c r="N254" i="1"/>
  <c r="AZ254" i="1" s="1"/>
  <c r="M254" i="1"/>
  <c r="L254" i="1"/>
  <c r="H254" i="1"/>
  <c r="AY254" i="1" s="1"/>
  <c r="G254" i="1"/>
  <c r="F254" i="1"/>
  <c r="E254" i="1"/>
  <c r="D254" i="1"/>
  <c r="C254" i="1"/>
  <c r="B254" i="1"/>
  <c r="A254" i="1"/>
  <c r="AX253" i="1"/>
  <c r="AV253" i="1"/>
  <c r="AT253" i="1"/>
  <c r="AS253" i="1"/>
  <c r="AN253" i="1"/>
  <c r="AM253" i="1"/>
  <c r="AL253" i="1"/>
  <c r="AW253" i="1" s="1"/>
  <c r="AK253" i="1"/>
  <c r="AI253" i="1"/>
  <c r="AA253" i="1" s="1"/>
  <c r="AO253" i="1" s="1"/>
  <c r="AH253" i="1"/>
  <c r="AG253" i="1"/>
  <c r="AF253" i="1"/>
  <c r="AE253" i="1"/>
  <c r="AD253" i="1"/>
  <c r="AC253" i="1"/>
  <c r="AB253" i="1"/>
  <c r="Z253" i="1"/>
  <c r="Y253" i="1"/>
  <c r="X253" i="1"/>
  <c r="W253" i="1"/>
  <c r="V253" i="1"/>
  <c r="U253" i="1"/>
  <c r="T253" i="1"/>
  <c r="BA253" i="1" s="1"/>
  <c r="S253" i="1"/>
  <c r="R253" i="1"/>
  <c r="Q253" i="1"/>
  <c r="P253" i="1"/>
  <c r="O253" i="1"/>
  <c r="N253" i="1"/>
  <c r="AZ253" i="1" s="1"/>
  <c r="M253" i="1"/>
  <c r="L253" i="1"/>
  <c r="H253" i="1"/>
  <c r="AY253" i="1" s="1"/>
  <c r="G253" i="1"/>
  <c r="F253" i="1"/>
  <c r="E253" i="1"/>
  <c r="D253" i="1"/>
  <c r="C253" i="1"/>
  <c r="B253" i="1"/>
  <c r="A253" i="1"/>
  <c r="BA252" i="1"/>
  <c r="AT252" i="1"/>
  <c r="AS252" i="1"/>
  <c r="AN252" i="1"/>
  <c r="AL252" i="1"/>
  <c r="AK252" i="1"/>
  <c r="AG252" i="1"/>
  <c r="AV252" i="1" s="1"/>
  <c r="AF252" i="1"/>
  <c r="AE252" i="1"/>
  <c r="AD252" i="1"/>
  <c r="AC252" i="1"/>
  <c r="AB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AZ252" i="1" s="1"/>
  <c r="M252" i="1"/>
  <c r="L252" i="1"/>
  <c r="H252" i="1"/>
  <c r="AY252" i="1" s="1"/>
  <c r="G252" i="1"/>
  <c r="F252" i="1"/>
  <c r="E252" i="1"/>
  <c r="D252" i="1"/>
  <c r="C252" i="1"/>
  <c r="B252" i="1"/>
  <c r="A252" i="1"/>
  <c r="AZ251" i="1"/>
  <c r="AT251" i="1"/>
  <c r="AS251" i="1"/>
  <c r="AN251" i="1"/>
  <c r="AP251" i="1" s="1"/>
  <c r="AM251" i="1"/>
  <c r="AL251" i="1"/>
  <c r="AW251" i="1" s="1"/>
  <c r="AK251" i="1"/>
  <c r="AG251" i="1"/>
  <c r="AU251" i="1" s="1"/>
  <c r="AF251" i="1"/>
  <c r="AE251" i="1"/>
  <c r="AD251" i="1"/>
  <c r="AC251" i="1"/>
  <c r="AB251" i="1"/>
  <c r="Z251" i="1"/>
  <c r="Y251" i="1"/>
  <c r="X251" i="1"/>
  <c r="W251" i="1"/>
  <c r="V251" i="1"/>
  <c r="U251" i="1"/>
  <c r="T251" i="1"/>
  <c r="BA251" i="1" s="1"/>
  <c r="S251" i="1"/>
  <c r="R251" i="1"/>
  <c r="Q251" i="1"/>
  <c r="P251" i="1"/>
  <c r="O251" i="1"/>
  <c r="N251" i="1"/>
  <c r="M251" i="1"/>
  <c r="L251" i="1"/>
  <c r="H251" i="1"/>
  <c r="AY251" i="1" s="1"/>
  <c r="G251" i="1"/>
  <c r="F251" i="1"/>
  <c r="E251" i="1"/>
  <c r="D251" i="1"/>
  <c r="C251" i="1"/>
  <c r="B251" i="1"/>
  <c r="A251" i="1"/>
  <c r="BA250" i="1"/>
  <c r="AT250" i="1"/>
  <c r="AS250" i="1"/>
  <c r="AN250" i="1"/>
  <c r="AL250" i="1"/>
  <c r="AW250" i="1" s="1"/>
  <c r="AK250" i="1"/>
  <c r="AG250" i="1"/>
  <c r="AV250" i="1" s="1"/>
  <c r="AF250" i="1"/>
  <c r="AJ250" i="1" s="1"/>
  <c r="AE250" i="1"/>
  <c r="AD250" i="1"/>
  <c r="AC250" i="1"/>
  <c r="AB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AZ250" i="1" s="1"/>
  <c r="M250" i="1"/>
  <c r="L250" i="1"/>
  <c r="H250" i="1"/>
  <c r="AY250" i="1" s="1"/>
  <c r="G250" i="1"/>
  <c r="F250" i="1"/>
  <c r="E250" i="1"/>
  <c r="D250" i="1"/>
  <c r="C250" i="1"/>
  <c r="B250" i="1"/>
  <c r="A250" i="1"/>
  <c r="BA249" i="1"/>
  <c r="AT249" i="1"/>
  <c r="AS249" i="1"/>
  <c r="AN249" i="1"/>
  <c r="AL249" i="1"/>
  <c r="AW249" i="1" s="1"/>
  <c r="AK249" i="1"/>
  <c r="AR249" i="1" s="1"/>
  <c r="AG249" i="1"/>
  <c r="AH249" i="1" s="1"/>
  <c r="AF249" i="1"/>
  <c r="AE249" i="1"/>
  <c r="AD249" i="1"/>
  <c r="AC249" i="1"/>
  <c r="AB249" i="1"/>
  <c r="Z249" i="1"/>
  <c r="Y249" i="1"/>
  <c r="X249" i="1"/>
  <c r="W249" i="1"/>
  <c r="V249" i="1"/>
  <c r="U249" i="1"/>
  <c r="T249" i="1"/>
  <c r="S249" i="1"/>
  <c r="R249" i="1"/>
  <c r="Q249" i="1"/>
  <c r="P249" i="1"/>
  <c r="O249" i="1"/>
  <c r="N249" i="1"/>
  <c r="AZ249" i="1" s="1"/>
  <c r="M249" i="1"/>
  <c r="L249" i="1"/>
  <c r="H249" i="1"/>
  <c r="AY249" i="1" s="1"/>
  <c r="G249" i="1"/>
  <c r="F249" i="1"/>
  <c r="E249" i="1"/>
  <c r="D249" i="1"/>
  <c r="C249" i="1"/>
  <c r="B249" i="1"/>
  <c r="A249" i="1"/>
  <c r="BA248" i="1"/>
  <c r="AT248" i="1"/>
  <c r="AS248" i="1"/>
  <c r="AN248" i="1"/>
  <c r="AL248" i="1"/>
  <c r="AK248" i="1"/>
  <c r="AG248" i="1"/>
  <c r="AI248" i="1" s="1"/>
  <c r="AF248" i="1"/>
  <c r="AJ248" i="1" s="1"/>
  <c r="AE248" i="1"/>
  <c r="AD248" i="1"/>
  <c r="AC248" i="1"/>
  <c r="AB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AZ248" i="1" s="1"/>
  <c r="M248" i="1"/>
  <c r="L248" i="1"/>
  <c r="H248" i="1"/>
  <c r="AY248" i="1" s="1"/>
  <c r="G248" i="1"/>
  <c r="F248" i="1"/>
  <c r="E248" i="1"/>
  <c r="D248" i="1"/>
  <c r="C248" i="1"/>
  <c r="B248" i="1"/>
  <c r="A248" i="1"/>
  <c r="AZ247" i="1"/>
  <c r="AT247" i="1"/>
  <c r="AS247" i="1"/>
  <c r="AN247" i="1"/>
  <c r="AR247" i="1" s="1"/>
  <c r="AL247" i="1"/>
  <c r="AX247" i="1" s="1"/>
  <c r="AK247" i="1"/>
  <c r="AG247" i="1"/>
  <c r="AI247" i="1" s="1"/>
  <c r="AF247" i="1"/>
  <c r="AE247" i="1"/>
  <c r="AD247" i="1"/>
  <c r="AC247" i="1"/>
  <c r="AB247" i="1"/>
  <c r="Z247" i="1"/>
  <c r="Y247" i="1"/>
  <c r="X247" i="1"/>
  <c r="W247" i="1"/>
  <c r="V247" i="1"/>
  <c r="U247" i="1"/>
  <c r="T247" i="1"/>
  <c r="BA247" i="1" s="1"/>
  <c r="S247" i="1"/>
  <c r="R247" i="1"/>
  <c r="Q247" i="1"/>
  <c r="P247" i="1"/>
  <c r="O247" i="1"/>
  <c r="N247" i="1"/>
  <c r="M247" i="1"/>
  <c r="L247" i="1"/>
  <c r="H247" i="1"/>
  <c r="AY247" i="1" s="1"/>
  <c r="G247" i="1"/>
  <c r="F247" i="1"/>
  <c r="E247" i="1"/>
  <c r="D247" i="1"/>
  <c r="C247" i="1"/>
  <c r="B247" i="1"/>
  <c r="A247" i="1"/>
  <c r="AT246" i="1"/>
  <c r="AS246" i="1"/>
  <c r="AN246" i="1"/>
  <c r="AL246" i="1"/>
  <c r="AK246" i="1"/>
  <c r="AG246" i="1"/>
  <c r="AI246" i="1" s="1"/>
  <c r="AF246" i="1"/>
  <c r="AE246" i="1"/>
  <c r="AD246" i="1"/>
  <c r="AC246" i="1"/>
  <c r="AB246" i="1"/>
  <c r="Z246" i="1"/>
  <c r="Y246" i="1"/>
  <c r="X246" i="1"/>
  <c r="W246" i="1"/>
  <c r="V246" i="1"/>
  <c r="U246" i="1"/>
  <c r="T246" i="1"/>
  <c r="BA246" i="1" s="1"/>
  <c r="S246" i="1"/>
  <c r="R246" i="1"/>
  <c r="Q246" i="1"/>
  <c r="P246" i="1"/>
  <c r="O246" i="1"/>
  <c r="N246" i="1"/>
  <c r="AZ246" i="1" s="1"/>
  <c r="M246" i="1"/>
  <c r="L246" i="1"/>
  <c r="H246" i="1"/>
  <c r="AY246" i="1" s="1"/>
  <c r="G246" i="1"/>
  <c r="F246" i="1"/>
  <c r="E246" i="1"/>
  <c r="D246" i="1"/>
  <c r="C246" i="1"/>
  <c r="B246" i="1"/>
  <c r="A246" i="1"/>
  <c r="AZ245" i="1"/>
  <c r="AT245" i="1"/>
  <c r="AS245" i="1"/>
  <c r="AN245" i="1"/>
  <c r="AL245" i="1"/>
  <c r="AK245" i="1"/>
  <c r="AH245" i="1"/>
  <c r="AG245" i="1"/>
  <c r="AF245" i="1"/>
  <c r="AE245" i="1"/>
  <c r="AD245" i="1"/>
  <c r="AC245" i="1"/>
  <c r="AB245" i="1"/>
  <c r="Z245" i="1"/>
  <c r="Y245" i="1"/>
  <c r="X245" i="1"/>
  <c r="W245" i="1"/>
  <c r="V245" i="1"/>
  <c r="U245" i="1"/>
  <c r="T245" i="1"/>
  <c r="BA245" i="1" s="1"/>
  <c r="S245" i="1"/>
  <c r="R245" i="1"/>
  <c r="Q245" i="1"/>
  <c r="P245" i="1"/>
  <c r="O245" i="1"/>
  <c r="N245" i="1"/>
  <c r="M245" i="1"/>
  <c r="L245" i="1"/>
  <c r="H245" i="1"/>
  <c r="AY245" i="1" s="1"/>
  <c r="G245" i="1"/>
  <c r="F245" i="1"/>
  <c r="E245" i="1"/>
  <c r="D245" i="1"/>
  <c r="C245" i="1"/>
  <c r="B245" i="1"/>
  <c r="A245" i="1"/>
  <c r="AT244" i="1"/>
  <c r="AS244" i="1"/>
  <c r="AR244" i="1"/>
  <c r="AN244" i="1"/>
  <c r="AL244" i="1"/>
  <c r="AM244" i="1" s="1"/>
  <c r="AK244" i="1"/>
  <c r="AG244" i="1"/>
  <c r="AF244" i="1"/>
  <c r="AJ244" i="1" s="1"/>
  <c r="AE244" i="1"/>
  <c r="AD244" i="1"/>
  <c r="AC244" i="1"/>
  <c r="AB244" i="1"/>
  <c r="Z244" i="1"/>
  <c r="Y244" i="1"/>
  <c r="X244" i="1"/>
  <c r="W244" i="1"/>
  <c r="V244" i="1"/>
  <c r="U244" i="1"/>
  <c r="T244" i="1"/>
  <c r="BA244" i="1" s="1"/>
  <c r="S244" i="1"/>
  <c r="R244" i="1"/>
  <c r="Q244" i="1"/>
  <c r="P244" i="1"/>
  <c r="O244" i="1"/>
  <c r="N244" i="1"/>
  <c r="AZ244" i="1" s="1"/>
  <c r="M244" i="1"/>
  <c r="L244" i="1"/>
  <c r="H244" i="1"/>
  <c r="AY244" i="1" s="1"/>
  <c r="G244" i="1"/>
  <c r="F244" i="1"/>
  <c r="E244" i="1"/>
  <c r="D244" i="1"/>
  <c r="C244" i="1"/>
  <c r="B244" i="1"/>
  <c r="A244" i="1"/>
  <c r="BA243" i="1"/>
  <c r="AT243" i="1"/>
  <c r="AS243" i="1"/>
  <c r="AN243" i="1"/>
  <c r="AM243" i="1"/>
  <c r="AL243" i="1"/>
  <c r="AW243" i="1" s="1"/>
  <c r="AK243" i="1"/>
  <c r="AH243" i="1"/>
  <c r="AG243" i="1"/>
  <c r="AU243" i="1" s="1"/>
  <c r="AF243" i="1"/>
  <c r="AE243" i="1"/>
  <c r="AD243" i="1"/>
  <c r="AC243" i="1"/>
  <c r="AB243" i="1"/>
  <c r="Z243" i="1"/>
  <c r="Y243" i="1"/>
  <c r="X243" i="1"/>
  <c r="W243" i="1"/>
  <c r="V243" i="1"/>
  <c r="U243" i="1"/>
  <c r="T243" i="1"/>
  <c r="S243" i="1"/>
  <c r="R243" i="1"/>
  <c r="Q243" i="1"/>
  <c r="P243" i="1"/>
  <c r="O243" i="1"/>
  <c r="N243" i="1"/>
  <c r="AZ243" i="1" s="1"/>
  <c r="M243" i="1"/>
  <c r="L243" i="1"/>
  <c r="H243" i="1"/>
  <c r="AY243" i="1" s="1"/>
  <c r="G243" i="1"/>
  <c r="F243" i="1"/>
  <c r="E243" i="1"/>
  <c r="D243" i="1"/>
  <c r="C243" i="1"/>
  <c r="B243" i="1"/>
  <c r="A243" i="1"/>
  <c r="B2" i="18"/>
  <c r="A237" i="19"/>
  <c r="B237" i="19" s="1"/>
  <c r="A238" i="19"/>
  <c r="A239" i="19"/>
  <c r="A240" i="19"/>
  <c r="A241" i="19"/>
  <c r="B241" i="19"/>
  <c r="A242" i="19"/>
  <c r="A243" i="19"/>
  <c r="B243" i="19" s="1"/>
  <c r="A244" i="19"/>
  <c r="B244" i="19" s="1"/>
  <c r="A228" i="19"/>
  <c r="B228" i="19" s="1"/>
  <c r="A229" i="19"/>
  <c r="B229" i="19"/>
  <c r="A230" i="19"/>
  <c r="B230" i="19" s="1"/>
  <c r="A231" i="19"/>
  <c r="A232" i="19"/>
  <c r="B232" i="19"/>
  <c r="A233" i="19"/>
  <c r="B233" i="19" s="1"/>
  <c r="A234" i="19"/>
  <c r="B234" i="19" s="1"/>
  <c r="A235" i="19"/>
  <c r="A236" i="19"/>
  <c r="A221" i="19"/>
  <c r="B221" i="19" s="1"/>
  <c r="A222" i="19"/>
  <c r="A223" i="19"/>
  <c r="B223" i="19"/>
  <c r="A224" i="19"/>
  <c r="A225" i="19"/>
  <c r="A226" i="19"/>
  <c r="B226" i="19" s="1"/>
  <c r="A227" i="19"/>
  <c r="B227" i="19" s="1"/>
  <c r="A206" i="19"/>
  <c r="A207" i="19"/>
  <c r="B207" i="19"/>
  <c r="A208" i="19"/>
  <c r="A209" i="19"/>
  <c r="A210" i="19"/>
  <c r="A211" i="19"/>
  <c r="B211" i="19" s="1"/>
  <c r="A212" i="19"/>
  <c r="A213" i="19"/>
  <c r="B213" i="19"/>
  <c r="A214" i="19"/>
  <c r="A215" i="19"/>
  <c r="B215" i="19" s="1"/>
  <c r="A216" i="19"/>
  <c r="B216" i="19" s="1"/>
  <c r="A217" i="19"/>
  <c r="A218" i="19"/>
  <c r="B218" i="19" s="1"/>
  <c r="A219" i="19"/>
  <c r="B219" i="19" s="1"/>
  <c r="A220" i="19"/>
  <c r="B220" i="19"/>
  <c r="A3" i="19"/>
  <c r="B3" i="19" s="1"/>
  <c r="A4" i="19"/>
  <c r="B4" i="19" s="1"/>
  <c r="A5" i="19"/>
  <c r="B5" i="19"/>
  <c r="A6" i="19"/>
  <c r="B6" i="19" s="1"/>
  <c r="A7" i="19"/>
  <c r="A8" i="19"/>
  <c r="A9" i="19"/>
  <c r="A10" i="19"/>
  <c r="A11" i="19"/>
  <c r="B11" i="19" s="1"/>
  <c r="A12" i="19"/>
  <c r="B12" i="19" s="1"/>
  <c r="A13" i="19"/>
  <c r="B13" i="19" s="1"/>
  <c r="A14" i="19"/>
  <c r="A15" i="19"/>
  <c r="A16" i="19"/>
  <c r="A17" i="19"/>
  <c r="A18" i="19"/>
  <c r="A19" i="19"/>
  <c r="A20" i="19"/>
  <c r="B20" i="19" s="1"/>
  <c r="A21" i="19"/>
  <c r="A22" i="19"/>
  <c r="B22" i="19" s="1"/>
  <c r="A23" i="19"/>
  <c r="B23" i="19" s="1"/>
  <c r="A24" i="19"/>
  <c r="A25" i="19"/>
  <c r="B25" i="19" s="1"/>
  <c r="A26" i="19"/>
  <c r="A27" i="19"/>
  <c r="B27" i="19" s="1"/>
  <c r="A28" i="19"/>
  <c r="B28" i="19" s="1"/>
  <c r="A29" i="19"/>
  <c r="A30" i="19"/>
  <c r="A31" i="19"/>
  <c r="B31" i="19"/>
  <c r="A32" i="19"/>
  <c r="A33" i="19"/>
  <c r="A34" i="19"/>
  <c r="A35" i="19"/>
  <c r="B35" i="19" s="1"/>
  <c r="A36" i="19"/>
  <c r="A37" i="19"/>
  <c r="B37" i="19"/>
  <c r="A38" i="19"/>
  <c r="A39" i="19"/>
  <c r="A40" i="19"/>
  <c r="A41" i="19"/>
  <c r="A42" i="19"/>
  <c r="A43" i="19"/>
  <c r="B43" i="19" s="1"/>
  <c r="A44" i="19"/>
  <c r="B44" i="19"/>
  <c r="A45" i="19"/>
  <c r="B45" i="19" s="1"/>
  <c r="A46" i="19"/>
  <c r="B46" i="19"/>
  <c r="A47" i="19"/>
  <c r="A48" i="19"/>
  <c r="A49" i="19"/>
  <c r="A50" i="19"/>
  <c r="B50" i="19" s="1"/>
  <c r="A51" i="19"/>
  <c r="B51" i="19" s="1"/>
  <c r="A52" i="19"/>
  <c r="B52" i="19" s="1"/>
  <c r="A53" i="19"/>
  <c r="A54" i="19"/>
  <c r="A55" i="19"/>
  <c r="B55" i="19" s="1"/>
  <c r="A56" i="19"/>
  <c r="A57" i="19"/>
  <c r="B57" i="19"/>
  <c r="A58" i="19"/>
  <c r="B58" i="19" s="1"/>
  <c r="A59" i="19"/>
  <c r="A60" i="19"/>
  <c r="A61" i="19"/>
  <c r="B61" i="19" s="1"/>
  <c r="A62" i="19"/>
  <c r="B62" i="19"/>
  <c r="A63" i="19"/>
  <c r="B63" i="19" s="1"/>
  <c r="A64" i="19"/>
  <c r="A65" i="19"/>
  <c r="A66" i="19"/>
  <c r="B66" i="19" s="1"/>
  <c r="A67" i="19"/>
  <c r="B67" i="19"/>
  <c r="A68" i="19"/>
  <c r="B68" i="19" s="1"/>
  <c r="A69" i="19"/>
  <c r="A70" i="19"/>
  <c r="B70" i="19" s="1"/>
  <c r="A71" i="19"/>
  <c r="B71" i="19" s="1"/>
  <c r="A72" i="19"/>
  <c r="A73" i="19"/>
  <c r="A74" i="19"/>
  <c r="B74" i="19" s="1"/>
  <c r="A75" i="19"/>
  <c r="A76" i="19"/>
  <c r="A77" i="19"/>
  <c r="A78" i="19"/>
  <c r="A79" i="19"/>
  <c r="A80" i="19"/>
  <c r="B80" i="19" s="1"/>
  <c r="A81" i="19"/>
  <c r="B81" i="19" s="1"/>
  <c r="A82" i="19"/>
  <c r="A83" i="19"/>
  <c r="B83" i="19" s="1"/>
  <c r="A84" i="19"/>
  <c r="B84" i="19" s="1"/>
  <c r="A85" i="19"/>
  <c r="A86" i="19"/>
  <c r="A87" i="19"/>
  <c r="B87" i="19" s="1"/>
  <c r="A88" i="19"/>
  <c r="B88" i="19" s="1"/>
  <c r="A89" i="19"/>
  <c r="A90" i="19"/>
  <c r="B90" i="19" s="1"/>
  <c r="A91" i="19"/>
  <c r="B91" i="19" s="1"/>
  <c r="A92" i="19"/>
  <c r="B92" i="19" s="1"/>
  <c r="A93" i="19"/>
  <c r="A94" i="19"/>
  <c r="A95" i="19"/>
  <c r="B95" i="19" s="1"/>
  <c r="A96" i="19"/>
  <c r="A97" i="19"/>
  <c r="B97" i="19" s="1"/>
  <c r="A98" i="19"/>
  <c r="A99" i="19"/>
  <c r="B99" i="19"/>
  <c r="A100" i="19"/>
  <c r="B100" i="19" s="1"/>
  <c r="A101" i="19"/>
  <c r="B101" i="19" s="1"/>
  <c r="A102" i="19"/>
  <c r="A103" i="19"/>
  <c r="A104" i="19"/>
  <c r="B104" i="19" s="1"/>
  <c r="A105" i="19"/>
  <c r="A106" i="19"/>
  <c r="B106" i="19"/>
  <c r="A107" i="19"/>
  <c r="B107" i="19" s="1"/>
  <c r="A108" i="19"/>
  <c r="B108" i="19" s="1"/>
  <c r="A109" i="19"/>
  <c r="A110" i="19"/>
  <c r="A111" i="19"/>
  <c r="B111" i="19" s="1"/>
  <c r="A112" i="19"/>
  <c r="B112" i="19" s="1"/>
  <c r="A113" i="19"/>
  <c r="A114" i="19"/>
  <c r="B114" i="19" s="1"/>
  <c r="A115" i="19"/>
  <c r="B115" i="19" s="1"/>
  <c r="A116" i="19"/>
  <c r="B116" i="19" s="1"/>
  <c r="A117" i="19"/>
  <c r="B117" i="19" s="1"/>
  <c r="A118" i="19"/>
  <c r="A119" i="19"/>
  <c r="A120" i="19"/>
  <c r="B120" i="19" s="1"/>
  <c r="A121" i="19"/>
  <c r="B121" i="19"/>
  <c r="A122" i="19"/>
  <c r="A123" i="19"/>
  <c r="B123" i="19"/>
  <c r="A124" i="19"/>
  <c r="A125" i="19"/>
  <c r="B125" i="19" s="1"/>
  <c r="A126" i="19"/>
  <c r="A127" i="19"/>
  <c r="B127" i="19" s="1"/>
  <c r="A128" i="19"/>
  <c r="A129" i="19"/>
  <c r="A130" i="19"/>
  <c r="A131" i="19"/>
  <c r="B131" i="19" s="1"/>
  <c r="A132" i="19"/>
  <c r="B132" i="19" s="1"/>
  <c r="A133" i="19"/>
  <c r="B133" i="19" s="1"/>
  <c r="A134" i="19"/>
  <c r="A135" i="19"/>
  <c r="A136" i="19"/>
  <c r="B136" i="19" s="1"/>
  <c r="A137" i="19"/>
  <c r="B137" i="19" s="1"/>
  <c r="A138" i="19"/>
  <c r="A139" i="19"/>
  <c r="A140" i="19"/>
  <c r="B140" i="19"/>
  <c r="A141" i="19"/>
  <c r="B141" i="19" s="1"/>
  <c r="A142" i="19"/>
  <c r="A143" i="19"/>
  <c r="A144" i="19"/>
  <c r="B144" i="19" s="1"/>
  <c r="A145" i="19"/>
  <c r="B145" i="19" s="1"/>
  <c r="A146" i="19"/>
  <c r="A147" i="19"/>
  <c r="A148" i="19"/>
  <c r="B148" i="19" s="1"/>
  <c r="A149" i="19"/>
  <c r="B149" i="19" s="1"/>
  <c r="A150" i="19"/>
  <c r="A151" i="19"/>
  <c r="B151" i="19" s="1"/>
  <c r="A152" i="19"/>
  <c r="A153" i="19"/>
  <c r="B153" i="19" s="1"/>
  <c r="A154" i="19"/>
  <c r="A155" i="19"/>
  <c r="A156" i="19"/>
  <c r="A157" i="19"/>
  <c r="B157" i="19"/>
  <c r="A158" i="19"/>
  <c r="A159" i="19"/>
  <c r="B159" i="19" s="1"/>
  <c r="A160" i="19"/>
  <c r="B160" i="19" s="1"/>
  <c r="A161" i="19"/>
  <c r="B161" i="19" s="1"/>
  <c r="A162" i="19"/>
  <c r="B162" i="19" s="1"/>
  <c r="A163" i="19"/>
  <c r="B163" i="19"/>
  <c r="A164" i="19"/>
  <c r="A165" i="19"/>
  <c r="B165" i="19" s="1"/>
  <c r="A166" i="19"/>
  <c r="A167" i="19"/>
  <c r="B167" i="19" s="1"/>
  <c r="A168" i="19"/>
  <c r="A169" i="19"/>
  <c r="B169" i="19" s="1"/>
  <c r="A170" i="19"/>
  <c r="B170" i="19" s="1"/>
  <c r="A171" i="19"/>
  <c r="B171" i="19" s="1"/>
  <c r="A172" i="19"/>
  <c r="A173" i="19"/>
  <c r="A174" i="19"/>
  <c r="A175" i="19"/>
  <c r="B175" i="19"/>
  <c r="A176" i="19"/>
  <c r="B176" i="19" s="1"/>
  <c r="A177" i="19"/>
  <c r="A178" i="19"/>
  <c r="A179" i="19"/>
  <c r="A180" i="19"/>
  <c r="A181" i="19"/>
  <c r="B181" i="19" s="1"/>
  <c r="A182" i="19"/>
  <c r="B182" i="19" s="1"/>
  <c r="A183" i="19"/>
  <c r="B183" i="19" s="1"/>
  <c r="A184" i="19"/>
  <c r="B184" i="19" s="1"/>
  <c r="A185" i="19"/>
  <c r="A186" i="19"/>
  <c r="A187" i="19"/>
  <c r="A188" i="19"/>
  <c r="B188" i="19" s="1"/>
  <c r="A189" i="19"/>
  <c r="B189" i="19" s="1"/>
  <c r="A190" i="19"/>
  <c r="B190" i="19" s="1"/>
  <c r="A191" i="19"/>
  <c r="A192" i="19"/>
  <c r="B192" i="19" s="1"/>
  <c r="A193" i="19"/>
  <c r="B193" i="19" s="1"/>
  <c r="A194" i="19"/>
  <c r="B194" i="19" s="1"/>
  <c r="A195" i="19"/>
  <c r="A196" i="19"/>
  <c r="A197" i="19"/>
  <c r="B197" i="19" s="1"/>
  <c r="A198" i="19"/>
  <c r="B198" i="19" s="1"/>
  <c r="A199" i="19"/>
  <c r="B199" i="19" s="1"/>
  <c r="A200" i="19"/>
  <c r="B200" i="19" s="1"/>
  <c r="A201" i="19"/>
  <c r="B201" i="19" s="1"/>
  <c r="A202" i="19"/>
  <c r="A203" i="19"/>
  <c r="A204" i="19"/>
  <c r="A205" i="19"/>
  <c r="AW245" i="1" l="1"/>
  <c r="AM245" i="1"/>
  <c r="AX245" i="1"/>
  <c r="AP255" i="1"/>
  <c r="AR255" i="1"/>
  <c r="AV260" i="1"/>
  <c r="AH260" i="1"/>
  <c r="AU260" i="1"/>
  <c r="AR277" i="1"/>
  <c r="AP277" i="1"/>
  <c r="AX279" i="1"/>
  <c r="AM279" i="1"/>
  <c r="AI243" i="1"/>
  <c r="AA243" i="1" s="1"/>
  <c r="AO243" i="1" s="1"/>
  <c r="AP243" i="1"/>
  <c r="AR243" i="1"/>
  <c r="AV244" i="1"/>
  <c r="AH244" i="1"/>
  <c r="AI244" i="1"/>
  <c r="AA244" i="1" s="1"/>
  <c r="AO244" i="1" s="1"/>
  <c r="AI245" i="1"/>
  <c r="AA245" i="1" s="1"/>
  <c r="AO245" i="1" s="1"/>
  <c r="AV245" i="1"/>
  <c r="AX248" i="1"/>
  <c r="AM248" i="1"/>
  <c r="AW257" i="1"/>
  <c r="AX257" i="1"/>
  <c r="AM257" i="1"/>
  <c r="AX264" i="1"/>
  <c r="AM264" i="1"/>
  <c r="AO267" i="1"/>
  <c r="AM252" i="1"/>
  <c r="AX252" i="1"/>
  <c r="AR253" i="1"/>
  <c r="AP253" i="1"/>
  <c r="AW246" i="1"/>
  <c r="AM246" i="1"/>
  <c r="AX246" i="1"/>
  <c r="AP252" i="1"/>
  <c r="AV264" i="1"/>
  <c r="AI264" i="1"/>
  <c r="AA264" i="1" s="1"/>
  <c r="AO264" i="1" s="1"/>
  <c r="AU264" i="1"/>
  <c r="AH264" i="1"/>
  <c r="AR266" i="1"/>
  <c r="AP266" i="1"/>
  <c r="AW267" i="1"/>
  <c r="AX267" i="1"/>
  <c r="AM267" i="1"/>
  <c r="AP267" i="1"/>
  <c r="AR269" i="1"/>
  <c r="AP269" i="1"/>
  <c r="AJ249" i="1"/>
  <c r="AI250" i="1"/>
  <c r="AR251" i="1"/>
  <c r="AR252" i="1"/>
  <c r="AU256" i="1"/>
  <c r="AI258" i="1"/>
  <c r="AA258" i="1" s="1"/>
  <c r="AO258" i="1" s="1"/>
  <c r="AU258" i="1"/>
  <c r="AR261" i="1"/>
  <c r="AW261" i="1"/>
  <c r="AR262" i="1"/>
  <c r="AV262" i="1"/>
  <c r="AW263" i="1"/>
  <c r="AW268" i="1"/>
  <c r="AM272" i="1"/>
  <c r="AU272" i="1"/>
  <c r="AJ273" i="1"/>
  <c r="AP273" i="1"/>
  <c r="AV273" i="1"/>
  <c r="AI274" i="1"/>
  <c r="AA274" i="1" s="1"/>
  <c r="AO274" i="1" s="1"/>
  <c r="AV274" i="1"/>
  <c r="AH275" i="1"/>
  <c r="AR275" i="1"/>
  <c r="AI276" i="1"/>
  <c r="AA276" i="1" s="1"/>
  <c r="AO276" i="1" s="1"/>
  <c r="AM278" i="1"/>
  <c r="AA280" i="1"/>
  <c r="AO280" i="1" s="1"/>
  <c r="AU280" i="1"/>
  <c r="AU281" i="1"/>
  <c r="AH282" i="1"/>
  <c r="AP282" i="1"/>
  <c r="AV246" i="1"/>
  <c r="AA248" i="1"/>
  <c r="AO248" i="1" s="1"/>
  <c r="AU248" i="1"/>
  <c r="AU250" i="1"/>
  <c r="AV254" i="1"/>
  <c r="AR259" i="1"/>
  <c r="AA247" i="1"/>
  <c r="AO247" i="1" s="1"/>
  <c r="AV270" i="1"/>
  <c r="AX243" i="1"/>
  <c r="AR245" i="1"/>
  <c r="AH246" i="1"/>
  <c r="AR246" i="1"/>
  <c r="AH248" i="1"/>
  <c r="AR248" i="1"/>
  <c r="AV248" i="1"/>
  <c r="AI249" i="1"/>
  <c r="AA249" i="1" s="1"/>
  <c r="AO249" i="1" s="1"/>
  <c r="AV249" i="1"/>
  <c r="AH250" i="1"/>
  <c r="AR250" i="1"/>
  <c r="AX251" i="1"/>
  <c r="AH254" i="1"/>
  <c r="AP257" i="1"/>
  <c r="AH258" i="1"/>
  <c r="AP258" i="1"/>
  <c r="AU265" i="1"/>
  <c r="AM271" i="1"/>
  <c r="AX271" i="1"/>
  <c r="AI273" i="1"/>
  <c r="AA273" i="1" s="1"/>
  <c r="AU273" i="1"/>
  <c r="AH274" i="1"/>
  <c r="AJ279" i="1"/>
  <c r="AV279" i="1"/>
  <c r="AR281" i="1"/>
  <c r="AR264" i="1"/>
  <c r="AP264" i="1"/>
  <c r="AU271" i="1"/>
  <c r="AV300" i="1"/>
  <c r="AU300" i="1"/>
  <c r="AJ300" i="1"/>
  <c r="AI300" i="1"/>
  <c r="AA300" i="1" s="1"/>
  <c r="AO300" i="1" s="1"/>
  <c r="AH269" i="1"/>
  <c r="AW270" i="1"/>
  <c r="AV277" i="1"/>
  <c r="AU277" i="1"/>
  <c r="AJ277" i="1"/>
  <c r="AI277" i="1"/>
  <c r="AA277" i="1" s="1"/>
  <c r="AO277" i="1" s="1"/>
  <c r="AH284" i="1"/>
  <c r="AX304" i="1"/>
  <c r="AW304" i="1"/>
  <c r="AM304" i="1"/>
  <c r="AR329" i="1"/>
  <c r="AP329" i="1"/>
  <c r="AJ340" i="1"/>
  <c r="AA340" i="1"/>
  <c r="AO340" i="1" s="1"/>
  <c r="AR348" i="1"/>
  <c r="AP348" i="1"/>
  <c r="AP393" i="1"/>
  <c r="AR393" i="1"/>
  <c r="AX429" i="1"/>
  <c r="AW429" i="1"/>
  <c r="AM429" i="1"/>
  <c r="AJ243" i="1"/>
  <c r="AU244" i="1"/>
  <c r="AA246" i="1"/>
  <c r="AO246" i="1" s="1"/>
  <c r="AP246" i="1"/>
  <c r="AU247" i="1"/>
  <c r="AP248" i="1"/>
  <c r="AU249" i="1"/>
  <c r="AH251" i="1"/>
  <c r="AI252" i="1"/>
  <c r="AA252" i="1" s="1"/>
  <c r="AO252" i="1" s="1"/>
  <c r="AX254" i="1"/>
  <c r="AJ255" i="1"/>
  <c r="AH255" i="1"/>
  <c r="AM256" i="1"/>
  <c r="AI257" i="1"/>
  <c r="AA257" i="1" s="1"/>
  <c r="AO257" i="1" s="1"/>
  <c r="AW258" i="1"/>
  <c r="AP260" i="1"/>
  <c r="AH261" i="1"/>
  <c r="AM262" i="1"/>
  <c r="AW262" i="1"/>
  <c r="AV263" i="1"/>
  <c r="AV268" i="1"/>
  <c r="AU268" i="1"/>
  <c r="AP268" i="1"/>
  <c r="AI269" i="1"/>
  <c r="AA269" i="1" s="1"/>
  <c r="AO269" i="1" s="1"/>
  <c r="AX270" i="1"/>
  <c r="AP274" i="1"/>
  <c r="AX274" i="1"/>
  <c r="AW274" i="1"/>
  <c r="AM274" i="1"/>
  <c r="AH277" i="1"/>
  <c r="AP285" i="1"/>
  <c r="AV301" i="1"/>
  <c r="AU301" i="1"/>
  <c r="AJ301" i="1"/>
  <c r="AI301" i="1"/>
  <c r="AA301" i="1" s="1"/>
  <c r="AO301" i="1" s="1"/>
  <c r="AH301" i="1"/>
  <c r="AR304" i="1"/>
  <c r="AR309" i="1"/>
  <c r="AP309" i="1"/>
  <c r="AR310" i="1"/>
  <c r="AP310" i="1"/>
  <c r="AJ348" i="1"/>
  <c r="AA348" i="1"/>
  <c r="AO348" i="1" s="1"/>
  <c r="AR349" i="1"/>
  <c r="AP349" i="1"/>
  <c r="AV395" i="1"/>
  <c r="AU395" i="1"/>
  <c r="AH395" i="1"/>
  <c r="AJ395" i="1"/>
  <c r="AI395" i="1"/>
  <c r="AA395" i="1" s="1"/>
  <c r="AO395" i="1" s="1"/>
  <c r="AJ325" i="1"/>
  <c r="AA325" i="1"/>
  <c r="AO325" i="1" s="1"/>
  <c r="AH300" i="1"/>
  <c r="AR294" i="1"/>
  <c r="AP294" i="1"/>
  <c r="AX303" i="1"/>
  <c r="AW303" i="1"/>
  <c r="AW370" i="1"/>
  <c r="AP370" i="1"/>
  <c r="AM370" i="1"/>
  <c r="AX384" i="1"/>
  <c r="AM384" i="1"/>
  <c r="AW384" i="1"/>
  <c r="AV243" i="1"/>
  <c r="AX244" i="1"/>
  <c r="AJ246" i="1"/>
  <c r="AM247" i="1"/>
  <c r="AW247" i="1"/>
  <c r="AM249" i="1"/>
  <c r="AX249" i="1"/>
  <c r="AJ251" i="1"/>
  <c r="AU252" i="1"/>
  <c r="AA254" i="1"/>
  <c r="AO254" i="1" s="1"/>
  <c r="AP254" i="1"/>
  <c r="AU255" i="1"/>
  <c r="AU257" i="1"/>
  <c r="AH259" i="1"/>
  <c r="AI260" i="1"/>
  <c r="AA260" i="1" s="1"/>
  <c r="AO260" i="1" s="1"/>
  <c r="AM263" i="1"/>
  <c r="AJ264" i="1"/>
  <c r="AV267" i="1"/>
  <c r="AU267" i="1"/>
  <c r="AI268" i="1"/>
  <c r="AA268" i="1" s="1"/>
  <c r="AO268" i="1" s="1"/>
  <c r="AP270" i="1"/>
  <c r="AR271" i="1"/>
  <c r="AP271" i="1"/>
  <c r="AW279" i="1"/>
  <c r="AX280" i="1"/>
  <c r="AW280" i="1"/>
  <c r="AX288" i="1"/>
  <c r="AW288" i="1"/>
  <c r="AM288" i="1"/>
  <c r="AM303" i="1"/>
  <c r="AV308" i="1"/>
  <c r="AU308" i="1"/>
  <c r="AJ308" i="1"/>
  <c r="AI308" i="1"/>
  <c r="AA308" i="1" s="1"/>
  <c r="AO308" i="1" s="1"/>
  <c r="AJ330" i="1"/>
  <c r="AH330" i="1"/>
  <c r="AV330" i="1"/>
  <c r="AU330" i="1"/>
  <c r="AI330" i="1"/>
  <c r="AA330" i="1" s="1"/>
  <c r="AO330" i="1" s="1"/>
  <c r="AM331" i="1"/>
  <c r="AW331" i="1"/>
  <c r="AR333" i="1"/>
  <c r="AP333" i="1"/>
  <c r="AA353" i="1"/>
  <c r="AO353" i="1" s="1"/>
  <c r="AJ353" i="1"/>
  <c r="AM359" i="1"/>
  <c r="AW359" i="1"/>
  <c r="AJ247" i="1"/>
  <c r="AH247" i="1"/>
  <c r="AJ271" i="1"/>
  <c r="AI271" i="1"/>
  <c r="AA271" i="1" s="1"/>
  <c r="AO271" i="1" s="1"/>
  <c r="AH271" i="1"/>
  <c r="AR374" i="1"/>
  <c r="AP374" i="1"/>
  <c r="AM254" i="1"/>
  <c r="AW256" i="1"/>
  <c r="AR286" i="1"/>
  <c r="AP286" i="1"/>
  <c r="AI251" i="1"/>
  <c r="AA251" i="1" s="1"/>
  <c r="AO251" i="1" s="1"/>
  <c r="AR256" i="1"/>
  <c r="AV285" i="1"/>
  <c r="AU285" i="1"/>
  <c r="AJ285" i="1"/>
  <c r="AI285" i="1"/>
  <c r="AA285" i="1" s="1"/>
  <c r="AO285" i="1" s="1"/>
  <c r="AU245" i="1"/>
  <c r="AJ245" i="1"/>
  <c r="AP245" i="1"/>
  <c r="AU246" i="1"/>
  <c r="AP247" i="1"/>
  <c r="AP249" i="1"/>
  <c r="AW252" i="1"/>
  <c r="AV255" i="1"/>
  <c r="AO256" i="1"/>
  <c r="AV257" i="1"/>
  <c r="AI259" i="1"/>
  <c r="AA259" i="1" s="1"/>
  <c r="AO259" i="1" s="1"/>
  <c r="AJ260" i="1"/>
  <c r="AP262" i="1"/>
  <c r="AR263" i="1"/>
  <c r="AP263" i="1"/>
  <c r="AW264" i="1"/>
  <c r="AX266" i="1"/>
  <c r="AW266" i="1"/>
  <c r="AM266" i="1"/>
  <c r="AJ268" i="1"/>
  <c r="AJ270" i="1"/>
  <c r="AI270" i="1"/>
  <c r="AA270" i="1" s="1"/>
  <c r="AO270" i="1" s="1"/>
  <c r="AO273" i="1"/>
  <c r="AV276" i="1"/>
  <c r="AU276" i="1"/>
  <c r="AX281" i="1"/>
  <c r="AW281" i="1"/>
  <c r="AM281" i="1"/>
  <c r="AR288" i="1"/>
  <c r="AV292" i="1"/>
  <c r="AU292" i="1"/>
  <c r="AJ292" i="1"/>
  <c r="AI292" i="1"/>
  <c r="AA292" i="1" s="1"/>
  <c r="AO292" i="1" s="1"/>
  <c r="AX312" i="1"/>
  <c r="AW312" i="1"/>
  <c r="AM312" i="1"/>
  <c r="AR331" i="1"/>
  <c r="AP331" i="1"/>
  <c r="AU269" i="1"/>
  <c r="AJ269" i="1"/>
  <c r="AX295" i="1"/>
  <c r="AW295" i="1"/>
  <c r="AV316" i="1"/>
  <c r="AU316" i="1"/>
  <c r="AJ316" i="1"/>
  <c r="AI316" i="1"/>
  <c r="AA316" i="1" s="1"/>
  <c r="AO316" i="1" s="1"/>
  <c r="AX250" i="1"/>
  <c r="AM250" i="1"/>
  <c r="AU261" i="1"/>
  <c r="AJ261" i="1"/>
  <c r="AJ263" i="1"/>
  <c r="AI263" i="1"/>
  <c r="AA263" i="1" s="1"/>
  <c r="AO263" i="1" s="1"/>
  <c r="AH263" i="1"/>
  <c r="AP265" i="1"/>
  <c r="AX265" i="1"/>
  <c r="AW265" i="1"/>
  <c r="AM295" i="1"/>
  <c r="AV247" i="1"/>
  <c r="AP250" i="1"/>
  <c r="AJ257" i="1"/>
  <c r="AI261" i="1"/>
  <c r="AA261" i="1" s="1"/>
  <c r="AO261" i="1" s="1"/>
  <c r="AU278" i="1"/>
  <c r="AJ278" i="1"/>
  <c r="AI278" i="1"/>
  <c r="AA278" i="1" s="1"/>
  <c r="AO278" i="1" s="1"/>
  <c r="AH278" i="1"/>
  <c r="AR293" i="1"/>
  <c r="AP293" i="1"/>
  <c r="AP244" i="1"/>
  <c r="AA250" i="1"/>
  <c r="AO250" i="1" s="1"/>
  <c r="AV251" i="1"/>
  <c r="AJ259" i="1"/>
  <c r="AJ262" i="1"/>
  <c r="AI262" i="1"/>
  <c r="AA262" i="1" s="1"/>
  <c r="AO262" i="1" s="1"/>
  <c r="AR272" i="1"/>
  <c r="AP272" i="1"/>
  <c r="AR280" i="1"/>
  <c r="AX287" i="1"/>
  <c r="AW287" i="1"/>
  <c r="AR301" i="1"/>
  <c r="AP301" i="1"/>
  <c r="AR302" i="1"/>
  <c r="AP302" i="1"/>
  <c r="AO304" i="1"/>
  <c r="AV309" i="1"/>
  <c r="AU309" i="1"/>
  <c r="AJ309" i="1"/>
  <c r="AI309" i="1"/>
  <c r="AA309" i="1" s="1"/>
  <c r="AO309" i="1" s="1"/>
  <c r="AH309" i="1"/>
  <c r="AP324" i="1"/>
  <c r="AW324" i="1"/>
  <c r="AX324" i="1"/>
  <c r="AM324" i="1"/>
  <c r="AV284" i="1"/>
  <c r="AU284" i="1"/>
  <c r="AJ284" i="1"/>
  <c r="AH252" i="1"/>
  <c r="AW244" i="1"/>
  <c r="AJ252" i="1"/>
  <c r="AX258" i="1"/>
  <c r="AM258" i="1"/>
  <c r="AV278" i="1"/>
  <c r="AW248" i="1"/>
  <c r="AU253" i="1"/>
  <c r="AJ253" i="1"/>
  <c r="AW260" i="1"/>
  <c r="AO265" i="1"/>
  <c r="AX273" i="1"/>
  <c r="AW273" i="1"/>
  <c r="AR278" i="1"/>
  <c r="AP278" i="1"/>
  <c r="AR279" i="1"/>
  <c r="AP279" i="1"/>
  <c r="AV293" i="1"/>
  <c r="AU293" i="1"/>
  <c r="AJ293" i="1"/>
  <c r="AI293" i="1"/>
  <c r="AA293" i="1" s="1"/>
  <c r="AO293" i="1" s="1"/>
  <c r="AH293" i="1"/>
  <c r="AX296" i="1"/>
  <c r="AW296" i="1"/>
  <c r="AM296" i="1"/>
  <c r="AX311" i="1"/>
  <c r="AW311" i="1"/>
  <c r="AR319" i="1"/>
  <c r="AP319" i="1"/>
  <c r="AR320" i="1"/>
  <c r="AP320" i="1"/>
  <c r="AP325" i="1"/>
  <c r="AJ334" i="1"/>
  <c r="AV334" i="1"/>
  <c r="AU334" i="1"/>
  <c r="AI334" i="1"/>
  <c r="AA334" i="1" s="1"/>
  <c r="AO334" i="1" s="1"/>
  <c r="AU320" i="1"/>
  <c r="AJ320" i="1"/>
  <c r="AP322" i="1"/>
  <c r="AW343" i="1"/>
  <c r="AJ349" i="1"/>
  <c r="AA349" i="1"/>
  <c r="AO349" i="1" s="1"/>
  <c r="AW361" i="1"/>
  <c r="AU372" i="1"/>
  <c r="AV372" i="1"/>
  <c r="AJ372" i="1"/>
  <c r="AI372" i="1"/>
  <c r="AA372" i="1" s="1"/>
  <c r="AO372" i="1" s="1"/>
  <c r="AW378" i="1"/>
  <c r="AP378" i="1"/>
  <c r="AM378" i="1"/>
  <c r="AW382" i="1"/>
  <c r="AP382" i="1"/>
  <c r="AX382" i="1"/>
  <c r="AM382" i="1"/>
  <c r="AH286" i="1"/>
  <c r="AM289" i="1"/>
  <c r="AH294" i="1"/>
  <c r="AM297" i="1"/>
  <c r="AV333" i="1"/>
  <c r="AU333" i="1"/>
  <c r="AI333" i="1"/>
  <c r="AA333" i="1" s="1"/>
  <c r="AO333" i="1" s="1"/>
  <c r="AJ337" i="1"/>
  <c r="AA337" i="1"/>
  <c r="AO337" i="1" s="1"/>
  <c r="AV341" i="1"/>
  <c r="AU341" i="1"/>
  <c r="AJ341" i="1"/>
  <c r="AI341" i="1"/>
  <c r="AA341" i="1" s="1"/>
  <c r="AO341" i="1" s="1"/>
  <c r="AH341" i="1"/>
  <c r="AX351" i="1"/>
  <c r="AW351" i="1"/>
  <c r="AM351" i="1"/>
  <c r="AP351" i="1"/>
  <c r="AV363" i="1"/>
  <c r="AI363" i="1"/>
  <c r="AA363" i="1" s="1"/>
  <c r="AO363" i="1" s="1"/>
  <c r="AH363" i="1"/>
  <c r="AU363" i="1"/>
  <c r="AH368" i="1"/>
  <c r="AI368" i="1"/>
  <c r="AA368" i="1" s="1"/>
  <c r="AO368" i="1" s="1"/>
  <c r="AV368" i="1"/>
  <c r="AJ368" i="1"/>
  <c r="AH372" i="1"/>
  <c r="AR396" i="1"/>
  <c r="AP396" i="1"/>
  <c r="AU275" i="1"/>
  <c r="AH279" i="1"/>
  <c r="AM282" i="1"/>
  <c r="AU283" i="1"/>
  <c r="AI286" i="1"/>
  <c r="AA286" i="1" s="1"/>
  <c r="AO286" i="1" s="1"/>
  <c r="AH287" i="1"/>
  <c r="AP287" i="1"/>
  <c r="AW289" i="1"/>
  <c r="AM290" i="1"/>
  <c r="AU291" i="1"/>
  <c r="AI294" i="1"/>
  <c r="AA294" i="1" s="1"/>
  <c r="AO294" i="1" s="1"/>
  <c r="AH295" i="1"/>
  <c r="AP295" i="1"/>
  <c r="AW297" i="1"/>
  <c r="AM298" i="1"/>
  <c r="AU299" i="1"/>
  <c r="AI302" i="1"/>
  <c r="AA302" i="1" s="1"/>
  <c r="AO302" i="1" s="1"/>
  <c r="AH303" i="1"/>
  <c r="AP303" i="1"/>
  <c r="AW305" i="1"/>
  <c r="AM306" i="1"/>
  <c r="AU307" i="1"/>
  <c r="AI310" i="1"/>
  <c r="AA310" i="1" s="1"/>
  <c r="AO310" i="1" s="1"/>
  <c r="AH311" i="1"/>
  <c r="AP311" i="1"/>
  <c r="AW313" i="1"/>
  <c r="AM314" i="1"/>
  <c r="AU315" i="1"/>
  <c r="AX317" i="1"/>
  <c r="AM317" i="1"/>
  <c r="AH319" i="1"/>
  <c r="AI320" i="1"/>
  <c r="AA320" i="1" s="1"/>
  <c r="AO320" i="1" s="1"/>
  <c r="AM321" i="1"/>
  <c r="AW321" i="1"/>
  <c r="AR322" i="1"/>
  <c r="AV326" i="1"/>
  <c r="AW327" i="1"/>
  <c r="AH329" i="1"/>
  <c r="AH333" i="1"/>
  <c r="AW334" i="1"/>
  <c r="AM334" i="1"/>
  <c r="AW335" i="1"/>
  <c r="AI338" i="1"/>
  <c r="AA338" i="1" s="1"/>
  <c r="AO338" i="1" s="1"/>
  <c r="AP350" i="1"/>
  <c r="AP361" i="1"/>
  <c r="AJ363" i="1"/>
  <c r="AR379" i="1"/>
  <c r="AP379" i="1"/>
  <c r="AU388" i="1"/>
  <c r="AJ388" i="1"/>
  <c r="AI388" i="1"/>
  <c r="AA388" i="1" s="1"/>
  <c r="AO388" i="1" s="1"/>
  <c r="AH388" i="1"/>
  <c r="AR389" i="1"/>
  <c r="AA396" i="1"/>
  <c r="AO396" i="1" s="1"/>
  <c r="AJ396" i="1"/>
  <c r="AU399" i="1"/>
  <c r="AH399" i="1"/>
  <c r="AJ399" i="1"/>
  <c r="AI399" i="1"/>
  <c r="AA399" i="1" s="1"/>
  <c r="AO399" i="1" s="1"/>
  <c r="AI279" i="1"/>
  <c r="AA279" i="1" s="1"/>
  <c r="AO279" i="1" s="1"/>
  <c r="AP280" i="1"/>
  <c r="AW282" i="1"/>
  <c r="AJ286" i="1"/>
  <c r="AI287" i="1"/>
  <c r="AA287" i="1" s="1"/>
  <c r="AO287" i="1" s="1"/>
  <c r="AP288" i="1"/>
  <c r="AW290" i="1"/>
  <c r="AJ294" i="1"/>
  <c r="AI295" i="1"/>
  <c r="AA295" i="1" s="1"/>
  <c r="AO295" i="1" s="1"/>
  <c r="AP296" i="1"/>
  <c r="AX297" i="1"/>
  <c r="AW298" i="1"/>
  <c r="AJ302" i="1"/>
  <c r="AI303" i="1"/>
  <c r="AA303" i="1" s="1"/>
  <c r="AO303" i="1" s="1"/>
  <c r="AP304" i="1"/>
  <c r="AW306" i="1"/>
  <c r="AJ310" i="1"/>
  <c r="AI311" i="1"/>
  <c r="AA311" i="1" s="1"/>
  <c r="AO311" i="1" s="1"/>
  <c r="AP312" i="1"/>
  <c r="AW314" i="1"/>
  <c r="AI319" i="1"/>
  <c r="AA319" i="1" s="1"/>
  <c r="AO319" i="1" s="1"/>
  <c r="AX321" i="1"/>
  <c r="AJ322" i="1"/>
  <c r="AH322" i="1"/>
  <c r="AW323" i="1"/>
  <c r="AJ329" i="1"/>
  <c r="AV331" i="1"/>
  <c r="AJ331" i="1"/>
  <c r="AH331" i="1"/>
  <c r="AJ333" i="1"/>
  <c r="AX335" i="1"/>
  <c r="AW336" i="1"/>
  <c r="AJ338" i="1"/>
  <c r="AJ342" i="1"/>
  <c r="AV342" i="1"/>
  <c r="AU342" i="1"/>
  <c r="AP343" i="1"/>
  <c r="AX344" i="1"/>
  <c r="AM344" i="1"/>
  <c r="AM347" i="1"/>
  <c r="AP347" i="1"/>
  <c r="AM365" i="1"/>
  <c r="AX365" i="1"/>
  <c r="AW365" i="1"/>
  <c r="AX375" i="1"/>
  <c r="AP375" i="1"/>
  <c r="AX376" i="1"/>
  <c r="AM376" i="1"/>
  <c r="AO382" i="1"/>
  <c r="AV400" i="1"/>
  <c r="AI400" i="1"/>
  <c r="AA400" i="1" s="1"/>
  <c r="AO400" i="1" s="1"/>
  <c r="AU400" i="1"/>
  <c r="AJ400" i="1"/>
  <c r="AX282" i="1"/>
  <c r="AX290" i="1"/>
  <c r="AA296" i="1"/>
  <c r="AO296" i="1" s="1"/>
  <c r="AX298" i="1"/>
  <c r="AX306" i="1"/>
  <c r="AX314" i="1"/>
  <c r="AM316" i="1"/>
  <c r="AI318" i="1"/>
  <c r="AA318" i="1" s="1"/>
  <c r="AO318" i="1" s="1"/>
  <c r="AJ319" i="1"/>
  <c r="AV320" i="1"/>
  <c r="AI322" i="1"/>
  <c r="AA322" i="1" s="1"/>
  <c r="AO322" i="1" s="1"/>
  <c r="AM323" i="1"/>
  <c r="AI324" i="1"/>
  <c r="AA324" i="1" s="1"/>
  <c r="AO324" i="1" s="1"/>
  <c r="AU328" i="1"/>
  <c r="AJ328" i="1"/>
  <c r="AU329" i="1"/>
  <c r="AP330" i="1"/>
  <c r="AI331" i="1"/>
  <c r="AA331" i="1" s="1"/>
  <c r="AO331" i="1" s="1"/>
  <c r="AU331" i="1"/>
  <c r="AW333" i="1"/>
  <c r="AM336" i="1"/>
  <c r="AH342" i="1"/>
  <c r="AJ346" i="1"/>
  <c r="AV346" i="1"/>
  <c r="AU346" i="1"/>
  <c r="AJ350" i="1"/>
  <c r="AU350" i="1"/>
  <c r="AV350" i="1"/>
  <c r="AI350" i="1"/>
  <c r="AA350" i="1" s="1"/>
  <c r="AO350" i="1" s="1"/>
  <c r="AW354" i="1"/>
  <c r="AM354" i="1"/>
  <c r="AX354" i="1"/>
  <c r="AM355" i="1"/>
  <c r="AX355" i="1"/>
  <c r="AP355" i="1"/>
  <c r="AW369" i="1"/>
  <c r="AA371" i="1"/>
  <c r="AO371" i="1" s="1"/>
  <c r="AM375" i="1"/>
  <c r="AU386" i="1"/>
  <c r="AI386" i="1"/>
  <c r="AA386" i="1" s="1"/>
  <c r="AO386" i="1" s="1"/>
  <c r="AV386" i="1"/>
  <c r="AJ386" i="1"/>
  <c r="AH386" i="1"/>
  <c r="AH400" i="1"/>
  <c r="AU319" i="1"/>
  <c r="AX325" i="1"/>
  <c r="AM325" i="1"/>
  <c r="AV329" i="1"/>
  <c r="AU332" i="1"/>
  <c r="AI332" i="1"/>
  <c r="AA332" i="1" s="1"/>
  <c r="AO332" i="1" s="1"/>
  <c r="AX333" i="1"/>
  <c r="AR335" i="1"/>
  <c r="AP335" i="1"/>
  <c r="AP336" i="1"/>
  <c r="AR336" i="1"/>
  <c r="AV338" i="1"/>
  <c r="AR340" i="1"/>
  <c r="AP340" i="1"/>
  <c r="AI342" i="1"/>
  <c r="AA342" i="1" s="1"/>
  <c r="AO342" i="1" s="1"/>
  <c r="AJ345" i="1"/>
  <c r="AA345" i="1"/>
  <c r="AO345" i="1" s="1"/>
  <c r="AA360" i="1"/>
  <c r="AO360" i="1" s="1"/>
  <c r="AP365" i="1"/>
  <c r="AO370" i="1"/>
  <c r="AW381" i="1"/>
  <c r="AM381" i="1"/>
  <c r="AX381" i="1"/>
  <c r="AO335" i="1"/>
  <c r="AU340" i="1"/>
  <c r="AV340" i="1"/>
  <c r="AO343" i="1"/>
  <c r="AU348" i="1"/>
  <c r="AV348" i="1"/>
  <c r="AX360" i="1"/>
  <c r="AW360" i="1"/>
  <c r="AM360" i="1"/>
  <c r="AV365" i="1"/>
  <c r="AU365" i="1"/>
  <c r="AJ365" i="1"/>
  <c r="AP376" i="1"/>
  <c r="AR376" i="1"/>
  <c r="AV389" i="1"/>
  <c r="AJ389" i="1"/>
  <c r="AU389" i="1"/>
  <c r="AI389" i="1"/>
  <c r="AA389" i="1" s="1"/>
  <c r="AO389" i="1" s="1"/>
  <c r="AV402" i="1"/>
  <c r="AU402" i="1"/>
  <c r="AH402" i="1"/>
  <c r="AJ402" i="1"/>
  <c r="AI402" i="1"/>
  <c r="AA402" i="1" s="1"/>
  <c r="AO402" i="1" s="1"/>
  <c r="AV407" i="1"/>
  <c r="AH407" i="1"/>
  <c r="AI407" i="1"/>
  <c r="AA407" i="1" s="1"/>
  <c r="AO407" i="1" s="1"/>
  <c r="AU407" i="1"/>
  <c r="AJ414" i="1"/>
  <c r="AI414" i="1"/>
  <c r="AA414" i="1" s="1"/>
  <c r="AO414" i="1" s="1"/>
  <c r="AH414" i="1"/>
  <c r="AU414" i="1"/>
  <c r="AV414" i="1"/>
  <c r="AP344" i="1"/>
  <c r="AR344" i="1"/>
  <c r="AJ354" i="1"/>
  <c r="AI354" i="1"/>
  <c r="AA354" i="1" s="1"/>
  <c r="AO354" i="1" s="1"/>
  <c r="AV354" i="1"/>
  <c r="AR359" i="1"/>
  <c r="AP359" i="1"/>
  <c r="AO361" i="1"/>
  <c r="AU364" i="1"/>
  <c r="AJ364" i="1"/>
  <c r="AR367" i="1"/>
  <c r="AJ374" i="1"/>
  <c r="AU374" i="1"/>
  <c r="AV374" i="1"/>
  <c r="AX377" i="1"/>
  <c r="AW377" i="1"/>
  <c r="AM377" i="1"/>
  <c r="AO381" i="1"/>
  <c r="AW383" i="1"/>
  <c r="AM383" i="1"/>
  <c r="AX383" i="1"/>
  <c r="AR387" i="1"/>
  <c r="AP387" i="1"/>
  <c r="AR390" i="1"/>
  <c r="AP390" i="1"/>
  <c r="AW420" i="1"/>
  <c r="AM420" i="1"/>
  <c r="AX420" i="1"/>
  <c r="AH336" i="1"/>
  <c r="AJ336" i="1"/>
  <c r="AI336" i="1"/>
  <c r="AA336" i="1" s="1"/>
  <c r="AO336" i="1" s="1"/>
  <c r="AI351" i="1"/>
  <c r="AA351" i="1" s="1"/>
  <c r="AO351" i="1" s="1"/>
  <c r="AH351" i="1"/>
  <c r="AP352" i="1"/>
  <c r="AR352" i="1"/>
  <c r="AH354" i="1"/>
  <c r="AU354" i="1"/>
  <c r="AH364" i="1"/>
  <c r="AO365" i="1"/>
  <c r="AP367" i="1"/>
  <c r="AM371" i="1"/>
  <c r="AW371" i="1"/>
  <c r="AU373" i="1"/>
  <c r="AJ373" i="1"/>
  <c r="AH374" i="1"/>
  <c r="AJ380" i="1"/>
  <c r="AA380" i="1"/>
  <c r="AO380" i="1" s="1"/>
  <c r="AP380" i="1"/>
  <c r="AR400" i="1"/>
  <c r="AP400" i="1"/>
  <c r="AM402" i="1"/>
  <c r="AX402" i="1"/>
  <c r="AP402" i="1"/>
  <c r="AW402" i="1"/>
  <c r="AV339" i="1"/>
  <c r="AU339" i="1"/>
  <c r="AV347" i="1"/>
  <c r="AU347" i="1"/>
  <c r="AJ347" i="1"/>
  <c r="AV355" i="1"/>
  <c r="AJ355" i="1"/>
  <c r="AI355" i="1"/>
  <c r="AA355" i="1" s="1"/>
  <c r="AO355" i="1" s="1"/>
  <c r="AP368" i="1"/>
  <c r="AR368" i="1"/>
  <c r="AR371" i="1"/>
  <c r="AP371" i="1"/>
  <c r="AI375" i="1"/>
  <c r="AA375" i="1" s="1"/>
  <c r="AO375" i="1" s="1"/>
  <c r="AJ375" i="1"/>
  <c r="AO378" i="1"/>
  <c r="AR391" i="1"/>
  <c r="AP391" i="1"/>
  <c r="AR395" i="1"/>
  <c r="AP395" i="1"/>
  <c r="AI404" i="1"/>
  <c r="AA404" i="1" s="1"/>
  <c r="AO404" i="1" s="1"/>
  <c r="AH404" i="1"/>
  <c r="AU404" i="1"/>
  <c r="AJ404" i="1"/>
  <c r="AV404" i="1"/>
  <c r="AX405" i="1"/>
  <c r="AM405" i="1"/>
  <c r="AW405" i="1"/>
  <c r="AJ358" i="1"/>
  <c r="AH360" i="1"/>
  <c r="AJ360" i="1"/>
  <c r="AJ366" i="1"/>
  <c r="AV366" i="1"/>
  <c r="AO369" i="1"/>
  <c r="AW379" i="1"/>
  <c r="AH384" i="1"/>
  <c r="AJ384" i="1"/>
  <c r="AW385" i="1"/>
  <c r="AP405" i="1"/>
  <c r="AR405" i="1"/>
  <c r="AR423" i="1"/>
  <c r="AP423" i="1"/>
  <c r="AJ425" i="1"/>
  <c r="AI425" i="1"/>
  <c r="AA425" i="1" s="1"/>
  <c r="AO425" i="1" s="1"/>
  <c r="AH425" i="1"/>
  <c r="AV425" i="1"/>
  <c r="AV431" i="1"/>
  <c r="AI431" i="1"/>
  <c r="AA431" i="1" s="1"/>
  <c r="AO431" i="1" s="1"/>
  <c r="AH431" i="1"/>
  <c r="AU431" i="1"/>
  <c r="AO444" i="1"/>
  <c r="AX444" i="1"/>
  <c r="AM444" i="1"/>
  <c r="AO384" i="1"/>
  <c r="AH392" i="1"/>
  <c r="AI392" i="1"/>
  <c r="AA392" i="1" s="1"/>
  <c r="AO392" i="1" s="1"/>
  <c r="AW393" i="1"/>
  <c r="AU401" i="1"/>
  <c r="AH401" i="1"/>
  <c r="AM403" i="1"/>
  <c r="AX403" i="1"/>
  <c r="AP403" i="1"/>
  <c r="AX406" i="1"/>
  <c r="AW406" i="1"/>
  <c r="AM406" i="1"/>
  <c r="AJ382" i="1"/>
  <c r="AV384" i="1"/>
  <c r="AV387" i="1"/>
  <c r="AI387" i="1"/>
  <c r="AA387" i="1" s="1"/>
  <c r="AO387" i="1" s="1"/>
  <c r="AW389" i="1"/>
  <c r="AJ390" i="1"/>
  <c r="AV390" i="1"/>
  <c r="AI390" i="1"/>
  <c r="AA390" i="1" s="1"/>
  <c r="AO390" i="1" s="1"/>
  <c r="AJ392" i="1"/>
  <c r="AM393" i="1"/>
  <c r="AI394" i="1"/>
  <c r="AA394" i="1" s="1"/>
  <c r="AO394" i="1" s="1"/>
  <c r="AI401" i="1"/>
  <c r="AA401" i="1" s="1"/>
  <c r="AO401" i="1" s="1"/>
  <c r="AR404" i="1"/>
  <c r="AP404" i="1"/>
  <c r="AP412" i="1"/>
  <c r="AR412" i="1"/>
  <c r="AX436" i="1"/>
  <c r="AW436" i="1"/>
  <c r="AM436" i="1"/>
  <c r="AR343" i="1"/>
  <c r="AU358" i="1"/>
  <c r="AW366" i="1"/>
  <c r="AO367" i="1"/>
  <c r="AV371" i="1"/>
  <c r="AU371" i="1"/>
  <c r="AV379" i="1"/>
  <c r="AJ379" i="1"/>
  <c r="AR383" i="1"/>
  <c r="AP383" i="1"/>
  <c r="AV392" i="1"/>
  <c r="AU394" i="1"/>
  <c r="AV401" i="1"/>
  <c r="AX411" i="1"/>
  <c r="AM411" i="1"/>
  <c r="AP411" i="1"/>
  <c r="AW411" i="1"/>
  <c r="AI419" i="1"/>
  <c r="AA419" i="1" s="1"/>
  <c r="AO419" i="1" s="1"/>
  <c r="AV419" i="1"/>
  <c r="AU419" i="1"/>
  <c r="AJ419" i="1"/>
  <c r="AH419" i="1"/>
  <c r="AJ422" i="1"/>
  <c r="AI422" i="1"/>
  <c r="AA422" i="1" s="1"/>
  <c r="AO422" i="1" s="1"/>
  <c r="AV422" i="1"/>
  <c r="AU422" i="1"/>
  <c r="AH422" i="1"/>
  <c r="AW339" i="1"/>
  <c r="AI344" i="1"/>
  <c r="AA344" i="1" s="1"/>
  <c r="AO344" i="1" s="1"/>
  <c r="AR351" i="1"/>
  <c r="AV356" i="1"/>
  <c r="AM358" i="1"/>
  <c r="AV358" i="1"/>
  <c r="AP360" i="1"/>
  <c r="AH362" i="1"/>
  <c r="AX366" i="1"/>
  <c r="AH367" i="1"/>
  <c r="AM368" i="1"/>
  <c r="AH371" i="1"/>
  <c r="AO377" i="1"/>
  <c r="AH379" i="1"/>
  <c r="AP384" i="1"/>
  <c r="AO385" i="1"/>
  <c r="AW390" i="1"/>
  <c r="AI391" i="1"/>
  <c r="AA391" i="1" s="1"/>
  <c r="AO391" i="1" s="1"/>
  <c r="AV391" i="1"/>
  <c r="AM392" i="1"/>
  <c r="AW392" i="1"/>
  <c r="AW394" i="1"/>
  <c r="AP394" i="1"/>
  <c r="AV394" i="1"/>
  <c r="AO405" i="1"/>
  <c r="AW430" i="1"/>
  <c r="AP430" i="1"/>
  <c r="AX430" i="1"/>
  <c r="AM430" i="1"/>
  <c r="AR433" i="1"/>
  <c r="AP433" i="1"/>
  <c r="AA359" i="1"/>
  <c r="AO359" i="1" s="1"/>
  <c r="AW363" i="1"/>
  <c r="AR375" i="1"/>
  <c r="AP392" i="1"/>
  <c r="AO411" i="1"/>
  <c r="AR413" i="1"/>
  <c r="AP413" i="1"/>
  <c r="AV415" i="1"/>
  <c r="AU415" i="1"/>
  <c r="AJ415" i="1"/>
  <c r="AI415" i="1"/>
  <c r="AA415" i="1" s="1"/>
  <c r="AO415" i="1" s="1"/>
  <c r="AV423" i="1"/>
  <c r="AJ423" i="1"/>
  <c r="AI423" i="1"/>
  <c r="AA423" i="1" s="1"/>
  <c r="AO423" i="1" s="1"/>
  <c r="AR431" i="1"/>
  <c r="AP431" i="1"/>
  <c r="AI435" i="1"/>
  <c r="AA435" i="1" s="1"/>
  <c r="AO435" i="1" s="1"/>
  <c r="AV435" i="1"/>
  <c r="AU435" i="1"/>
  <c r="AJ435" i="1"/>
  <c r="AU440" i="1"/>
  <c r="AI440" i="1"/>
  <c r="AA440" i="1" s="1"/>
  <c r="AO440" i="1" s="1"/>
  <c r="AH440" i="1"/>
  <c r="AJ447" i="1"/>
  <c r="AA447" i="1"/>
  <c r="AO447" i="1" s="1"/>
  <c r="AJ403" i="1"/>
  <c r="AV403" i="1"/>
  <c r="AO429" i="1"/>
  <c r="AR429" i="1"/>
  <c r="AP429" i="1"/>
  <c r="AJ434" i="1"/>
  <c r="AI434" i="1"/>
  <c r="AA434" i="1" s="1"/>
  <c r="AO434" i="1" s="1"/>
  <c r="AH434" i="1"/>
  <c r="AV434" i="1"/>
  <c r="AP444" i="1"/>
  <c r="AR444" i="1"/>
  <c r="AV409" i="1"/>
  <c r="AU409" i="1"/>
  <c r="AJ411" i="1"/>
  <c r="AV411" i="1"/>
  <c r="AJ418" i="1"/>
  <c r="AU418" i="1"/>
  <c r="AP425" i="1"/>
  <c r="AH428" i="1"/>
  <c r="AV428" i="1"/>
  <c r="AW433" i="1"/>
  <c r="AV441" i="1"/>
  <c r="AI441" i="1"/>
  <c r="AA441" i="1" s="1"/>
  <c r="AO441" i="1" s="1"/>
  <c r="AH441" i="1"/>
  <c r="AU441" i="1"/>
  <c r="AJ441" i="1"/>
  <c r="AI443" i="1"/>
  <c r="AA443" i="1" s="1"/>
  <c r="AO443" i="1" s="1"/>
  <c r="AV443" i="1"/>
  <c r="AR452" i="1"/>
  <c r="AP452" i="1"/>
  <c r="AA383" i="1"/>
  <c r="AO383" i="1" s="1"/>
  <c r="AW387" i="1"/>
  <c r="AI403" i="1"/>
  <c r="AA403" i="1" s="1"/>
  <c r="AO403" i="1" s="1"/>
  <c r="AH409" i="1"/>
  <c r="AR410" i="1"/>
  <c r="AM415" i="1"/>
  <c r="AW415" i="1"/>
  <c r="AU416" i="1"/>
  <c r="AV416" i="1"/>
  <c r="AH417" i="1"/>
  <c r="AH418" i="1"/>
  <c r="AI428" i="1"/>
  <c r="AA428" i="1" s="1"/>
  <c r="AO428" i="1" s="1"/>
  <c r="AU432" i="1"/>
  <c r="AJ432" i="1"/>
  <c r="AI432" i="1"/>
  <c r="AA432" i="1" s="1"/>
  <c r="AO432" i="1" s="1"/>
  <c r="AM433" i="1"/>
  <c r="AP434" i="1"/>
  <c r="AX434" i="1"/>
  <c r="AW438" i="1"/>
  <c r="AP438" i="1"/>
  <c r="AH443" i="1"/>
  <c r="AX451" i="1"/>
  <c r="AW451" i="1"/>
  <c r="AM451" i="1"/>
  <c r="AR442" i="1"/>
  <c r="AP442" i="1"/>
  <c r="AX447" i="1"/>
  <c r="AM447" i="1"/>
  <c r="AW447" i="1"/>
  <c r="AR449" i="1"/>
  <c r="AP449" i="1"/>
  <c r="AP450" i="1"/>
  <c r="AP451" i="1"/>
  <c r="AW407" i="1"/>
  <c r="AM407" i="1"/>
  <c r="AU408" i="1"/>
  <c r="AV408" i="1"/>
  <c r="AJ408" i="1"/>
  <c r="AJ416" i="1"/>
  <c r="AX419" i="1"/>
  <c r="AW419" i="1"/>
  <c r="AM419" i="1"/>
  <c r="AR424" i="1"/>
  <c r="AP424" i="1"/>
  <c r="AJ426" i="1"/>
  <c r="AI426" i="1"/>
  <c r="AA426" i="1" s="1"/>
  <c r="AO426" i="1" s="1"/>
  <c r="AV426" i="1"/>
  <c r="AU426" i="1"/>
  <c r="AR427" i="1"/>
  <c r="AP427" i="1"/>
  <c r="AW400" i="1"/>
  <c r="AJ410" i="1"/>
  <c r="AV410" i="1"/>
  <c r="AU410" i="1"/>
  <c r="AJ413" i="1"/>
  <c r="AA413" i="1"/>
  <c r="AO413" i="1" s="1"/>
  <c r="AP420" i="1"/>
  <c r="AR420" i="1"/>
  <c r="AW421" i="1"/>
  <c r="AU424" i="1"/>
  <c r="AJ424" i="1"/>
  <c r="AR434" i="1"/>
  <c r="AO446" i="1"/>
  <c r="AU450" i="1"/>
  <c r="AJ450" i="1"/>
  <c r="AI450" i="1"/>
  <c r="AA450" i="1" s="1"/>
  <c r="AO450" i="1" s="1"/>
  <c r="AH450" i="1"/>
  <c r="AW428" i="1"/>
  <c r="AJ433" i="1"/>
  <c r="AI433" i="1"/>
  <c r="AA433" i="1" s="1"/>
  <c r="AO433" i="1" s="1"/>
  <c r="AR439" i="1"/>
  <c r="AP439" i="1"/>
  <c r="AW441" i="1"/>
  <c r="AU442" i="1"/>
  <c r="AJ442" i="1"/>
  <c r="AI442" i="1"/>
  <c r="AA442" i="1" s="1"/>
  <c r="AO442" i="1" s="1"/>
  <c r="AX443" i="1"/>
  <c r="AW443" i="1"/>
  <c r="AM443" i="1"/>
  <c r="AV450" i="1"/>
  <c r="AJ452" i="1"/>
  <c r="AI452" i="1"/>
  <c r="AA452" i="1" s="1"/>
  <c r="AO452" i="1" s="1"/>
  <c r="AH452" i="1"/>
  <c r="AV452" i="1"/>
  <c r="AU452" i="1"/>
  <c r="AR421" i="1"/>
  <c r="AI427" i="1"/>
  <c r="AA427" i="1" s="1"/>
  <c r="AO427" i="1" s="1"/>
  <c r="AV427" i="1"/>
  <c r="AI430" i="1"/>
  <c r="AA430" i="1" s="1"/>
  <c r="AO430" i="1" s="1"/>
  <c r="AH430" i="1"/>
  <c r="AR432" i="1"/>
  <c r="AW437" i="1"/>
  <c r="AR440" i="1"/>
  <c r="AP440" i="1"/>
  <c r="AX441" i="1"/>
  <c r="AP446" i="1"/>
  <c r="AW446" i="1"/>
  <c r="AV448" i="1"/>
  <c r="AU448" i="1"/>
  <c r="AJ451" i="1"/>
  <c r="AI451" i="1"/>
  <c r="AA451" i="1" s="1"/>
  <c r="AO451" i="1" s="1"/>
  <c r="AU451" i="1"/>
  <c r="AR411" i="1"/>
  <c r="AP428" i="1"/>
  <c r="AM408" i="1"/>
  <c r="AI412" i="1"/>
  <c r="AA412" i="1" s="1"/>
  <c r="AO412" i="1" s="1"/>
  <c r="AR419" i="1"/>
  <c r="AM427" i="1"/>
  <c r="AP436" i="1"/>
  <c r="AH439" i="1"/>
  <c r="AJ444" i="1"/>
  <c r="AH444" i="1"/>
  <c r="AW445" i="1"/>
  <c r="AV449" i="1"/>
  <c r="AU449" i="1"/>
  <c r="B69" i="19"/>
  <c r="B236" i="19"/>
  <c r="B239" i="19"/>
  <c r="B93" i="19"/>
  <c r="B75" i="19"/>
  <c r="B53" i="19"/>
  <c r="B38" i="19"/>
  <c r="B14" i="19"/>
  <c r="B113" i="19"/>
  <c r="B204" i="19"/>
  <c r="B168" i="19"/>
  <c r="B146" i="19"/>
  <c r="B202" i="19"/>
  <c r="B172" i="19"/>
  <c r="B139" i="19"/>
  <c r="B9" i="19"/>
  <c r="B185" i="19"/>
  <c r="B178" i="19"/>
  <c r="B210" i="19"/>
  <c r="B205" i="19"/>
  <c r="B186" i="19"/>
  <c r="B122" i="19"/>
  <c r="B105" i="19"/>
  <c r="B59" i="19"/>
  <c r="B29" i="19"/>
  <c r="B21" i="19"/>
  <c r="B208" i="19"/>
  <c r="B119" i="19"/>
  <c r="B47" i="19"/>
  <c r="B33" i="19"/>
  <c r="B235" i="19"/>
  <c r="B128" i="19"/>
  <c r="B143" i="19"/>
  <c r="B82" i="19"/>
  <c r="B39" i="19"/>
  <c r="B222" i="19"/>
  <c r="B212" i="19"/>
  <c r="B238" i="19"/>
  <c r="B206" i="19"/>
  <c r="B180" i="19"/>
  <c r="B129" i="19"/>
  <c r="B96" i="19"/>
  <c r="B89" i="19"/>
  <c r="B49" i="19"/>
  <c r="B19" i="19"/>
  <c r="B225" i="19"/>
  <c r="B78" i="19"/>
  <c r="B242" i="19"/>
  <c r="B41" i="19"/>
  <c r="B30" i="19"/>
  <c r="B79" i="19"/>
  <c r="B240" i="19"/>
  <c r="B214" i="19"/>
  <c r="B231" i="19"/>
  <c r="B224" i="19"/>
  <c r="B217" i="19"/>
  <c r="B209" i="19"/>
  <c r="B134" i="19"/>
  <c r="B86" i="19"/>
  <c r="B34" i="19"/>
  <c r="B32" i="19"/>
  <c r="B196" i="19"/>
  <c r="B191" i="19"/>
  <c r="B179" i="19"/>
  <c r="B174" i="19"/>
  <c r="B173" i="19"/>
  <c r="B102" i="19"/>
  <c r="B65" i="19"/>
  <c r="B60" i="19"/>
  <c r="B18" i="19"/>
  <c r="B10" i="19"/>
  <c r="B156" i="19"/>
  <c r="B7" i="19"/>
  <c r="B147" i="19"/>
  <c r="B126" i="19"/>
  <c r="B109" i="19"/>
  <c r="B135" i="19"/>
  <c r="B195" i="19"/>
  <c r="B166" i="19"/>
  <c r="B142" i="19"/>
  <c r="B36" i="19"/>
  <c r="B8" i="19"/>
  <c r="B130" i="19"/>
  <c r="B158" i="19"/>
  <c r="B150" i="19"/>
  <c r="B73" i="19"/>
  <c r="B152" i="19"/>
  <c r="B98" i="19"/>
  <c r="B42" i="19"/>
  <c r="B187" i="19"/>
  <c r="B203" i="19"/>
  <c r="B177" i="19"/>
  <c r="B164" i="19"/>
  <c r="B155" i="19"/>
  <c r="B154" i="19"/>
  <c r="B138" i="19"/>
  <c r="B124" i="19"/>
  <c r="B103" i="19"/>
  <c r="B94" i="19"/>
  <c r="B85" i="19"/>
  <c r="B76" i="19"/>
  <c r="B54" i="19"/>
  <c r="B24" i="19"/>
  <c r="B17" i="19"/>
  <c r="B15" i="19"/>
  <c r="B77" i="19"/>
  <c r="B56" i="19"/>
  <c r="B16" i="19"/>
  <c r="B110" i="19"/>
  <c r="B72" i="19"/>
  <c r="B64" i="19"/>
  <c r="B40" i="19"/>
  <c r="B26" i="19"/>
  <c r="B118" i="19"/>
  <c r="B48" i="19"/>
  <c r="BE242" i="1"/>
  <c r="AT242" i="1"/>
  <c r="BC242" i="1" s="1"/>
  <c r="AS242" i="1"/>
  <c r="AL242" i="1"/>
  <c r="AX242" i="1" s="1"/>
  <c r="AK242" i="1"/>
  <c r="AG242" i="1"/>
  <c r="AV242" i="1" s="1"/>
  <c r="AF242" i="1"/>
  <c r="AE242" i="1"/>
  <c r="AD242" i="1"/>
  <c r="AC242" i="1"/>
  <c r="AB242" i="1"/>
  <c r="Z242" i="1"/>
  <c r="Y242" i="1"/>
  <c r="X242" i="1"/>
  <c r="W242" i="1"/>
  <c r="V242" i="1"/>
  <c r="U242" i="1"/>
  <c r="T242" i="1"/>
  <c r="BA242" i="1" s="1"/>
  <c r="S242" i="1"/>
  <c r="R242" i="1"/>
  <c r="Q242" i="1"/>
  <c r="P242" i="1"/>
  <c r="O242" i="1"/>
  <c r="BG242" i="1" s="1"/>
  <c r="N242" i="1"/>
  <c r="AZ242" i="1" s="1"/>
  <c r="M242" i="1"/>
  <c r="L242" i="1"/>
  <c r="H242" i="1"/>
  <c r="AY242" i="1" s="1"/>
  <c r="G242" i="1"/>
  <c r="F242" i="1"/>
  <c r="E242" i="1"/>
  <c r="D242" i="1"/>
  <c r="C242" i="1"/>
  <c r="B242" i="1"/>
  <c r="A242" i="1"/>
  <c r="BE241" i="1"/>
  <c r="AT241" i="1"/>
  <c r="BC241" i="1" s="1"/>
  <c r="AS241" i="1"/>
  <c r="AL241" i="1"/>
  <c r="AK241" i="1"/>
  <c r="AG241" i="1"/>
  <c r="AU241" i="1" s="1"/>
  <c r="AF241" i="1"/>
  <c r="AE241" i="1"/>
  <c r="AD241" i="1"/>
  <c r="AC241" i="1"/>
  <c r="AB241" i="1"/>
  <c r="Z241" i="1"/>
  <c r="Y241" i="1"/>
  <c r="X241" i="1"/>
  <c r="W241" i="1"/>
  <c r="V241" i="1"/>
  <c r="U241" i="1"/>
  <c r="T241" i="1"/>
  <c r="BA241" i="1" s="1"/>
  <c r="S241" i="1"/>
  <c r="R241" i="1"/>
  <c r="Q241" i="1"/>
  <c r="P241" i="1"/>
  <c r="O241" i="1"/>
  <c r="BD241" i="1" s="1"/>
  <c r="N241" i="1"/>
  <c r="AZ241" i="1" s="1"/>
  <c r="M241" i="1"/>
  <c r="L241" i="1"/>
  <c r="H241" i="1"/>
  <c r="AY241" i="1" s="1"/>
  <c r="G241" i="1"/>
  <c r="F241" i="1"/>
  <c r="E241" i="1"/>
  <c r="D241" i="1"/>
  <c r="C241" i="1"/>
  <c r="B241" i="1"/>
  <c r="A241" i="1"/>
  <c r="BE240" i="1"/>
  <c r="AT240" i="1"/>
  <c r="BC240" i="1" s="1"/>
  <c r="AS240" i="1"/>
  <c r="AL240" i="1"/>
  <c r="AM240" i="1" s="1"/>
  <c r="AK240" i="1"/>
  <c r="AG240" i="1"/>
  <c r="AF240" i="1"/>
  <c r="AE240" i="1"/>
  <c r="AD240" i="1"/>
  <c r="AC240" i="1"/>
  <c r="AB240" i="1"/>
  <c r="Z240" i="1"/>
  <c r="Y240" i="1"/>
  <c r="X240" i="1"/>
  <c r="W240" i="1"/>
  <c r="V240" i="1"/>
  <c r="U240" i="1"/>
  <c r="T240" i="1"/>
  <c r="BA240" i="1" s="1"/>
  <c r="S240" i="1"/>
  <c r="R240" i="1"/>
  <c r="Q240" i="1"/>
  <c r="P240" i="1"/>
  <c r="O240" i="1"/>
  <c r="BG240" i="1" s="1"/>
  <c r="N240" i="1"/>
  <c r="AZ240" i="1" s="1"/>
  <c r="M240" i="1"/>
  <c r="L240" i="1"/>
  <c r="H240" i="1"/>
  <c r="AY240" i="1" s="1"/>
  <c r="G240" i="1"/>
  <c r="F240" i="1"/>
  <c r="E240" i="1"/>
  <c r="D240" i="1"/>
  <c r="C240" i="1"/>
  <c r="B240" i="1"/>
  <c r="A240" i="1"/>
  <c r="BE239" i="1"/>
  <c r="AT239" i="1"/>
  <c r="BC239" i="1" s="1"/>
  <c r="AS239" i="1"/>
  <c r="AL239" i="1"/>
  <c r="AW239" i="1" s="1"/>
  <c r="AK239" i="1"/>
  <c r="AG239" i="1"/>
  <c r="AF239" i="1"/>
  <c r="AE239" i="1"/>
  <c r="AD239" i="1"/>
  <c r="AC239" i="1"/>
  <c r="AB239" i="1"/>
  <c r="Z239" i="1"/>
  <c r="Y239" i="1"/>
  <c r="X239" i="1"/>
  <c r="W239" i="1"/>
  <c r="V239" i="1"/>
  <c r="U239" i="1"/>
  <c r="T239" i="1"/>
  <c r="BA239" i="1" s="1"/>
  <c r="S239" i="1"/>
  <c r="R239" i="1"/>
  <c r="Q239" i="1"/>
  <c r="P239" i="1"/>
  <c r="O239" i="1"/>
  <c r="BD239" i="1" s="1"/>
  <c r="N239" i="1"/>
  <c r="AZ239" i="1" s="1"/>
  <c r="M239" i="1"/>
  <c r="L239" i="1"/>
  <c r="H239" i="1"/>
  <c r="AY239" i="1" s="1"/>
  <c r="G239" i="1"/>
  <c r="F239" i="1"/>
  <c r="E239" i="1"/>
  <c r="D239" i="1"/>
  <c r="C239" i="1"/>
  <c r="B239" i="1"/>
  <c r="A239" i="1"/>
  <c r="BE238" i="1"/>
  <c r="AT238" i="1"/>
  <c r="BC238" i="1" s="1"/>
  <c r="AS238" i="1"/>
  <c r="AL238" i="1"/>
  <c r="AX238" i="1" s="1"/>
  <c r="AK238" i="1"/>
  <c r="AG238" i="1"/>
  <c r="AV238" i="1" s="1"/>
  <c r="AF238" i="1"/>
  <c r="AE238" i="1"/>
  <c r="AD238" i="1"/>
  <c r="AC238" i="1"/>
  <c r="AB238" i="1"/>
  <c r="Z238" i="1"/>
  <c r="Y238" i="1"/>
  <c r="X238" i="1"/>
  <c r="W238" i="1"/>
  <c r="V238" i="1"/>
  <c r="U238" i="1"/>
  <c r="T238" i="1"/>
  <c r="BA238" i="1" s="1"/>
  <c r="S238" i="1"/>
  <c r="R238" i="1"/>
  <c r="Q238" i="1"/>
  <c r="P238" i="1"/>
  <c r="O238" i="1"/>
  <c r="BG238" i="1" s="1"/>
  <c r="N238" i="1"/>
  <c r="AZ238" i="1" s="1"/>
  <c r="M238" i="1"/>
  <c r="L238" i="1"/>
  <c r="H238" i="1"/>
  <c r="AY238" i="1" s="1"/>
  <c r="G238" i="1"/>
  <c r="F238" i="1"/>
  <c r="E238" i="1"/>
  <c r="D238" i="1"/>
  <c r="C238" i="1"/>
  <c r="B238" i="1"/>
  <c r="A238" i="1"/>
  <c r="BE237" i="1"/>
  <c r="AT237" i="1"/>
  <c r="BC237" i="1" s="1"/>
  <c r="AS237" i="1"/>
  <c r="AL237" i="1"/>
  <c r="AK237" i="1"/>
  <c r="AG237" i="1"/>
  <c r="AF237" i="1"/>
  <c r="AE237" i="1"/>
  <c r="AD237" i="1"/>
  <c r="AC237" i="1"/>
  <c r="AB237" i="1"/>
  <c r="Z237" i="1"/>
  <c r="Y237" i="1"/>
  <c r="X237" i="1"/>
  <c r="W237" i="1"/>
  <c r="V237" i="1"/>
  <c r="U237" i="1"/>
  <c r="T237" i="1"/>
  <c r="BA237" i="1" s="1"/>
  <c r="S237" i="1"/>
  <c r="R237" i="1"/>
  <c r="Q237" i="1"/>
  <c r="P237" i="1"/>
  <c r="O237" i="1"/>
  <c r="BG237" i="1" s="1"/>
  <c r="N237" i="1"/>
  <c r="AZ237" i="1" s="1"/>
  <c r="M237" i="1"/>
  <c r="L237" i="1"/>
  <c r="H237" i="1"/>
  <c r="AY237" i="1" s="1"/>
  <c r="G237" i="1"/>
  <c r="F237" i="1"/>
  <c r="E237" i="1"/>
  <c r="D237" i="1"/>
  <c r="C237" i="1"/>
  <c r="B237" i="1"/>
  <c r="A237" i="1"/>
  <c r="BE236" i="1"/>
  <c r="AT236" i="1"/>
  <c r="BC236" i="1" s="1"/>
  <c r="AS236" i="1"/>
  <c r="AL236" i="1"/>
  <c r="AK236" i="1"/>
  <c r="AG236" i="1"/>
  <c r="AH236" i="1" s="1"/>
  <c r="AF236" i="1"/>
  <c r="AE236" i="1"/>
  <c r="AD236" i="1"/>
  <c r="AC236" i="1"/>
  <c r="AB236" i="1"/>
  <c r="Z236" i="1"/>
  <c r="Y236" i="1"/>
  <c r="X236" i="1"/>
  <c r="W236" i="1"/>
  <c r="V236" i="1"/>
  <c r="U236" i="1"/>
  <c r="T236" i="1"/>
  <c r="BA236" i="1" s="1"/>
  <c r="S236" i="1"/>
  <c r="R236" i="1"/>
  <c r="Q236" i="1"/>
  <c r="P236" i="1"/>
  <c r="O236" i="1"/>
  <c r="N236" i="1"/>
  <c r="AZ236" i="1" s="1"/>
  <c r="M236" i="1"/>
  <c r="L236" i="1"/>
  <c r="H236" i="1"/>
  <c r="AY236" i="1" s="1"/>
  <c r="G236" i="1"/>
  <c r="F236" i="1"/>
  <c r="E236" i="1"/>
  <c r="D236" i="1"/>
  <c r="C236" i="1"/>
  <c r="B236" i="1"/>
  <c r="A236" i="1"/>
  <c r="BE235" i="1"/>
  <c r="AT235" i="1"/>
  <c r="BC235" i="1" s="1"/>
  <c r="AS235" i="1"/>
  <c r="AL235" i="1"/>
  <c r="AX235" i="1" s="1"/>
  <c r="AK235" i="1"/>
  <c r="AG235" i="1"/>
  <c r="AU235" i="1" s="1"/>
  <c r="AF235" i="1"/>
  <c r="AE235" i="1"/>
  <c r="AD235" i="1"/>
  <c r="AC235" i="1"/>
  <c r="AB235" i="1"/>
  <c r="Z235" i="1"/>
  <c r="Y235" i="1"/>
  <c r="X235" i="1"/>
  <c r="W235" i="1"/>
  <c r="V235" i="1"/>
  <c r="U235" i="1"/>
  <c r="T235" i="1"/>
  <c r="BA235" i="1" s="1"/>
  <c r="S235" i="1"/>
  <c r="R235" i="1"/>
  <c r="Q235" i="1"/>
  <c r="P235" i="1"/>
  <c r="O235" i="1"/>
  <c r="N235" i="1"/>
  <c r="AZ235" i="1" s="1"/>
  <c r="M235" i="1"/>
  <c r="L235" i="1"/>
  <c r="H235" i="1"/>
  <c r="AY235" i="1" s="1"/>
  <c r="G235" i="1"/>
  <c r="F235" i="1"/>
  <c r="E235" i="1"/>
  <c r="D235" i="1"/>
  <c r="C235" i="1"/>
  <c r="B235" i="1"/>
  <c r="A235" i="1"/>
  <c r="BE234" i="1"/>
  <c r="AT234" i="1"/>
  <c r="BC234" i="1" s="1"/>
  <c r="AS234" i="1"/>
  <c r="AL234" i="1"/>
  <c r="AM234" i="1" s="1"/>
  <c r="AK234" i="1"/>
  <c r="AG234" i="1"/>
  <c r="AV234" i="1" s="1"/>
  <c r="AF234" i="1"/>
  <c r="AE234" i="1"/>
  <c r="AD234" i="1"/>
  <c r="AC234" i="1"/>
  <c r="AB234" i="1"/>
  <c r="Z234" i="1"/>
  <c r="Y234" i="1"/>
  <c r="X234" i="1"/>
  <c r="W234" i="1"/>
  <c r="V234" i="1"/>
  <c r="U234" i="1"/>
  <c r="T234" i="1"/>
  <c r="BA234" i="1" s="1"/>
  <c r="S234" i="1"/>
  <c r="R234" i="1"/>
  <c r="Q234" i="1"/>
  <c r="P234" i="1"/>
  <c r="O234" i="1"/>
  <c r="N234" i="1"/>
  <c r="AZ234" i="1" s="1"/>
  <c r="M234" i="1"/>
  <c r="L234" i="1"/>
  <c r="H234" i="1"/>
  <c r="AY234" i="1" s="1"/>
  <c r="G234" i="1"/>
  <c r="F234" i="1"/>
  <c r="E234" i="1"/>
  <c r="D234" i="1"/>
  <c r="C234" i="1"/>
  <c r="B234" i="1"/>
  <c r="A234" i="1"/>
  <c r="BE233" i="1"/>
  <c r="AT233" i="1"/>
  <c r="BC233" i="1" s="1"/>
  <c r="AS233" i="1"/>
  <c r="AL233" i="1"/>
  <c r="AK233" i="1"/>
  <c r="AG233" i="1"/>
  <c r="AH233" i="1" s="1"/>
  <c r="AF233" i="1"/>
  <c r="AE233" i="1"/>
  <c r="AD233" i="1"/>
  <c r="AC233" i="1"/>
  <c r="AB233" i="1"/>
  <c r="Z233" i="1"/>
  <c r="Y233" i="1"/>
  <c r="X233" i="1"/>
  <c r="W233" i="1"/>
  <c r="V233" i="1"/>
  <c r="U233" i="1"/>
  <c r="T233" i="1"/>
  <c r="BA233" i="1" s="1"/>
  <c r="S233" i="1"/>
  <c r="R233" i="1"/>
  <c r="Q233" i="1"/>
  <c r="P233" i="1"/>
  <c r="O233" i="1"/>
  <c r="N233" i="1"/>
  <c r="AZ233" i="1" s="1"/>
  <c r="M233" i="1"/>
  <c r="L233" i="1"/>
  <c r="H233" i="1"/>
  <c r="AY233" i="1" s="1"/>
  <c r="G233" i="1"/>
  <c r="F233" i="1"/>
  <c r="E233" i="1"/>
  <c r="D233" i="1"/>
  <c r="C233" i="1"/>
  <c r="B233" i="1"/>
  <c r="A233" i="1"/>
  <c r="BE232" i="1"/>
  <c r="AT232" i="1"/>
  <c r="BC232" i="1" s="1"/>
  <c r="AS232" i="1"/>
  <c r="AL232" i="1"/>
  <c r="AK232" i="1"/>
  <c r="AG232" i="1"/>
  <c r="AU232" i="1" s="1"/>
  <c r="AF232" i="1"/>
  <c r="AE232" i="1"/>
  <c r="AD232" i="1"/>
  <c r="AC232" i="1"/>
  <c r="AB232" i="1"/>
  <c r="Z232" i="1"/>
  <c r="Y232" i="1"/>
  <c r="X232" i="1"/>
  <c r="W232" i="1"/>
  <c r="V232" i="1"/>
  <c r="U232" i="1"/>
  <c r="T232" i="1"/>
  <c r="BA232" i="1" s="1"/>
  <c r="S232" i="1"/>
  <c r="R232" i="1"/>
  <c r="Q232" i="1"/>
  <c r="P232" i="1"/>
  <c r="O232" i="1"/>
  <c r="N232" i="1"/>
  <c r="AZ232" i="1" s="1"/>
  <c r="M232" i="1"/>
  <c r="L232" i="1"/>
  <c r="H232" i="1"/>
  <c r="AY232" i="1" s="1"/>
  <c r="G232" i="1"/>
  <c r="F232" i="1"/>
  <c r="E232" i="1"/>
  <c r="D232" i="1"/>
  <c r="C232" i="1"/>
  <c r="B232" i="1"/>
  <c r="A232" i="1"/>
  <c r="BE231" i="1"/>
  <c r="AT231" i="1"/>
  <c r="BC231" i="1" s="1"/>
  <c r="AS231" i="1"/>
  <c r="AL231" i="1"/>
  <c r="AK231" i="1"/>
  <c r="AG231" i="1"/>
  <c r="AF231" i="1"/>
  <c r="AE231" i="1"/>
  <c r="AD231" i="1"/>
  <c r="AC231" i="1"/>
  <c r="AB231" i="1"/>
  <c r="Z231" i="1"/>
  <c r="Y231" i="1"/>
  <c r="X231" i="1"/>
  <c r="W231" i="1"/>
  <c r="V231" i="1"/>
  <c r="U231" i="1"/>
  <c r="T231" i="1"/>
  <c r="BA231" i="1" s="1"/>
  <c r="S231" i="1"/>
  <c r="R231" i="1"/>
  <c r="Q231" i="1"/>
  <c r="P231" i="1"/>
  <c r="O231" i="1"/>
  <c r="N231" i="1"/>
  <c r="AZ231" i="1" s="1"/>
  <c r="M231" i="1"/>
  <c r="L231" i="1"/>
  <c r="H231" i="1"/>
  <c r="AY231" i="1" s="1"/>
  <c r="G231" i="1"/>
  <c r="F231" i="1"/>
  <c r="E231" i="1"/>
  <c r="D231" i="1"/>
  <c r="C231" i="1"/>
  <c r="B231" i="1"/>
  <c r="A231" i="1"/>
  <c r="BE230" i="1"/>
  <c r="AT230" i="1"/>
  <c r="BC230" i="1" s="1"/>
  <c r="AS230" i="1"/>
  <c r="AL230" i="1"/>
  <c r="AM230" i="1" s="1"/>
  <c r="AK230" i="1"/>
  <c r="AG230" i="1"/>
  <c r="AF230" i="1"/>
  <c r="AE230" i="1"/>
  <c r="AD230" i="1"/>
  <c r="AC230" i="1"/>
  <c r="AB230" i="1"/>
  <c r="Z230" i="1"/>
  <c r="Y230" i="1"/>
  <c r="X230" i="1"/>
  <c r="W230" i="1"/>
  <c r="V230" i="1"/>
  <c r="U230" i="1"/>
  <c r="T230" i="1"/>
  <c r="BA230" i="1" s="1"/>
  <c r="S230" i="1"/>
  <c r="R230" i="1"/>
  <c r="Q230" i="1"/>
  <c r="P230" i="1"/>
  <c r="O230" i="1"/>
  <c r="N230" i="1"/>
  <c r="AZ230" i="1" s="1"/>
  <c r="M230" i="1"/>
  <c r="L230" i="1"/>
  <c r="H230" i="1"/>
  <c r="AY230" i="1" s="1"/>
  <c r="G230" i="1"/>
  <c r="F230" i="1"/>
  <c r="E230" i="1"/>
  <c r="D230" i="1"/>
  <c r="C230" i="1"/>
  <c r="B230" i="1"/>
  <c r="A230" i="1"/>
  <c r="BE229" i="1"/>
  <c r="AT229" i="1"/>
  <c r="BC229" i="1" s="1"/>
  <c r="AS229" i="1"/>
  <c r="AL229" i="1"/>
  <c r="AK229" i="1"/>
  <c r="AG229" i="1"/>
  <c r="AI229" i="1" s="1"/>
  <c r="AF229" i="1"/>
  <c r="AE229" i="1"/>
  <c r="AD229" i="1"/>
  <c r="AC229" i="1"/>
  <c r="AB229" i="1"/>
  <c r="Z229" i="1"/>
  <c r="Y229" i="1"/>
  <c r="X229" i="1"/>
  <c r="W229" i="1"/>
  <c r="V229" i="1"/>
  <c r="U229" i="1"/>
  <c r="T229" i="1"/>
  <c r="BA229" i="1" s="1"/>
  <c r="S229" i="1"/>
  <c r="R229" i="1"/>
  <c r="Q229" i="1"/>
  <c r="P229" i="1"/>
  <c r="O229" i="1"/>
  <c r="BD229" i="1" s="1"/>
  <c r="N229" i="1"/>
  <c r="AZ229" i="1" s="1"/>
  <c r="M229" i="1"/>
  <c r="L229" i="1"/>
  <c r="H229" i="1"/>
  <c r="AY229" i="1" s="1"/>
  <c r="G229" i="1"/>
  <c r="F229" i="1"/>
  <c r="E229" i="1"/>
  <c r="D229" i="1"/>
  <c r="C229" i="1"/>
  <c r="B229" i="1"/>
  <c r="A229" i="1"/>
  <c r="BE228" i="1"/>
  <c r="AT228" i="1"/>
  <c r="BC228" i="1" s="1"/>
  <c r="AS228" i="1"/>
  <c r="AL228" i="1"/>
  <c r="AK228" i="1"/>
  <c r="AG228" i="1"/>
  <c r="AF228" i="1"/>
  <c r="AE228" i="1"/>
  <c r="AD228" i="1"/>
  <c r="AC228" i="1"/>
  <c r="AB228" i="1"/>
  <c r="Z228" i="1"/>
  <c r="Y228" i="1"/>
  <c r="X228" i="1"/>
  <c r="W228" i="1"/>
  <c r="V228" i="1"/>
  <c r="U228" i="1"/>
  <c r="T228" i="1"/>
  <c r="BA228" i="1" s="1"/>
  <c r="S228" i="1"/>
  <c r="R228" i="1"/>
  <c r="Q228" i="1"/>
  <c r="P228" i="1"/>
  <c r="O228" i="1"/>
  <c r="BG228" i="1" s="1"/>
  <c r="N228" i="1"/>
  <c r="AZ228" i="1" s="1"/>
  <c r="M228" i="1"/>
  <c r="L228" i="1"/>
  <c r="H228" i="1"/>
  <c r="AY228" i="1" s="1"/>
  <c r="G228" i="1"/>
  <c r="F228" i="1"/>
  <c r="E228" i="1"/>
  <c r="D228" i="1"/>
  <c r="C228" i="1"/>
  <c r="B228" i="1"/>
  <c r="A228" i="1"/>
  <c r="AM235" i="1" l="1"/>
  <c r="AV239" i="1"/>
  <c r="AI239" i="1"/>
  <c r="AA239" i="1" s="1"/>
  <c r="AO239" i="1" s="1"/>
  <c r="AV240" i="1"/>
  <c r="AI240" i="1"/>
  <c r="AA240" i="1" s="1"/>
  <c r="AO240" i="1" s="1"/>
  <c r="BD238" i="1"/>
  <c r="AM229" i="1"/>
  <c r="AA229" i="1"/>
  <c r="AO229" i="1" s="1"/>
  <c r="AH229" i="1"/>
  <c r="AW235" i="1"/>
  <c r="AI236" i="1"/>
  <c r="AA236" i="1" s="1"/>
  <c r="AO236" i="1" s="1"/>
  <c r="AJ231" i="1"/>
  <c r="BD237" i="1"/>
  <c r="AH242" i="1"/>
  <c r="AX234" i="1"/>
  <c r="AJ234" i="1"/>
  <c r="AJ242" i="1"/>
  <c r="AM228" i="1"/>
  <c r="AJ229" i="1"/>
  <c r="AI235" i="1"/>
  <c r="AA235" i="1" s="1"/>
  <c r="AO235" i="1" s="1"/>
  <c r="AV235" i="1"/>
  <c r="AJ236" i="1"/>
  <c r="AX237" i="1"/>
  <c r="AW238" i="1"/>
  <c r="AJ239" i="1"/>
  <c r="AM239" i="1"/>
  <c r="BD240" i="1"/>
  <c r="AM241" i="1"/>
  <c r="AX241" i="1"/>
  <c r="AU240" i="1"/>
  <c r="AU242" i="1"/>
  <c r="AX239" i="1"/>
  <c r="AW234" i="1"/>
  <c r="AJ235" i="1"/>
  <c r="AJ238" i="1"/>
  <c r="AH240" i="1"/>
  <c r="AJ230" i="1"/>
  <c r="AH228" i="1"/>
  <c r="AH230" i="1"/>
  <c r="AI228" i="1"/>
  <c r="AA228" i="1" s="1"/>
  <c r="AO228" i="1" s="1"/>
  <c r="AJ232" i="1"/>
  <c r="AM232" i="1"/>
  <c r="AV232" i="1"/>
  <c r="AH232" i="1"/>
  <c r="AI232" i="1"/>
  <c r="AA232" i="1" s="1"/>
  <c r="AO232" i="1" s="1"/>
  <c r="AI231" i="1"/>
  <c r="AA231" i="1" s="1"/>
  <c r="AO231" i="1" s="1"/>
  <c r="AM231" i="1"/>
  <c r="AJ228" i="1"/>
  <c r="BG229" i="1"/>
  <c r="AI230" i="1"/>
  <c r="AA230" i="1" s="1"/>
  <c r="AO230" i="1" s="1"/>
  <c r="AH231" i="1"/>
  <c r="AM233" i="1"/>
  <c r="AM236" i="1"/>
  <c r="BD228" i="1"/>
  <c r="AJ233" i="1"/>
  <c r="AI233" i="1"/>
  <c r="AA233" i="1" s="1"/>
  <c r="AO233" i="1" s="1"/>
  <c r="AU237" i="1"/>
  <c r="AH237" i="1"/>
  <c r="AJ237" i="1"/>
  <c r="AV237" i="1"/>
  <c r="AI237" i="1"/>
  <c r="AA237" i="1" s="1"/>
  <c r="AO237" i="1" s="1"/>
  <c r="AH234" i="1"/>
  <c r="AU234" i="1"/>
  <c r="AH238" i="1"/>
  <c r="AU238" i="1"/>
  <c r="BG239" i="1"/>
  <c r="AJ240" i="1"/>
  <c r="AW240" i="1"/>
  <c r="AI241" i="1"/>
  <c r="AA241" i="1" s="1"/>
  <c r="AO241" i="1" s="1"/>
  <c r="BD242" i="1"/>
  <c r="AM237" i="1"/>
  <c r="AV241" i="1"/>
  <c r="AI234" i="1"/>
  <c r="AA234" i="1" s="1"/>
  <c r="AO234" i="1" s="1"/>
  <c r="AH235" i="1"/>
  <c r="AW237" i="1"/>
  <c r="AI238" i="1"/>
  <c r="AA238" i="1" s="1"/>
  <c r="AO238" i="1" s="1"/>
  <c r="AM238" i="1"/>
  <c r="AH239" i="1"/>
  <c r="AU239" i="1"/>
  <c r="AX240" i="1"/>
  <c r="AJ241" i="1"/>
  <c r="AW241" i="1"/>
  <c r="AI242" i="1"/>
  <c r="AA242" i="1" s="1"/>
  <c r="AO242" i="1" s="1"/>
  <c r="AM242" i="1"/>
  <c r="BG241" i="1"/>
  <c r="AW242" i="1"/>
  <c r="AH241" i="1"/>
  <c r="C793" i="4" l="1"/>
  <c r="B949" i="5" l="1"/>
  <c r="AN228" i="1" l="1"/>
  <c r="BF228" i="1" l="1"/>
  <c r="AR228" i="1"/>
  <c r="AP228" i="1"/>
  <c r="C780" i="4" l="1"/>
  <c r="C781" i="4"/>
  <c r="C782" i="4"/>
  <c r="C783" i="4"/>
  <c r="C784" i="4"/>
  <c r="C785" i="4"/>
  <c r="C786" i="4"/>
  <c r="C787" i="4"/>
  <c r="C788" i="4"/>
  <c r="C789" i="4"/>
  <c r="C790" i="4"/>
  <c r="C791" i="4"/>
  <c r="C792" i="4"/>
  <c r="BE227" i="1" l="1"/>
  <c r="AT227" i="1"/>
  <c r="BC227" i="1" s="1"/>
  <c r="AS227" i="1"/>
  <c r="AL227" i="1"/>
  <c r="AK227" i="1"/>
  <c r="AG227" i="1"/>
  <c r="AF227" i="1"/>
  <c r="AE227" i="1"/>
  <c r="AD227" i="1"/>
  <c r="AC227" i="1"/>
  <c r="AB227" i="1"/>
  <c r="Z227" i="1"/>
  <c r="Y227" i="1"/>
  <c r="X227" i="1"/>
  <c r="W227" i="1"/>
  <c r="V227" i="1"/>
  <c r="U227" i="1"/>
  <c r="T227" i="1"/>
  <c r="BA227" i="1" s="1"/>
  <c r="S227" i="1"/>
  <c r="R227" i="1"/>
  <c r="Q227" i="1"/>
  <c r="P227" i="1"/>
  <c r="O227" i="1"/>
  <c r="N227" i="1"/>
  <c r="AZ227" i="1" s="1"/>
  <c r="M227" i="1"/>
  <c r="L227" i="1"/>
  <c r="H227" i="1"/>
  <c r="AY227" i="1" s="1"/>
  <c r="G227" i="1"/>
  <c r="F227" i="1"/>
  <c r="E227" i="1"/>
  <c r="D227" i="1"/>
  <c r="C227" i="1"/>
  <c r="B227" i="1"/>
  <c r="A227" i="1"/>
  <c r="BE226" i="1"/>
  <c r="AT226" i="1"/>
  <c r="BC226" i="1" s="1"/>
  <c r="AS226" i="1"/>
  <c r="AL226" i="1"/>
  <c r="AK226" i="1"/>
  <c r="AG226" i="1"/>
  <c r="AF226" i="1"/>
  <c r="AE226" i="1"/>
  <c r="AD226" i="1"/>
  <c r="AC226" i="1"/>
  <c r="AB226" i="1"/>
  <c r="Z226" i="1"/>
  <c r="Y226" i="1"/>
  <c r="X226" i="1"/>
  <c r="W226" i="1"/>
  <c r="V226" i="1"/>
  <c r="U226" i="1"/>
  <c r="T226" i="1"/>
  <c r="BA226" i="1" s="1"/>
  <c r="S226" i="1"/>
  <c r="R226" i="1"/>
  <c r="Q226" i="1"/>
  <c r="P226" i="1"/>
  <c r="O226" i="1"/>
  <c r="BD226" i="1" s="1"/>
  <c r="N226" i="1"/>
  <c r="AZ226" i="1" s="1"/>
  <c r="M226" i="1"/>
  <c r="L226" i="1"/>
  <c r="H226" i="1"/>
  <c r="AY226" i="1" s="1"/>
  <c r="G226" i="1"/>
  <c r="F226" i="1"/>
  <c r="E226" i="1"/>
  <c r="D226" i="1"/>
  <c r="C226" i="1"/>
  <c r="B226" i="1"/>
  <c r="A226" i="1"/>
  <c r="BE225" i="1"/>
  <c r="AT225" i="1"/>
  <c r="BC225" i="1" s="1"/>
  <c r="AS225" i="1"/>
  <c r="AL225" i="1"/>
  <c r="AW225" i="1" s="1"/>
  <c r="AK225" i="1"/>
  <c r="AG225" i="1"/>
  <c r="AI225" i="1" s="1"/>
  <c r="AF225" i="1"/>
  <c r="AE225" i="1"/>
  <c r="AD225" i="1"/>
  <c r="AC225" i="1"/>
  <c r="AB225" i="1"/>
  <c r="Z225" i="1"/>
  <c r="Y225" i="1"/>
  <c r="X225" i="1"/>
  <c r="W225" i="1"/>
  <c r="V225" i="1"/>
  <c r="U225" i="1"/>
  <c r="T225" i="1"/>
  <c r="BA225" i="1" s="1"/>
  <c r="S225" i="1"/>
  <c r="R225" i="1"/>
  <c r="Q225" i="1"/>
  <c r="P225" i="1"/>
  <c r="O225" i="1"/>
  <c r="N225" i="1"/>
  <c r="AZ225" i="1" s="1"/>
  <c r="M225" i="1"/>
  <c r="L225" i="1"/>
  <c r="H225" i="1"/>
  <c r="AY225" i="1" s="1"/>
  <c r="G225" i="1"/>
  <c r="F225" i="1"/>
  <c r="E225" i="1"/>
  <c r="D225" i="1"/>
  <c r="C225" i="1"/>
  <c r="B225" i="1"/>
  <c r="A225" i="1"/>
  <c r="BE224" i="1"/>
  <c r="AT224" i="1"/>
  <c r="BC224" i="1" s="1"/>
  <c r="AS224" i="1"/>
  <c r="AL224" i="1"/>
  <c r="AK224" i="1"/>
  <c r="AG224" i="1"/>
  <c r="AF224" i="1"/>
  <c r="AE224" i="1"/>
  <c r="AD224" i="1"/>
  <c r="AC224" i="1"/>
  <c r="AB224" i="1"/>
  <c r="Z224" i="1"/>
  <c r="Y224" i="1"/>
  <c r="X224" i="1"/>
  <c r="W224" i="1"/>
  <c r="V224" i="1"/>
  <c r="U224" i="1"/>
  <c r="T224" i="1"/>
  <c r="BA224" i="1" s="1"/>
  <c r="S224" i="1"/>
  <c r="R224" i="1"/>
  <c r="Q224" i="1"/>
  <c r="P224" i="1"/>
  <c r="O224" i="1"/>
  <c r="N224" i="1"/>
  <c r="AZ224" i="1" s="1"/>
  <c r="M224" i="1"/>
  <c r="L224" i="1"/>
  <c r="H224" i="1"/>
  <c r="AY224" i="1" s="1"/>
  <c r="G224" i="1"/>
  <c r="F224" i="1"/>
  <c r="E224" i="1"/>
  <c r="D224" i="1"/>
  <c r="C224" i="1"/>
  <c r="B224" i="1"/>
  <c r="A224" i="1"/>
  <c r="BE223" i="1"/>
  <c r="AT223" i="1"/>
  <c r="BC223" i="1" s="1"/>
  <c r="AS223" i="1"/>
  <c r="AL223" i="1"/>
  <c r="AK223" i="1"/>
  <c r="AG223" i="1"/>
  <c r="AV223" i="1" s="1"/>
  <c r="AF223" i="1"/>
  <c r="AE223" i="1"/>
  <c r="AD223" i="1"/>
  <c r="AC223" i="1"/>
  <c r="AB223" i="1"/>
  <c r="Z223" i="1"/>
  <c r="Y223" i="1"/>
  <c r="X223" i="1"/>
  <c r="W223" i="1"/>
  <c r="V223" i="1"/>
  <c r="U223" i="1"/>
  <c r="T223" i="1"/>
  <c r="BA223" i="1" s="1"/>
  <c r="S223" i="1"/>
  <c r="R223" i="1"/>
  <c r="Q223" i="1"/>
  <c r="P223" i="1"/>
  <c r="O223" i="1"/>
  <c r="N223" i="1"/>
  <c r="AZ223" i="1" s="1"/>
  <c r="M223" i="1"/>
  <c r="L223" i="1"/>
  <c r="H223" i="1"/>
  <c r="AY223" i="1" s="1"/>
  <c r="G223" i="1"/>
  <c r="F223" i="1"/>
  <c r="E223" i="1"/>
  <c r="D223" i="1"/>
  <c r="C223" i="1"/>
  <c r="B223" i="1"/>
  <c r="A223" i="1"/>
  <c r="BE222" i="1"/>
  <c r="AT222" i="1"/>
  <c r="BC222" i="1" s="1"/>
  <c r="AS222" i="1"/>
  <c r="AL222" i="1"/>
  <c r="AK222" i="1"/>
  <c r="AG222" i="1"/>
  <c r="AV222" i="1" s="1"/>
  <c r="AF222" i="1"/>
  <c r="AE222" i="1"/>
  <c r="AD222" i="1"/>
  <c r="AC222" i="1"/>
  <c r="AB222" i="1"/>
  <c r="Z222" i="1"/>
  <c r="Y222" i="1"/>
  <c r="X222" i="1"/>
  <c r="W222" i="1"/>
  <c r="V222" i="1"/>
  <c r="U222" i="1"/>
  <c r="T222" i="1"/>
  <c r="BA222" i="1" s="1"/>
  <c r="S222" i="1"/>
  <c r="R222" i="1"/>
  <c r="Q222" i="1"/>
  <c r="P222" i="1"/>
  <c r="O222" i="1"/>
  <c r="N222" i="1"/>
  <c r="AZ222" i="1" s="1"/>
  <c r="M222" i="1"/>
  <c r="L222" i="1"/>
  <c r="H222" i="1"/>
  <c r="AY222" i="1" s="1"/>
  <c r="G222" i="1"/>
  <c r="F222" i="1"/>
  <c r="E222" i="1"/>
  <c r="D222" i="1"/>
  <c r="C222" i="1"/>
  <c r="B222" i="1"/>
  <c r="A222" i="1"/>
  <c r="BE221" i="1"/>
  <c r="AT221" i="1"/>
  <c r="BC221" i="1" s="1"/>
  <c r="AS221" i="1"/>
  <c r="AL221" i="1"/>
  <c r="AK221" i="1"/>
  <c r="AG221" i="1"/>
  <c r="AF221" i="1"/>
  <c r="AE221" i="1"/>
  <c r="AD221" i="1"/>
  <c r="AC221" i="1"/>
  <c r="AB221" i="1"/>
  <c r="Z221" i="1"/>
  <c r="Y221" i="1"/>
  <c r="X221" i="1"/>
  <c r="W221" i="1"/>
  <c r="V221" i="1"/>
  <c r="U221" i="1"/>
  <c r="T221" i="1"/>
  <c r="BA221" i="1" s="1"/>
  <c r="S221" i="1"/>
  <c r="R221" i="1"/>
  <c r="Q221" i="1"/>
  <c r="P221" i="1"/>
  <c r="O221" i="1"/>
  <c r="N221" i="1"/>
  <c r="AZ221" i="1" s="1"/>
  <c r="M221" i="1"/>
  <c r="L221" i="1"/>
  <c r="H221" i="1"/>
  <c r="AY221" i="1" s="1"/>
  <c r="G221" i="1"/>
  <c r="F221" i="1"/>
  <c r="E221" i="1"/>
  <c r="D221" i="1"/>
  <c r="C221" i="1"/>
  <c r="B221" i="1"/>
  <c r="A221" i="1"/>
  <c r="BE220" i="1"/>
  <c r="AT220" i="1"/>
  <c r="BC220" i="1" s="1"/>
  <c r="AS220" i="1"/>
  <c r="AL220" i="1"/>
  <c r="AK220" i="1"/>
  <c r="AG220" i="1"/>
  <c r="AF220" i="1"/>
  <c r="AE220" i="1"/>
  <c r="AD220" i="1"/>
  <c r="AC220" i="1"/>
  <c r="AB220" i="1"/>
  <c r="Z220" i="1"/>
  <c r="Y220" i="1"/>
  <c r="X220" i="1"/>
  <c r="W220" i="1"/>
  <c r="V220" i="1"/>
  <c r="U220" i="1"/>
  <c r="T220" i="1"/>
  <c r="BA220" i="1" s="1"/>
  <c r="S220" i="1"/>
  <c r="R220" i="1"/>
  <c r="Q220" i="1"/>
  <c r="P220" i="1"/>
  <c r="O220" i="1"/>
  <c r="N220" i="1"/>
  <c r="AZ220" i="1" s="1"/>
  <c r="M220" i="1"/>
  <c r="L220" i="1"/>
  <c r="H220" i="1"/>
  <c r="AY220" i="1" s="1"/>
  <c r="G220" i="1"/>
  <c r="F220" i="1"/>
  <c r="E220" i="1"/>
  <c r="D220" i="1"/>
  <c r="C220" i="1"/>
  <c r="B220" i="1"/>
  <c r="A220" i="1"/>
  <c r="BE219" i="1"/>
  <c r="AT219" i="1"/>
  <c r="BC219" i="1" s="1"/>
  <c r="AS219" i="1"/>
  <c r="AL219" i="1"/>
  <c r="AK219" i="1"/>
  <c r="AG219" i="1"/>
  <c r="AV219" i="1" s="1"/>
  <c r="AF219" i="1"/>
  <c r="AE219" i="1"/>
  <c r="AD219" i="1"/>
  <c r="AC219" i="1"/>
  <c r="AB219" i="1"/>
  <c r="Z219" i="1"/>
  <c r="Y219" i="1"/>
  <c r="X219" i="1"/>
  <c r="W219" i="1"/>
  <c r="V219" i="1"/>
  <c r="U219" i="1"/>
  <c r="T219" i="1"/>
  <c r="BA219" i="1" s="1"/>
  <c r="S219" i="1"/>
  <c r="R219" i="1"/>
  <c r="Q219" i="1"/>
  <c r="P219" i="1"/>
  <c r="O219" i="1"/>
  <c r="N219" i="1"/>
  <c r="AZ219" i="1" s="1"/>
  <c r="M219" i="1"/>
  <c r="L219" i="1"/>
  <c r="H219" i="1"/>
  <c r="AY219" i="1" s="1"/>
  <c r="G219" i="1"/>
  <c r="F219" i="1"/>
  <c r="E219" i="1"/>
  <c r="D219" i="1"/>
  <c r="C219" i="1"/>
  <c r="B219" i="1"/>
  <c r="A219" i="1"/>
  <c r="BE218" i="1"/>
  <c r="AT218" i="1"/>
  <c r="BC218" i="1" s="1"/>
  <c r="AS218" i="1"/>
  <c r="AL218" i="1"/>
  <c r="AK218" i="1"/>
  <c r="AG218" i="1"/>
  <c r="AF218" i="1"/>
  <c r="AE218" i="1"/>
  <c r="AD218" i="1"/>
  <c r="AC218" i="1"/>
  <c r="AB218" i="1"/>
  <c r="Z218" i="1"/>
  <c r="Y218" i="1"/>
  <c r="X218" i="1"/>
  <c r="W218" i="1"/>
  <c r="V218" i="1"/>
  <c r="U218" i="1"/>
  <c r="T218" i="1"/>
  <c r="BA218" i="1" s="1"/>
  <c r="S218" i="1"/>
  <c r="R218" i="1"/>
  <c r="Q218" i="1"/>
  <c r="P218" i="1"/>
  <c r="O218" i="1"/>
  <c r="BG218" i="1" s="1"/>
  <c r="N218" i="1"/>
  <c r="AZ218" i="1" s="1"/>
  <c r="M218" i="1"/>
  <c r="L218" i="1"/>
  <c r="H218" i="1"/>
  <c r="AY218" i="1" s="1"/>
  <c r="G218" i="1"/>
  <c r="F218" i="1"/>
  <c r="E218" i="1"/>
  <c r="D218" i="1"/>
  <c r="C218" i="1"/>
  <c r="B218" i="1"/>
  <c r="A218" i="1"/>
  <c r="BE217" i="1"/>
  <c r="AT217" i="1"/>
  <c r="BC217" i="1" s="1"/>
  <c r="AS217" i="1"/>
  <c r="AL217" i="1"/>
  <c r="AK217" i="1"/>
  <c r="AG217" i="1"/>
  <c r="AF217" i="1"/>
  <c r="AE217" i="1"/>
  <c r="AD217" i="1"/>
  <c r="AC217" i="1"/>
  <c r="AB217" i="1"/>
  <c r="Z217" i="1"/>
  <c r="Y217" i="1"/>
  <c r="X217" i="1"/>
  <c r="W217" i="1"/>
  <c r="V217" i="1"/>
  <c r="U217" i="1"/>
  <c r="T217" i="1"/>
  <c r="BA217" i="1" s="1"/>
  <c r="S217" i="1"/>
  <c r="R217" i="1"/>
  <c r="Q217" i="1"/>
  <c r="P217" i="1"/>
  <c r="O217" i="1"/>
  <c r="N217" i="1"/>
  <c r="AZ217" i="1" s="1"/>
  <c r="M217" i="1"/>
  <c r="L217" i="1"/>
  <c r="H217" i="1"/>
  <c r="AY217" i="1" s="1"/>
  <c r="G217" i="1"/>
  <c r="F217" i="1"/>
  <c r="E217" i="1"/>
  <c r="D217" i="1"/>
  <c r="C217" i="1"/>
  <c r="B217" i="1"/>
  <c r="A217" i="1"/>
  <c r="BE216" i="1"/>
  <c r="AT216" i="1"/>
  <c r="BC216" i="1" s="1"/>
  <c r="AS216" i="1"/>
  <c r="AL216" i="1"/>
  <c r="AM216" i="1" s="1"/>
  <c r="AK216" i="1"/>
  <c r="AG216" i="1"/>
  <c r="AF216" i="1"/>
  <c r="AE216" i="1"/>
  <c r="AD216" i="1"/>
  <c r="AC216" i="1"/>
  <c r="AB216" i="1"/>
  <c r="Z216" i="1"/>
  <c r="Y216" i="1"/>
  <c r="X216" i="1"/>
  <c r="W216" i="1"/>
  <c r="V216" i="1"/>
  <c r="U216" i="1"/>
  <c r="T216" i="1"/>
  <c r="BA216" i="1" s="1"/>
  <c r="S216" i="1"/>
  <c r="R216" i="1"/>
  <c r="Q216" i="1"/>
  <c r="P216" i="1"/>
  <c r="O216" i="1"/>
  <c r="N216" i="1"/>
  <c r="AZ216" i="1" s="1"/>
  <c r="M216" i="1"/>
  <c r="L216" i="1"/>
  <c r="H216" i="1"/>
  <c r="AY216" i="1" s="1"/>
  <c r="G216" i="1"/>
  <c r="F216" i="1"/>
  <c r="E216" i="1"/>
  <c r="D216" i="1"/>
  <c r="C216" i="1"/>
  <c r="B216" i="1"/>
  <c r="A216" i="1"/>
  <c r="BE215" i="1"/>
  <c r="AT215" i="1"/>
  <c r="BC215" i="1" s="1"/>
  <c r="AS215" i="1"/>
  <c r="AL215" i="1"/>
  <c r="AK215" i="1"/>
  <c r="AG215" i="1"/>
  <c r="AF215" i="1"/>
  <c r="AE215" i="1"/>
  <c r="AD215" i="1"/>
  <c r="AC215" i="1"/>
  <c r="AB215" i="1"/>
  <c r="Z215" i="1"/>
  <c r="Y215" i="1"/>
  <c r="X215" i="1"/>
  <c r="W215" i="1"/>
  <c r="V215" i="1"/>
  <c r="U215" i="1"/>
  <c r="T215" i="1"/>
  <c r="BA215" i="1" s="1"/>
  <c r="S215" i="1"/>
  <c r="R215" i="1"/>
  <c r="Q215" i="1"/>
  <c r="P215" i="1"/>
  <c r="O215" i="1"/>
  <c r="N215" i="1"/>
  <c r="AZ215" i="1" s="1"/>
  <c r="M215" i="1"/>
  <c r="L215" i="1"/>
  <c r="H215" i="1"/>
  <c r="AY215" i="1" s="1"/>
  <c r="G215" i="1"/>
  <c r="F215" i="1"/>
  <c r="E215" i="1"/>
  <c r="D215" i="1"/>
  <c r="C215" i="1"/>
  <c r="B215" i="1"/>
  <c r="A215" i="1"/>
  <c r="BE214" i="1"/>
  <c r="AT214" i="1"/>
  <c r="BC214" i="1" s="1"/>
  <c r="AS214" i="1"/>
  <c r="AL214" i="1"/>
  <c r="AX214" i="1" s="1"/>
  <c r="AK214" i="1"/>
  <c r="AG214" i="1"/>
  <c r="AF214" i="1"/>
  <c r="AE214" i="1"/>
  <c r="AD214" i="1"/>
  <c r="AC214" i="1"/>
  <c r="AB214" i="1"/>
  <c r="Z214" i="1"/>
  <c r="Y214" i="1"/>
  <c r="X214" i="1"/>
  <c r="W214" i="1"/>
  <c r="V214" i="1"/>
  <c r="U214" i="1"/>
  <c r="T214" i="1"/>
  <c r="BA214" i="1" s="1"/>
  <c r="S214" i="1"/>
  <c r="R214" i="1"/>
  <c r="Q214" i="1"/>
  <c r="P214" i="1"/>
  <c r="O214" i="1"/>
  <c r="BG214" i="1" s="1"/>
  <c r="N214" i="1"/>
  <c r="AZ214" i="1" s="1"/>
  <c r="M214" i="1"/>
  <c r="L214" i="1"/>
  <c r="H214" i="1"/>
  <c r="AY214" i="1" s="1"/>
  <c r="G214" i="1"/>
  <c r="F214" i="1"/>
  <c r="E214" i="1"/>
  <c r="D214" i="1"/>
  <c r="C214" i="1"/>
  <c r="B214" i="1"/>
  <c r="A214" i="1"/>
  <c r="BE213" i="1"/>
  <c r="AT213" i="1"/>
  <c r="BC213" i="1" s="1"/>
  <c r="AS213" i="1"/>
  <c r="AL213" i="1"/>
  <c r="AK213" i="1"/>
  <c r="AG213" i="1"/>
  <c r="AF213" i="1"/>
  <c r="AE213" i="1"/>
  <c r="AD213" i="1"/>
  <c r="AC213" i="1"/>
  <c r="AB213" i="1"/>
  <c r="Z213" i="1"/>
  <c r="Y213" i="1"/>
  <c r="X213" i="1"/>
  <c r="W213" i="1"/>
  <c r="V213" i="1"/>
  <c r="U213" i="1"/>
  <c r="T213" i="1"/>
  <c r="BA213" i="1" s="1"/>
  <c r="S213" i="1"/>
  <c r="R213" i="1"/>
  <c r="Q213" i="1"/>
  <c r="P213" i="1"/>
  <c r="O213" i="1"/>
  <c r="N213" i="1"/>
  <c r="AZ213" i="1" s="1"/>
  <c r="M213" i="1"/>
  <c r="L213" i="1"/>
  <c r="H213" i="1"/>
  <c r="AY213" i="1" s="1"/>
  <c r="G213" i="1"/>
  <c r="F213" i="1"/>
  <c r="E213" i="1"/>
  <c r="D213" i="1"/>
  <c r="C213" i="1"/>
  <c r="B213" i="1"/>
  <c r="A213" i="1"/>
  <c r="BE212" i="1"/>
  <c r="AT212" i="1"/>
  <c r="BC212" i="1" s="1"/>
  <c r="AS212" i="1"/>
  <c r="AL212" i="1"/>
  <c r="AM212" i="1" s="1"/>
  <c r="AK212" i="1"/>
  <c r="AG212" i="1"/>
  <c r="AH212" i="1" s="1"/>
  <c r="AF212" i="1"/>
  <c r="AE212" i="1"/>
  <c r="AD212" i="1"/>
  <c r="AC212" i="1"/>
  <c r="AB212" i="1"/>
  <c r="Z212" i="1"/>
  <c r="Y212" i="1"/>
  <c r="X212" i="1"/>
  <c r="W212" i="1"/>
  <c r="V212" i="1"/>
  <c r="U212" i="1"/>
  <c r="T212" i="1"/>
  <c r="BA212" i="1" s="1"/>
  <c r="S212" i="1"/>
  <c r="R212" i="1"/>
  <c r="Q212" i="1"/>
  <c r="P212" i="1"/>
  <c r="O212" i="1"/>
  <c r="N212" i="1"/>
  <c r="AZ212" i="1" s="1"/>
  <c r="M212" i="1"/>
  <c r="L212" i="1"/>
  <c r="H212" i="1"/>
  <c r="AY212" i="1" s="1"/>
  <c r="G212" i="1"/>
  <c r="F212" i="1"/>
  <c r="E212" i="1"/>
  <c r="D212" i="1"/>
  <c r="C212" i="1"/>
  <c r="B212" i="1"/>
  <c r="A212" i="1"/>
  <c r="BE211" i="1"/>
  <c r="AT211" i="1"/>
  <c r="BC211" i="1" s="1"/>
  <c r="AS211" i="1"/>
  <c r="AL211" i="1"/>
  <c r="AK211" i="1"/>
  <c r="AG211" i="1"/>
  <c r="AF211" i="1"/>
  <c r="AE211" i="1"/>
  <c r="AD211" i="1"/>
  <c r="AC211" i="1"/>
  <c r="AB211" i="1"/>
  <c r="Z211" i="1"/>
  <c r="Y211" i="1"/>
  <c r="X211" i="1"/>
  <c r="W211" i="1"/>
  <c r="V211" i="1"/>
  <c r="U211" i="1"/>
  <c r="T211" i="1"/>
  <c r="BA211" i="1" s="1"/>
  <c r="S211" i="1"/>
  <c r="R211" i="1"/>
  <c r="Q211" i="1"/>
  <c r="P211" i="1"/>
  <c r="O211" i="1"/>
  <c r="N211" i="1"/>
  <c r="AZ211" i="1" s="1"/>
  <c r="M211" i="1"/>
  <c r="L211" i="1"/>
  <c r="H211" i="1"/>
  <c r="AY211" i="1" s="1"/>
  <c r="G211" i="1"/>
  <c r="F211" i="1"/>
  <c r="E211" i="1"/>
  <c r="D211" i="1"/>
  <c r="C211" i="1"/>
  <c r="B211" i="1"/>
  <c r="A211" i="1"/>
  <c r="BE210" i="1"/>
  <c r="AT210" i="1"/>
  <c r="BC210" i="1" s="1"/>
  <c r="AS210" i="1"/>
  <c r="AL210" i="1"/>
  <c r="AK210" i="1"/>
  <c r="AG210" i="1"/>
  <c r="AH210" i="1" s="1"/>
  <c r="AF210" i="1"/>
  <c r="AE210" i="1"/>
  <c r="AD210" i="1"/>
  <c r="AC210" i="1"/>
  <c r="AB210" i="1"/>
  <c r="Z210" i="1"/>
  <c r="Y210" i="1"/>
  <c r="X210" i="1"/>
  <c r="W210" i="1"/>
  <c r="V210" i="1"/>
  <c r="U210" i="1"/>
  <c r="T210" i="1"/>
  <c r="BA210" i="1" s="1"/>
  <c r="S210" i="1"/>
  <c r="R210" i="1"/>
  <c r="Q210" i="1"/>
  <c r="P210" i="1"/>
  <c r="O210" i="1"/>
  <c r="N210" i="1"/>
  <c r="AZ210" i="1" s="1"/>
  <c r="M210" i="1"/>
  <c r="L210" i="1"/>
  <c r="H210" i="1"/>
  <c r="AY210" i="1" s="1"/>
  <c r="G210" i="1"/>
  <c r="F210" i="1"/>
  <c r="E210" i="1"/>
  <c r="D210" i="1"/>
  <c r="C210" i="1"/>
  <c r="B210" i="1"/>
  <c r="A210" i="1"/>
  <c r="BE209" i="1"/>
  <c r="AT209" i="1"/>
  <c r="BC209" i="1" s="1"/>
  <c r="AS209" i="1"/>
  <c r="AL209" i="1"/>
  <c r="AK209" i="1"/>
  <c r="AG209" i="1"/>
  <c r="AF209" i="1"/>
  <c r="AE209" i="1"/>
  <c r="AD209" i="1"/>
  <c r="AC209" i="1"/>
  <c r="AB209" i="1"/>
  <c r="Z209" i="1"/>
  <c r="Y209" i="1"/>
  <c r="X209" i="1"/>
  <c r="W209" i="1"/>
  <c r="V209" i="1"/>
  <c r="U209" i="1"/>
  <c r="T209" i="1"/>
  <c r="BA209" i="1" s="1"/>
  <c r="S209" i="1"/>
  <c r="R209" i="1"/>
  <c r="Q209" i="1"/>
  <c r="P209" i="1"/>
  <c r="O209" i="1"/>
  <c r="N209" i="1"/>
  <c r="AZ209" i="1" s="1"/>
  <c r="M209" i="1"/>
  <c r="L209" i="1"/>
  <c r="H209" i="1"/>
  <c r="AY209" i="1" s="1"/>
  <c r="G209" i="1"/>
  <c r="F209" i="1"/>
  <c r="E209" i="1"/>
  <c r="D209" i="1"/>
  <c r="C209" i="1"/>
  <c r="B209" i="1"/>
  <c r="A209" i="1"/>
  <c r="BE208" i="1"/>
  <c r="AT208" i="1"/>
  <c r="BC208" i="1" s="1"/>
  <c r="AS208" i="1"/>
  <c r="AL208" i="1"/>
  <c r="AK208" i="1"/>
  <c r="AG208" i="1"/>
  <c r="AF208" i="1"/>
  <c r="AE208" i="1"/>
  <c r="AD208" i="1"/>
  <c r="AC208" i="1"/>
  <c r="AB208" i="1"/>
  <c r="Z208" i="1"/>
  <c r="Y208" i="1"/>
  <c r="X208" i="1"/>
  <c r="W208" i="1"/>
  <c r="V208" i="1"/>
  <c r="U208" i="1"/>
  <c r="T208" i="1"/>
  <c r="BA208" i="1" s="1"/>
  <c r="S208" i="1"/>
  <c r="R208" i="1"/>
  <c r="Q208" i="1"/>
  <c r="P208" i="1"/>
  <c r="O208" i="1"/>
  <c r="N208" i="1"/>
  <c r="AZ208" i="1" s="1"/>
  <c r="M208" i="1"/>
  <c r="L208" i="1"/>
  <c r="H208" i="1"/>
  <c r="AY208" i="1" s="1"/>
  <c r="G208" i="1"/>
  <c r="F208" i="1"/>
  <c r="E208" i="1"/>
  <c r="D208" i="1"/>
  <c r="C208" i="1"/>
  <c r="B208" i="1"/>
  <c r="A208" i="1"/>
  <c r="BE207" i="1"/>
  <c r="AT207" i="1"/>
  <c r="BC207" i="1" s="1"/>
  <c r="AS207" i="1"/>
  <c r="AL207" i="1"/>
  <c r="AM207" i="1" s="1"/>
  <c r="AK207" i="1"/>
  <c r="AG207" i="1"/>
  <c r="AF207" i="1"/>
  <c r="AE207" i="1"/>
  <c r="AD207" i="1"/>
  <c r="AC207" i="1"/>
  <c r="AB207" i="1"/>
  <c r="Z207" i="1"/>
  <c r="Y207" i="1"/>
  <c r="X207" i="1"/>
  <c r="W207" i="1"/>
  <c r="V207" i="1"/>
  <c r="U207" i="1"/>
  <c r="T207" i="1"/>
  <c r="BA207" i="1" s="1"/>
  <c r="S207" i="1"/>
  <c r="R207" i="1"/>
  <c r="Q207" i="1"/>
  <c r="P207" i="1"/>
  <c r="O207" i="1"/>
  <c r="N207" i="1"/>
  <c r="AZ207" i="1" s="1"/>
  <c r="M207" i="1"/>
  <c r="L207" i="1"/>
  <c r="H207" i="1"/>
  <c r="AY207" i="1" s="1"/>
  <c r="G207" i="1"/>
  <c r="F207" i="1"/>
  <c r="E207" i="1"/>
  <c r="D207" i="1"/>
  <c r="C207" i="1"/>
  <c r="B207" i="1"/>
  <c r="A207" i="1"/>
  <c r="BE206" i="1"/>
  <c r="AT206" i="1"/>
  <c r="BC206" i="1" s="1"/>
  <c r="AS206" i="1"/>
  <c r="AL206" i="1"/>
  <c r="AK206" i="1"/>
  <c r="AG206" i="1"/>
  <c r="AF206" i="1"/>
  <c r="AE206" i="1"/>
  <c r="AD206" i="1"/>
  <c r="AC206" i="1"/>
  <c r="AB206" i="1"/>
  <c r="Z206" i="1"/>
  <c r="Y206" i="1"/>
  <c r="X206" i="1"/>
  <c r="W206" i="1"/>
  <c r="V206" i="1"/>
  <c r="U206" i="1"/>
  <c r="T206" i="1"/>
  <c r="BA206" i="1" s="1"/>
  <c r="S206" i="1"/>
  <c r="R206" i="1"/>
  <c r="Q206" i="1"/>
  <c r="P206" i="1"/>
  <c r="O206" i="1"/>
  <c r="N206" i="1"/>
  <c r="AZ206" i="1" s="1"/>
  <c r="M206" i="1"/>
  <c r="L206" i="1"/>
  <c r="H206" i="1"/>
  <c r="AY206" i="1" s="1"/>
  <c r="G206" i="1"/>
  <c r="F206" i="1"/>
  <c r="E206" i="1"/>
  <c r="D206" i="1"/>
  <c r="C206" i="1"/>
  <c r="B206" i="1"/>
  <c r="A206" i="1"/>
  <c r="BE205" i="1"/>
  <c r="AT205" i="1"/>
  <c r="BC205" i="1" s="1"/>
  <c r="AS205" i="1"/>
  <c r="AL205" i="1"/>
  <c r="AK205" i="1"/>
  <c r="AG205" i="1"/>
  <c r="AH205" i="1" s="1"/>
  <c r="AF205" i="1"/>
  <c r="AE205" i="1"/>
  <c r="AD205" i="1"/>
  <c r="AC205" i="1"/>
  <c r="AB205" i="1"/>
  <c r="Z205" i="1"/>
  <c r="Y205" i="1"/>
  <c r="X205" i="1"/>
  <c r="W205" i="1"/>
  <c r="V205" i="1"/>
  <c r="U205" i="1"/>
  <c r="T205" i="1"/>
  <c r="BA205" i="1" s="1"/>
  <c r="S205" i="1"/>
  <c r="R205" i="1"/>
  <c r="Q205" i="1"/>
  <c r="P205" i="1"/>
  <c r="O205" i="1"/>
  <c r="N205" i="1"/>
  <c r="AZ205" i="1" s="1"/>
  <c r="M205" i="1"/>
  <c r="L205" i="1"/>
  <c r="H205" i="1"/>
  <c r="AY205" i="1" s="1"/>
  <c r="G205" i="1"/>
  <c r="F205" i="1"/>
  <c r="E205" i="1"/>
  <c r="D205" i="1"/>
  <c r="C205" i="1"/>
  <c r="B205" i="1"/>
  <c r="A205" i="1"/>
  <c r="AA225" i="1" l="1"/>
  <c r="AI210" i="1"/>
  <c r="AA210" i="1" s="1"/>
  <c r="AO210" i="1" s="1"/>
  <c r="AH211" i="1"/>
  <c r="AJ215" i="1"/>
  <c r="AH224" i="1"/>
  <c r="AJ226" i="1"/>
  <c r="AH222" i="1"/>
  <c r="AI205" i="1"/>
  <c r="AA205" i="1" s="1"/>
  <c r="AO205" i="1" s="1"/>
  <c r="AJ210" i="1"/>
  <c r="AI219" i="1"/>
  <c r="AA219" i="1" s="1"/>
  <c r="AO219" i="1" s="1"/>
  <c r="AJ222" i="1"/>
  <c r="AU222" i="1"/>
  <c r="AJ224" i="1"/>
  <c r="AM225" i="1"/>
  <c r="AX225" i="1"/>
  <c r="AO225" i="1"/>
  <c r="AJ205" i="1"/>
  <c r="AJ208" i="1"/>
  <c r="AM217" i="1"/>
  <c r="AJ220" i="1"/>
  <c r="AM208" i="1"/>
  <c r="AH209" i="1"/>
  <c r="BD218" i="1"/>
  <c r="AJ207" i="1"/>
  <c r="AI208" i="1"/>
  <c r="AA208" i="1" s="1"/>
  <c r="AO208" i="1" s="1"/>
  <c r="AI209" i="1"/>
  <c r="AA209" i="1" s="1"/>
  <c r="AO209" i="1" s="1"/>
  <c r="AI214" i="1"/>
  <c r="AA214" i="1" s="1"/>
  <c r="AH218" i="1"/>
  <c r="AM221" i="1"/>
  <c r="AJ227" i="1"/>
  <c r="AM227" i="1"/>
  <c r="AH214" i="1"/>
  <c r="AM213" i="1"/>
  <c r="AJ209" i="1"/>
  <c r="AM210" i="1"/>
  <c r="AJ211" i="1"/>
  <c r="AM211" i="1"/>
  <c r="AI213" i="1"/>
  <c r="AA213" i="1" s="1"/>
  <c r="AO213" i="1" s="1"/>
  <c r="AJ214" i="1"/>
  <c r="AI218" i="1"/>
  <c r="AA218" i="1" s="1"/>
  <c r="AO218" i="1" s="1"/>
  <c r="AM219" i="1"/>
  <c r="AH220" i="1"/>
  <c r="AI221" i="1"/>
  <c r="AA221" i="1" s="1"/>
  <c r="AO221" i="1" s="1"/>
  <c r="AM223" i="1"/>
  <c r="AH226" i="1"/>
  <c r="AI227" i="1"/>
  <c r="AA227" i="1" s="1"/>
  <c r="AO227" i="1" s="1"/>
  <c r="AJ206" i="1"/>
  <c r="AI206" i="1"/>
  <c r="AA206" i="1" s="1"/>
  <c r="AO206" i="1" s="1"/>
  <c r="AM209" i="1"/>
  <c r="AI207" i="1"/>
  <c r="AA207" i="1" s="1"/>
  <c r="AO207" i="1" s="1"/>
  <c r="AH207" i="1"/>
  <c r="AM205" i="1"/>
  <c r="AH206" i="1"/>
  <c r="BG210" i="1"/>
  <c r="BD210" i="1"/>
  <c r="AM206" i="1"/>
  <c r="AX209" i="1"/>
  <c r="AW209" i="1"/>
  <c r="AU215" i="1"/>
  <c r="AI216" i="1"/>
  <c r="AA216" i="1" s="1"/>
  <c r="AO216" i="1" s="1"/>
  <c r="AH208" i="1"/>
  <c r="AI215" i="1"/>
  <c r="AA215" i="1" s="1"/>
  <c r="AO215" i="1" s="1"/>
  <c r="AJ216" i="1"/>
  <c r="AJ217" i="1"/>
  <c r="AM218" i="1"/>
  <c r="AJ219" i="1"/>
  <c r="AU219" i="1"/>
  <c r="AH219" i="1"/>
  <c r="AM226" i="1"/>
  <c r="BG227" i="1"/>
  <c r="BD227" i="1"/>
  <c r="AI212" i="1"/>
  <c r="AA212" i="1" s="1"/>
  <c r="AO212" i="1" s="1"/>
  <c r="AH213" i="1"/>
  <c r="AM224" i="1"/>
  <c r="AU225" i="1"/>
  <c r="AH225" i="1"/>
  <c r="AJ225" i="1"/>
  <c r="AH217" i="1"/>
  <c r="AJ218" i="1"/>
  <c r="AM222" i="1"/>
  <c r="AJ223" i="1"/>
  <c r="AU223" i="1"/>
  <c r="AH223" i="1"/>
  <c r="AI211" i="1"/>
  <c r="AA211" i="1" s="1"/>
  <c r="AO211" i="1" s="1"/>
  <c r="AJ212" i="1"/>
  <c r="AJ213" i="1"/>
  <c r="AO214" i="1"/>
  <c r="AM214" i="1"/>
  <c r="AW214" i="1"/>
  <c r="BD214" i="1"/>
  <c r="AH215" i="1"/>
  <c r="AM215" i="1"/>
  <c r="AV215" i="1"/>
  <c r="AH216" i="1"/>
  <c r="AI217" i="1"/>
  <c r="AA217" i="1" s="1"/>
  <c r="AO217" i="1" s="1"/>
  <c r="AM220" i="1"/>
  <c r="AH221" i="1"/>
  <c r="AJ221" i="1"/>
  <c r="AI223" i="1"/>
  <c r="AA223" i="1" s="1"/>
  <c r="AO223" i="1" s="1"/>
  <c r="AV225" i="1"/>
  <c r="AI222" i="1"/>
  <c r="AA222" i="1" s="1"/>
  <c r="AO222" i="1" s="1"/>
  <c r="AI226" i="1"/>
  <c r="AA226" i="1" s="1"/>
  <c r="AO226" i="1" s="1"/>
  <c r="AH227" i="1"/>
  <c r="AI220" i="1"/>
  <c r="AA220" i="1" s="1"/>
  <c r="AO220" i="1" s="1"/>
  <c r="AI224" i="1"/>
  <c r="AA224" i="1" s="1"/>
  <c r="AO224" i="1" s="1"/>
  <c r="BG226" i="1"/>
  <c r="AN242" i="1"/>
  <c r="AN241" i="1"/>
  <c r="AN240" i="1"/>
  <c r="AN239" i="1"/>
  <c r="AN238" i="1"/>
  <c r="AN237" i="1"/>
  <c r="AN236" i="1"/>
  <c r="AN235" i="1"/>
  <c r="AN234" i="1"/>
  <c r="AN233" i="1"/>
  <c r="AN232" i="1"/>
  <c r="AN231" i="1"/>
  <c r="AN230" i="1"/>
  <c r="AN229" i="1"/>
  <c r="AN227" i="1"/>
  <c r="BF227" i="1" s="1"/>
  <c r="AN226" i="1"/>
  <c r="AP226" i="1" s="1"/>
  <c r="AN225" i="1"/>
  <c r="AP225" i="1" s="1"/>
  <c r="BD225" i="1" s="1"/>
  <c r="AN224" i="1"/>
  <c r="AP224" i="1" s="1"/>
  <c r="BD224" i="1" s="1"/>
  <c r="AN223" i="1"/>
  <c r="AR223" i="1" s="1"/>
  <c r="AN222" i="1"/>
  <c r="BF222" i="1" s="1"/>
  <c r="BG222" i="1" s="1"/>
  <c r="AN221" i="1"/>
  <c r="AP221" i="1" s="1"/>
  <c r="BD221" i="1" s="1"/>
  <c r="AN220" i="1"/>
  <c r="AR220" i="1" s="1"/>
  <c r="AN219" i="1"/>
  <c r="BF219" i="1" s="1"/>
  <c r="BG219" i="1" s="1"/>
  <c r="AN218" i="1"/>
  <c r="AR218" i="1" s="1"/>
  <c r="AN217" i="1"/>
  <c r="AR217" i="1" s="1"/>
  <c r="AN216" i="1"/>
  <c r="BF216" i="1" s="1"/>
  <c r="BG216" i="1" s="1"/>
  <c r="AN215" i="1"/>
  <c r="AR215" i="1" s="1"/>
  <c r="BF229" i="1" l="1"/>
  <c r="AP229" i="1"/>
  <c r="AR229" i="1"/>
  <c r="AP237" i="1"/>
  <c r="BF237" i="1"/>
  <c r="AR237" i="1"/>
  <c r="BF241" i="1"/>
  <c r="AP241" i="1"/>
  <c r="AR241" i="1"/>
  <c r="AR234" i="1"/>
  <c r="AP234" i="1"/>
  <c r="BD234" i="1" s="1"/>
  <c r="BF234" i="1"/>
  <c r="BG234" i="1" s="1"/>
  <c r="BF238" i="1"/>
  <c r="AR238" i="1"/>
  <c r="AP238" i="1"/>
  <c r="AP242" i="1"/>
  <c r="BF242" i="1"/>
  <c r="AR242" i="1"/>
  <c r="AR235" i="1"/>
  <c r="BF235" i="1"/>
  <c r="BG235" i="1" s="1"/>
  <c r="AP235" i="1"/>
  <c r="BD235" i="1" s="1"/>
  <c r="AP239" i="1"/>
  <c r="AR239" i="1"/>
  <c r="BF239" i="1"/>
  <c r="AP236" i="1"/>
  <c r="BD236" i="1" s="1"/>
  <c r="AR236" i="1"/>
  <c r="BF236" i="1"/>
  <c r="BG236" i="1" s="1"/>
  <c r="AR240" i="1"/>
  <c r="AP240" i="1"/>
  <c r="BF240" i="1"/>
  <c r="AP233" i="1"/>
  <c r="BD233" i="1" s="1"/>
  <c r="AR233" i="1"/>
  <c r="BF233" i="1"/>
  <c r="BG233" i="1" s="1"/>
  <c r="AP230" i="1"/>
  <c r="BD230" i="1" s="1"/>
  <c r="BF230" i="1"/>
  <c r="BG230" i="1" s="1"/>
  <c r="AR230" i="1"/>
  <c r="AR232" i="1"/>
  <c r="BF232" i="1"/>
  <c r="BG232" i="1" s="1"/>
  <c r="AP232" i="1"/>
  <c r="BD232" i="1" s="1"/>
  <c r="AP231" i="1"/>
  <c r="BD231" i="1" s="1"/>
  <c r="BF231" i="1"/>
  <c r="BG231" i="1" s="1"/>
  <c r="AR231" i="1"/>
  <c r="AP227" i="1"/>
  <c r="AP223" i="1"/>
  <c r="BD223" i="1" s="1"/>
  <c r="AP215" i="1"/>
  <c r="BD215" i="1" s="1"/>
  <c r="BF224" i="1"/>
  <c r="BG224" i="1" s="1"/>
  <c r="BF217" i="1"/>
  <c r="BG217" i="1" s="1"/>
  <c r="AP218" i="1"/>
  <c r="AR219" i="1"/>
  <c r="BF220" i="1"/>
  <c r="BG220" i="1" s="1"/>
  <c r="BF226" i="1"/>
  <c r="AP216" i="1"/>
  <c r="BD216" i="1" s="1"/>
  <c r="AP217" i="1"/>
  <c r="BD217" i="1" s="1"/>
  <c r="AR224" i="1"/>
  <c r="AR222" i="1"/>
  <c r="AP220" i="1"/>
  <c r="BD220" i="1" s="1"/>
  <c r="AR225" i="1"/>
  <c r="AR221" i="1"/>
  <c r="BF221" i="1"/>
  <c r="BG221" i="1" s="1"/>
  <c r="AR216" i="1"/>
  <c r="AP222" i="1"/>
  <c r="BD222" i="1" s="1"/>
  <c r="BF215" i="1"/>
  <c r="BG215" i="1" s="1"/>
  <c r="AR226" i="1"/>
  <c r="AR227" i="1"/>
  <c r="BF225" i="1"/>
  <c r="BG225" i="1" s="1"/>
  <c r="AP219" i="1"/>
  <c r="BD219" i="1" s="1"/>
  <c r="BF223" i="1"/>
  <c r="BG223" i="1" s="1"/>
  <c r="BF218" i="1"/>
  <c r="A202" i="1"/>
  <c r="B202" i="1"/>
  <c r="C202" i="1"/>
  <c r="D202" i="1"/>
  <c r="E202" i="1"/>
  <c r="AK144" i="1" l="1"/>
  <c r="AC184" i="1"/>
  <c r="AD184" i="1"/>
  <c r="AE184" i="1"/>
  <c r="AF184" i="1"/>
  <c r="AC185" i="1"/>
  <c r="AD185" i="1"/>
  <c r="AE185" i="1"/>
  <c r="AF185" i="1"/>
  <c r="AC186" i="1"/>
  <c r="AD186" i="1"/>
  <c r="AE186" i="1"/>
  <c r="AF186" i="1"/>
  <c r="AC187" i="1"/>
  <c r="AD187" i="1"/>
  <c r="AE187" i="1"/>
  <c r="AF187" i="1"/>
  <c r="AC188" i="1"/>
  <c r="AD188" i="1"/>
  <c r="AE188" i="1"/>
  <c r="AF188" i="1"/>
  <c r="AC189" i="1"/>
  <c r="AD189" i="1"/>
  <c r="AE189" i="1"/>
  <c r="AF189" i="1"/>
  <c r="AC190" i="1"/>
  <c r="AD190" i="1"/>
  <c r="AE190" i="1"/>
  <c r="AF190" i="1"/>
  <c r="AC191" i="1"/>
  <c r="AD191" i="1"/>
  <c r="AE191" i="1"/>
  <c r="AF191" i="1"/>
  <c r="AC192" i="1"/>
  <c r="AD192" i="1"/>
  <c r="AE192" i="1"/>
  <c r="AF192" i="1"/>
  <c r="AC193" i="1"/>
  <c r="AD193" i="1"/>
  <c r="AE193" i="1"/>
  <c r="AF193" i="1"/>
  <c r="AC194" i="1"/>
  <c r="AD194" i="1"/>
  <c r="AE194" i="1"/>
  <c r="AF194" i="1"/>
  <c r="AC195" i="1"/>
  <c r="AD195" i="1"/>
  <c r="AE195" i="1"/>
  <c r="AF195" i="1"/>
  <c r="AC196" i="1"/>
  <c r="AD196" i="1"/>
  <c r="AE196" i="1"/>
  <c r="AF196" i="1"/>
  <c r="AC197" i="1"/>
  <c r="AD197" i="1"/>
  <c r="AE197" i="1"/>
  <c r="AF197" i="1"/>
  <c r="AC198" i="1"/>
  <c r="AD198" i="1"/>
  <c r="AE198" i="1"/>
  <c r="AF198" i="1"/>
  <c r="AC199" i="1"/>
  <c r="AD199" i="1"/>
  <c r="AE199" i="1"/>
  <c r="AF199" i="1"/>
  <c r="AC200" i="1"/>
  <c r="AD200" i="1"/>
  <c r="AE200" i="1"/>
  <c r="AF200" i="1"/>
  <c r="AC201" i="1"/>
  <c r="AD201" i="1"/>
  <c r="AE201" i="1"/>
  <c r="AF201" i="1"/>
  <c r="AC202" i="1"/>
  <c r="AD202" i="1"/>
  <c r="AE202" i="1"/>
  <c r="AF202" i="1"/>
  <c r="AC203" i="1"/>
  <c r="AD203" i="1"/>
  <c r="AE203" i="1"/>
  <c r="AF203" i="1"/>
  <c r="AC204" i="1"/>
  <c r="AD204" i="1"/>
  <c r="AE204" i="1"/>
  <c r="AF204" i="1"/>
  <c r="B942" i="5" l="1"/>
  <c r="B943" i="5"/>
  <c r="B944" i="5"/>
  <c r="B945" i="5"/>
  <c r="B946" i="5"/>
  <c r="B947" i="5"/>
  <c r="BE204" i="1" l="1"/>
  <c r="AT204" i="1"/>
  <c r="BC204" i="1" s="1"/>
  <c r="AS204" i="1"/>
  <c r="AL204" i="1"/>
  <c r="AW204" i="1" s="1"/>
  <c r="AK204" i="1"/>
  <c r="AG204" i="1"/>
  <c r="AJ204" i="1" s="1"/>
  <c r="AB204" i="1"/>
  <c r="Z204" i="1"/>
  <c r="Y204" i="1"/>
  <c r="X204" i="1"/>
  <c r="W204" i="1"/>
  <c r="V204" i="1"/>
  <c r="U204" i="1"/>
  <c r="T204" i="1"/>
  <c r="BA204" i="1" s="1"/>
  <c r="S204" i="1"/>
  <c r="R204" i="1"/>
  <c r="Q204" i="1"/>
  <c r="P204" i="1"/>
  <c r="O204" i="1"/>
  <c r="N204" i="1"/>
  <c r="AZ204" i="1" s="1"/>
  <c r="M204" i="1"/>
  <c r="L204" i="1"/>
  <c r="H204" i="1"/>
  <c r="AY204" i="1" s="1"/>
  <c r="G204" i="1"/>
  <c r="F204" i="1"/>
  <c r="E204" i="1"/>
  <c r="D204" i="1"/>
  <c r="C204" i="1"/>
  <c r="B204" i="1"/>
  <c r="A204" i="1"/>
  <c r="BE203" i="1"/>
  <c r="AT203" i="1"/>
  <c r="BC203" i="1" s="1"/>
  <c r="AS203" i="1"/>
  <c r="AL203" i="1"/>
  <c r="AK203" i="1"/>
  <c r="AG203" i="1"/>
  <c r="AI203" i="1" s="1"/>
  <c r="AB203" i="1"/>
  <c r="Z203" i="1"/>
  <c r="Y203" i="1"/>
  <c r="X203" i="1"/>
  <c r="W203" i="1"/>
  <c r="V203" i="1"/>
  <c r="U203" i="1"/>
  <c r="T203" i="1"/>
  <c r="BA203" i="1" s="1"/>
  <c r="S203" i="1"/>
  <c r="R203" i="1"/>
  <c r="Q203" i="1"/>
  <c r="P203" i="1"/>
  <c r="O203" i="1"/>
  <c r="N203" i="1"/>
  <c r="AZ203" i="1" s="1"/>
  <c r="M203" i="1"/>
  <c r="L203" i="1"/>
  <c r="H203" i="1"/>
  <c r="AY203" i="1" s="1"/>
  <c r="G203" i="1"/>
  <c r="F203" i="1"/>
  <c r="E203" i="1"/>
  <c r="D203" i="1"/>
  <c r="C203" i="1"/>
  <c r="B203" i="1"/>
  <c r="A203" i="1"/>
  <c r="BE202" i="1"/>
  <c r="AT202" i="1"/>
  <c r="BC202" i="1" s="1"/>
  <c r="AS202" i="1"/>
  <c r="AL202" i="1"/>
  <c r="AW202" i="1" s="1"/>
  <c r="AK202" i="1"/>
  <c r="AG202" i="1"/>
  <c r="AB202" i="1"/>
  <c r="Z202" i="1"/>
  <c r="Y202" i="1"/>
  <c r="X202" i="1"/>
  <c r="W202" i="1"/>
  <c r="V202" i="1"/>
  <c r="U202" i="1"/>
  <c r="T202" i="1"/>
  <c r="BA202" i="1" s="1"/>
  <c r="S202" i="1"/>
  <c r="R202" i="1"/>
  <c r="Q202" i="1"/>
  <c r="P202" i="1"/>
  <c r="O202" i="1"/>
  <c r="N202" i="1"/>
  <c r="AZ202" i="1" s="1"/>
  <c r="M202" i="1"/>
  <c r="L202" i="1"/>
  <c r="H202" i="1"/>
  <c r="AY202" i="1" s="1"/>
  <c r="G202" i="1"/>
  <c r="F202" i="1"/>
  <c r="BE201" i="1"/>
  <c r="AT201" i="1"/>
  <c r="BC201" i="1" s="1"/>
  <c r="AS201" i="1"/>
  <c r="AL201" i="1"/>
  <c r="AK201" i="1"/>
  <c r="AG201" i="1"/>
  <c r="AB201" i="1"/>
  <c r="Z201" i="1"/>
  <c r="Y201" i="1"/>
  <c r="X201" i="1"/>
  <c r="W201" i="1"/>
  <c r="V201" i="1"/>
  <c r="U201" i="1"/>
  <c r="T201" i="1"/>
  <c r="BA201" i="1" s="1"/>
  <c r="S201" i="1"/>
  <c r="R201" i="1"/>
  <c r="Q201" i="1"/>
  <c r="P201" i="1"/>
  <c r="O201" i="1"/>
  <c r="N201" i="1"/>
  <c r="AZ201" i="1" s="1"/>
  <c r="M201" i="1"/>
  <c r="L201" i="1"/>
  <c r="H201" i="1"/>
  <c r="AY201" i="1" s="1"/>
  <c r="G201" i="1"/>
  <c r="F201" i="1"/>
  <c r="E201" i="1"/>
  <c r="D201" i="1"/>
  <c r="C201" i="1"/>
  <c r="B201" i="1"/>
  <c r="A201" i="1"/>
  <c r="BE200" i="1"/>
  <c r="AT200" i="1"/>
  <c r="BC200" i="1" s="1"/>
  <c r="AS200" i="1"/>
  <c r="AL200" i="1"/>
  <c r="AK200" i="1"/>
  <c r="AG200" i="1"/>
  <c r="AB200" i="1"/>
  <c r="Z200" i="1"/>
  <c r="Y200" i="1"/>
  <c r="X200" i="1"/>
  <c r="W200" i="1"/>
  <c r="V200" i="1"/>
  <c r="U200" i="1"/>
  <c r="T200" i="1"/>
  <c r="BA200" i="1" s="1"/>
  <c r="S200" i="1"/>
  <c r="R200" i="1"/>
  <c r="Q200" i="1"/>
  <c r="P200" i="1"/>
  <c r="O200" i="1"/>
  <c r="N200" i="1"/>
  <c r="AZ200" i="1" s="1"/>
  <c r="M200" i="1"/>
  <c r="L200" i="1"/>
  <c r="H200" i="1"/>
  <c r="AY200" i="1" s="1"/>
  <c r="G200" i="1"/>
  <c r="F200" i="1"/>
  <c r="E200" i="1"/>
  <c r="D200" i="1"/>
  <c r="C200" i="1"/>
  <c r="B200" i="1"/>
  <c r="A200" i="1"/>
  <c r="BE199" i="1"/>
  <c r="AT199" i="1"/>
  <c r="BC199" i="1" s="1"/>
  <c r="AS199" i="1"/>
  <c r="AL199" i="1"/>
  <c r="AK199" i="1"/>
  <c r="AG199" i="1"/>
  <c r="AI199" i="1" s="1"/>
  <c r="AA199" i="1" s="1"/>
  <c r="AB199" i="1"/>
  <c r="Z199" i="1"/>
  <c r="Y199" i="1"/>
  <c r="X199" i="1"/>
  <c r="W199" i="1"/>
  <c r="V199" i="1"/>
  <c r="U199" i="1"/>
  <c r="T199" i="1"/>
  <c r="BA199" i="1" s="1"/>
  <c r="S199" i="1"/>
  <c r="R199" i="1"/>
  <c r="Q199" i="1"/>
  <c r="P199" i="1"/>
  <c r="O199" i="1"/>
  <c r="N199" i="1"/>
  <c r="AZ199" i="1" s="1"/>
  <c r="M199" i="1"/>
  <c r="L199" i="1"/>
  <c r="H199" i="1"/>
  <c r="AY199" i="1" s="1"/>
  <c r="G199" i="1"/>
  <c r="F199" i="1"/>
  <c r="E199" i="1"/>
  <c r="D199" i="1"/>
  <c r="C199" i="1"/>
  <c r="B199" i="1"/>
  <c r="A199" i="1"/>
  <c r="BE198" i="1"/>
  <c r="AT198" i="1"/>
  <c r="BC198" i="1" s="1"/>
  <c r="AS198" i="1"/>
  <c r="AL198" i="1"/>
  <c r="AW198" i="1" s="1"/>
  <c r="AK198" i="1"/>
  <c r="AG198" i="1"/>
  <c r="AV198" i="1" s="1"/>
  <c r="AB198" i="1"/>
  <c r="Z198" i="1"/>
  <c r="Y198" i="1"/>
  <c r="X198" i="1"/>
  <c r="W198" i="1"/>
  <c r="V198" i="1"/>
  <c r="U198" i="1"/>
  <c r="T198" i="1"/>
  <c r="BA198" i="1" s="1"/>
  <c r="S198" i="1"/>
  <c r="R198" i="1"/>
  <c r="Q198" i="1"/>
  <c r="P198" i="1"/>
  <c r="O198" i="1"/>
  <c r="BD198" i="1" s="1"/>
  <c r="N198" i="1"/>
  <c r="AZ198" i="1" s="1"/>
  <c r="M198" i="1"/>
  <c r="L198" i="1"/>
  <c r="H198" i="1"/>
  <c r="AY198" i="1" s="1"/>
  <c r="G198" i="1"/>
  <c r="F198" i="1"/>
  <c r="E198" i="1"/>
  <c r="D198" i="1"/>
  <c r="C198" i="1"/>
  <c r="B198" i="1"/>
  <c r="A198" i="1"/>
  <c r="BE197" i="1"/>
  <c r="AT197" i="1"/>
  <c r="BC197" i="1" s="1"/>
  <c r="AS197" i="1"/>
  <c r="AL197" i="1"/>
  <c r="AM197" i="1" s="1"/>
  <c r="AK197" i="1"/>
  <c r="AG197" i="1"/>
  <c r="AH197" i="1" s="1"/>
  <c r="AB197" i="1"/>
  <c r="Z197" i="1"/>
  <c r="Y197" i="1"/>
  <c r="X197" i="1"/>
  <c r="W197" i="1"/>
  <c r="V197" i="1"/>
  <c r="U197" i="1"/>
  <c r="T197" i="1"/>
  <c r="BA197" i="1" s="1"/>
  <c r="S197" i="1"/>
  <c r="R197" i="1"/>
  <c r="Q197" i="1"/>
  <c r="P197" i="1"/>
  <c r="O197" i="1"/>
  <c r="N197" i="1"/>
  <c r="AZ197" i="1" s="1"/>
  <c r="M197" i="1"/>
  <c r="L197" i="1"/>
  <c r="H197" i="1"/>
  <c r="AY197" i="1" s="1"/>
  <c r="G197" i="1"/>
  <c r="F197" i="1"/>
  <c r="E197" i="1"/>
  <c r="D197" i="1"/>
  <c r="C197" i="1"/>
  <c r="B197" i="1"/>
  <c r="A197" i="1"/>
  <c r="BE196" i="1"/>
  <c r="AT196" i="1"/>
  <c r="BC196" i="1" s="1"/>
  <c r="AS196" i="1"/>
  <c r="AL196" i="1"/>
  <c r="AW196" i="1" s="1"/>
  <c r="AK196" i="1"/>
  <c r="AG196" i="1"/>
  <c r="AJ196" i="1" s="1"/>
  <c r="AB196" i="1"/>
  <c r="Z196" i="1"/>
  <c r="Y196" i="1"/>
  <c r="X196" i="1"/>
  <c r="W196" i="1"/>
  <c r="V196" i="1"/>
  <c r="U196" i="1"/>
  <c r="T196" i="1"/>
  <c r="BA196" i="1" s="1"/>
  <c r="S196" i="1"/>
  <c r="R196" i="1"/>
  <c r="Q196" i="1"/>
  <c r="P196" i="1"/>
  <c r="O196" i="1"/>
  <c r="N196" i="1"/>
  <c r="AZ196" i="1" s="1"/>
  <c r="M196" i="1"/>
  <c r="L196" i="1"/>
  <c r="H196" i="1"/>
  <c r="AY196" i="1" s="1"/>
  <c r="G196" i="1"/>
  <c r="F196" i="1"/>
  <c r="E196" i="1"/>
  <c r="D196" i="1"/>
  <c r="C196" i="1"/>
  <c r="B196" i="1"/>
  <c r="A196" i="1"/>
  <c r="BE195" i="1"/>
  <c r="AT195" i="1"/>
  <c r="BC195" i="1" s="1"/>
  <c r="AS195" i="1"/>
  <c r="AL195" i="1"/>
  <c r="AX195" i="1" s="1"/>
  <c r="AK195" i="1"/>
  <c r="AG195" i="1"/>
  <c r="AU195" i="1" s="1"/>
  <c r="AB195" i="1"/>
  <c r="Z195" i="1"/>
  <c r="Y195" i="1"/>
  <c r="X195" i="1"/>
  <c r="W195" i="1"/>
  <c r="V195" i="1"/>
  <c r="U195" i="1"/>
  <c r="T195" i="1"/>
  <c r="BA195" i="1" s="1"/>
  <c r="S195" i="1"/>
  <c r="R195" i="1"/>
  <c r="Q195" i="1"/>
  <c r="P195" i="1"/>
  <c r="O195" i="1"/>
  <c r="N195" i="1"/>
  <c r="AZ195" i="1" s="1"/>
  <c r="M195" i="1"/>
  <c r="L195" i="1"/>
  <c r="H195" i="1"/>
  <c r="AY195" i="1" s="1"/>
  <c r="G195" i="1"/>
  <c r="F195" i="1"/>
  <c r="E195" i="1"/>
  <c r="D195" i="1"/>
  <c r="C195" i="1"/>
  <c r="B195" i="1"/>
  <c r="A195" i="1"/>
  <c r="BE194" i="1"/>
  <c r="AT194" i="1"/>
  <c r="BC194" i="1" s="1"/>
  <c r="AS194" i="1"/>
  <c r="AL194" i="1"/>
  <c r="AW194" i="1" s="1"/>
  <c r="AK194" i="1"/>
  <c r="AG194" i="1"/>
  <c r="AJ194" i="1" s="1"/>
  <c r="AB194" i="1"/>
  <c r="Z194" i="1"/>
  <c r="Y194" i="1"/>
  <c r="X194" i="1"/>
  <c r="W194" i="1"/>
  <c r="V194" i="1"/>
  <c r="U194" i="1"/>
  <c r="T194" i="1"/>
  <c r="BA194" i="1" s="1"/>
  <c r="S194" i="1"/>
  <c r="R194" i="1"/>
  <c r="Q194" i="1"/>
  <c r="P194" i="1"/>
  <c r="O194" i="1"/>
  <c r="N194" i="1"/>
  <c r="AZ194" i="1" s="1"/>
  <c r="M194" i="1"/>
  <c r="L194" i="1"/>
  <c r="H194" i="1"/>
  <c r="AY194" i="1" s="1"/>
  <c r="G194" i="1"/>
  <c r="F194" i="1"/>
  <c r="E194" i="1"/>
  <c r="D194" i="1"/>
  <c r="C194" i="1"/>
  <c r="B194" i="1"/>
  <c r="A194" i="1"/>
  <c r="BE193" i="1"/>
  <c r="AT193" i="1"/>
  <c r="BC193" i="1" s="1"/>
  <c r="AS193" i="1"/>
  <c r="AL193" i="1"/>
  <c r="AM193" i="1" s="1"/>
  <c r="AK193" i="1"/>
  <c r="AG193" i="1"/>
  <c r="AJ193" i="1" s="1"/>
  <c r="AB193" i="1"/>
  <c r="Z193" i="1"/>
  <c r="Y193" i="1"/>
  <c r="X193" i="1"/>
  <c r="W193" i="1"/>
  <c r="V193" i="1"/>
  <c r="U193" i="1"/>
  <c r="T193" i="1"/>
  <c r="BA193" i="1" s="1"/>
  <c r="S193" i="1"/>
  <c r="R193" i="1"/>
  <c r="Q193" i="1"/>
  <c r="P193" i="1"/>
  <c r="O193" i="1"/>
  <c r="N193" i="1"/>
  <c r="AZ193" i="1" s="1"/>
  <c r="M193" i="1"/>
  <c r="L193" i="1"/>
  <c r="H193" i="1"/>
  <c r="AY193" i="1" s="1"/>
  <c r="G193" i="1"/>
  <c r="F193" i="1"/>
  <c r="E193" i="1"/>
  <c r="D193" i="1"/>
  <c r="C193" i="1"/>
  <c r="B193" i="1"/>
  <c r="A193" i="1"/>
  <c r="BE192" i="1"/>
  <c r="AT192" i="1"/>
  <c r="BC192" i="1" s="1"/>
  <c r="AS192" i="1"/>
  <c r="AL192" i="1"/>
  <c r="AM192" i="1" s="1"/>
  <c r="AK192" i="1"/>
  <c r="AG192" i="1"/>
  <c r="AJ192" i="1" s="1"/>
  <c r="AB192" i="1"/>
  <c r="Z192" i="1"/>
  <c r="Y192" i="1"/>
  <c r="X192" i="1"/>
  <c r="W192" i="1"/>
  <c r="V192" i="1"/>
  <c r="U192" i="1"/>
  <c r="T192" i="1"/>
  <c r="BA192" i="1" s="1"/>
  <c r="S192" i="1"/>
  <c r="R192" i="1"/>
  <c r="Q192" i="1"/>
  <c r="P192" i="1"/>
  <c r="O192" i="1"/>
  <c r="N192" i="1"/>
  <c r="AZ192" i="1" s="1"/>
  <c r="M192" i="1"/>
  <c r="L192" i="1"/>
  <c r="H192" i="1"/>
  <c r="AY192" i="1" s="1"/>
  <c r="G192" i="1"/>
  <c r="F192" i="1"/>
  <c r="E192" i="1"/>
  <c r="D192" i="1"/>
  <c r="C192" i="1"/>
  <c r="B192" i="1"/>
  <c r="A192" i="1"/>
  <c r="BE191" i="1"/>
  <c r="AT191" i="1"/>
  <c r="BC191" i="1" s="1"/>
  <c r="AS191" i="1"/>
  <c r="AL191" i="1"/>
  <c r="AK191" i="1"/>
  <c r="AG191" i="1"/>
  <c r="AU191" i="1" s="1"/>
  <c r="AB191" i="1"/>
  <c r="Z191" i="1"/>
  <c r="Y191" i="1"/>
  <c r="X191" i="1"/>
  <c r="W191" i="1"/>
  <c r="V191" i="1"/>
  <c r="U191" i="1"/>
  <c r="T191" i="1"/>
  <c r="BA191" i="1" s="1"/>
  <c r="S191" i="1"/>
  <c r="R191" i="1"/>
  <c r="Q191" i="1"/>
  <c r="P191" i="1"/>
  <c r="O191" i="1"/>
  <c r="N191" i="1"/>
  <c r="AZ191" i="1" s="1"/>
  <c r="M191" i="1"/>
  <c r="L191" i="1"/>
  <c r="H191" i="1"/>
  <c r="AY191" i="1" s="1"/>
  <c r="G191" i="1"/>
  <c r="F191" i="1"/>
  <c r="E191" i="1"/>
  <c r="D191" i="1"/>
  <c r="C191" i="1"/>
  <c r="B191" i="1"/>
  <c r="A191" i="1"/>
  <c r="BE190" i="1"/>
  <c r="AT190" i="1"/>
  <c r="BC190" i="1" s="1"/>
  <c r="AS190" i="1"/>
  <c r="AL190" i="1"/>
  <c r="AM190" i="1" s="1"/>
  <c r="AK190" i="1"/>
  <c r="AG190" i="1"/>
  <c r="AJ190" i="1" s="1"/>
  <c r="AB190" i="1"/>
  <c r="Z190" i="1"/>
  <c r="Y190" i="1"/>
  <c r="X190" i="1"/>
  <c r="W190" i="1"/>
  <c r="V190" i="1"/>
  <c r="U190" i="1"/>
  <c r="T190" i="1"/>
  <c r="BA190" i="1" s="1"/>
  <c r="S190" i="1"/>
  <c r="R190" i="1"/>
  <c r="Q190" i="1"/>
  <c r="P190" i="1"/>
  <c r="O190" i="1"/>
  <c r="BD190" i="1" s="1"/>
  <c r="N190" i="1"/>
  <c r="AZ190" i="1" s="1"/>
  <c r="M190" i="1"/>
  <c r="L190" i="1"/>
  <c r="H190" i="1"/>
  <c r="AY190" i="1" s="1"/>
  <c r="G190" i="1"/>
  <c r="F190" i="1"/>
  <c r="E190" i="1"/>
  <c r="D190" i="1"/>
  <c r="C190" i="1"/>
  <c r="B190" i="1"/>
  <c r="A190" i="1"/>
  <c r="BE189" i="1"/>
  <c r="AT189" i="1"/>
  <c r="BC189" i="1" s="1"/>
  <c r="AS189" i="1"/>
  <c r="AL189" i="1"/>
  <c r="AK189" i="1"/>
  <c r="AG189" i="1"/>
  <c r="AB189" i="1"/>
  <c r="Z189" i="1"/>
  <c r="Y189" i="1"/>
  <c r="X189" i="1"/>
  <c r="W189" i="1"/>
  <c r="V189" i="1"/>
  <c r="U189" i="1"/>
  <c r="T189" i="1"/>
  <c r="BA189" i="1" s="1"/>
  <c r="S189" i="1"/>
  <c r="R189" i="1"/>
  <c r="Q189" i="1"/>
  <c r="P189" i="1"/>
  <c r="O189" i="1"/>
  <c r="N189" i="1"/>
  <c r="AZ189" i="1" s="1"/>
  <c r="M189" i="1"/>
  <c r="L189" i="1"/>
  <c r="H189" i="1"/>
  <c r="AY189" i="1" s="1"/>
  <c r="G189" i="1"/>
  <c r="F189" i="1"/>
  <c r="E189" i="1"/>
  <c r="D189" i="1"/>
  <c r="C189" i="1"/>
  <c r="B189" i="1"/>
  <c r="A189" i="1"/>
  <c r="BE188" i="1"/>
  <c r="AT188" i="1"/>
  <c r="BC188" i="1" s="1"/>
  <c r="AS188" i="1"/>
  <c r="AL188" i="1"/>
  <c r="AM188" i="1" s="1"/>
  <c r="AK188" i="1"/>
  <c r="AG188" i="1"/>
  <c r="AB188" i="1"/>
  <c r="Z188" i="1"/>
  <c r="Y188" i="1"/>
  <c r="X188" i="1"/>
  <c r="W188" i="1"/>
  <c r="V188" i="1"/>
  <c r="U188" i="1"/>
  <c r="T188" i="1"/>
  <c r="BA188" i="1" s="1"/>
  <c r="S188" i="1"/>
  <c r="R188" i="1"/>
  <c r="Q188" i="1"/>
  <c r="P188" i="1"/>
  <c r="O188" i="1"/>
  <c r="N188" i="1"/>
  <c r="AZ188" i="1" s="1"/>
  <c r="M188" i="1"/>
  <c r="L188" i="1"/>
  <c r="H188" i="1"/>
  <c r="AY188" i="1" s="1"/>
  <c r="G188" i="1"/>
  <c r="F188" i="1"/>
  <c r="E188" i="1"/>
  <c r="D188" i="1"/>
  <c r="C188" i="1"/>
  <c r="B188" i="1"/>
  <c r="A188" i="1"/>
  <c r="BE187" i="1"/>
  <c r="AT187" i="1"/>
  <c r="BC187" i="1" s="1"/>
  <c r="AS187" i="1"/>
  <c r="AL187" i="1"/>
  <c r="AK187" i="1"/>
  <c r="AG187" i="1"/>
  <c r="AH187" i="1" s="1"/>
  <c r="AB187" i="1"/>
  <c r="Z187" i="1"/>
  <c r="Y187" i="1"/>
  <c r="X187" i="1"/>
  <c r="W187" i="1"/>
  <c r="V187" i="1"/>
  <c r="U187" i="1"/>
  <c r="T187" i="1"/>
  <c r="BA187" i="1" s="1"/>
  <c r="S187" i="1"/>
  <c r="R187" i="1"/>
  <c r="Q187" i="1"/>
  <c r="P187" i="1"/>
  <c r="O187" i="1"/>
  <c r="N187" i="1"/>
  <c r="AZ187" i="1" s="1"/>
  <c r="M187" i="1"/>
  <c r="L187" i="1"/>
  <c r="H187" i="1"/>
  <c r="AY187" i="1" s="1"/>
  <c r="G187" i="1"/>
  <c r="F187" i="1"/>
  <c r="E187" i="1"/>
  <c r="D187" i="1"/>
  <c r="C187" i="1"/>
  <c r="B187" i="1"/>
  <c r="A187" i="1"/>
  <c r="BE186" i="1"/>
  <c r="AT186" i="1"/>
  <c r="BC186" i="1" s="1"/>
  <c r="AS186" i="1"/>
  <c r="AL186" i="1"/>
  <c r="AX186" i="1" s="1"/>
  <c r="AK186" i="1"/>
  <c r="AG186" i="1"/>
  <c r="AB186" i="1"/>
  <c r="Z186" i="1"/>
  <c r="Y186" i="1"/>
  <c r="X186" i="1"/>
  <c r="W186" i="1"/>
  <c r="V186" i="1"/>
  <c r="U186" i="1"/>
  <c r="T186" i="1"/>
  <c r="BA186" i="1" s="1"/>
  <c r="S186" i="1"/>
  <c r="R186" i="1"/>
  <c r="Q186" i="1"/>
  <c r="P186" i="1"/>
  <c r="O186" i="1"/>
  <c r="N186" i="1"/>
  <c r="AZ186" i="1" s="1"/>
  <c r="M186" i="1"/>
  <c r="L186" i="1"/>
  <c r="H186" i="1"/>
  <c r="AY186" i="1" s="1"/>
  <c r="G186" i="1"/>
  <c r="F186" i="1"/>
  <c r="E186" i="1"/>
  <c r="D186" i="1"/>
  <c r="C186" i="1"/>
  <c r="B186" i="1"/>
  <c r="A186" i="1"/>
  <c r="BE185" i="1"/>
  <c r="AT185" i="1"/>
  <c r="BC185" i="1" s="1"/>
  <c r="AS185" i="1"/>
  <c r="AL185" i="1"/>
  <c r="AK185" i="1"/>
  <c r="AG185" i="1"/>
  <c r="AB185" i="1"/>
  <c r="Z185" i="1"/>
  <c r="Y185" i="1"/>
  <c r="X185" i="1"/>
  <c r="W185" i="1"/>
  <c r="V185" i="1"/>
  <c r="U185" i="1"/>
  <c r="T185" i="1"/>
  <c r="BA185" i="1" s="1"/>
  <c r="S185" i="1"/>
  <c r="R185" i="1"/>
  <c r="Q185" i="1"/>
  <c r="P185" i="1"/>
  <c r="O185" i="1"/>
  <c r="N185" i="1"/>
  <c r="AZ185" i="1" s="1"/>
  <c r="M185" i="1"/>
  <c r="L185" i="1"/>
  <c r="H185" i="1"/>
  <c r="AY185" i="1" s="1"/>
  <c r="G185" i="1"/>
  <c r="F185" i="1"/>
  <c r="E185" i="1"/>
  <c r="D185" i="1"/>
  <c r="C185" i="1"/>
  <c r="B185" i="1"/>
  <c r="A185" i="1"/>
  <c r="BE184" i="1"/>
  <c r="AT184" i="1"/>
  <c r="BC184" i="1" s="1"/>
  <c r="AS184" i="1"/>
  <c r="AL184" i="1"/>
  <c r="AK184" i="1"/>
  <c r="AG184" i="1"/>
  <c r="AJ184" i="1" s="1"/>
  <c r="AB184" i="1"/>
  <c r="Z184" i="1"/>
  <c r="Y184" i="1"/>
  <c r="X184" i="1"/>
  <c r="W184" i="1"/>
  <c r="V184" i="1"/>
  <c r="U184" i="1"/>
  <c r="T184" i="1"/>
  <c r="BA184" i="1" s="1"/>
  <c r="S184" i="1"/>
  <c r="R184" i="1"/>
  <c r="Q184" i="1"/>
  <c r="P184" i="1"/>
  <c r="O184" i="1"/>
  <c r="N184" i="1"/>
  <c r="AZ184" i="1" s="1"/>
  <c r="M184" i="1"/>
  <c r="L184" i="1"/>
  <c r="H184" i="1"/>
  <c r="AY184" i="1" s="1"/>
  <c r="G184" i="1"/>
  <c r="F184" i="1"/>
  <c r="E184" i="1"/>
  <c r="D184" i="1"/>
  <c r="C184" i="1"/>
  <c r="B184" i="1"/>
  <c r="A184" i="1"/>
  <c r="BE183" i="1"/>
  <c r="AT183" i="1"/>
  <c r="BC183" i="1" s="1"/>
  <c r="AS183" i="1"/>
  <c r="AL183" i="1"/>
  <c r="AW183" i="1" s="1"/>
  <c r="AK183" i="1"/>
  <c r="AG183" i="1"/>
  <c r="AH183" i="1" s="1"/>
  <c r="AF183" i="1"/>
  <c r="AE183" i="1"/>
  <c r="AD183" i="1"/>
  <c r="AC183" i="1"/>
  <c r="AB183" i="1"/>
  <c r="Z183" i="1"/>
  <c r="Y183" i="1"/>
  <c r="X183" i="1"/>
  <c r="W183" i="1"/>
  <c r="V183" i="1"/>
  <c r="U183" i="1"/>
  <c r="T183" i="1"/>
  <c r="BA183" i="1" s="1"/>
  <c r="S183" i="1"/>
  <c r="R183" i="1"/>
  <c r="Q183" i="1"/>
  <c r="P183" i="1"/>
  <c r="O183" i="1"/>
  <c r="N183" i="1"/>
  <c r="AZ183" i="1" s="1"/>
  <c r="M183" i="1"/>
  <c r="L183" i="1"/>
  <c r="H183" i="1"/>
  <c r="AY183" i="1" s="1"/>
  <c r="G183" i="1"/>
  <c r="F183" i="1"/>
  <c r="E183" i="1"/>
  <c r="D183" i="1"/>
  <c r="C183" i="1"/>
  <c r="B183" i="1"/>
  <c r="A183" i="1"/>
  <c r="BE182" i="1"/>
  <c r="AT182" i="1"/>
  <c r="BC182" i="1" s="1"/>
  <c r="AS182" i="1"/>
  <c r="AL182" i="1"/>
  <c r="AX182" i="1" s="1"/>
  <c r="AK182" i="1"/>
  <c r="AG182" i="1"/>
  <c r="AU182" i="1" s="1"/>
  <c r="AF182" i="1"/>
  <c r="AE182" i="1"/>
  <c r="AD182" i="1"/>
  <c r="AC182" i="1"/>
  <c r="AB182" i="1"/>
  <c r="Z182" i="1"/>
  <c r="Y182" i="1"/>
  <c r="X182" i="1"/>
  <c r="W182" i="1"/>
  <c r="V182" i="1"/>
  <c r="U182" i="1"/>
  <c r="T182" i="1"/>
  <c r="BA182" i="1" s="1"/>
  <c r="S182" i="1"/>
  <c r="R182" i="1"/>
  <c r="Q182" i="1"/>
  <c r="P182" i="1"/>
  <c r="O182" i="1"/>
  <c r="N182" i="1"/>
  <c r="AZ182" i="1" s="1"/>
  <c r="M182" i="1"/>
  <c r="L182" i="1"/>
  <c r="H182" i="1"/>
  <c r="AY182" i="1" s="1"/>
  <c r="G182" i="1"/>
  <c r="F182" i="1"/>
  <c r="E182" i="1"/>
  <c r="D182" i="1"/>
  <c r="C182" i="1"/>
  <c r="B182" i="1"/>
  <c r="A182" i="1"/>
  <c r="BE181" i="1"/>
  <c r="AT181" i="1"/>
  <c r="BC181" i="1" s="1"/>
  <c r="AS181" i="1"/>
  <c r="AL181" i="1"/>
  <c r="AW181" i="1" s="1"/>
  <c r="AK181" i="1"/>
  <c r="AG181" i="1"/>
  <c r="AF181" i="1"/>
  <c r="AE181" i="1"/>
  <c r="AD181" i="1"/>
  <c r="AC181" i="1"/>
  <c r="AB181" i="1"/>
  <c r="Z181" i="1"/>
  <c r="Y181" i="1"/>
  <c r="X181" i="1"/>
  <c r="W181" i="1"/>
  <c r="V181" i="1"/>
  <c r="U181" i="1"/>
  <c r="T181" i="1"/>
  <c r="BA181" i="1" s="1"/>
  <c r="S181" i="1"/>
  <c r="R181" i="1"/>
  <c r="Q181" i="1"/>
  <c r="P181" i="1"/>
  <c r="O181" i="1"/>
  <c r="N181" i="1"/>
  <c r="AZ181" i="1" s="1"/>
  <c r="M181" i="1"/>
  <c r="L181" i="1"/>
  <c r="H181" i="1"/>
  <c r="AY181" i="1" s="1"/>
  <c r="G181" i="1"/>
  <c r="F181" i="1"/>
  <c r="E181" i="1"/>
  <c r="D181" i="1"/>
  <c r="C181" i="1"/>
  <c r="B181" i="1"/>
  <c r="A181" i="1"/>
  <c r="BE180" i="1"/>
  <c r="AT180" i="1"/>
  <c r="BC180" i="1" s="1"/>
  <c r="AS180" i="1"/>
  <c r="AL180" i="1"/>
  <c r="AM180" i="1" s="1"/>
  <c r="AK180" i="1"/>
  <c r="AG180" i="1"/>
  <c r="AF180" i="1"/>
  <c r="AE180" i="1"/>
  <c r="AD180" i="1"/>
  <c r="AC180" i="1"/>
  <c r="AB180" i="1"/>
  <c r="Z180" i="1"/>
  <c r="Y180" i="1"/>
  <c r="X180" i="1"/>
  <c r="W180" i="1"/>
  <c r="V180" i="1"/>
  <c r="U180" i="1"/>
  <c r="T180" i="1"/>
  <c r="BA180" i="1" s="1"/>
  <c r="S180" i="1"/>
  <c r="R180" i="1"/>
  <c r="Q180" i="1"/>
  <c r="P180" i="1"/>
  <c r="O180" i="1"/>
  <c r="N180" i="1"/>
  <c r="AZ180" i="1" s="1"/>
  <c r="M180" i="1"/>
  <c r="L180" i="1"/>
  <c r="H180" i="1"/>
  <c r="AY180" i="1" s="1"/>
  <c r="G180" i="1"/>
  <c r="F180" i="1"/>
  <c r="E180" i="1"/>
  <c r="D180" i="1"/>
  <c r="C180" i="1"/>
  <c r="B180" i="1"/>
  <c r="A180" i="1"/>
  <c r="BE179" i="1"/>
  <c r="AT179" i="1"/>
  <c r="BC179" i="1" s="1"/>
  <c r="AS179" i="1"/>
  <c r="AL179" i="1"/>
  <c r="AK179" i="1"/>
  <c r="AG179" i="1"/>
  <c r="AF179" i="1"/>
  <c r="AE179" i="1"/>
  <c r="AD179" i="1"/>
  <c r="AC179" i="1"/>
  <c r="AB179" i="1"/>
  <c r="Z179" i="1"/>
  <c r="Y179" i="1"/>
  <c r="X179" i="1"/>
  <c r="W179" i="1"/>
  <c r="V179" i="1"/>
  <c r="U179" i="1"/>
  <c r="T179" i="1"/>
  <c r="BA179" i="1" s="1"/>
  <c r="S179" i="1"/>
  <c r="R179" i="1"/>
  <c r="Q179" i="1"/>
  <c r="P179" i="1"/>
  <c r="O179" i="1"/>
  <c r="N179" i="1"/>
  <c r="AZ179" i="1" s="1"/>
  <c r="M179" i="1"/>
  <c r="L179" i="1"/>
  <c r="H179" i="1"/>
  <c r="AY179" i="1" s="1"/>
  <c r="G179" i="1"/>
  <c r="F179" i="1"/>
  <c r="E179" i="1"/>
  <c r="D179" i="1"/>
  <c r="C179" i="1"/>
  <c r="B179" i="1"/>
  <c r="A179" i="1"/>
  <c r="BE178" i="1"/>
  <c r="AT178" i="1"/>
  <c r="BC178" i="1" s="1"/>
  <c r="AS178" i="1"/>
  <c r="AL178" i="1"/>
  <c r="AK178" i="1"/>
  <c r="AG178" i="1"/>
  <c r="AH178" i="1" s="1"/>
  <c r="AF178" i="1"/>
  <c r="AE178" i="1"/>
  <c r="AD178" i="1"/>
  <c r="AC178" i="1"/>
  <c r="AB178" i="1"/>
  <c r="Z178" i="1"/>
  <c r="Y178" i="1"/>
  <c r="X178" i="1"/>
  <c r="W178" i="1"/>
  <c r="V178" i="1"/>
  <c r="U178" i="1"/>
  <c r="T178" i="1"/>
  <c r="BA178" i="1" s="1"/>
  <c r="S178" i="1"/>
  <c r="R178" i="1"/>
  <c r="Q178" i="1"/>
  <c r="P178" i="1"/>
  <c r="O178" i="1"/>
  <c r="N178" i="1"/>
  <c r="AZ178" i="1" s="1"/>
  <c r="M178" i="1"/>
  <c r="L178" i="1"/>
  <c r="H178" i="1"/>
  <c r="AY178" i="1" s="1"/>
  <c r="G178" i="1"/>
  <c r="F178" i="1"/>
  <c r="E178" i="1"/>
  <c r="D178" i="1"/>
  <c r="C178" i="1"/>
  <c r="B178" i="1"/>
  <c r="A178" i="1"/>
  <c r="BE177" i="1"/>
  <c r="AT177" i="1"/>
  <c r="BC177" i="1" s="1"/>
  <c r="AS177" i="1"/>
  <c r="AL177" i="1"/>
  <c r="AM177" i="1" s="1"/>
  <c r="AK177" i="1"/>
  <c r="AG177" i="1"/>
  <c r="AI177" i="1" s="1"/>
  <c r="AF177" i="1"/>
  <c r="AE177" i="1"/>
  <c r="AD177" i="1"/>
  <c r="AC177" i="1"/>
  <c r="AB177" i="1"/>
  <c r="Z177" i="1"/>
  <c r="Y177" i="1"/>
  <c r="X177" i="1"/>
  <c r="W177" i="1"/>
  <c r="V177" i="1"/>
  <c r="U177" i="1"/>
  <c r="T177" i="1"/>
  <c r="BA177" i="1" s="1"/>
  <c r="S177" i="1"/>
  <c r="R177" i="1"/>
  <c r="Q177" i="1"/>
  <c r="P177" i="1"/>
  <c r="O177" i="1"/>
  <c r="N177" i="1"/>
  <c r="AZ177" i="1" s="1"/>
  <c r="M177" i="1"/>
  <c r="L177" i="1"/>
  <c r="H177" i="1"/>
  <c r="AY177" i="1" s="1"/>
  <c r="G177" i="1"/>
  <c r="F177" i="1"/>
  <c r="E177" i="1"/>
  <c r="D177" i="1"/>
  <c r="C177" i="1"/>
  <c r="B177" i="1"/>
  <c r="A177" i="1"/>
  <c r="BE176" i="1"/>
  <c r="AT176" i="1"/>
  <c r="BC176" i="1" s="1"/>
  <c r="AS176" i="1"/>
  <c r="AL176" i="1"/>
  <c r="AM176" i="1" s="1"/>
  <c r="AK176" i="1"/>
  <c r="AG176" i="1"/>
  <c r="AH176" i="1" s="1"/>
  <c r="AF176" i="1"/>
  <c r="AE176" i="1"/>
  <c r="AD176" i="1"/>
  <c r="AC176" i="1"/>
  <c r="AB176" i="1"/>
  <c r="Z176" i="1"/>
  <c r="Y176" i="1"/>
  <c r="X176" i="1"/>
  <c r="W176" i="1"/>
  <c r="V176" i="1"/>
  <c r="U176" i="1"/>
  <c r="T176" i="1"/>
  <c r="BA176" i="1" s="1"/>
  <c r="S176" i="1"/>
  <c r="R176" i="1"/>
  <c r="Q176" i="1"/>
  <c r="P176" i="1"/>
  <c r="O176" i="1"/>
  <c r="N176" i="1"/>
  <c r="AZ176" i="1" s="1"/>
  <c r="M176" i="1"/>
  <c r="L176" i="1"/>
  <c r="H176" i="1"/>
  <c r="AY176" i="1" s="1"/>
  <c r="G176" i="1"/>
  <c r="F176" i="1"/>
  <c r="E176" i="1"/>
  <c r="D176" i="1"/>
  <c r="C176" i="1"/>
  <c r="B176" i="1"/>
  <c r="A176" i="1"/>
  <c r="BE175" i="1"/>
  <c r="AT175" i="1"/>
  <c r="BC175" i="1" s="1"/>
  <c r="AS175" i="1"/>
  <c r="AL175" i="1"/>
  <c r="AW175" i="1" s="1"/>
  <c r="AK175" i="1"/>
  <c r="AG175" i="1"/>
  <c r="AI175" i="1" s="1"/>
  <c r="AF175" i="1"/>
  <c r="AE175" i="1"/>
  <c r="AD175" i="1"/>
  <c r="AC175" i="1"/>
  <c r="AB175" i="1"/>
  <c r="Z175" i="1"/>
  <c r="Y175" i="1"/>
  <c r="X175" i="1"/>
  <c r="W175" i="1"/>
  <c r="V175" i="1"/>
  <c r="U175" i="1"/>
  <c r="T175" i="1"/>
  <c r="BA175" i="1" s="1"/>
  <c r="S175" i="1"/>
  <c r="R175" i="1"/>
  <c r="Q175" i="1"/>
  <c r="P175" i="1"/>
  <c r="O175" i="1"/>
  <c r="N175" i="1"/>
  <c r="AZ175" i="1" s="1"/>
  <c r="M175" i="1"/>
  <c r="L175" i="1"/>
  <c r="H175" i="1"/>
  <c r="AY175" i="1" s="1"/>
  <c r="G175" i="1"/>
  <c r="F175" i="1"/>
  <c r="E175" i="1"/>
  <c r="D175" i="1"/>
  <c r="C175" i="1"/>
  <c r="B175" i="1"/>
  <c r="A175" i="1"/>
  <c r="BE174" i="1"/>
  <c r="AT174" i="1"/>
  <c r="BC174" i="1" s="1"/>
  <c r="AS174" i="1"/>
  <c r="AL174" i="1"/>
  <c r="AX174" i="1" s="1"/>
  <c r="AK174" i="1"/>
  <c r="AG174" i="1"/>
  <c r="AV174" i="1" s="1"/>
  <c r="AF174" i="1"/>
  <c r="AE174" i="1"/>
  <c r="AD174" i="1"/>
  <c r="AC174" i="1"/>
  <c r="AB174" i="1"/>
  <c r="Z174" i="1"/>
  <c r="Y174" i="1"/>
  <c r="X174" i="1"/>
  <c r="W174" i="1"/>
  <c r="V174" i="1"/>
  <c r="U174" i="1"/>
  <c r="T174" i="1"/>
  <c r="BA174" i="1" s="1"/>
  <c r="S174" i="1"/>
  <c r="R174" i="1"/>
  <c r="Q174" i="1"/>
  <c r="P174" i="1"/>
  <c r="O174" i="1"/>
  <c r="N174" i="1"/>
  <c r="AZ174" i="1" s="1"/>
  <c r="M174" i="1"/>
  <c r="L174" i="1"/>
  <c r="H174" i="1"/>
  <c r="AY174" i="1" s="1"/>
  <c r="G174" i="1"/>
  <c r="F174" i="1"/>
  <c r="E174" i="1"/>
  <c r="D174" i="1"/>
  <c r="C174" i="1"/>
  <c r="B174" i="1"/>
  <c r="A174" i="1"/>
  <c r="BE173" i="1"/>
  <c r="AT173" i="1"/>
  <c r="BC173" i="1" s="1"/>
  <c r="AS173" i="1"/>
  <c r="AL173" i="1"/>
  <c r="AX173" i="1" s="1"/>
  <c r="AK173" i="1"/>
  <c r="AG173" i="1"/>
  <c r="AU173" i="1" s="1"/>
  <c r="AF173" i="1"/>
  <c r="AE173" i="1"/>
  <c r="AD173" i="1"/>
  <c r="AC173" i="1"/>
  <c r="AB173" i="1"/>
  <c r="Z173" i="1"/>
  <c r="Y173" i="1"/>
  <c r="X173" i="1"/>
  <c r="W173" i="1"/>
  <c r="V173" i="1"/>
  <c r="U173" i="1"/>
  <c r="T173" i="1"/>
  <c r="BA173" i="1" s="1"/>
  <c r="S173" i="1"/>
  <c r="R173" i="1"/>
  <c r="Q173" i="1"/>
  <c r="P173" i="1"/>
  <c r="O173" i="1"/>
  <c r="N173" i="1"/>
  <c r="AZ173" i="1" s="1"/>
  <c r="M173" i="1"/>
  <c r="L173" i="1"/>
  <c r="H173" i="1"/>
  <c r="AY173" i="1" s="1"/>
  <c r="G173" i="1"/>
  <c r="F173" i="1"/>
  <c r="E173" i="1"/>
  <c r="D173" i="1"/>
  <c r="C173" i="1"/>
  <c r="B173" i="1"/>
  <c r="A173" i="1"/>
  <c r="BE172" i="1"/>
  <c r="AT172" i="1"/>
  <c r="BC172" i="1" s="1"/>
  <c r="AS172" i="1"/>
  <c r="AL172" i="1"/>
  <c r="AW172" i="1" s="1"/>
  <c r="AK172" i="1"/>
  <c r="AG172" i="1"/>
  <c r="AF172" i="1"/>
  <c r="AE172" i="1"/>
  <c r="AD172" i="1"/>
  <c r="AC172" i="1"/>
  <c r="AB172" i="1"/>
  <c r="Z172" i="1"/>
  <c r="Y172" i="1"/>
  <c r="X172" i="1"/>
  <c r="W172" i="1"/>
  <c r="V172" i="1"/>
  <c r="U172" i="1"/>
  <c r="T172" i="1"/>
  <c r="BA172" i="1" s="1"/>
  <c r="S172" i="1"/>
  <c r="R172" i="1"/>
  <c r="Q172" i="1"/>
  <c r="P172" i="1"/>
  <c r="O172" i="1"/>
  <c r="N172" i="1"/>
  <c r="AZ172" i="1" s="1"/>
  <c r="M172" i="1"/>
  <c r="L172" i="1"/>
  <c r="H172" i="1"/>
  <c r="AY172" i="1" s="1"/>
  <c r="G172" i="1"/>
  <c r="F172" i="1"/>
  <c r="E172" i="1"/>
  <c r="D172" i="1"/>
  <c r="C172" i="1"/>
  <c r="B172" i="1"/>
  <c r="A172" i="1"/>
  <c r="BE171" i="1"/>
  <c r="AT171" i="1"/>
  <c r="BC171" i="1" s="1"/>
  <c r="AS171" i="1"/>
  <c r="AL171" i="1"/>
  <c r="AX171" i="1" s="1"/>
  <c r="AK171" i="1"/>
  <c r="AG171" i="1"/>
  <c r="AI171" i="1" s="1"/>
  <c r="AF171" i="1"/>
  <c r="AE171" i="1"/>
  <c r="AD171" i="1"/>
  <c r="AC171" i="1"/>
  <c r="AB171" i="1"/>
  <c r="Z171" i="1"/>
  <c r="Y171" i="1"/>
  <c r="X171" i="1"/>
  <c r="W171" i="1"/>
  <c r="V171" i="1"/>
  <c r="U171" i="1"/>
  <c r="T171" i="1"/>
  <c r="BA171" i="1" s="1"/>
  <c r="S171" i="1"/>
  <c r="R171" i="1"/>
  <c r="Q171" i="1"/>
  <c r="P171" i="1"/>
  <c r="O171" i="1"/>
  <c r="N171" i="1"/>
  <c r="AZ171" i="1" s="1"/>
  <c r="M171" i="1"/>
  <c r="L171" i="1"/>
  <c r="H171" i="1"/>
  <c r="AY171" i="1" s="1"/>
  <c r="G171" i="1"/>
  <c r="F171" i="1"/>
  <c r="E171" i="1"/>
  <c r="D171" i="1"/>
  <c r="C171" i="1"/>
  <c r="B171" i="1"/>
  <c r="A171" i="1"/>
  <c r="BE170" i="1"/>
  <c r="AT170" i="1"/>
  <c r="BC170" i="1" s="1"/>
  <c r="AS170" i="1"/>
  <c r="AL170" i="1"/>
  <c r="AM170" i="1" s="1"/>
  <c r="AK170" i="1"/>
  <c r="AG170" i="1"/>
  <c r="AI170" i="1" s="1"/>
  <c r="AF170" i="1"/>
  <c r="AE170" i="1"/>
  <c r="AD170" i="1"/>
  <c r="AC170" i="1"/>
  <c r="AB170" i="1"/>
  <c r="Z170" i="1"/>
  <c r="Y170" i="1"/>
  <c r="X170" i="1"/>
  <c r="W170" i="1"/>
  <c r="V170" i="1"/>
  <c r="U170" i="1"/>
  <c r="T170" i="1"/>
  <c r="BA170" i="1" s="1"/>
  <c r="S170" i="1"/>
  <c r="R170" i="1"/>
  <c r="Q170" i="1"/>
  <c r="P170" i="1"/>
  <c r="O170" i="1"/>
  <c r="N170" i="1"/>
  <c r="AZ170" i="1" s="1"/>
  <c r="M170" i="1"/>
  <c r="L170" i="1"/>
  <c r="H170" i="1"/>
  <c r="AY170" i="1" s="1"/>
  <c r="G170" i="1"/>
  <c r="F170" i="1"/>
  <c r="E170" i="1"/>
  <c r="D170" i="1"/>
  <c r="C170" i="1"/>
  <c r="B170" i="1"/>
  <c r="A170" i="1"/>
  <c r="BE169" i="1"/>
  <c r="AT169" i="1"/>
  <c r="BC169" i="1" s="1"/>
  <c r="AS169" i="1"/>
  <c r="AL169" i="1"/>
  <c r="AM169" i="1" s="1"/>
  <c r="AK169" i="1"/>
  <c r="AG169" i="1"/>
  <c r="AV169" i="1" s="1"/>
  <c r="AF169" i="1"/>
  <c r="AE169" i="1"/>
  <c r="AD169" i="1"/>
  <c r="AC169" i="1"/>
  <c r="AB169" i="1"/>
  <c r="Z169" i="1"/>
  <c r="Y169" i="1"/>
  <c r="X169" i="1"/>
  <c r="W169" i="1"/>
  <c r="V169" i="1"/>
  <c r="U169" i="1"/>
  <c r="T169" i="1"/>
  <c r="BA169" i="1" s="1"/>
  <c r="S169" i="1"/>
  <c r="R169" i="1"/>
  <c r="Q169" i="1"/>
  <c r="P169" i="1"/>
  <c r="O169" i="1"/>
  <c r="N169" i="1"/>
  <c r="AZ169" i="1" s="1"/>
  <c r="M169" i="1"/>
  <c r="L169" i="1"/>
  <c r="H169" i="1"/>
  <c r="AY169" i="1" s="1"/>
  <c r="G169" i="1"/>
  <c r="F169" i="1"/>
  <c r="E169" i="1"/>
  <c r="D169" i="1"/>
  <c r="C169" i="1"/>
  <c r="B169" i="1"/>
  <c r="A169" i="1"/>
  <c r="AU199" i="1" l="1"/>
  <c r="AJ179" i="1"/>
  <c r="AJ174" i="1"/>
  <c r="AI183" i="1"/>
  <c r="AA183" i="1" s="1"/>
  <c r="AO183" i="1" s="1"/>
  <c r="AI174" i="1"/>
  <c r="AA174" i="1" s="1"/>
  <c r="AO174" i="1" s="1"/>
  <c r="AJ176" i="1"/>
  <c r="AI178" i="1"/>
  <c r="AA178" i="1" s="1"/>
  <c r="AO178" i="1" s="1"/>
  <c r="AU193" i="1"/>
  <c r="AJ197" i="1"/>
  <c r="AM202" i="1"/>
  <c r="AJ171" i="1"/>
  <c r="AA177" i="1"/>
  <c r="AO177" i="1" s="1"/>
  <c r="AJ178" i="1"/>
  <c r="AM181" i="1"/>
  <c r="AM183" i="1"/>
  <c r="AU187" i="1"/>
  <c r="AJ191" i="1"/>
  <c r="AJ199" i="1"/>
  <c r="AV191" i="1"/>
  <c r="AI187" i="1"/>
  <c r="AA187" i="1" s="1"/>
  <c r="AO187" i="1" s="1"/>
  <c r="AH191" i="1"/>
  <c r="AH199" i="1"/>
  <c r="AJ173" i="1"/>
  <c r="AI191" i="1"/>
  <c r="AA191" i="1" s="1"/>
  <c r="AO191" i="1" s="1"/>
  <c r="AM172" i="1"/>
  <c r="AA175" i="1"/>
  <c r="AO175" i="1" s="1"/>
  <c r="AM191" i="1"/>
  <c r="AH196" i="1"/>
  <c r="AM196" i="1"/>
  <c r="AI196" i="1"/>
  <c r="AA196" i="1" s="1"/>
  <c r="AO196" i="1" s="1"/>
  <c r="AH193" i="1"/>
  <c r="AV182" i="1"/>
  <c r="AJ177" i="1"/>
  <c r="AU178" i="1"/>
  <c r="AH182" i="1"/>
  <c r="AM182" i="1"/>
  <c r="AW182" i="1"/>
  <c r="AI184" i="1"/>
  <c r="AA184" i="1" s="1"/>
  <c r="AO184" i="1" s="1"/>
  <c r="AX181" i="1"/>
  <c r="AI182" i="1"/>
  <c r="AA182" i="1" s="1"/>
  <c r="AO182" i="1" s="1"/>
  <c r="AX183" i="1"/>
  <c r="AJ187" i="1"/>
  <c r="AA170" i="1"/>
  <c r="AO170" i="1" s="1"/>
  <c r="AW174" i="1"/>
  <c r="AJ182" i="1"/>
  <c r="AH192" i="1"/>
  <c r="AI194" i="1"/>
  <c r="AA194" i="1" s="1"/>
  <c r="AO194" i="1" s="1"/>
  <c r="AM194" i="1"/>
  <c r="AX194" i="1"/>
  <c r="AH195" i="1"/>
  <c r="AM195" i="1"/>
  <c r="AV195" i="1"/>
  <c r="AU197" i="1"/>
  <c r="AI198" i="1"/>
  <c r="AA198" i="1" s="1"/>
  <c r="AO198" i="1" s="1"/>
  <c r="AM198" i="1"/>
  <c r="AX198" i="1"/>
  <c r="AV199" i="1"/>
  <c r="AX202" i="1"/>
  <c r="AU203" i="1"/>
  <c r="AJ172" i="1"/>
  <c r="AJ169" i="1"/>
  <c r="AH171" i="1"/>
  <c r="AJ175" i="1"/>
  <c r="AV178" i="1"/>
  <c r="AU184" i="1"/>
  <c r="AW186" i="1"/>
  <c r="AV187" i="1"/>
  <c r="AI192" i="1"/>
  <c r="AA192" i="1" s="1"/>
  <c r="AO192" i="1" s="1"/>
  <c r="AI195" i="1"/>
  <c r="AA195" i="1" s="1"/>
  <c r="AO195" i="1" s="1"/>
  <c r="AW195" i="1"/>
  <c r="AJ198" i="1"/>
  <c r="AW169" i="1"/>
  <c r="AH169" i="1"/>
  <c r="AU171" i="1"/>
  <c r="AV171" i="1"/>
  <c r="AU174" i="1"/>
  <c r="AV175" i="1"/>
  <c r="AU169" i="1"/>
  <c r="AX172" i="1"/>
  <c r="AH173" i="1"/>
  <c r="AH174" i="1"/>
  <c r="AM174" i="1"/>
  <c r="AH175" i="1"/>
  <c r="AM175" i="1"/>
  <c r="AX175" i="1"/>
  <c r="AJ183" i="1"/>
  <c r="AV183" i="1"/>
  <c r="AH184" i="1"/>
  <c r="AM184" i="1"/>
  <c r="AM186" i="1"/>
  <c r="AJ195" i="1"/>
  <c r="AX196" i="1"/>
  <c r="AJ203" i="1"/>
  <c r="AI204" i="1"/>
  <c r="AA204" i="1" s="1"/>
  <c r="AO204" i="1" s="1"/>
  <c r="AX204" i="1"/>
  <c r="AV203" i="1"/>
  <c r="AH203" i="1"/>
  <c r="AA171" i="1"/>
  <c r="AO171" i="1" s="1"/>
  <c r="AX180" i="1"/>
  <c r="AU181" i="1"/>
  <c r="AH181" i="1"/>
  <c r="AV185" i="1"/>
  <c r="AI185" i="1"/>
  <c r="AA185" i="1" s="1"/>
  <c r="AO185" i="1" s="1"/>
  <c r="AM185" i="1"/>
  <c r="AU186" i="1"/>
  <c r="AH186" i="1"/>
  <c r="AV186" i="1"/>
  <c r="AX187" i="1"/>
  <c r="AJ188" i="1"/>
  <c r="AI188" i="1"/>
  <c r="AA188" i="1" s="1"/>
  <c r="AO188" i="1" s="1"/>
  <c r="AV189" i="1"/>
  <c r="AI189" i="1"/>
  <c r="AA189" i="1" s="1"/>
  <c r="AO189" i="1" s="1"/>
  <c r="AU189" i="1"/>
  <c r="AJ189" i="1"/>
  <c r="BG195" i="1"/>
  <c r="BD195" i="1"/>
  <c r="AU179" i="1"/>
  <c r="AV180" i="1"/>
  <c r="AI180" i="1"/>
  <c r="AA180" i="1" s="1"/>
  <c r="AO180" i="1" s="1"/>
  <c r="AX169" i="1"/>
  <c r="AJ170" i="1"/>
  <c r="AM171" i="1"/>
  <c r="AH172" i="1"/>
  <c r="AU172" i="1"/>
  <c r="AV173" i="1"/>
  <c r="AM178" i="1"/>
  <c r="AH179" i="1"/>
  <c r="AM179" i="1"/>
  <c r="AV179" i="1"/>
  <c r="AH180" i="1"/>
  <c r="AI181" i="1"/>
  <c r="AA181" i="1" s="1"/>
  <c r="AO181" i="1" s="1"/>
  <c r="AU183" i="1"/>
  <c r="AV184" i="1"/>
  <c r="AH185" i="1"/>
  <c r="AU185" i="1"/>
  <c r="AI186" i="1"/>
  <c r="AA186" i="1" s="1"/>
  <c r="AO186" i="1" s="1"/>
  <c r="AM187" i="1"/>
  <c r="AW187" i="1"/>
  <c r="AH188" i="1"/>
  <c r="AH189" i="1"/>
  <c r="AW171" i="1"/>
  <c r="AI172" i="1"/>
  <c r="AA172" i="1" s="1"/>
  <c r="AO172" i="1" s="1"/>
  <c r="AV172" i="1"/>
  <c r="AW173" i="1"/>
  <c r="AI179" i="1"/>
  <c r="AA179" i="1" s="1"/>
  <c r="AO179" i="1" s="1"/>
  <c r="AJ180" i="1"/>
  <c r="AU180" i="1"/>
  <c r="AJ181" i="1"/>
  <c r="AJ185" i="1"/>
  <c r="AJ186" i="1"/>
  <c r="AU188" i="1"/>
  <c r="AU190" i="1"/>
  <c r="AH190" i="1"/>
  <c r="AI190" i="1"/>
  <c r="AA190" i="1" s="1"/>
  <c r="AO190" i="1" s="1"/>
  <c r="AV190" i="1"/>
  <c r="AI169" i="1"/>
  <c r="AA169" i="1" s="1"/>
  <c r="AO169" i="1" s="1"/>
  <c r="AH170" i="1"/>
  <c r="AI173" i="1"/>
  <c r="AA173" i="1" s="1"/>
  <c r="AO173" i="1" s="1"/>
  <c r="AM173" i="1"/>
  <c r="AU175" i="1"/>
  <c r="AI176" i="1"/>
  <c r="AA176" i="1" s="1"/>
  <c r="AO176" i="1" s="1"/>
  <c r="AH177" i="1"/>
  <c r="AW180" i="1"/>
  <c r="AV181" i="1"/>
  <c r="AW188" i="1"/>
  <c r="AX188" i="1"/>
  <c r="AV188" i="1"/>
  <c r="AM189" i="1"/>
  <c r="AW189" i="1"/>
  <c r="AX189" i="1"/>
  <c r="AX199" i="1"/>
  <c r="AW199" i="1"/>
  <c r="AM199" i="1"/>
  <c r="AJ200" i="1"/>
  <c r="AI200" i="1"/>
  <c r="AA200" i="1" s="1"/>
  <c r="AO200" i="1" s="1"/>
  <c r="AH200" i="1"/>
  <c r="BG190" i="1"/>
  <c r="AI201" i="1"/>
  <c r="AA201" i="1" s="1"/>
  <c r="AO201" i="1" s="1"/>
  <c r="AJ201" i="1"/>
  <c r="AH201" i="1"/>
  <c r="AU202" i="1"/>
  <c r="AH202" i="1"/>
  <c r="AV202" i="1"/>
  <c r="AJ202" i="1"/>
  <c r="AI202" i="1"/>
  <c r="AA202" i="1" s="1"/>
  <c r="AO202" i="1" s="1"/>
  <c r="AM200" i="1"/>
  <c r="AM201" i="1"/>
  <c r="AO199" i="1"/>
  <c r="AU204" i="1"/>
  <c r="AV193" i="1"/>
  <c r="AI193" i="1"/>
  <c r="AA193" i="1" s="1"/>
  <c r="AO193" i="1" s="1"/>
  <c r="AH194" i="1"/>
  <c r="BG198" i="1"/>
  <c r="AA203" i="1"/>
  <c r="AO203" i="1" s="1"/>
  <c r="AM203" i="1"/>
  <c r="AH204" i="1"/>
  <c r="AM204" i="1"/>
  <c r="AV204" i="1"/>
  <c r="AV197" i="1"/>
  <c r="AI197" i="1"/>
  <c r="AA197" i="1" s="1"/>
  <c r="AO197" i="1" s="1"/>
  <c r="AU198" i="1"/>
  <c r="AH198" i="1"/>
  <c r="B941" i="5"/>
  <c r="AN191" i="1" l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190" i="1"/>
  <c r="AN189" i="1"/>
  <c r="AN188" i="1"/>
  <c r="AN187" i="1"/>
  <c r="AN186" i="1"/>
  <c r="AN185" i="1"/>
  <c r="AN184" i="1"/>
  <c r="AN183" i="1"/>
  <c r="AN182" i="1"/>
  <c r="AN181" i="1"/>
  <c r="AN180" i="1"/>
  <c r="AN179" i="1"/>
  <c r="AN178" i="1"/>
  <c r="AN177" i="1"/>
  <c r="AN176" i="1"/>
  <c r="AN175" i="1"/>
  <c r="AN174" i="1"/>
  <c r="AN173" i="1"/>
  <c r="AN172" i="1"/>
  <c r="AN171" i="1"/>
  <c r="AN170" i="1"/>
  <c r="AN169" i="1"/>
  <c r="AR214" i="1" l="1"/>
  <c r="AP214" i="1"/>
  <c r="BF214" i="1"/>
  <c r="BF210" i="1"/>
  <c r="AP210" i="1"/>
  <c r="AR210" i="1"/>
  <c r="AP206" i="1"/>
  <c r="BD206" i="1" s="1"/>
  <c r="AR206" i="1"/>
  <c r="BF206" i="1"/>
  <c r="BG206" i="1" s="1"/>
  <c r="AR213" i="1"/>
  <c r="BF213" i="1"/>
  <c r="BG213" i="1" s="1"/>
  <c r="AP213" i="1"/>
  <c r="BD213" i="1" s="1"/>
  <c r="AR209" i="1"/>
  <c r="AP209" i="1"/>
  <c r="BD209" i="1" s="1"/>
  <c r="BF209" i="1"/>
  <c r="BG209" i="1" s="1"/>
  <c r="AP205" i="1"/>
  <c r="BD205" i="1" s="1"/>
  <c r="AR205" i="1"/>
  <c r="BF205" i="1"/>
  <c r="BG205" i="1" s="1"/>
  <c r="AR212" i="1"/>
  <c r="AP212" i="1"/>
  <c r="BD212" i="1" s="1"/>
  <c r="BF212" i="1"/>
  <c r="BG212" i="1" s="1"/>
  <c r="AP208" i="1"/>
  <c r="BD208" i="1" s="1"/>
  <c r="AR208" i="1"/>
  <c r="BF208" i="1"/>
  <c r="BG208" i="1" s="1"/>
  <c r="AR211" i="1"/>
  <c r="AP211" i="1"/>
  <c r="BD211" i="1" s="1"/>
  <c r="BF211" i="1"/>
  <c r="BG211" i="1" s="1"/>
  <c r="BF207" i="1"/>
  <c r="BG207" i="1" s="1"/>
  <c r="AR207" i="1"/>
  <c r="AP207" i="1"/>
  <c r="BD207" i="1" s="1"/>
  <c r="BF171" i="1"/>
  <c r="BG171" i="1" s="1"/>
  <c r="AR171" i="1"/>
  <c r="AP171" i="1"/>
  <c r="BD171" i="1" s="1"/>
  <c r="AR175" i="1"/>
  <c r="AP175" i="1"/>
  <c r="BD175" i="1" s="1"/>
  <c r="BF175" i="1"/>
  <c r="BG175" i="1" s="1"/>
  <c r="AP183" i="1"/>
  <c r="BD183" i="1" s="1"/>
  <c r="AR183" i="1"/>
  <c r="BF183" i="1"/>
  <c r="BG183" i="1" s="1"/>
  <c r="AP202" i="1"/>
  <c r="BD202" i="1" s="1"/>
  <c r="AR202" i="1"/>
  <c r="BF202" i="1"/>
  <c r="BG202" i="1" s="1"/>
  <c r="AP198" i="1"/>
  <c r="AR198" i="1"/>
  <c r="BF198" i="1"/>
  <c r="BF194" i="1"/>
  <c r="BG194" i="1" s="1"/>
  <c r="AP194" i="1"/>
  <c r="BD194" i="1" s="1"/>
  <c r="AR194" i="1"/>
  <c r="BF172" i="1"/>
  <c r="BG172" i="1" s="1"/>
  <c r="AR172" i="1"/>
  <c r="AP172" i="1"/>
  <c r="BD172" i="1" s="1"/>
  <c r="AR176" i="1"/>
  <c r="BF176" i="1"/>
  <c r="BG176" i="1" s="1"/>
  <c r="AP176" i="1"/>
  <c r="BD176" i="1" s="1"/>
  <c r="AR180" i="1"/>
  <c r="BF180" i="1"/>
  <c r="BG180" i="1" s="1"/>
  <c r="AP180" i="1"/>
  <c r="BD180" i="1" s="1"/>
  <c r="BF184" i="1"/>
  <c r="BG184" i="1" s="1"/>
  <c r="AR184" i="1"/>
  <c r="AP184" i="1"/>
  <c r="BD184" i="1" s="1"/>
  <c r="AR188" i="1"/>
  <c r="BF188" i="1"/>
  <c r="BG188" i="1" s="1"/>
  <c r="AP188" i="1"/>
  <c r="BD188" i="1" s="1"/>
  <c r="AR201" i="1"/>
  <c r="BF201" i="1"/>
  <c r="BG201" i="1" s="1"/>
  <c r="AP201" i="1"/>
  <c r="BD201" i="1" s="1"/>
  <c r="AP197" i="1"/>
  <c r="BD197" i="1" s="1"/>
  <c r="BF197" i="1"/>
  <c r="BG197" i="1" s="1"/>
  <c r="AR197" i="1"/>
  <c r="AP193" i="1"/>
  <c r="BD193" i="1" s="1"/>
  <c r="BF193" i="1"/>
  <c r="BG193" i="1" s="1"/>
  <c r="AR193" i="1"/>
  <c r="AR179" i="1"/>
  <c r="AP179" i="1"/>
  <c r="BD179" i="1" s="1"/>
  <c r="BF179" i="1"/>
  <c r="BG179" i="1" s="1"/>
  <c r="AR187" i="1"/>
  <c r="AP187" i="1"/>
  <c r="BD187" i="1" s="1"/>
  <c r="BF187" i="1"/>
  <c r="BG187" i="1" s="1"/>
  <c r="AR169" i="1"/>
  <c r="AP169" i="1"/>
  <c r="BD169" i="1" s="1"/>
  <c r="BF169" i="1"/>
  <c r="BG169" i="1" s="1"/>
  <c r="AP173" i="1"/>
  <c r="BD173" i="1" s="1"/>
  <c r="BF173" i="1"/>
  <c r="BG173" i="1" s="1"/>
  <c r="AR173" i="1"/>
  <c r="AP177" i="1"/>
  <c r="BD177" i="1" s="1"/>
  <c r="BF177" i="1"/>
  <c r="BG177" i="1" s="1"/>
  <c r="AR177" i="1"/>
  <c r="AP181" i="1"/>
  <c r="BD181" i="1" s="1"/>
  <c r="AR181" i="1"/>
  <c r="BF181" i="1"/>
  <c r="BG181" i="1" s="1"/>
  <c r="BF185" i="1"/>
  <c r="BG185" i="1" s="1"/>
  <c r="AR185" i="1"/>
  <c r="AP185" i="1"/>
  <c r="BD185" i="1" s="1"/>
  <c r="BF189" i="1"/>
  <c r="BG189" i="1" s="1"/>
  <c r="AR189" i="1"/>
  <c r="AP189" i="1"/>
  <c r="BD189" i="1" s="1"/>
  <c r="AP204" i="1"/>
  <c r="BD204" i="1" s="1"/>
  <c r="AR204" i="1"/>
  <c r="BF204" i="1"/>
  <c r="BG204" i="1" s="1"/>
  <c r="AR200" i="1"/>
  <c r="AP200" i="1"/>
  <c r="BD200" i="1" s="1"/>
  <c r="BF200" i="1"/>
  <c r="BG200" i="1" s="1"/>
  <c r="BF196" i="1"/>
  <c r="BG196" i="1" s="1"/>
  <c r="AR196" i="1"/>
  <c r="AP196" i="1"/>
  <c r="BD196" i="1" s="1"/>
  <c r="AP192" i="1"/>
  <c r="BD192" i="1" s="1"/>
  <c r="AR192" i="1"/>
  <c r="BF192" i="1"/>
  <c r="BG192" i="1" s="1"/>
  <c r="AP170" i="1"/>
  <c r="BD170" i="1" s="1"/>
  <c r="AR170" i="1"/>
  <c r="BF170" i="1"/>
  <c r="BG170" i="1" s="1"/>
  <c r="AR174" i="1"/>
  <c r="BF174" i="1"/>
  <c r="BG174" i="1" s="1"/>
  <c r="AP174" i="1"/>
  <c r="BD174" i="1" s="1"/>
  <c r="BF178" i="1"/>
  <c r="BG178" i="1" s="1"/>
  <c r="AR178" i="1"/>
  <c r="AP178" i="1"/>
  <c r="BD178" i="1" s="1"/>
  <c r="AR182" i="1"/>
  <c r="BF182" i="1"/>
  <c r="BG182" i="1" s="1"/>
  <c r="AP182" i="1"/>
  <c r="BD182" i="1" s="1"/>
  <c r="AP186" i="1"/>
  <c r="BD186" i="1" s="1"/>
  <c r="AR186" i="1"/>
  <c r="BF186" i="1"/>
  <c r="BG186" i="1" s="1"/>
  <c r="BF190" i="1"/>
  <c r="AP190" i="1"/>
  <c r="AR190" i="1"/>
  <c r="AR203" i="1"/>
  <c r="AP203" i="1"/>
  <c r="BD203" i="1" s="1"/>
  <c r="BF203" i="1"/>
  <c r="BG203" i="1" s="1"/>
  <c r="AR199" i="1"/>
  <c r="AP199" i="1"/>
  <c r="BD199" i="1" s="1"/>
  <c r="BF199" i="1"/>
  <c r="BG199" i="1" s="1"/>
  <c r="BF195" i="1"/>
  <c r="AP195" i="1"/>
  <c r="AR195" i="1"/>
  <c r="AR191" i="1"/>
  <c r="BF191" i="1"/>
  <c r="BG191" i="1" s="1"/>
  <c r="AP191" i="1"/>
  <c r="BD191" i="1" s="1"/>
  <c r="B940" i="5" l="1"/>
  <c r="B939" i="5" l="1"/>
  <c r="B938" i="5" l="1"/>
  <c r="B937" i="5"/>
  <c r="B936" i="5" l="1"/>
  <c r="B935" i="5" l="1"/>
  <c r="BE168" i="1" l="1"/>
  <c r="AT168" i="1"/>
  <c r="BC168" i="1" s="1"/>
  <c r="AS168" i="1"/>
  <c r="AL168" i="1"/>
  <c r="AK168" i="1"/>
  <c r="AG168" i="1"/>
  <c r="AF168" i="1"/>
  <c r="AE168" i="1"/>
  <c r="AD168" i="1"/>
  <c r="AC168" i="1"/>
  <c r="AB168" i="1"/>
  <c r="Z168" i="1"/>
  <c r="Y168" i="1"/>
  <c r="X168" i="1"/>
  <c r="W168" i="1"/>
  <c r="V168" i="1"/>
  <c r="U168" i="1"/>
  <c r="T168" i="1"/>
  <c r="BA168" i="1" s="1"/>
  <c r="S168" i="1"/>
  <c r="R168" i="1"/>
  <c r="Q168" i="1"/>
  <c r="P168" i="1"/>
  <c r="O168" i="1"/>
  <c r="N168" i="1"/>
  <c r="AZ168" i="1" s="1"/>
  <c r="M168" i="1"/>
  <c r="L168" i="1"/>
  <c r="H168" i="1"/>
  <c r="AY168" i="1" s="1"/>
  <c r="G168" i="1"/>
  <c r="F168" i="1"/>
  <c r="E168" i="1"/>
  <c r="D168" i="1"/>
  <c r="C168" i="1"/>
  <c r="B168" i="1"/>
  <c r="A168" i="1"/>
  <c r="BE167" i="1"/>
  <c r="AT167" i="1"/>
  <c r="BC167" i="1" s="1"/>
  <c r="AS167" i="1"/>
  <c r="AL167" i="1"/>
  <c r="AK167" i="1"/>
  <c r="AG167" i="1"/>
  <c r="AV167" i="1" s="1"/>
  <c r="AF167" i="1"/>
  <c r="AE167" i="1"/>
  <c r="AD167" i="1"/>
  <c r="AC167" i="1"/>
  <c r="AB167" i="1"/>
  <c r="Z167" i="1"/>
  <c r="Y167" i="1"/>
  <c r="X167" i="1"/>
  <c r="W167" i="1"/>
  <c r="V167" i="1"/>
  <c r="U167" i="1"/>
  <c r="T167" i="1"/>
  <c r="BA167" i="1" s="1"/>
  <c r="S167" i="1"/>
  <c r="R167" i="1"/>
  <c r="Q167" i="1"/>
  <c r="P167" i="1"/>
  <c r="O167" i="1"/>
  <c r="N167" i="1"/>
  <c r="AZ167" i="1" s="1"/>
  <c r="M167" i="1"/>
  <c r="L167" i="1"/>
  <c r="H167" i="1"/>
  <c r="AY167" i="1" s="1"/>
  <c r="G167" i="1"/>
  <c r="F167" i="1"/>
  <c r="E167" i="1"/>
  <c r="D167" i="1"/>
  <c r="C167" i="1"/>
  <c r="B167" i="1"/>
  <c r="A167" i="1"/>
  <c r="BE166" i="1"/>
  <c r="AT166" i="1"/>
  <c r="BC166" i="1" s="1"/>
  <c r="AS166" i="1"/>
  <c r="AL166" i="1"/>
  <c r="AW166" i="1" s="1"/>
  <c r="AK166" i="1"/>
  <c r="AG166" i="1"/>
  <c r="AV166" i="1" s="1"/>
  <c r="AF166" i="1"/>
  <c r="AE166" i="1"/>
  <c r="AD166" i="1"/>
  <c r="AC166" i="1"/>
  <c r="AB166" i="1"/>
  <c r="Z166" i="1"/>
  <c r="Y166" i="1"/>
  <c r="X166" i="1"/>
  <c r="W166" i="1"/>
  <c r="V166" i="1"/>
  <c r="U166" i="1"/>
  <c r="T166" i="1"/>
  <c r="BA166" i="1" s="1"/>
  <c r="S166" i="1"/>
  <c r="R166" i="1"/>
  <c r="Q166" i="1"/>
  <c r="P166" i="1"/>
  <c r="O166" i="1"/>
  <c r="N166" i="1"/>
  <c r="AZ166" i="1" s="1"/>
  <c r="M166" i="1"/>
  <c r="L166" i="1"/>
  <c r="H166" i="1"/>
  <c r="AY166" i="1" s="1"/>
  <c r="G166" i="1"/>
  <c r="F166" i="1"/>
  <c r="E166" i="1"/>
  <c r="D166" i="1"/>
  <c r="C166" i="1"/>
  <c r="B166" i="1"/>
  <c r="A166" i="1"/>
  <c r="BE165" i="1"/>
  <c r="AT165" i="1"/>
  <c r="BC165" i="1" s="1"/>
  <c r="AS165" i="1"/>
  <c r="AL165" i="1"/>
  <c r="AM165" i="1" s="1"/>
  <c r="AK165" i="1"/>
  <c r="AG165" i="1"/>
  <c r="AU165" i="1" s="1"/>
  <c r="AF165" i="1"/>
  <c r="AE165" i="1"/>
  <c r="AD165" i="1"/>
  <c r="AC165" i="1"/>
  <c r="AB165" i="1"/>
  <c r="Z165" i="1"/>
  <c r="Y165" i="1"/>
  <c r="X165" i="1"/>
  <c r="W165" i="1"/>
  <c r="V165" i="1"/>
  <c r="U165" i="1"/>
  <c r="T165" i="1"/>
  <c r="BA165" i="1" s="1"/>
  <c r="S165" i="1"/>
  <c r="R165" i="1"/>
  <c r="Q165" i="1"/>
  <c r="P165" i="1"/>
  <c r="O165" i="1"/>
  <c r="N165" i="1"/>
  <c r="AZ165" i="1" s="1"/>
  <c r="M165" i="1"/>
  <c r="L165" i="1"/>
  <c r="H165" i="1"/>
  <c r="AY165" i="1" s="1"/>
  <c r="G165" i="1"/>
  <c r="F165" i="1"/>
  <c r="E165" i="1"/>
  <c r="D165" i="1"/>
  <c r="C165" i="1"/>
  <c r="B165" i="1"/>
  <c r="A165" i="1"/>
  <c r="BE164" i="1"/>
  <c r="AT164" i="1"/>
  <c r="BC164" i="1" s="1"/>
  <c r="AS164" i="1"/>
  <c r="AL164" i="1"/>
  <c r="AK164" i="1"/>
  <c r="AG164" i="1"/>
  <c r="AF164" i="1"/>
  <c r="AE164" i="1"/>
  <c r="AD164" i="1"/>
  <c r="AC164" i="1"/>
  <c r="AB164" i="1"/>
  <c r="Z164" i="1"/>
  <c r="Y164" i="1"/>
  <c r="X164" i="1"/>
  <c r="W164" i="1"/>
  <c r="V164" i="1"/>
  <c r="U164" i="1"/>
  <c r="T164" i="1"/>
  <c r="BA164" i="1" s="1"/>
  <c r="S164" i="1"/>
  <c r="R164" i="1"/>
  <c r="Q164" i="1"/>
  <c r="P164" i="1"/>
  <c r="O164" i="1"/>
  <c r="N164" i="1"/>
  <c r="AZ164" i="1" s="1"/>
  <c r="M164" i="1"/>
  <c r="L164" i="1"/>
  <c r="H164" i="1"/>
  <c r="AY164" i="1" s="1"/>
  <c r="G164" i="1"/>
  <c r="F164" i="1"/>
  <c r="E164" i="1"/>
  <c r="D164" i="1"/>
  <c r="C164" i="1"/>
  <c r="B164" i="1"/>
  <c r="A164" i="1"/>
  <c r="BE163" i="1"/>
  <c r="AT163" i="1"/>
  <c r="BC163" i="1" s="1"/>
  <c r="AS163" i="1"/>
  <c r="AL163" i="1"/>
  <c r="AX163" i="1" s="1"/>
  <c r="AK163" i="1"/>
  <c r="AG163" i="1"/>
  <c r="AV163" i="1" s="1"/>
  <c r="AF163" i="1"/>
  <c r="AE163" i="1"/>
  <c r="AD163" i="1"/>
  <c r="AC163" i="1"/>
  <c r="AB163" i="1"/>
  <c r="Z163" i="1"/>
  <c r="Y163" i="1"/>
  <c r="X163" i="1"/>
  <c r="W163" i="1"/>
  <c r="V163" i="1"/>
  <c r="U163" i="1"/>
  <c r="T163" i="1"/>
  <c r="BA163" i="1" s="1"/>
  <c r="S163" i="1"/>
  <c r="R163" i="1"/>
  <c r="Q163" i="1"/>
  <c r="P163" i="1"/>
  <c r="O163" i="1"/>
  <c r="N163" i="1"/>
  <c r="AZ163" i="1" s="1"/>
  <c r="M163" i="1"/>
  <c r="L163" i="1"/>
  <c r="H163" i="1"/>
  <c r="AY163" i="1" s="1"/>
  <c r="G163" i="1"/>
  <c r="F163" i="1"/>
  <c r="E163" i="1"/>
  <c r="D163" i="1"/>
  <c r="C163" i="1"/>
  <c r="B163" i="1"/>
  <c r="A163" i="1"/>
  <c r="BE162" i="1"/>
  <c r="AT162" i="1"/>
  <c r="BC162" i="1" s="1"/>
  <c r="AS162" i="1"/>
  <c r="AL162" i="1"/>
  <c r="AW162" i="1" s="1"/>
  <c r="AK162" i="1"/>
  <c r="AG162" i="1"/>
  <c r="AV162" i="1" s="1"/>
  <c r="AF162" i="1"/>
  <c r="AE162" i="1"/>
  <c r="AD162" i="1"/>
  <c r="AC162" i="1"/>
  <c r="AB162" i="1"/>
  <c r="Z162" i="1"/>
  <c r="Y162" i="1"/>
  <c r="X162" i="1"/>
  <c r="W162" i="1"/>
  <c r="V162" i="1"/>
  <c r="U162" i="1"/>
  <c r="T162" i="1"/>
  <c r="BA162" i="1" s="1"/>
  <c r="S162" i="1"/>
  <c r="R162" i="1"/>
  <c r="Q162" i="1"/>
  <c r="P162" i="1"/>
  <c r="O162" i="1"/>
  <c r="N162" i="1"/>
  <c r="AZ162" i="1" s="1"/>
  <c r="M162" i="1"/>
  <c r="L162" i="1"/>
  <c r="H162" i="1"/>
  <c r="AY162" i="1" s="1"/>
  <c r="G162" i="1"/>
  <c r="F162" i="1"/>
  <c r="E162" i="1"/>
  <c r="D162" i="1"/>
  <c r="C162" i="1"/>
  <c r="B162" i="1"/>
  <c r="A162" i="1"/>
  <c r="BE161" i="1"/>
  <c r="AT161" i="1"/>
  <c r="BC161" i="1" s="1"/>
  <c r="AS161" i="1"/>
  <c r="AL161" i="1"/>
  <c r="AM161" i="1" s="1"/>
  <c r="AK161" i="1"/>
  <c r="AG161" i="1"/>
  <c r="AH161" i="1" s="1"/>
  <c r="AF161" i="1"/>
  <c r="AE161" i="1"/>
  <c r="AD161" i="1"/>
  <c r="AC161" i="1"/>
  <c r="AB161" i="1"/>
  <c r="Z161" i="1"/>
  <c r="Y161" i="1"/>
  <c r="X161" i="1"/>
  <c r="W161" i="1"/>
  <c r="V161" i="1"/>
  <c r="U161" i="1"/>
  <c r="T161" i="1"/>
  <c r="BA161" i="1" s="1"/>
  <c r="S161" i="1"/>
  <c r="R161" i="1"/>
  <c r="Q161" i="1"/>
  <c r="P161" i="1"/>
  <c r="O161" i="1"/>
  <c r="N161" i="1"/>
  <c r="AZ161" i="1" s="1"/>
  <c r="M161" i="1"/>
  <c r="L161" i="1"/>
  <c r="H161" i="1"/>
  <c r="AY161" i="1" s="1"/>
  <c r="G161" i="1"/>
  <c r="F161" i="1"/>
  <c r="E161" i="1"/>
  <c r="D161" i="1"/>
  <c r="C161" i="1"/>
  <c r="B161" i="1"/>
  <c r="A161" i="1"/>
  <c r="BE160" i="1"/>
  <c r="AT160" i="1"/>
  <c r="BC160" i="1" s="1"/>
  <c r="AS160" i="1"/>
  <c r="AL160" i="1"/>
  <c r="AW160" i="1" s="1"/>
  <c r="AK160" i="1"/>
  <c r="AG160" i="1"/>
  <c r="AF160" i="1"/>
  <c r="AE160" i="1"/>
  <c r="AD160" i="1"/>
  <c r="AC160" i="1"/>
  <c r="AB160" i="1"/>
  <c r="Z160" i="1"/>
  <c r="Y160" i="1"/>
  <c r="X160" i="1"/>
  <c r="W160" i="1"/>
  <c r="V160" i="1"/>
  <c r="U160" i="1"/>
  <c r="T160" i="1"/>
  <c r="BA160" i="1" s="1"/>
  <c r="S160" i="1"/>
  <c r="R160" i="1"/>
  <c r="Q160" i="1"/>
  <c r="P160" i="1"/>
  <c r="O160" i="1"/>
  <c r="N160" i="1"/>
  <c r="AZ160" i="1" s="1"/>
  <c r="M160" i="1"/>
  <c r="L160" i="1"/>
  <c r="H160" i="1"/>
  <c r="AY160" i="1" s="1"/>
  <c r="G160" i="1"/>
  <c r="F160" i="1"/>
  <c r="E160" i="1"/>
  <c r="D160" i="1"/>
  <c r="C160" i="1"/>
  <c r="B160" i="1"/>
  <c r="A160" i="1"/>
  <c r="BE159" i="1"/>
  <c r="AT159" i="1"/>
  <c r="BC159" i="1" s="1"/>
  <c r="AS159" i="1"/>
  <c r="AL159" i="1"/>
  <c r="AX159" i="1" s="1"/>
  <c r="AK159" i="1"/>
  <c r="AG159" i="1"/>
  <c r="AH159" i="1" s="1"/>
  <c r="AF159" i="1"/>
  <c r="AE159" i="1"/>
  <c r="AD159" i="1"/>
  <c r="AC159" i="1"/>
  <c r="AB159" i="1"/>
  <c r="Z159" i="1"/>
  <c r="Y159" i="1"/>
  <c r="X159" i="1"/>
  <c r="W159" i="1"/>
  <c r="V159" i="1"/>
  <c r="U159" i="1"/>
  <c r="T159" i="1"/>
  <c r="BA159" i="1" s="1"/>
  <c r="S159" i="1"/>
  <c r="R159" i="1"/>
  <c r="Q159" i="1"/>
  <c r="P159" i="1"/>
  <c r="O159" i="1"/>
  <c r="N159" i="1"/>
  <c r="AZ159" i="1" s="1"/>
  <c r="M159" i="1"/>
  <c r="L159" i="1"/>
  <c r="H159" i="1"/>
  <c r="AY159" i="1" s="1"/>
  <c r="G159" i="1"/>
  <c r="F159" i="1"/>
  <c r="E159" i="1"/>
  <c r="D159" i="1"/>
  <c r="C159" i="1"/>
  <c r="B159" i="1"/>
  <c r="A159" i="1"/>
  <c r="BE158" i="1"/>
  <c r="AT158" i="1"/>
  <c r="BC158" i="1" s="1"/>
  <c r="AS158" i="1"/>
  <c r="AL158" i="1"/>
  <c r="AW158" i="1" s="1"/>
  <c r="AK158" i="1"/>
  <c r="AG158" i="1"/>
  <c r="AF158" i="1"/>
  <c r="AE158" i="1"/>
  <c r="AD158" i="1"/>
  <c r="AC158" i="1"/>
  <c r="AB158" i="1"/>
  <c r="Z158" i="1"/>
  <c r="Y158" i="1"/>
  <c r="X158" i="1"/>
  <c r="W158" i="1"/>
  <c r="V158" i="1"/>
  <c r="U158" i="1"/>
  <c r="T158" i="1"/>
  <c r="BA158" i="1" s="1"/>
  <c r="S158" i="1"/>
  <c r="R158" i="1"/>
  <c r="Q158" i="1"/>
  <c r="P158" i="1"/>
  <c r="O158" i="1"/>
  <c r="N158" i="1"/>
  <c r="AZ158" i="1" s="1"/>
  <c r="M158" i="1"/>
  <c r="L158" i="1"/>
  <c r="H158" i="1"/>
  <c r="AY158" i="1" s="1"/>
  <c r="G158" i="1"/>
  <c r="F158" i="1"/>
  <c r="E158" i="1"/>
  <c r="D158" i="1"/>
  <c r="C158" i="1"/>
  <c r="B158" i="1"/>
  <c r="A158" i="1"/>
  <c r="BE157" i="1"/>
  <c r="AT157" i="1"/>
  <c r="BC157" i="1" s="1"/>
  <c r="AS157" i="1"/>
  <c r="AL157" i="1"/>
  <c r="AM157" i="1" s="1"/>
  <c r="AK157" i="1"/>
  <c r="AG157" i="1"/>
  <c r="AU157" i="1" s="1"/>
  <c r="AF157" i="1"/>
  <c r="AE157" i="1"/>
  <c r="AD157" i="1"/>
  <c r="AC157" i="1"/>
  <c r="AB157" i="1"/>
  <c r="Z157" i="1"/>
  <c r="Y157" i="1"/>
  <c r="X157" i="1"/>
  <c r="W157" i="1"/>
  <c r="V157" i="1"/>
  <c r="U157" i="1"/>
  <c r="T157" i="1"/>
  <c r="BA157" i="1" s="1"/>
  <c r="S157" i="1"/>
  <c r="R157" i="1"/>
  <c r="Q157" i="1"/>
  <c r="P157" i="1"/>
  <c r="O157" i="1"/>
  <c r="N157" i="1"/>
  <c r="AZ157" i="1" s="1"/>
  <c r="M157" i="1"/>
  <c r="L157" i="1"/>
  <c r="H157" i="1"/>
  <c r="AY157" i="1" s="1"/>
  <c r="G157" i="1"/>
  <c r="F157" i="1"/>
  <c r="E157" i="1"/>
  <c r="D157" i="1"/>
  <c r="C157" i="1"/>
  <c r="B157" i="1"/>
  <c r="A157" i="1"/>
  <c r="BE156" i="1"/>
  <c r="AT156" i="1"/>
  <c r="BC156" i="1" s="1"/>
  <c r="AS156" i="1"/>
  <c r="AL156" i="1"/>
  <c r="AX156" i="1" s="1"/>
  <c r="AK156" i="1"/>
  <c r="AG156" i="1"/>
  <c r="AF156" i="1"/>
  <c r="AE156" i="1"/>
  <c r="AD156" i="1"/>
  <c r="AC156" i="1"/>
  <c r="AB156" i="1"/>
  <c r="Z156" i="1"/>
  <c r="Y156" i="1"/>
  <c r="X156" i="1"/>
  <c r="W156" i="1"/>
  <c r="V156" i="1"/>
  <c r="U156" i="1"/>
  <c r="T156" i="1"/>
  <c r="BA156" i="1" s="1"/>
  <c r="S156" i="1"/>
  <c r="R156" i="1"/>
  <c r="Q156" i="1"/>
  <c r="P156" i="1"/>
  <c r="O156" i="1"/>
  <c r="N156" i="1"/>
  <c r="AZ156" i="1" s="1"/>
  <c r="M156" i="1"/>
  <c r="L156" i="1"/>
  <c r="H156" i="1"/>
  <c r="AY156" i="1" s="1"/>
  <c r="G156" i="1"/>
  <c r="F156" i="1"/>
  <c r="E156" i="1"/>
  <c r="D156" i="1"/>
  <c r="C156" i="1"/>
  <c r="B156" i="1"/>
  <c r="A156" i="1"/>
  <c r="BE155" i="1"/>
  <c r="AT155" i="1"/>
  <c r="BC155" i="1" s="1"/>
  <c r="AS155" i="1"/>
  <c r="AL155" i="1"/>
  <c r="AK155" i="1"/>
  <c r="AG155" i="1"/>
  <c r="AV155" i="1" s="1"/>
  <c r="AF155" i="1"/>
  <c r="AE155" i="1"/>
  <c r="AD155" i="1"/>
  <c r="AC155" i="1"/>
  <c r="AB155" i="1"/>
  <c r="Z155" i="1"/>
  <c r="Y155" i="1"/>
  <c r="X155" i="1"/>
  <c r="W155" i="1"/>
  <c r="V155" i="1"/>
  <c r="U155" i="1"/>
  <c r="T155" i="1"/>
  <c r="BA155" i="1" s="1"/>
  <c r="S155" i="1"/>
  <c r="R155" i="1"/>
  <c r="Q155" i="1"/>
  <c r="P155" i="1"/>
  <c r="O155" i="1"/>
  <c r="N155" i="1"/>
  <c r="AZ155" i="1" s="1"/>
  <c r="M155" i="1"/>
  <c r="L155" i="1"/>
  <c r="H155" i="1"/>
  <c r="AY155" i="1" s="1"/>
  <c r="G155" i="1"/>
  <c r="F155" i="1"/>
  <c r="E155" i="1"/>
  <c r="D155" i="1"/>
  <c r="C155" i="1"/>
  <c r="B155" i="1"/>
  <c r="A155" i="1"/>
  <c r="BE154" i="1"/>
  <c r="AT154" i="1"/>
  <c r="BC154" i="1" s="1"/>
  <c r="AS154" i="1"/>
  <c r="AL154" i="1"/>
  <c r="AK154" i="1"/>
  <c r="AG154" i="1"/>
  <c r="AV154" i="1" s="1"/>
  <c r="AF154" i="1"/>
  <c r="AE154" i="1"/>
  <c r="AD154" i="1"/>
  <c r="AC154" i="1"/>
  <c r="AB154" i="1"/>
  <c r="Z154" i="1"/>
  <c r="Y154" i="1"/>
  <c r="X154" i="1"/>
  <c r="W154" i="1"/>
  <c r="V154" i="1"/>
  <c r="U154" i="1"/>
  <c r="T154" i="1"/>
  <c r="BA154" i="1" s="1"/>
  <c r="S154" i="1"/>
  <c r="R154" i="1"/>
  <c r="Q154" i="1"/>
  <c r="P154" i="1"/>
  <c r="O154" i="1"/>
  <c r="N154" i="1"/>
  <c r="AZ154" i="1" s="1"/>
  <c r="M154" i="1"/>
  <c r="L154" i="1"/>
  <c r="H154" i="1"/>
  <c r="AY154" i="1" s="1"/>
  <c r="G154" i="1"/>
  <c r="F154" i="1"/>
  <c r="E154" i="1"/>
  <c r="D154" i="1"/>
  <c r="C154" i="1"/>
  <c r="B154" i="1"/>
  <c r="A154" i="1"/>
  <c r="BE153" i="1"/>
  <c r="AT153" i="1"/>
  <c r="BC153" i="1" s="1"/>
  <c r="AS153" i="1"/>
  <c r="AL153" i="1"/>
  <c r="AK153" i="1"/>
  <c r="AG153" i="1"/>
  <c r="AH153" i="1" s="1"/>
  <c r="AF153" i="1"/>
  <c r="AE153" i="1"/>
  <c r="AD153" i="1"/>
  <c r="AC153" i="1"/>
  <c r="AB153" i="1"/>
  <c r="Z153" i="1"/>
  <c r="Y153" i="1"/>
  <c r="X153" i="1"/>
  <c r="W153" i="1"/>
  <c r="V153" i="1"/>
  <c r="U153" i="1"/>
  <c r="T153" i="1"/>
  <c r="BA153" i="1" s="1"/>
  <c r="S153" i="1"/>
  <c r="R153" i="1"/>
  <c r="Q153" i="1"/>
  <c r="P153" i="1"/>
  <c r="O153" i="1"/>
  <c r="N153" i="1"/>
  <c r="AZ153" i="1" s="1"/>
  <c r="M153" i="1"/>
  <c r="L153" i="1"/>
  <c r="H153" i="1"/>
  <c r="AY153" i="1" s="1"/>
  <c r="G153" i="1"/>
  <c r="F153" i="1"/>
  <c r="E153" i="1"/>
  <c r="D153" i="1"/>
  <c r="C153" i="1"/>
  <c r="B153" i="1"/>
  <c r="A153" i="1"/>
  <c r="BE152" i="1"/>
  <c r="AT152" i="1"/>
  <c r="BC152" i="1" s="1"/>
  <c r="AS152" i="1"/>
  <c r="AL152" i="1"/>
  <c r="AM152" i="1" s="1"/>
  <c r="AK152" i="1"/>
  <c r="AG152" i="1"/>
  <c r="AF152" i="1"/>
  <c r="AE152" i="1"/>
  <c r="AD152" i="1"/>
  <c r="AC152" i="1"/>
  <c r="AB152" i="1"/>
  <c r="Z152" i="1"/>
  <c r="Y152" i="1"/>
  <c r="X152" i="1"/>
  <c r="W152" i="1"/>
  <c r="V152" i="1"/>
  <c r="U152" i="1"/>
  <c r="T152" i="1"/>
  <c r="BA152" i="1" s="1"/>
  <c r="S152" i="1"/>
  <c r="R152" i="1"/>
  <c r="Q152" i="1"/>
  <c r="P152" i="1"/>
  <c r="O152" i="1"/>
  <c r="N152" i="1"/>
  <c r="AZ152" i="1" s="1"/>
  <c r="M152" i="1"/>
  <c r="L152" i="1"/>
  <c r="H152" i="1"/>
  <c r="AY152" i="1" s="1"/>
  <c r="G152" i="1"/>
  <c r="F152" i="1"/>
  <c r="E152" i="1"/>
  <c r="D152" i="1"/>
  <c r="C152" i="1"/>
  <c r="B152" i="1"/>
  <c r="A152" i="1"/>
  <c r="BE151" i="1"/>
  <c r="AT151" i="1"/>
  <c r="BC151" i="1" s="1"/>
  <c r="AS151" i="1"/>
  <c r="AL151" i="1"/>
  <c r="AK151" i="1"/>
  <c r="AG151" i="1"/>
  <c r="AF151" i="1"/>
  <c r="AE151" i="1"/>
  <c r="AD151" i="1"/>
  <c r="AC151" i="1"/>
  <c r="AB151" i="1"/>
  <c r="Z151" i="1"/>
  <c r="Y151" i="1"/>
  <c r="X151" i="1"/>
  <c r="W151" i="1"/>
  <c r="V151" i="1"/>
  <c r="U151" i="1"/>
  <c r="T151" i="1"/>
  <c r="BA151" i="1" s="1"/>
  <c r="S151" i="1"/>
  <c r="R151" i="1"/>
  <c r="Q151" i="1"/>
  <c r="P151" i="1"/>
  <c r="O151" i="1"/>
  <c r="N151" i="1"/>
  <c r="AZ151" i="1" s="1"/>
  <c r="M151" i="1"/>
  <c r="L151" i="1"/>
  <c r="H151" i="1"/>
  <c r="AY151" i="1" s="1"/>
  <c r="G151" i="1"/>
  <c r="F151" i="1"/>
  <c r="E151" i="1"/>
  <c r="D151" i="1"/>
  <c r="C151" i="1"/>
  <c r="B151" i="1"/>
  <c r="A151" i="1"/>
  <c r="BE150" i="1"/>
  <c r="AT150" i="1"/>
  <c r="BC150" i="1" s="1"/>
  <c r="AS150" i="1"/>
  <c r="AL150" i="1"/>
  <c r="AM150" i="1" s="1"/>
  <c r="AK150" i="1"/>
  <c r="AG150" i="1"/>
  <c r="AF150" i="1"/>
  <c r="AE150" i="1"/>
  <c r="AD150" i="1"/>
  <c r="AC150" i="1"/>
  <c r="AB150" i="1"/>
  <c r="Z150" i="1"/>
  <c r="Y150" i="1"/>
  <c r="X150" i="1"/>
  <c r="W150" i="1"/>
  <c r="V150" i="1"/>
  <c r="U150" i="1"/>
  <c r="T150" i="1"/>
  <c r="BA150" i="1" s="1"/>
  <c r="S150" i="1"/>
  <c r="R150" i="1"/>
  <c r="Q150" i="1"/>
  <c r="P150" i="1"/>
  <c r="O150" i="1"/>
  <c r="N150" i="1"/>
  <c r="AZ150" i="1" s="1"/>
  <c r="M150" i="1"/>
  <c r="L150" i="1"/>
  <c r="H150" i="1"/>
  <c r="AY150" i="1" s="1"/>
  <c r="G150" i="1"/>
  <c r="F150" i="1"/>
  <c r="E150" i="1"/>
  <c r="D150" i="1"/>
  <c r="C150" i="1"/>
  <c r="B150" i="1"/>
  <c r="A150" i="1"/>
  <c r="BE149" i="1"/>
  <c r="AT149" i="1"/>
  <c r="BC149" i="1" s="1"/>
  <c r="AS149" i="1"/>
  <c r="AL149" i="1"/>
  <c r="AW149" i="1" s="1"/>
  <c r="AK149" i="1"/>
  <c r="AG149" i="1"/>
  <c r="AF149" i="1"/>
  <c r="AE149" i="1"/>
  <c r="AD149" i="1"/>
  <c r="AC149" i="1"/>
  <c r="AB149" i="1"/>
  <c r="Z149" i="1"/>
  <c r="Y149" i="1"/>
  <c r="X149" i="1"/>
  <c r="W149" i="1"/>
  <c r="V149" i="1"/>
  <c r="U149" i="1"/>
  <c r="T149" i="1"/>
  <c r="BA149" i="1" s="1"/>
  <c r="S149" i="1"/>
  <c r="R149" i="1"/>
  <c r="Q149" i="1"/>
  <c r="P149" i="1"/>
  <c r="O149" i="1"/>
  <c r="N149" i="1"/>
  <c r="AZ149" i="1" s="1"/>
  <c r="M149" i="1"/>
  <c r="L149" i="1"/>
  <c r="H149" i="1"/>
  <c r="AY149" i="1" s="1"/>
  <c r="G149" i="1"/>
  <c r="F149" i="1"/>
  <c r="E149" i="1"/>
  <c r="D149" i="1"/>
  <c r="C149" i="1"/>
  <c r="B149" i="1"/>
  <c r="A149" i="1"/>
  <c r="BE148" i="1"/>
  <c r="AT148" i="1"/>
  <c r="BC148" i="1" s="1"/>
  <c r="AS148" i="1"/>
  <c r="AL148" i="1"/>
  <c r="AK148" i="1"/>
  <c r="AG148" i="1"/>
  <c r="AF148" i="1"/>
  <c r="AE148" i="1"/>
  <c r="AD148" i="1"/>
  <c r="AC148" i="1"/>
  <c r="AB148" i="1"/>
  <c r="Z148" i="1"/>
  <c r="Y148" i="1"/>
  <c r="X148" i="1"/>
  <c r="W148" i="1"/>
  <c r="V148" i="1"/>
  <c r="U148" i="1"/>
  <c r="T148" i="1"/>
  <c r="BA148" i="1" s="1"/>
  <c r="S148" i="1"/>
  <c r="R148" i="1"/>
  <c r="Q148" i="1"/>
  <c r="P148" i="1"/>
  <c r="O148" i="1"/>
  <c r="N148" i="1"/>
  <c r="AZ148" i="1" s="1"/>
  <c r="M148" i="1"/>
  <c r="L148" i="1"/>
  <c r="H148" i="1"/>
  <c r="AY148" i="1" s="1"/>
  <c r="G148" i="1"/>
  <c r="F148" i="1"/>
  <c r="E148" i="1"/>
  <c r="D148" i="1"/>
  <c r="C148" i="1"/>
  <c r="B148" i="1"/>
  <c r="A148" i="1"/>
  <c r="BE147" i="1"/>
  <c r="AT147" i="1"/>
  <c r="BC147" i="1" s="1"/>
  <c r="AS147" i="1"/>
  <c r="AL147" i="1"/>
  <c r="AW147" i="1" s="1"/>
  <c r="AK147" i="1"/>
  <c r="AG147" i="1"/>
  <c r="AF147" i="1"/>
  <c r="AE147" i="1"/>
  <c r="AD147" i="1"/>
  <c r="AC147" i="1"/>
  <c r="AB147" i="1"/>
  <c r="Z147" i="1"/>
  <c r="Y147" i="1"/>
  <c r="X147" i="1"/>
  <c r="W147" i="1"/>
  <c r="V147" i="1"/>
  <c r="U147" i="1"/>
  <c r="T147" i="1"/>
  <c r="BA147" i="1" s="1"/>
  <c r="S147" i="1"/>
  <c r="R147" i="1"/>
  <c r="Q147" i="1"/>
  <c r="P147" i="1"/>
  <c r="O147" i="1"/>
  <c r="N147" i="1"/>
  <c r="AZ147" i="1" s="1"/>
  <c r="M147" i="1"/>
  <c r="L147" i="1"/>
  <c r="H147" i="1"/>
  <c r="AY147" i="1" s="1"/>
  <c r="G147" i="1"/>
  <c r="F147" i="1"/>
  <c r="E147" i="1"/>
  <c r="D147" i="1"/>
  <c r="C147" i="1"/>
  <c r="B147" i="1"/>
  <c r="A147" i="1"/>
  <c r="BE146" i="1"/>
  <c r="AT146" i="1"/>
  <c r="BC146" i="1" s="1"/>
  <c r="AS146" i="1"/>
  <c r="AL146" i="1"/>
  <c r="AM146" i="1" s="1"/>
  <c r="AK146" i="1"/>
  <c r="AG146" i="1"/>
  <c r="AF146" i="1"/>
  <c r="AE146" i="1"/>
  <c r="AD146" i="1"/>
  <c r="AC146" i="1"/>
  <c r="AB146" i="1"/>
  <c r="Z146" i="1"/>
  <c r="Y146" i="1"/>
  <c r="X146" i="1"/>
  <c r="W146" i="1"/>
  <c r="V146" i="1"/>
  <c r="U146" i="1"/>
  <c r="T146" i="1"/>
  <c r="BA146" i="1" s="1"/>
  <c r="S146" i="1"/>
  <c r="R146" i="1"/>
  <c r="Q146" i="1"/>
  <c r="P146" i="1"/>
  <c r="O146" i="1"/>
  <c r="N146" i="1"/>
  <c r="AZ146" i="1" s="1"/>
  <c r="M146" i="1"/>
  <c r="L146" i="1"/>
  <c r="H146" i="1"/>
  <c r="AY146" i="1" s="1"/>
  <c r="G146" i="1"/>
  <c r="F146" i="1"/>
  <c r="E146" i="1"/>
  <c r="D146" i="1"/>
  <c r="C146" i="1"/>
  <c r="B146" i="1"/>
  <c r="A146" i="1"/>
  <c r="BE145" i="1"/>
  <c r="AT145" i="1"/>
  <c r="BC145" i="1" s="1"/>
  <c r="AS145" i="1"/>
  <c r="AL145" i="1"/>
  <c r="AW145" i="1" s="1"/>
  <c r="AK145" i="1"/>
  <c r="AG145" i="1"/>
  <c r="AF145" i="1"/>
  <c r="AE145" i="1"/>
  <c r="AD145" i="1"/>
  <c r="AC145" i="1"/>
  <c r="AB145" i="1"/>
  <c r="Z145" i="1"/>
  <c r="Y145" i="1"/>
  <c r="X145" i="1"/>
  <c r="W145" i="1"/>
  <c r="V145" i="1"/>
  <c r="U145" i="1"/>
  <c r="T145" i="1"/>
  <c r="BA145" i="1" s="1"/>
  <c r="S145" i="1"/>
  <c r="R145" i="1"/>
  <c r="Q145" i="1"/>
  <c r="P145" i="1"/>
  <c r="O145" i="1"/>
  <c r="N145" i="1"/>
  <c r="AZ145" i="1" s="1"/>
  <c r="M145" i="1"/>
  <c r="L145" i="1"/>
  <c r="H145" i="1"/>
  <c r="AY145" i="1" s="1"/>
  <c r="G145" i="1"/>
  <c r="F145" i="1"/>
  <c r="E145" i="1"/>
  <c r="D145" i="1"/>
  <c r="C145" i="1"/>
  <c r="B145" i="1"/>
  <c r="A145" i="1"/>
  <c r="BE144" i="1"/>
  <c r="AT144" i="1"/>
  <c r="BC144" i="1" s="1"/>
  <c r="AS144" i="1"/>
  <c r="AL144" i="1"/>
  <c r="AG144" i="1"/>
  <c r="AF144" i="1"/>
  <c r="AE144" i="1"/>
  <c r="AD144" i="1"/>
  <c r="AC144" i="1"/>
  <c r="AB144" i="1"/>
  <c r="Z144" i="1"/>
  <c r="Y144" i="1"/>
  <c r="X144" i="1"/>
  <c r="W144" i="1"/>
  <c r="V144" i="1"/>
  <c r="U144" i="1"/>
  <c r="T144" i="1"/>
  <c r="BA144" i="1" s="1"/>
  <c r="S144" i="1"/>
  <c r="R144" i="1"/>
  <c r="Q144" i="1"/>
  <c r="P144" i="1"/>
  <c r="O144" i="1"/>
  <c r="N144" i="1"/>
  <c r="AZ144" i="1" s="1"/>
  <c r="M144" i="1"/>
  <c r="L144" i="1"/>
  <c r="H144" i="1"/>
  <c r="AY144" i="1" s="1"/>
  <c r="G144" i="1"/>
  <c r="F144" i="1"/>
  <c r="E144" i="1"/>
  <c r="D144" i="1"/>
  <c r="C144" i="1"/>
  <c r="B144" i="1"/>
  <c r="A144" i="1"/>
  <c r="BE143" i="1"/>
  <c r="AT143" i="1"/>
  <c r="BC143" i="1" s="1"/>
  <c r="AS143" i="1"/>
  <c r="AL143" i="1"/>
  <c r="AK143" i="1"/>
  <c r="AG143" i="1"/>
  <c r="AF143" i="1"/>
  <c r="AE143" i="1"/>
  <c r="AD143" i="1"/>
  <c r="AC143" i="1"/>
  <c r="AB143" i="1"/>
  <c r="Z143" i="1"/>
  <c r="Y143" i="1"/>
  <c r="X143" i="1"/>
  <c r="W143" i="1"/>
  <c r="V143" i="1"/>
  <c r="U143" i="1"/>
  <c r="T143" i="1"/>
  <c r="BA143" i="1" s="1"/>
  <c r="S143" i="1"/>
  <c r="R143" i="1"/>
  <c r="Q143" i="1"/>
  <c r="P143" i="1"/>
  <c r="O143" i="1"/>
  <c r="N143" i="1"/>
  <c r="AZ143" i="1" s="1"/>
  <c r="M143" i="1"/>
  <c r="L143" i="1"/>
  <c r="H143" i="1"/>
  <c r="AY143" i="1" s="1"/>
  <c r="G143" i="1"/>
  <c r="F143" i="1"/>
  <c r="E143" i="1"/>
  <c r="D143" i="1"/>
  <c r="C143" i="1"/>
  <c r="B143" i="1"/>
  <c r="A143" i="1"/>
  <c r="BE142" i="1"/>
  <c r="AT142" i="1"/>
  <c r="BC142" i="1" s="1"/>
  <c r="AS142" i="1"/>
  <c r="AL142" i="1"/>
  <c r="AM142" i="1" s="1"/>
  <c r="AK142" i="1"/>
  <c r="AG142" i="1"/>
  <c r="AF142" i="1"/>
  <c r="AE142" i="1"/>
  <c r="AD142" i="1"/>
  <c r="AC142" i="1"/>
  <c r="AB142" i="1"/>
  <c r="Z142" i="1"/>
  <c r="Y142" i="1"/>
  <c r="X142" i="1"/>
  <c r="W142" i="1"/>
  <c r="V142" i="1"/>
  <c r="U142" i="1"/>
  <c r="T142" i="1"/>
  <c r="BA142" i="1" s="1"/>
  <c r="S142" i="1"/>
  <c r="R142" i="1"/>
  <c r="Q142" i="1"/>
  <c r="P142" i="1"/>
  <c r="O142" i="1"/>
  <c r="N142" i="1"/>
  <c r="AZ142" i="1" s="1"/>
  <c r="M142" i="1"/>
  <c r="L142" i="1"/>
  <c r="H142" i="1"/>
  <c r="AY142" i="1" s="1"/>
  <c r="G142" i="1"/>
  <c r="F142" i="1"/>
  <c r="E142" i="1"/>
  <c r="D142" i="1"/>
  <c r="C142" i="1"/>
  <c r="B142" i="1"/>
  <c r="A142" i="1"/>
  <c r="BE141" i="1"/>
  <c r="AT141" i="1"/>
  <c r="BC141" i="1" s="1"/>
  <c r="AS141" i="1"/>
  <c r="AL141" i="1"/>
  <c r="AK141" i="1"/>
  <c r="AG141" i="1"/>
  <c r="AF141" i="1"/>
  <c r="AE141" i="1"/>
  <c r="AD141" i="1"/>
  <c r="AC141" i="1"/>
  <c r="AB141" i="1"/>
  <c r="Z141" i="1"/>
  <c r="Y141" i="1"/>
  <c r="X141" i="1"/>
  <c r="W141" i="1"/>
  <c r="V141" i="1"/>
  <c r="U141" i="1"/>
  <c r="T141" i="1"/>
  <c r="BA141" i="1" s="1"/>
  <c r="S141" i="1"/>
  <c r="R141" i="1"/>
  <c r="Q141" i="1"/>
  <c r="P141" i="1"/>
  <c r="O141" i="1"/>
  <c r="N141" i="1"/>
  <c r="AZ141" i="1" s="1"/>
  <c r="M141" i="1"/>
  <c r="L141" i="1"/>
  <c r="H141" i="1"/>
  <c r="AY141" i="1" s="1"/>
  <c r="G141" i="1"/>
  <c r="F141" i="1"/>
  <c r="E141" i="1"/>
  <c r="D141" i="1"/>
  <c r="C141" i="1"/>
  <c r="B141" i="1"/>
  <c r="A141" i="1"/>
  <c r="BE140" i="1"/>
  <c r="AT140" i="1"/>
  <c r="BC140" i="1" s="1"/>
  <c r="AS140" i="1"/>
  <c r="AL140" i="1"/>
  <c r="AK140" i="1"/>
  <c r="AG140" i="1"/>
  <c r="AF140" i="1"/>
  <c r="AE140" i="1"/>
  <c r="AD140" i="1"/>
  <c r="AC140" i="1"/>
  <c r="AB140" i="1"/>
  <c r="Z140" i="1"/>
  <c r="Y140" i="1"/>
  <c r="X140" i="1"/>
  <c r="W140" i="1"/>
  <c r="V140" i="1"/>
  <c r="U140" i="1"/>
  <c r="T140" i="1"/>
  <c r="BA140" i="1" s="1"/>
  <c r="S140" i="1"/>
  <c r="R140" i="1"/>
  <c r="Q140" i="1"/>
  <c r="P140" i="1"/>
  <c r="O140" i="1"/>
  <c r="N140" i="1"/>
  <c r="AZ140" i="1" s="1"/>
  <c r="M140" i="1"/>
  <c r="L140" i="1"/>
  <c r="H140" i="1"/>
  <c r="AY140" i="1" s="1"/>
  <c r="G140" i="1"/>
  <c r="F140" i="1"/>
  <c r="E140" i="1"/>
  <c r="D140" i="1"/>
  <c r="C140" i="1"/>
  <c r="B140" i="1"/>
  <c r="A140" i="1"/>
  <c r="BE139" i="1"/>
  <c r="AT139" i="1"/>
  <c r="BC139" i="1" s="1"/>
  <c r="AS139" i="1"/>
  <c r="AL139" i="1"/>
  <c r="AK139" i="1"/>
  <c r="AG139" i="1"/>
  <c r="AF139" i="1"/>
  <c r="AE139" i="1"/>
  <c r="AD139" i="1"/>
  <c r="AC139" i="1"/>
  <c r="AB139" i="1"/>
  <c r="Z139" i="1"/>
  <c r="Y139" i="1"/>
  <c r="X139" i="1"/>
  <c r="W139" i="1"/>
  <c r="V139" i="1"/>
  <c r="U139" i="1"/>
  <c r="T139" i="1"/>
  <c r="BA139" i="1" s="1"/>
  <c r="S139" i="1"/>
  <c r="R139" i="1"/>
  <c r="Q139" i="1"/>
  <c r="P139" i="1"/>
  <c r="O139" i="1"/>
  <c r="N139" i="1"/>
  <c r="AZ139" i="1" s="1"/>
  <c r="M139" i="1"/>
  <c r="L139" i="1"/>
  <c r="H139" i="1"/>
  <c r="AY139" i="1" s="1"/>
  <c r="G139" i="1"/>
  <c r="F139" i="1"/>
  <c r="E139" i="1"/>
  <c r="D139" i="1"/>
  <c r="C139" i="1"/>
  <c r="B139" i="1"/>
  <c r="A139" i="1"/>
  <c r="BE138" i="1"/>
  <c r="AT138" i="1"/>
  <c r="BC138" i="1" s="1"/>
  <c r="AS138" i="1"/>
  <c r="AL138" i="1"/>
  <c r="AM138" i="1" s="1"/>
  <c r="AK138" i="1"/>
  <c r="AG138" i="1"/>
  <c r="AF138" i="1"/>
  <c r="AE138" i="1"/>
  <c r="AD138" i="1"/>
  <c r="AC138" i="1"/>
  <c r="AB138" i="1"/>
  <c r="Z138" i="1"/>
  <c r="Y138" i="1"/>
  <c r="X138" i="1"/>
  <c r="W138" i="1"/>
  <c r="V138" i="1"/>
  <c r="U138" i="1"/>
  <c r="T138" i="1"/>
  <c r="BA138" i="1" s="1"/>
  <c r="S138" i="1"/>
  <c r="R138" i="1"/>
  <c r="Q138" i="1"/>
  <c r="P138" i="1"/>
  <c r="O138" i="1"/>
  <c r="N138" i="1"/>
  <c r="AZ138" i="1" s="1"/>
  <c r="M138" i="1"/>
  <c r="L138" i="1"/>
  <c r="H138" i="1"/>
  <c r="AY138" i="1" s="1"/>
  <c r="G138" i="1"/>
  <c r="F138" i="1"/>
  <c r="E138" i="1"/>
  <c r="D138" i="1"/>
  <c r="C138" i="1"/>
  <c r="B138" i="1"/>
  <c r="A138" i="1"/>
  <c r="BE137" i="1"/>
  <c r="AT137" i="1"/>
  <c r="BC137" i="1" s="1"/>
  <c r="AS137" i="1"/>
  <c r="AL137" i="1"/>
  <c r="AK137" i="1"/>
  <c r="AG137" i="1"/>
  <c r="AF137" i="1"/>
  <c r="AE137" i="1"/>
  <c r="AD137" i="1"/>
  <c r="AC137" i="1"/>
  <c r="AB137" i="1"/>
  <c r="Z137" i="1"/>
  <c r="Y137" i="1"/>
  <c r="X137" i="1"/>
  <c r="W137" i="1"/>
  <c r="V137" i="1"/>
  <c r="U137" i="1"/>
  <c r="T137" i="1"/>
  <c r="BA137" i="1" s="1"/>
  <c r="S137" i="1"/>
  <c r="R137" i="1"/>
  <c r="Q137" i="1"/>
  <c r="P137" i="1"/>
  <c r="O137" i="1"/>
  <c r="N137" i="1"/>
  <c r="AZ137" i="1" s="1"/>
  <c r="M137" i="1"/>
  <c r="L137" i="1"/>
  <c r="H137" i="1"/>
  <c r="AY137" i="1" s="1"/>
  <c r="G137" i="1"/>
  <c r="F137" i="1"/>
  <c r="E137" i="1"/>
  <c r="D137" i="1"/>
  <c r="C137" i="1"/>
  <c r="B137" i="1"/>
  <c r="A137" i="1"/>
  <c r="BE136" i="1"/>
  <c r="AT136" i="1"/>
  <c r="BC136" i="1" s="1"/>
  <c r="AS136" i="1"/>
  <c r="AL136" i="1"/>
  <c r="AK136" i="1"/>
  <c r="AG136" i="1"/>
  <c r="AI136" i="1" s="1"/>
  <c r="AF136" i="1"/>
  <c r="AE136" i="1"/>
  <c r="AD136" i="1"/>
  <c r="AC136" i="1"/>
  <c r="AB136" i="1"/>
  <c r="Z136" i="1"/>
  <c r="Y136" i="1"/>
  <c r="X136" i="1"/>
  <c r="W136" i="1"/>
  <c r="V136" i="1"/>
  <c r="U136" i="1"/>
  <c r="T136" i="1"/>
  <c r="BA136" i="1" s="1"/>
  <c r="S136" i="1"/>
  <c r="R136" i="1"/>
  <c r="Q136" i="1"/>
  <c r="P136" i="1"/>
  <c r="O136" i="1"/>
  <c r="N136" i="1"/>
  <c r="AZ136" i="1" s="1"/>
  <c r="M136" i="1"/>
  <c r="L136" i="1"/>
  <c r="H136" i="1"/>
  <c r="AY136" i="1" s="1"/>
  <c r="G136" i="1"/>
  <c r="F136" i="1"/>
  <c r="E136" i="1"/>
  <c r="D136" i="1"/>
  <c r="C136" i="1"/>
  <c r="B136" i="1"/>
  <c r="A136" i="1"/>
  <c r="BE135" i="1"/>
  <c r="AT135" i="1"/>
  <c r="BC135" i="1" s="1"/>
  <c r="AS135" i="1"/>
  <c r="AL135" i="1"/>
  <c r="AK135" i="1"/>
  <c r="AG135" i="1"/>
  <c r="AF135" i="1"/>
  <c r="AE135" i="1"/>
  <c r="AD135" i="1"/>
  <c r="AC135" i="1"/>
  <c r="AB135" i="1"/>
  <c r="Z135" i="1"/>
  <c r="Y135" i="1"/>
  <c r="X135" i="1"/>
  <c r="W135" i="1"/>
  <c r="V135" i="1"/>
  <c r="U135" i="1"/>
  <c r="T135" i="1"/>
  <c r="BA135" i="1" s="1"/>
  <c r="S135" i="1"/>
  <c r="R135" i="1"/>
  <c r="Q135" i="1"/>
  <c r="P135" i="1"/>
  <c r="O135" i="1"/>
  <c r="N135" i="1"/>
  <c r="AZ135" i="1" s="1"/>
  <c r="M135" i="1"/>
  <c r="L135" i="1"/>
  <c r="H135" i="1"/>
  <c r="AY135" i="1" s="1"/>
  <c r="G135" i="1"/>
  <c r="F135" i="1"/>
  <c r="E135" i="1"/>
  <c r="D135" i="1"/>
  <c r="C135" i="1"/>
  <c r="B135" i="1"/>
  <c r="A135" i="1"/>
  <c r="BE134" i="1"/>
  <c r="AT134" i="1"/>
  <c r="BC134" i="1" s="1"/>
  <c r="AS134" i="1"/>
  <c r="AL134" i="1"/>
  <c r="AM134" i="1" s="1"/>
  <c r="AK134" i="1"/>
  <c r="AG134" i="1"/>
  <c r="AF134" i="1"/>
  <c r="AE134" i="1"/>
  <c r="AD134" i="1"/>
  <c r="AC134" i="1"/>
  <c r="AB134" i="1"/>
  <c r="Z134" i="1"/>
  <c r="Y134" i="1"/>
  <c r="X134" i="1"/>
  <c r="W134" i="1"/>
  <c r="V134" i="1"/>
  <c r="U134" i="1"/>
  <c r="T134" i="1"/>
  <c r="BA134" i="1" s="1"/>
  <c r="S134" i="1"/>
  <c r="R134" i="1"/>
  <c r="Q134" i="1"/>
  <c r="P134" i="1"/>
  <c r="O134" i="1"/>
  <c r="N134" i="1"/>
  <c r="AZ134" i="1" s="1"/>
  <c r="M134" i="1"/>
  <c r="L134" i="1"/>
  <c r="H134" i="1"/>
  <c r="AY134" i="1" s="1"/>
  <c r="G134" i="1"/>
  <c r="F134" i="1"/>
  <c r="E134" i="1"/>
  <c r="D134" i="1"/>
  <c r="C134" i="1"/>
  <c r="B134" i="1"/>
  <c r="A134" i="1"/>
  <c r="BE133" i="1"/>
  <c r="AT133" i="1"/>
  <c r="BC133" i="1" s="1"/>
  <c r="AS133" i="1"/>
  <c r="AL133" i="1"/>
  <c r="AK133" i="1"/>
  <c r="AG133" i="1"/>
  <c r="AF133" i="1"/>
  <c r="AE133" i="1"/>
  <c r="AD133" i="1"/>
  <c r="AC133" i="1"/>
  <c r="AB133" i="1"/>
  <c r="Z133" i="1"/>
  <c r="Y133" i="1"/>
  <c r="X133" i="1"/>
  <c r="W133" i="1"/>
  <c r="V133" i="1"/>
  <c r="U133" i="1"/>
  <c r="T133" i="1"/>
  <c r="BA133" i="1" s="1"/>
  <c r="S133" i="1"/>
  <c r="R133" i="1"/>
  <c r="Q133" i="1"/>
  <c r="P133" i="1"/>
  <c r="O133" i="1"/>
  <c r="N133" i="1"/>
  <c r="AZ133" i="1" s="1"/>
  <c r="M133" i="1"/>
  <c r="L133" i="1"/>
  <c r="H133" i="1"/>
  <c r="AY133" i="1" s="1"/>
  <c r="G133" i="1"/>
  <c r="F133" i="1"/>
  <c r="E133" i="1"/>
  <c r="D133" i="1"/>
  <c r="C133" i="1"/>
  <c r="B133" i="1"/>
  <c r="A133" i="1"/>
  <c r="BE132" i="1"/>
  <c r="AT132" i="1"/>
  <c r="BC132" i="1" s="1"/>
  <c r="AS132" i="1"/>
  <c r="AL132" i="1"/>
  <c r="AK132" i="1"/>
  <c r="AG132" i="1"/>
  <c r="AF132" i="1"/>
  <c r="AE132" i="1"/>
  <c r="AD132" i="1"/>
  <c r="AC132" i="1"/>
  <c r="AB132" i="1"/>
  <c r="Z132" i="1"/>
  <c r="Y132" i="1"/>
  <c r="X132" i="1"/>
  <c r="W132" i="1"/>
  <c r="V132" i="1"/>
  <c r="U132" i="1"/>
  <c r="T132" i="1"/>
  <c r="BA132" i="1" s="1"/>
  <c r="S132" i="1"/>
  <c r="R132" i="1"/>
  <c r="Q132" i="1"/>
  <c r="P132" i="1"/>
  <c r="O132" i="1"/>
  <c r="N132" i="1"/>
  <c r="AZ132" i="1" s="1"/>
  <c r="M132" i="1"/>
  <c r="L132" i="1"/>
  <c r="H132" i="1"/>
  <c r="AY132" i="1" s="1"/>
  <c r="G132" i="1"/>
  <c r="F132" i="1"/>
  <c r="E132" i="1"/>
  <c r="D132" i="1"/>
  <c r="C132" i="1"/>
  <c r="B132" i="1"/>
  <c r="A132" i="1"/>
  <c r="BE131" i="1"/>
  <c r="AT131" i="1"/>
  <c r="BC131" i="1" s="1"/>
  <c r="AS131" i="1"/>
  <c r="AL131" i="1"/>
  <c r="AK131" i="1"/>
  <c r="AG131" i="1"/>
  <c r="AF131" i="1"/>
  <c r="AE131" i="1"/>
  <c r="AD131" i="1"/>
  <c r="AC131" i="1"/>
  <c r="AB131" i="1"/>
  <c r="Z131" i="1"/>
  <c r="Y131" i="1"/>
  <c r="X131" i="1"/>
  <c r="W131" i="1"/>
  <c r="V131" i="1"/>
  <c r="U131" i="1"/>
  <c r="T131" i="1"/>
  <c r="BA131" i="1" s="1"/>
  <c r="S131" i="1"/>
  <c r="R131" i="1"/>
  <c r="Q131" i="1"/>
  <c r="P131" i="1"/>
  <c r="O131" i="1"/>
  <c r="N131" i="1"/>
  <c r="AZ131" i="1" s="1"/>
  <c r="M131" i="1"/>
  <c r="L131" i="1"/>
  <c r="H131" i="1"/>
  <c r="AY131" i="1" s="1"/>
  <c r="G131" i="1"/>
  <c r="F131" i="1"/>
  <c r="E131" i="1"/>
  <c r="D131" i="1"/>
  <c r="C131" i="1"/>
  <c r="B131" i="1"/>
  <c r="A131" i="1"/>
  <c r="BE130" i="1"/>
  <c r="AT130" i="1"/>
  <c r="BC130" i="1" s="1"/>
  <c r="AS130" i="1"/>
  <c r="AL130" i="1"/>
  <c r="AK130" i="1"/>
  <c r="AG130" i="1"/>
  <c r="AF130" i="1"/>
  <c r="AE130" i="1"/>
  <c r="AD130" i="1"/>
  <c r="AC130" i="1"/>
  <c r="AB130" i="1"/>
  <c r="Z130" i="1"/>
  <c r="Y130" i="1"/>
  <c r="X130" i="1"/>
  <c r="W130" i="1"/>
  <c r="V130" i="1"/>
  <c r="U130" i="1"/>
  <c r="T130" i="1"/>
  <c r="BA130" i="1" s="1"/>
  <c r="S130" i="1"/>
  <c r="R130" i="1"/>
  <c r="Q130" i="1"/>
  <c r="P130" i="1"/>
  <c r="O130" i="1"/>
  <c r="N130" i="1"/>
  <c r="AZ130" i="1" s="1"/>
  <c r="M130" i="1"/>
  <c r="L130" i="1"/>
  <c r="H130" i="1"/>
  <c r="AY130" i="1" s="1"/>
  <c r="G130" i="1"/>
  <c r="F130" i="1"/>
  <c r="E130" i="1"/>
  <c r="D130" i="1"/>
  <c r="C130" i="1"/>
  <c r="B130" i="1"/>
  <c r="A130" i="1"/>
  <c r="BE129" i="1"/>
  <c r="AT129" i="1"/>
  <c r="BC129" i="1" s="1"/>
  <c r="AS129" i="1"/>
  <c r="AL129" i="1"/>
  <c r="AK129" i="1"/>
  <c r="AG129" i="1"/>
  <c r="AF129" i="1"/>
  <c r="AE129" i="1"/>
  <c r="AD129" i="1"/>
  <c r="AC129" i="1"/>
  <c r="AB129" i="1"/>
  <c r="Z129" i="1"/>
  <c r="Y129" i="1"/>
  <c r="X129" i="1"/>
  <c r="W129" i="1"/>
  <c r="V129" i="1"/>
  <c r="U129" i="1"/>
  <c r="T129" i="1"/>
  <c r="BA129" i="1" s="1"/>
  <c r="S129" i="1"/>
  <c r="R129" i="1"/>
  <c r="Q129" i="1"/>
  <c r="P129" i="1"/>
  <c r="O129" i="1"/>
  <c r="N129" i="1"/>
  <c r="AZ129" i="1" s="1"/>
  <c r="M129" i="1"/>
  <c r="L129" i="1"/>
  <c r="H129" i="1"/>
  <c r="AY129" i="1" s="1"/>
  <c r="G129" i="1"/>
  <c r="F129" i="1"/>
  <c r="E129" i="1"/>
  <c r="D129" i="1"/>
  <c r="C129" i="1"/>
  <c r="B129" i="1"/>
  <c r="A129" i="1"/>
  <c r="AJ130" i="1" l="1"/>
  <c r="AJ158" i="1"/>
  <c r="AM129" i="1"/>
  <c r="AH148" i="1"/>
  <c r="AM141" i="1"/>
  <c r="AM131" i="1"/>
  <c r="AM133" i="1"/>
  <c r="AM145" i="1"/>
  <c r="AJ148" i="1"/>
  <c r="AX147" i="1"/>
  <c r="AW163" i="1"/>
  <c r="AJ166" i="1"/>
  <c r="AI132" i="1"/>
  <c r="AA132" i="1" s="1"/>
  <c r="AO132" i="1" s="1"/>
  <c r="AJ134" i="1"/>
  <c r="AJ136" i="1"/>
  <c r="AM147" i="1"/>
  <c r="AJ142" i="1"/>
  <c r="AI148" i="1"/>
  <c r="AA148" i="1" s="1"/>
  <c r="AO148" i="1" s="1"/>
  <c r="AH150" i="1"/>
  <c r="AM151" i="1"/>
  <c r="AI152" i="1"/>
  <c r="AJ132" i="1"/>
  <c r="AI139" i="1"/>
  <c r="AA139" i="1" s="1"/>
  <c r="AO139" i="1" s="1"/>
  <c r="AI140" i="1"/>
  <c r="AA140" i="1" s="1"/>
  <c r="AO140" i="1" s="1"/>
  <c r="AM143" i="1"/>
  <c r="AJ144" i="1"/>
  <c r="AJ146" i="1"/>
  <c r="AI147" i="1"/>
  <c r="AA147" i="1" s="1"/>
  <c r="AO147" i="1" s="1"/>
  <c r="AH152" i="1"/>
  <c r="AJ157" i="1"/>
  <c r="AU159" i="1"/>
  <c r="AH163" i="1"/>
  <c r="AX158" i="1"/>
  <c r="AJ140" i="1"/>
  <c r="AH144" i="1"/>
  <c r="AM158" i="1"/>
  <c r="AJ159" i="1"/>
  <c r="AM166" i="1"/>
  <c r="AI167" i="1"/>
  <c r="AA167" i="1" s="1"/>
  <c r="AO167" i="1" s="1"/>
  <c r="AI144" i="1"/>
  <c r="AA144" i="1" s="1"/>
  <c r="AO144" i="1" s="1"/>
  <c r="AH138" i="1"/>
  <c r="AW142" i="1"/>
  <c r="AW146" i="1"/>
  <c r="AJ150" i="1"/>
  <c r="AI151" i="1"/>
  <c r="AA151" i="1" s="1"/>
  <c r="AO151" i="1" s="1"/>
  <c r="AM154" i="1"/>
  <c r="AM159" i="1"/>
  <c r="AV159" i="1"/>
  <c r="AJ160" i="1"/>
  <c r="AI162" i="1"/>
  <c r="AA162" i="1" s="1"/>
  <c r="AO162" i="1" s="1"/>
  <c r="AI163" i="1"/>
  <c r="AA163" i="1" s="1"/>
  <c r="AO163" i="1" s="1"/>
  <c r="AI143" i="1"/>
  <c r="AA143" i="1" s="1"/>
  <c r="AO143" i="1" s="1"/>
  <c r="AM135" i="1"/>
  <c r="AH136" i="1"/>
  <c r="AH130" i="1"/>
  <c r="AH132" i="1"/>
  <c r="AH134" i="1"/>
  <c r="AI135" i="1"/>
  <c r="AA135" i="1" s="1"/>
  <c r="AO135" i="1" s="1"/>
  <c r="AM137" i="1"/>
  <c r="AJ138" i="1"/>
  <c r="AM139" i="1"/>
  <c r="AH140" i="1"/>
  <c r="AH142" i="1"/>
  <c r="AX145" i="1"/>
  <c r="AH146" i="1"/>
  <c r="AI159" i="1"/>
  <c r="AA159" i="1" s="1"/>
  <c r="AO159" i="1" s="1"/>
  <c r="AW159" i="1"/>
  <c r="AI160" i="1"/>
  <c r="AA160" i="1" s="1"/>
  <c r="AO160" i="1" s="1"/>
  <c r="AJ163" i="1"/>
  <c r="AU163" i="1"/>
  <c r="AJ164" i="1"/>
  <c r="AH165" i="1"/>
  <c r="AX166" i="1"/>
  <c r="AJ161" i="1"/>
  <c r="AJ162" i="1"/>
  <c r="AJ165" i="1"/>
  <c r="AJ167" i="1"/>
  <c r="AW161" i="1"/>
  <c r="AM162" i="1"/>
  <c r="AX162" i="1"/>
  <c r="AX160" i="1"/>
  <c r="AM160" i="1"/>
  <c r="AM149" i="1"/>
  <c r="AX149" i="1"/>
  <c r="AW150" i="1"/>
  <c r="AM163" i="1"/>
  <c r="AI154" i="1"/>
  <c r="AA154" i="1" s="1"/>
  <c r="AO154" i="1" s="1"/>
  <c r="AH155" i="1"/>
  <c r="AU155" i="1"/>
  <c r="AU161" i="1"/>
  <c r="AH164" i="1"/>
  <c r="AV158" i="1"/>
  <c r="AI155" i="1"/>
  <c r="AA155" i="1" s="1"/>
  <c r="AO155" i="1" s="1"/>
  <c r="AH160" i="1"/>
  <c r="AV160" i="1"/>
  <c r="AI164" i="1"/>
  <c r="AA164" i="1" s="1"/>
  <c r="AO164" i="1" s="1"/>
  <c r="AI166" i="1"/>
  <c r="AA166" i="1" s="1"/>
  <c r="AO166" i="1" s="1"/>
  <c r="AH167" i="1"/>
  <c r="AU167" i="1"/>
  <c r="AV164" i="1"/>
  <c r="AA152" i="1"/>
  <c r="AO152" i="1" s="1"/>
  <c r="AA136" i="1"/>
  <c r="AO136" i="1" s="1"/>
  <c r="AM164" i="1"/>
  <c r="AJ133" i="1"/>
  <c r="AI133" i="1"/>
  <c r="AA133" i="1" s="1"/>
  <c r="AO133" i="1" s="1"/>
  <c r="AH133" i="1"/>
  <c r="AI129" i="1"/>
  <c r="AA129" i="1" s="1"/>
  <c r="AO129" i="1" s="1"/>
  <c r="AI131" i="1"/>
  <c r="AA131" i="1" s="1"/>
  <c r="AO131" i="1" s="1"/>
  <c r="AJ141" i="1"/>
  <c r="AI141" i="1"/>
  <c r="AA141" i="1" s="1"/>
  <c r="AO141" i="1" s="1"/>
  <c r="AH141" i="1"/>
  <c r="AJ145" i="1"/>
  <c r="AI145" i="1"/>
  <c r="AA145" i="1" s="1"/>
  <c r="AO145" i="1" s="1"/>
  <c r="AH145" i="1"/>
  <c r="AJ149" i="1"/>
  <c r="AI149" i="1"/>
  <c r="AA149" i="1" s="1"/>
  <c r="AH149" i="1"/>
  <c r="AM130" i="1"/>
  <c r="AH131" i="1"/>
  <c r="AJ131" i="1"/>
  <c r="AM132" i="1"/>
  <c r="AM153" i="1"/>
  <c r="AM136" i="1"/>
  <c r="AJ129" i="1"/>
  <c r="AH129" i="1"/>
  <c r="AJ137" i="1"/>
  <c r="AI137" i="1"/>
  <c r="AA137" i="1" s="1"/>
  <c r="AO137" i="1" s="1"/>
  <c r="AH137" i="1"/>
  <c r="AM140" i="1"/>
  <c r="AM144" i="1"/>
  <c r="AX148" i="1"/>
  <c r="AW148" i="1"/>
  <c r="AM148" i="1"/>
  <c r="AJ135" i="1"/>
  <c r="AJ139" i="1"/>
  <c r="AX142" i="1"/>
  <c r="AJ143" i="1"/>
  <c r="AX146" i="1"/>
  <c r="AJ147" i="1"/>
  <c r="AX150" i="1"/>
  <c r="AJ151" i="1"/>
  <c r="AI153" i="1"/>
  <c r="AA153" i="1" s="1"/>
  <c r="AO153" i="1" s="1"/>
  <c r="AJ153" i="1"/>
  <c r="AM155" i="1"/>
  <c r="AW156" i="1"/>
  <c r="AM156" i="1"/>
  <c r="AV157" i="1"/>
  <c r="AI157" i="1"/>
  <c r="AA157" i="1" s="1"/>
  <c r="AO157" i="1" s="1"/>
  <c r="AH157" i="1"/>
  <c r="AX167" i="1"/>
  <c r="AW167" i="1"/>
  <c r="AM167" i="1"/>
  <c r="AJ168" i="1"/>
  <c r="AV168" i="1"/>
  <c r="AH168" i="1"/>
  <c r="AI168" i="1"/>
  <c r="AA168" i="1" s="1"/>
  <c r="AO168" i="1" s="1"/>
  <c r="AU168" i="1"/>
  <c r="AJ156" i="1"/>
  <c r="AV156" i="1"/>
  <c r="AH156" i="1"/>
  <c r="AI130" i="1"/>
  <c r="AA130" i="1" s="1"/>
  <c r="AO130" i="1" s="1"/>
  <c r="AI134" i="1"/>
  <c r="AA134" i="1" s="1"/>
  <c r="AO134" i="1" s="1"/>
  <c r="AH135" i="1"/>
  <c r="AI138" i="1"/>
  <c r="AA138" i="1" s="1"/>
  <c r="AO138" i="1" s="1"/>
  <c r="AH139" i="1"/>
  <c r="AI142" i="1"/>
  <c r="AA142" i="1" s="1"/>
  <c r="AO142" i="1" s="1"/>
  <c r="AH143" i="1"/>
  <c r="AI146" i="1"/>
  <c r="AA146" i="1" s="1"/>
  <c r="AO146" i="1" s="1"/>
  <c r="AH147" i="1"/>
  <c r="AI150" i="1"/>
  <c r="AA150" i="1" s="1"/>
  <c r="AO150" i="1" s="1"/>
  <c r="AH151" i="1"/>
  <c r="AJ152" i="1"/>
  <c r="AU154" i="1"/>
  <c r="AH154" i="1"/>
  <c r="AJ154" i="1"/>
  <c r="AJ155" i="1"/>
  <c r="AI156" i="1"/>
  <c r="AA156" i="1" s="1"/>
  <c r="AO156" i="1" s="1"/>
  <c r="AU156" i="1"/>
  <c r="AW157" i="1"/>
  <c r="AU158" i="1"/>
  <c r="AH158" i="1"/>
  <c r="AI158" i="1"/>
  <c r="AA158" i="1" s="1"/>
  <c r="AO158" i="1" s="1"/>
  <c r="AM168" i="1"/>
  <c r="AX157" i="1"/>
  <c r="AU160" i="1"/>
  <c r="AV161" i="1"/>
  <c r="AI161" i="1"/>
  <c r="AA161" i="1" s="1"/>
  <c r="AO161" i="1" s="1"/>
  <c r="AX161" i="1"/>
  <c r="AU162" i="1"/>
  <c r="AH162" i="1"/>
  <c r="AW165" i="1"/>
  <c r="AU164" i="1"/>
  <c r="AV165" i="1"/>
  <c r="AI165" i="1"/>
  <c r="AA165" i="1" s="1"/>
  <c r="AO165" i="1" s="1"/>
  <c r="AX165" i="1"/>
  <c r="AU166" i="1"/>
  <c r="AH166" i="1"/>
  <c r="AN145" i="1" l="1"/>
  <c r="AN146" i="1"/>
  <c r="AN147" i="1"/>
  <c r="AN148" i="1"/>
  <c r="AN149" i="1"/>
  <c r="AP149" i="1" s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R159" i="1" l="1"/>
  <c r="BF159" i="1"/>
  <c r="BG159" i="1" s="1"/>
  <c r="AP159" i="1"/>
  <c r="BD159" i="1" s="1"/>
  <c r="AP155" i="1"/>
  <c r="BD155" i="1" s="1"/>
  <c r="AR155" i="1"/>
  <c r="BF155" i="1"/>
  <c r="BG155" i="1" s="1"/>
  <c r="AP151" i="1"/>
  <c r="BD151" i="1" s="1"/>
  <c r="AR151" i="1"/>
  <c r="BF151" i="1"/>
  <c r="BG151" i="1" s="1"/>
  <c r="AP147" i="1"/>
  <c r="BD147" i="1" s="1"/>
  <c r="AR147" i="1"/>
  <c r="BF147" i="1"/>
  <c r="BG147" i="1" s="1"/>
  <c r="AR152" i="1"/>
  <c r="AP152" i="1"/>
  <c r="BD152" i="1" s="1"/>
  <c r="BF152" i="1"/>
  <c r="BG152" i="1" s="1"/>
  <c r="BF162" i="1"/>
  <c r="BG162" i="1" s="1"/>
  <c r="AP162" i="1"/>
  <c r="BD162" i="1" s="1"/>
  <c r="AR162" i="1"/>
  <c r="AP158" i="1"/>
  <c r="BD158" i="1" s="1"/>
  <c r="AR158" i="1"/>
  <c r="BF158" i="1"/>
  <c r="BG158" i="1" s="1"/>
  <c r="AP154" i="1"/>
  <c r="BD154" i="1" s="1"/>
  <c r="AR154" i="1"/>
  <c r="BF154" i="1"/>
  <c r="BG154" i="1" s="1"/>
  <c r="BF146" i="1"/>
  <c r="BG146" i="1" s="1"/>
  <c r="AR146" i="1"/>
  <c r="AP146" i="1"/>
  <c r="BD146" i="1" s="1"/>
  <c r="AR160" i="1"/>
  <c r="BF160" i="1"/>
  <c r="BG160" i="1" s="1"/>
  <c r="AP160" i="1"/>
  <c r="BD160" i="1" s="1"/>
  <c r="AP161" i="1"/>
  <c r="BD161" i="1" s="1"/>
  <c r="BF161" i="1"/>
  <c r="BG161" i="1" s="1"/>
  <c r="AR161" i="1"/>
  <c r="BF157" i="1"/>
  <c r="BG157" i="1" s="1"/>
  <c r="AP157" i="1"/>
  <c r="BD157" i="1" s="1"/>
  <c r="AR157" i="1"/>
  <c r="AP153" i="1"/>
  <c r="BD153" i="1" s="1"/>
  <c r="AR153" i="1"/>
  <c r="BF153" i="1"/>
  <c r="BG153" i="1" s="1"/>
  <c r="AR145" i="1"/>
  <c r="BF145" i="1"/>
  <c r="BG145" i="1" s="1"/>
  <c r="AP145" i="1"/>
  <c r="BD145" i="1" s="1"/>
  <c r="AR148" i="1"/>
  <c r="AP148" i="1"/>
  <c r="BD148" i="1" s="1"/>
  <c r="BF148" i="1"/>
  <c r="BG148" i="1" s="1"/>
  <c r="BF150" i="1"/>
  <c r="BG150" i="1" s="1"/>
  <c r="AR150" i="1"/>
  <c r="AP150" i="1"/>
  <c r="BD150" i="1" s="1"/>
  <c r="AR149" i="1"/>
  <c r="BF149" i="1"/>
  <c r="BG149" i="1" s="1"/>
  <c r="BD149" i="1"/>
  <c r="AR168" i="1"/>
  <c r="AP168" i="1"/>
  <c r="BD168" i="1" s="1"/>
  <c r="BF168" i="1"/>
  <c r="BG168" i="1" s="1"/>
  <c r="AP166" i="1"/>
  <c r="BD166" i="1" s="1"/>
  <c r="AR166" i="1"/>
  <c r="BF166" i="1"/>
  <c r="BG166" i="1" s="1"/>
  <c r="AR167" i="1"/>
  <c r="BF167" i="1"/>
  <c r="BG167" i="1" s="1"/>
  <c r="AP167" i="1"/>
  <c r="BD167" i="1" s="1"/>
  <c r="BF163" i="1"/>
  <c r="BG163" i="1" s="1"/>
  <c r="AP163" i="1"/>
  <c r="BD163" i="1" s="1"/>
  <c r="AR163" i="1"/>
  <c r="AP156" i="1"/>
  <c r="BD156" i="1" s="1"/>
  <c r="AR156" i="1"/>
  <c r="BF156" i="1"/>
  <c r="BG156" i="1" s="1"/>
  <c r="BF165" i="1"/>
  <c r="BG165" i="1" s="1"/>
  <c r="AR165" i="1"/>
  <c r="AP165" i="1"/>
  <c r="BD165" i="1" s="1"/>
  <c r="BF164" i="1"/>
  <c r="BG164" i="1" s="1"/>
  <c r="AR164" i="1"/>
  <c r="AP164" i="1"/>
  <c r="BD164" i="1" s="1"/>
  <c r="B932" i="5"/>
  <c r="B933" i="5"/>
  <c r="B934" i="5"/>
  <c r="B931" i="5"/>
  <c r="C128" i="1" l="1"/>
  <c r="C127" i="1"/>
  <c r="C126" i="1"/>
  <c r="C125" i="1"/>
  <c r="C123" i="1"/>
  <c r="C124" i="1"/>
  <c r="A123" i="1"/>
  <c r="B123" i="1"/>
  <c r="D123" i="1"/>
  <c r="E123" i="1"/>
  <c r="F123" i="1"/>
  <c r="G123" i="1"/>
  <c r="H123" i="1"/>
  <c r="AY123" i="1" s="1"/>
  <c r="L123" i="1"/>
  <c r="M123" i="1"/>
  <c r="N123" i="1"/>
  <c r="AZ123" i="1" s="1"/>
  <c r="O123" i="1"/>
  <c r="BG123" i="1" s="1"/>
  <c r="P123" i="1"/>
  <c r="Q123" i="1"/>
  <c r="R123" i="1"/>
  <c r="S123" i="1"/>
  <c r="T123" i="1"/>
  <c r="BA123" i="1" s="1"/>
  <c r="U123" i="1"/>
  <c r="V123" i="1"/>
  <c r="W123" i="1"/>
  <c r="X123" i="1"/>
  <c r="Y123" i="1"/>
  <c r="Z123" i="1"/>
  <c r="AB123" i="1"/>
  <c r="AC123" i="1"/>
  <c r="AD123" i="1"/>
  <c r="AE123" i="1"/>
  <c r="AF123" i="1"/>
  <c r="AG123" i="1"/>
  <c r="AH123" i="1" s="1"/>
  <c r="AK123" i="1"/>
  <c r="AL123" i="1"/>
  <c r="AS123" i="1"/>
  <c r="AT123" i="1"/>
  <c r="BC123" i="1" s="1"/>
  <c r="BE123" i="1"/>
  <c r="A124" i="1"/>
  <c r="B124" i="1"/>
  <c r="D124" i="1"/>
  <c r="E124" i="1"/>
  <c r="F124" i="1"/>
  <c r="G124" i="1"/>
  <c r="H124" i="1"/>
  <c r="AY124" i="1" s="1"/>
  <c r="L124" i="1"/>
  <c r="M124" i="1"/>
  <c r="N124" i="1"/>
  <c r="AZ124" i="1" s="1"/>
  <c r="O124" i="1"/>
  <c r="P124" i="1"/>
  <c r="Q124" i="1"/>
  <c r="R124" i="1"/>
  <c r="S124" i="1"/>
  <c r="T124" i="1"/>
  <c r="BA124" i="1" s="1"/>
  <c r="U124" i="1"/>
  <c r="V124" i="1"/>
  <c r="W124" i="1"/>
  <c r="X124" i="1"/>
  <c r="Y124" i="1"/>
  <c r="Z124" i="1"/>
  <c r="AB124" i="1"/>
  <c r="AC124" i="1"/>
  <c r="AD124" i="1"/>
  <c r="AE124" i="1"/>
  <c r="AF124" i="1"/>
  <c r="AG124" i="1"/>
  <c r="AK124" i="1"/>
  <c r="AL124" i="1"/>
  <c r="AM124" i="1" s="1"/>
  <c r="AS124" i="1"/>
  <c r="AT124" i="1"/>
  <c r="BC124" i="1" s="1"/>
  <c r="BE124" i="1"/>
  <c r="A125" i="1"/>
  <c r="B125" i="1"/>
  <c r="D125" i="1"/>
  <c r="E125" i="1"/>
  <c r="F125" i="1"/>
  <c r="G125" i="1"/>
  <c r="H125" i="1"/>
  <c r="AY125" i="1" s="1"/>
  <c r="L125" i="1"/>
  <c r="M125" i="1"/>
  <c r="N125" i="1"/>
  <c r="AZ125" i="1" s="1"/>
  <c r="O125" i="1"/>
  <c r="P125" i="1"/>
  <c r="Q125" i="1"/>
  <c r="R125" i="1"/>
  <c r="S125" i="1"/>
  <c r="T125" i="1"/>
  <c r="BA125" i="1" s="1"/>
  <c r="U125" i="1"/>
  <c r="V125" i="1"/>
  <c r="W125" i="1"/>
  <c r="X125" i="1"/>
  <c r="Y125" i="1"/>
  <c r="Z125" i="1"/>
  <c r="AB125" i="1"/>
  <c r="AC125" i="1"/>
  <c r="AD125" i="1"/>
  <c r="AE125" i="1"/>
  <c r="AF125" i="1"/>
  <c r="AG125" i="1"/>
  <c r="AH125" i="1" s="1"/>
  <c r="AK125" i="1"/>
  <c r="AL125" i="1"/>
  <c r="AS125" i="1"/>
  <c r="AT125" i="1"/>
  <c r="BC125" i="1" s="1"/>
  <c r="BE125" i="1"/>
  <c r="A126" i="1"/>
  <c r="B126" i="1"/>
  <c r="D126" i="1"/>
  <c r="E126" i="1"/>
  <c r="F126" i="1"/>
  <c r="G126" i="1"/>
  <c r="H126" i="1"/>
  <c r="AY126" i="1" s="1"/>
  <c r="L126" i="1"/>
  <c r="M126" i="1"/>
  <c r="N126" i="1"/>
  <c r="AZ126" i="1" s="1"/>
  <c r="O126" i="1"/>
  <c r="P126" i="1"/>
  <c r="Q126" i="1"/>
  <c r="R126" i="1"/>
  <c r="S126" i="1"/>
  <c r="T126" i="1"/>
  <c r="BA126" i="1" s="1"/>
  <c r="U126" i="1"/>
  <c r="V126" i="1"/>
  <c r="W126" i="1"/>
  <c r="X126" i="1"/>
  <c r="Y126" i="1"/>
  <c r="Z126" i="1"/>
  <c r="AB126" i="1"/>
  <c r="AC126" i="1"/>
  <c r="AD126" i="1"/>
  <c r="AE126" i="1"/>
  <c r="AF126" i="1"/>
  <c r="AG126" i="1"/>
  <c r="AK126" i="1"/>
  <c r="AL126" i="1"/>
  <c r="AM126" i="1" s="1"/>
  <c r="AS126" i="1"/>
  <c r="AT126" i="1"/>
  <c r="BC126" i="1" s="1"/>
  <c r="BE126" i="1"/>
  <c r="A127" i="1"/>
  <c r="B127" i="1"/>
  <c r="D127" i="1"/>
  <c r="E127" i="1"/>
  <c r="F127" i="1"/>
  <c r="G127" i="1"/>
  <c r="H127" i="1"/>
  <c r="AY127" i="1" s="1"/>
  <c r="L127" i="1"/>
  <c r="M127" i="1"/>
  <c r="N127" i="1"/>
  <c r="AZ127" i="1" s="1"/>
  <c r="O127" i="1"/>
  <c r="P127" i="1"/>
  <c r="Q127" i="1"/>
  <c r="R127" i="1"/>
  <c r="S127" i="1"/>
  <c r="T127" i="1"/>
  <c r="BA127" i="1" s="1"/>
  <c r="U127" i="1"/>
  <c r="V127" i="1"/>
  <c r="W127" i="1"/>
  <c r="X127" i="1"/>
  <c r="Y127" i="1"/>
  <c r="Z127" i="1"/>
  <c r="AB127" i="1"/>
  <c r="AC127" i="1"/>
  <c r="AD127" i="1"/>
  <c r="AE127" i="1"/>
  <c r="AF127" i="1"/>
  <c r="AG127" i="1"/>
  <c r="AH127" i="1" s="1"/>
  <c r="AK127" i="1"/>
  <c r="AL127" i="1"/>
  <c r="AS127" i="1"/>
  <c r="AT127" i="1"/>
  <c r="BC127" i="1" s="1"/>
  <c r="BE127" i="1"/>
  <c r="A128" i="1"/>
  <c r="B128" i="1"/>
  <c r="D128" i="1"/>
  <c r="E128" i="1"/>
  <c r="F128" i="1"/>
  <c r="G128" i="1"/>
  <c r="H128" i="1"/>
  <c r="AY128" i="1" s="1"/>
  <c r="L128" i="1"/>
  <c r="M128" i="1"/>
  <c r="N128" i="1"/>
  <c r="AZ128" i="1" s="1"/>
  <c r="O128" i="1"/>
  <c r="P128" i="1"/>
  <c r="Q128" i="1"/>
  <c r="R128" i="1"/>
  <c r="S128" i="1"/>
  <c r="T128" i="1"/>
  <c r="BA128" i="1" s="1"/>
  <c r="U128" i="1"/>
  <c r="V128" i="1"/>
  <c r="W128" i="1"/>
  <c r="X128" i="1"/>
  <c r="Y128" i="1"/>
  <c r="Z128" i="1"/>
  <c r="AB128" i="1"/>
  <c r="AC128" i="1"/>
  <c r="AD128" i="1"/>
  <c r="AE128" i="1"/>
  <c r="AF128" i="1"/>
  <c r="AG128" i="1"/>
  <c r="AK128" i="1"/>
  <c r="AL128" i="1"/>
  <c r="AS128" i="1"/>
  <c r="AT128" i="1"/>
  <c r="BC128" i="1" s="1"/>
  <c r="BE128" i="1"/>
  <c r="AJ126" i="1" l="1"/>
  <c r="AJ124" i="1"/>
  <c r="AJ127" i="1"/>
  <c r="AJ123" i="1"/>
  <c r="AI127" i="1"/>
  <c r="AA127" i="1" s="1"/>
  <c r="AO127" i="1" s="1"/>
  <c r="AI123" i="1"/>
  <c r="AA123" i="1" s="1"/>
  <c r="AO123" i="1" s="1"/>
  <c r="AJ128" i="1"/>
  <c r="AI124" i="1"/>
  <c r="AA124" i="1" s="1"/>
  <c r="AO124" i="1" s="1"/>
  <c r="AI128" i="1"/>
  <c r="AA128" i="1" s="1"/>
  <c r="AO128" i="1" s="1"/>
  <c r="AM125" i="1"/>
  <c r="AM128" i="1"/>
  <c r="AH128" i="1"/>
  <c r="AM127" i="1"/>
  <c r="AH126" i="1"/>
  <c r="AI126" i="1"/>
  <c r="AA126" i="1" s="1"/>
  <c r="AO126" i="1" s="1"/>
  <c r="AI125" i="1"/>
  <c r="AA125" i="1" s="1"/>
  <c r="AO125" i="1" s="1"/>
  <c r="AJ125" i="1"/>
  <c r="AH124" i="1"/>
  <c r="AM123" i="1"/>
  <c r="AN138" i="1"/>
  <c r="AN139" i="1"/>
  <c r="AN140" i="1"/>
  <c r="AN141" i="1"/>
  <c r="AN142" i="1"/>
  <c r="AN143" i="1"/>
  <c r="AN144" i="1"/>
  <c r="AP140" i="1" l="1"/>
  <c r="BD140" i="1" s="1"/>
  <c r="AR140" i="1"/>
  <c r="BF140" i="1"/>
  <c r="BG140" i="1" s="1"/>
  <c r="AP144" i="1"/>
  <c r="BD144" i="1" s="1"/>
  <c r="BF144" i="1"/>
  <c r="BG144" i="1" s="1"/>
  <c r="AR144" i="1"/>
  <c r="AP143" i="1"/>
  <c r="BD143" i="1" s="1"/>
  <c r="AR143" i="1"/>
  <c r="BF143" i="1"/>
  <c r="BG143" i="1" s="1"/>
  <c r="AP139" i="1"/>
  <c r="BD139" i="1" s="1"/>
  <c r="AR139" i="1"/>
  <c r="BF139" i="1"/>
  <c r="BG139" i="1" s="1"/>
  <c r="AR141" i="1"/>
  <c r="BF141" i="1"/>
  <c r="BG141" i="1" s="1"/>
  <c r="AP141" i="1"/>
  <c r="BD141" i="1" s="1"/>
  <c r="BF142" i="1"/>
  <c r="BG142" i="1" s="1"/>
  <c r="AP142" i="1"/>
  <c r="BD142" i="1" s="1"/>
  <c r="AR142" i="1"/>
  <c r="BF138" i="1"/>
  <c r="BG138" i="1" s="1"/>
  <c r="AP138" i="1"/>
  <c r="BD138" i="1" s="1"/>
  <c r="AR138" i="1"/>
  <c r="AN137" i="1" l="1"/>
  <c r="AN136" i="1"/>
  <c r="BF136" i="1" l="1"/>
  <c r="BG136" i="1" s="1"/>
  <c r="AP136" i="1"/>
  <c r="BD136" i="1" s="1"/>
  <c r="AR136" i="1"/>
  <c r="BF137" i="1"/>
  <c r="BG137" i="1" s="1"/>
  <c r="AP137" i="1"/>
  <c r="BD137" i="1" s="1"/>
  <c r="AR137" i="1"/>
  <c r="AN135" i="1"/>
  <c r="AN134" i="1"/>
  <c r="AP135" i="1" l="1"/>
  <c r="BD135" i="1" s="1"/>
  <c r="AR135" i="1"/>
  <c r="BF135" i="1"/>
  <c r="BG135" i="1" s="1"/>
  <c r="BF134" i="1"/>
  <c r="BG134" i="1" s="1"/>
  <c r="AR134" i="1"/>
  <c r="AP134" i="1"/>
  <c r="BD134" i="1" s="1"/>
  <c r="AN133" i="1" l="1"/>
  <c r="AN132" i="1"/>
  <c r="BF132" i="1" l="1"/>
  <c r="BG132" i="1" s="1"/>
  <c r="AP132" i="1"/>
  <c r="BD132" i="1" s="1"/>
  <c r="AR132" i="1"/>
  <c r="BF133" i="1"/>
  <c r="BG133" i="1" s="1"/>
  <c r="AR133" i="1"/>
  <c r="AP133" i="1"/>
  <c r="BD133" i="1" s="1"/>
  <c r="AN131" i="1"/>
  <c r="AP131" i="1" l="1"/>
  <c r="BD131" i="1" s="1"/>
  <c r="AR131" i="1"/>
  <c r="BF131" i="1"/>
  <c r="BG131" i="1" s="1"/>
  <c r="AN124" i="1" l="1"/>
  <c r="AN125" i="1"/>
  <c r="AN126" i="1"/>
  <c r="AN127" i="1"/>
  <c r="AN128" i="1"/>
  <c r="AN129" i="1"/>
  <c r="AN130" i="1"/>
  <c r="AR130" i="1" l="1"/>
  <c r="AP130" i="1"/>
  <c r="BD130" i="1" s="1"/>
  <c r="BF130" i="1"/>
  <c r="BG130" i="1" s="1"/>
  <c r="BF129" i="1"/>
  <c r="BG129" i="1" s="1"/>
  <c r="AR129" i="1"/>
  <c r="AP129" i="1"/>
  <c r="BD129" i="1" s="1"/>
  <c r="AP127" i="1"/>
  <c r="BD127" i="1" s="1"/>
  <c r="AR127" i="1"/>
  <c r="BF127" i="1"/>
  <c r="BG127" i="1" s="1"/>
  <c r="AP126" i="1"/>
  <c r="BD126" i="1" s="1"/>
  <c r="BF126" i="1"/>
  <c r="BG126" i="1" s="1"/>
  <c r="AR126" i="1"/>
  <c r="AR125" i="1"/>
  <c r="AP125" i="1"/>
  <c r="BD125" i="1" s="1"/>
  <c r="BF125" i="1"/>
  <c r="BG125" i="1" s="1"/>
  <c r="AP128" i="1"/>
  <c r="BD128" i="1" s="1"/>
  <c r="BF128" i="1"/>
  <c r="BG128" i="1" s="1"/>
  <c r="AR128" i="1"/>
  <c r="AR124" i="1"/>
  <c r="AP124" i="1"/>
  <c r="BD124" i="1" s="1"/>
  <c r="BF124" i="1"/>
  <c r="BG124" i="1" s="1"/>
  <c r="L118" i="1"/>
  <c r="L119" i="1"/>
  <c r="L120" i="1"/>
  <c r="L121" i="1"/>
  <c r="L122" i="1"/>
  <c r="BE122" i="1" l="1"/>
  <c r="AT122" i="1"/>
  <c r="BC122" i="1" s="1"/>
  <c r="AS122" i="1"/>
  <c r="AL122" i="1"/>
  <c r="AM122" i="1" s="1"/>
  <c r="AK122" i="1"/>
  <c r="AG122" i="1"/>
  <c r="AH122" i="1" s="1"/>
  <c r="AF122" i="1"/>
  <c r="AE122" i="1"/>
  <c r="AD122" i="1"/>
  <c r="AC122" i="1"/>
  <c r="AB122" i="1"/>
  <c r="Z122" i="1"/>
  <c r="Y122" i="1"/>
  <c r="X122" i="1"/>
  <c r="W122" i="1"/>
  <c r="V122" i="1"/>
  <c r="U122" i="1"/>
  <c r="T122" i="1"/>
  <c r="BA122" i="1" s="1"/>
  <c r="S122" i="1"/>
  <c r="R122" i="1"/>
  <c r="Q122" i="1"/>
  <c r="P122" i="1"/>
  <c r="O122" i="1"/>
  <c r="N122" i="1"/>
  <c r="AZ122" i="1" s="1"/>
  <c r="M122" i="1"/>
  <c r="H122" i="1"/>
  <c r="AY122" i="1" s="1"/>
  <c r="G122" i="1"/>
  <c r="F122" i="1"/>
  <c r="E122" i="1"/>
  <c r="D122" i="1"/>
  <c r="C122" i="1"/>
  <c r="B122" i="1"/>
  <c r="A122" i="1"/>
  <c r="BE121" i="1"/>
  <c r="AT121" i="1"/>
  <c r="BC121" i="1" s="1"/>
  <c r="AS121" i="1"/>
  <c r="AL121" i="1"/>
  <c r="AK121" i="1"/>
  <c r="AG121" i="1"/>
  <c r="AF121" i="1"/>
  <c r="AE121" i="1"/>
  <c r="AD121" i="1"/>
  <c r="AC121" i="1"/>
  <c r="AB121" i="1"/>
  <c r="Z121" i="1"/>
  <c r="Y121" i="1"/>
  <c r="X121" i="1"/>
  <c r="W121" i="1"/>
  <c r="V121" i="1"/>
  <c r="U121" i="1"/>
  <c r="T121" i="1"/>
  <c r="BA121" i="1" s="1"/>
  <c r="S121" i="1"/>
  <c r="R121" i="1"/>
  <c r="Q121" i="1"/>
  <c r="P121" i="1"/>
  <c r="O121" i="1"/>
  <c r="N121" i="1"/>
  <c r="AZ121" i="1" s="1"/>
  <c r="M121" i="1"/>
  <c r="H121" i="1"/>
  <c r="AY121" i="1" s="1"/>
  <c r="G121" i="1"/>
  <c r="F121" i="1"/>
  <c r="E121" i="1"/>
  <c r="D121" i="1"/>
  <c r="C121" i="1"/>
  <c r="B121" i="1"/>
  <c r="A121" i="1"/>
  <c r="BE120" i="1"/>
  <c r="AT120" i="1"/>
  <c r="BC120" i="1" s="1"/>
  <c r="AS120" i="1"/>
  <c r="AL120" i="1"/>
  <c r="AK120" i="1"/>
  <c r="AG120" i="1"/>
  <c r="AF120" i="1"/>
  <c r="AE120" i="1"/>
  <c r="AD120" i="1"/>
  <c r="AC120" i="1"/>
  <c r="AB120" i="1"/>
  <c r="Z120" i="1"/>
  <c r="Y120" i="1"/>
  <c r="X120" i="1"/>
  <c r="W120" i="1"/>
  <c r="V120" i="1"/>
  <c r="U120" i="1"/>
  <c r="T120" i="1"/>
  <c r="BA120" i="1" s="1"/>
  <c r="S120" i="1"/>
  <c r="R120" i="1"/>
  <c r="Q120" i="1"/>
  <c r="P120" i="1"/>
  <c r="O120" i="1"/>
  <c r="N120" i="1"/>
  <c r="AZ120" i="1" s="1"/>
  <c r="M120" i="1"/>
  <c r="H120" i="1"/>
  <c r="AY120" i="1" s="1"/>
  <c r="G120" i="1"/>
  <c r="F120" i="1"/>
  <c r="E120" i="1"/>
  <c r="D120" i="1"/>
  <c r="C120" i="1"/>
  <c r="B120" i="1"/>
  <c r="A120" i="1"/>
  <c r="BE119" i="1"/>
  <c r="AT119" i="1"/>
  <c r="BC119" i="1" s="1"/>
  <c r="AS119" i="1"/>
  <c r="AL119" i="1"/>
  <c r="AK119" i="1"/>
  <c r="AG119" i="1"/>
  <c r="AF119" i="1"/>
  <c r="AE119" i="1"/>
  <c r="AD119" i="1"/>
  <c r="AC119" i="1"/>
  <c r="AB119" i="1"/>
  <c r="Z119" i="1"/>
  <c r="Y119" i="1"/>
  <c r="X119" i="1"/>
  <c r="W119" i="1"/>
  <c r="V119" i="1"/>
  <c r="U119" i="1"/>
  <c r="T119" i="1"/>
  <c r="BA119" i="1" s="1"/>
  <c r="S119" i="1"/>
  <c r="R119" i="1"/>
  <c r="Q119" i="1"/>
  <c r="P119" i="1"/>
  <c r="O119" i="1"/>
  <c r="N119" i="1"/>
  <c r="AZ119" i="1" s="1"/>
  <c r="M119" i="1"/>
  <c r="H119" i="1"/>
  <c r="AY119" i="1" s="1"/>
  <c r="G119" i="1"/>
  <c r="F119" i="1"/>
  <c r="E119" i="1"/>
  <c r="D119" i="1"/>
  <c r="C119" i="1"/>
  <c r="B119" i="1"/>
  <c r="A119" i="1"/>
  <c r="BE118" i="1"/>
  <c r="AT118" i="1"/>
  <c r="BC118" i="1" s="1"/>
  <c r="AS118" i="1"/>
  <c r="AL118" i="1"/>
  <c r="AM118" i="1" s="1"/>
  <c r="AK118" i="1"/>
  <c r="AG118" i="1"/>
  <c r="AF118" i="1"/>
  <c r="AE118" i="1"/>
  <c r="AD118" i="1"/>
  <c r="AC118" i="1"/>
  <c r="AB118" i="1"/>
  <c r="Z118" i="1"/>
  <c r="Y118" i="1"/>
  <c r="X118" i="1"/>
  <c r="W118" i="1"/>
  <c r="V118" i="1"/>
  <c r="U118" i="1"/>
  <c r="T118" i="1"/>
  <c r="BA118" i="1" s="1"/>
  <c r="S118" i="1"/>
  <c r="R118" i="1"/>
  <c r="Q118" i="1"/>
  <c r="P118" i="1"/>
  <c r="O118" i="1"/>
  <c r="N118" i="1"/>
  <c r="AZ118" i="1" s="1"/>
  <c r="M118" i="1"/>
  <c r="H118" i="1"/>
  <c r="AY118" i="1" s="1"/>
  <c r="G118" i="1"/>
  <c r="F118" i="1"/>
  <c r="E118" i="1"/>
  <c r="D118" i="1"/>
  <c r="C118" i="1"/>
  <c r="B118" i="1"/>
  <c r="A118" i="1"/>
  <c r="BE117" i="1"/>
  <c r="AT117" i="1"/>
  <c r="BC117" i="1" s="1"/>
  <c r="AS117" i="1"/>
  <c r="AL117" i="1"/>
  <c r="AM117" i="1" s="1"/>
  <c r="AK117" i="1"/>
  <c r="AG117" i="1"/>
  <c r="AI117" i="1" s="1"/>
  <c r="AF117" i="1"/>
  <c r="AE117" i="1"/>
  <c r="AD117" i="1"/>
  <c r="AC117" i="1"/>
  <c r="AB117" i="1"/>
  <c r="Z117" i="1"/>
  <c r="Y117" i="1"/>
  <c r="X117" i="1"/>
  <c r="W117" i="1"/>
  <c r="V117" i="1"/>
  <c r="U117" i="1"/>
  <c r="T117" i="1"/>
  <c r="BA117" i="1" s="1"/>
  <c r="S117" i="1"/>
  <c r="R117" i="1"/>
  <c r="Q117" i="1"/>
  <c r="P117" i="1"/>
  <c r="O117" i="1"/>
  <c r="N117" i="1"/>
  <c r="AZ117" i="1" s="1"/>
  <c r="M117" i="1"/>
  <c r="L117" i="1"/>
  <c r="H117" i="1"/>
  <c r="AY117" i="1" s="1"/>
  <c r="G117" i="1"/>
  <c r="F117" i="1"/>
  <c r="E117" i="1"/>
  <c r="D117" i="1"/>
  <c r="C117" i="1"/>
  <c r="B117" i="1"/>
  <c r="A117" i="1"/>
  <c r="BE116" i="1"/>
  <c r="AT116" i="1"/>
  <c r="BC116" i="1" s="1"/>
  <c r="AS116" i="1"/>
  <c r="AL116" i="1"/>
  <c r="AK116" i="1"/>
  <c r="AG116" i="1"/>
  <c r="AF116" i="1"/>
  <c r="AE116" i="1"/>
  <c r="AD116" i="1"/>
  <c r="AC116" i="1"/>
  <c r="AB116" i="1"/>
  <c r="Z116" i="1"/>
  <c r="Y116" i="1"/>
  <c r="X116" i="1"/>
  <c r="W116" i="1"/>
  <c r="V116" i="1"/>
  <c r="U116" i="1"/>
  <c r="T116" i="1"/>
  <c r="BA116" i="1" s="1"/>
  <c r="S116" i="1"/>
  <c r="R116" i="1"/>
  <c r="Q116" i="1"/>
  <c r="P116" i="1"/>
  <c r="O116" i="1"/>
  <c r="N116" i="1"/>
  <c r="AZ116" i="1" s="1"/>
  <c r="M116" i="1"/>
  <c r="L116" i="1"/>
  <c r="H116" i="1"/>
  <c r="AY116" i="1" s="1"/>
  <c r="G116" i="1"/>
  <c r="F116" i="1"/>
  <c r="E116" i="1"/>
  <c r="D116" i="1"/>
  <c r="C116" i="1"/>
  <c r="B116" i="1"/>
  <c r="A116" i="1"/>
  <c r="BE115" i="1"/>
  <c r="AT115" i="1"/>
  <c r="BC115" i="1" s="1"/>
  <c r="AS115" i="1"/>
  <c r="AL115" i="1"/>
  <c r="AK115" i="1"/>
  <c r="AG115" i="1"/>
  <c r="AF115" i="1"/>
  <c r="AE115" i="1"/>
  <c r="AD115" i="1"/>
  <c r="AC115" i="1"/>
  <c r="AB115" i="1"/>
  <c r="Z115" i="1"/>
  <c r="Y115" i="1"/>
  <c r="X115" i="1"/>
  <c r="W115" i="1"/>
  <c r="V115" i="1"/>
  <c r="U115" i="1"/>
  <c r="T115" i="1"/>
  <c r="BA115" i="1" s="1"/>
  <c r="S115" i="1"/>
  <c r="R115" i="1"/>
  <c r="Q115" i="1"/>
  <c r="P115" i="1"/>
  <c r="O115" i="1"/>
  <c r="N115" i="1"/>
  <c r="AZ115" i="1" s="1"/>
  <c r="M115" i="1"/>
  <c r="L115" i="1"/>
  <c r="H115" i="1"/>
  <c r="AY115" i="1" s="1"/>
  <c r="G115" i="1"/>
  <c r="F115" i="1"/>
  <c r="E115" i="1"/>
  <c r="D115" i="1"/>
  <c r="C115" i="1"/>
  <c r="B115" i="1"/>
  <c r="A115" i="1"/>
  <c r="AJ116" i="1" l="1"/>
  <c r="AH115" i="1"/>
  <c r="AJ115" i="1"/>
  <c r="AM116" i="1"/>
  <c r="AJ119" i="1"/>
  <c r="AH119" i="1"/>
  <c r="AH117" i="1"/>
  <c r="AA117" i="1"/>
  <c r="AO117" i="1" s="1"/>
  <c r="AI118" i="1"/>
  <c r="AA118" i="1" s="1"/>
  <c r="AO118" i="1" s="1"/>
  <c r="AH120" i="1"/>
  <c r="AI120" i="1"/>
  <c r="AA120" i="1" s="1"/>
  <c r="AO120" i="1" s="1"/>
  <c r="AJ120" i="1"/>
  <c r="AJ121" i="1"/>
  <c r="AI115" i="1"/>
  <c r="AA115" i="1" s="1"/>
  <c r="AO115" i="1" s="1"/>
  <c r="AM115" i="1"/>
  <c r="AH116" i="1"/>
  <c r="AJ118" i="1"/>
  <c r="AI119" i="1"/>
  <c r="AA119" i="1" s="1"/>
  <c r="AO119" i="1" s="1"/>
  <c r="AM119" i="1"/>
  <c r="AM120" i="1"/>
  <c r="AH121" i="1"/>
  <c r="AM121" i="1"/>
  <c r="AJ117" i="1"/>
  <c r="AI122" i="1"/>
  <c r="AA122" i="1" s="1"/>
  <c r="AO122" i="1" s="1"/>
  <c r="AI121" i="1"/>
  <c r="AA121" i="1" s="1"/>
  <c r="AO121" i="1" s="1"/>
  <c r="AJ122" i="1"/>
  <c r="AI116" i="1"/>
  <c r="AA116" i="1" s="1"/>
  <c r="AO116" i="1" s="1"/>
  <c r="AH118" i="1"/>
  <c r="AN120" i="1"/>
  <c r="AP120" i="1" s="1"/>
  <c r="BD120" i="1" s="1"/>
  <c r="AN121" i="1"/>
  <c r="AR121" i="1" s="1"/>
  <c r="AN122" i="1"/>
  <c r="AR122" i="1" s="1"/>
  <c r="AN123" i="1"/>
  <c r="BF123" i="1" l="1"/>
  <c r="AP123" i="1"/>
  <c r="AR123" i="1"/>
  <c r="AP122" i="1"/>
  <c r="BD122" i="1" s="1"/>
  <c r="BF122" i="1"/>
  <c r="BG122" i="1" s="1"/>
  <c r="BF120" i="1"/>
  <c r="BG120" i="1" s="1"/>
  <c r="AR120" i="1"/>
  <c r="AP121" i="1"/>
  <c r="BD121" i="1" s="1"/>
  <c r="BF121" i="1"/>
  <c r="BG121" i="1" s="1"/>
  <c r="BE114" i="1"/>
  <c r="AT114" i="1"/>
  <c r="BC114" i="1" s="1"/>
  <c r="AS114" i="1"/>
  <c r="AL114" i="1"/>
  <c r="AM114" i="1" s="1"/>
  <c r="AK114" i="1"/>
  <c r="AG114" i="1"/>
  <c r="AH114" i="1" s="1"/>
  <c r="AF114" i="1"/>
  <c r="AE114" i="1"/>
  <c r="AD114" i="1"/>
  <c r="AC114" i="1"/>
  <c r="AB114" i="1"/>
  <c r="Z114" i="1"/>
  <c r="Y114" i="1"/>
  <c r="X114" i="1"/>
  <c r="W114" i="1"/>
  <c r="V114" i="1"/>
  <c r="U114" i="1"/>
  <c r="T114" i="1"/>
  <c r="BA114" i="1" s="1"/>
  <c r="S114" i="1"/>
  <c r="R114" i="1"/>
  <c r="Q114" i="1"/>
  <c r="P114" i="1"/>
  <c r="O114" i="1"/>
  <c r="N114" i="1"/>
  <c r="AZ114" i="1" s="1"/>
  <c r="M114" i="1"/>
  <c r="L114" i="1"/>
  <c r="H114" i="1"/>
  <c r="AY114" i="1" s="1"/>
  <c r="G114" i="1"/>
  <c r="F114" i="1"/>
  <c r="E114" i="1"/>
  <c r="D114" i="1"/>
  <c r="C114" i="1"/>
  <c r="B114" i="1"/>
  <c r="A114" i="1"/>
  <c r="BE113" i="1"/>
  <c r="AT113" i="1"/>
  <c r="BC113" i="1" s="1"/>
  <c r="AS113" i="1"/>
  <c r="AL113" i="1"/>
  <c r="AK113" i="1"/>
  <c r="AG113" i="1"/>
  <c r="AF113" i="1"/>
  <c r="AE113" i="1"/>
  <c r="AD113" i="1"/>
  <c r="AC113" i="1"/>
  <c r="AB113" i="1"/>
  <c r="Z113" i="1"/>
  <c r="Y113" i="1"/>
  <c r="X113" i="1"/>
  <c r="W113" i="1"/>
  <c r="V113" i="1"/>
  <c r="U113" i="1"/>
  <c r="T113" i="1"/>
  <c r="BA113" i="1" s="1"/>
  <c r="S113" i="1"/>
  <c r="R113" i="1"/>
  <c r="Q113" i="1"/>
  <c r="P113" i="1"/>
  <c r="O113" i="1"/>
  <c r="N113" i="1"/>
  <c r="AZ113" i="1" s="1"/>
  <c r="M113" i="1"/>
  <c r="L113" i="1"/>
  <c r="H113" i="1"/>
  <c r="AY113" i="1" s="1"/>
  <c r="G113" i="1"/>
  <c r="F113" i="1"/>
  <c r="E113" i="1"/>
  <c r="D113" i="1"/>
  <c r="C113" i="1"/>
  <c r="B113" i="1"/>
  <c r="A113" i="1"/>
  <c r="AJ113" i="1" l="1"/>
  <c r="AH113" i="1"/>
  <c r="AM113" i="1"/>
  <c r="AI114" i="1"/>
  <c r="AA114" i="1" s="1"/>
  <c r="AO114" i="1" s="1"/>
  <c r="AI113" i="1"/>
  <c r="AA113" i="1" s="1"/>
  <c r="AO113" i="1" s="1"/>
  <c r="AJ114" i="1"/>
  <c r="BE112" i="1"/>
  <c r="AT112" i="1"/>
  <c r="BC112" i="1" s="1"/>
  <c r="AS112" i="1"/>
  <c r="AL112" i="1"/>
  <c r="AK112" i="1"/>
  <c r="AG112" i="1"/>
  <c r="AF112" i="1"/>
  <c r="AE112" i="1"/>
  <c r="AD112" i="1"/>
  <c r="AC112" i="1"/>
  <c r="AB112" i="1"/>
  <c r="Z112" i="1"/>
  <c r="Y112" i="1"/>
  <c r="X112" i="1"/>
  <c r="W112" i="1"/>
  <c r="V112" i="1"/>
  <c r="U112" i="1"/>
  <c r="T112" i="1"/>
  <c r="BA112" i="1" s="1"/>
  <c r="S112" i="1"/>
  <c r="R112" i="1"/>
  <c r="Q112" i="1"/>
  <c r="P112" i="1"/>
  <c r="O112" i="1"/>
  <c r="N112" i="1"/>
  <c r="AZ112" i="1" s="1"/>
  <c r="M112" i="1"/>
  <c r="L112" i="1"/>
  <c r="H112" i="1"/>
  <c r="AY112" i="1" s="1"/>
  <c r="G112" i="1"/>
  <c r="F112" i="1"/>
  <c r="E112" i="1"/>
  <c r="D112" i="1"/>
  <c r="C112" i="1"/>
  <c r="B112" i="1"/>
  <c r="A112" i="1"/>
  <c r="BE111" i="1"/>
  <c r="AT111" i="1"/>
  <c r="BC111" i="1" s="1"/>
  <c r="AS111" i="1"/>
  <c r="AL111" i="1"/>
  <c r="AK111" i="1"/>
  <c r="AG111" i="1"/>
  <c r="AF111" i="1"/>
  <c r="AE111" i="1"/>
  <c r="AD111" i="1"/>
  <c r="AC111" i="1"/>
  <c r="AB111" i="1"/>
  <c r="Z111" i="1"/>
  <c r="Y111" i="1"/>
  <c r="X111" i="1"/>
  <c r="W111" i="1"/>
  <c r="V111" i="1"/>
  <c r="U111" i="1"/>
  <c r="T111" i="1"/>
  <c r="BA111" i="1" s="1"/>
  <c r="S111" i="1"/>
  <c r="R111" i="1"/>
  <c r="Q111" i="1"/>
  <c r="P111" i="1"/>
  <c r="O111" i="1"/>
  <c r="N111" i="1"/>
  <c r="AZ111" i="1" s="1"/>
  <c r="M111" i="1"/>
  <c r="L111" i="1"/>
  <c r="H111" i="1"/>
  <c r="AY111" i="1" s="1"/>
  <c r="G111" i="1"/>
  <c r="F111" i="1"/>
  <c r="E111" i="1"/>
  <c r="D111" i="1"/>
  <c r="C111" i="1"/>
  <c r="B111" i="1"/>
  <c r="A111" i="1"/>
  <c r="BE110" i="1"/>
  <c r="AT110" i="1"/>
  <c r="BC110" i="1" s="1"/>
  <c r="AS110" i="1"/>
  <c r="AL110" i="1"/>
  <c r="AK110" i="1"/>
  <c r="AG110" i="1"/>
  <c r="AF110" i="1"/>
  <c r="AE110" i="1"/>
  <c r="AD110" i="1"/>
  <c r="AC110" i="1"/>
  <c r="AB110" i="1"/>
  <c r="Z110" i="1"/>
  <c r="Y110" i="1"/>
  <c r="X110" i="1"/>
  <c r="W110" i="1"/>
  <c r="V110" i="1"/>
  <c r="U110" i="1"/>
  <c r="T110" i="1"/>
  <c r="BA110" i="1" s="1"/>
  <c r="S110" i="1"/>
  <c r="R110" i="1"/>
  <c r="Q110" i="1"/>
  <c r="P110" i="1"/>
  <c r="O110" i="1"/>
  <c r="N110" i="1"/>
  <c r="AZ110" i="1" s="1"/>
  <c r="M110" i="1"/>
  <c r="L110" i="1"/>
  <c r="H110" i="1"/>
  <c r="AY110" i="1" s="1"/>
  <c r="G110" i="1"/>
  <c r="F110" i="1"/>
  <c r="E110" i="1"/>
  <c r="D110" i="1"/>
  <c r="C110" i="1"/>
  <c r="B110" i="1"/>
  <c r="A110" i="1"/>
  <c r="BE109" i="1"/>
  <c r="AT109" i="1"/>
  <c r="BC109" i="1" s="1"/>
  <c r="AS109" i="1"/>
  <c r="AL109" i="1"/>
  <c r="AK109" i="1"/>
  <c r="AG109" i="1"/>
  <c r="AF109" i="1"/>
  <c r="AE109" i="1"/>
  <c r="AD109" i="1"/>
  <c r="AC109" i="1"/>
  <c r="AB109" i="1"/>
  <c r="Z109" i="1"/>
  <c r="Y109" i="1"/>
  <c r="X109" i="1"/>
  <c r="W109" i="1"/>
  <c r="V109" i="1"/>
  <c r="U109" i="1"/>
  <c r="T109" i="1"/>
  <c r="BA109" i="1" s="1"/>
  <c r="S109" i="1"/>
  <c r="R109" i="1"/>
  <c r="Q109" i="1"/>
  <c r="P109" i="1"/>
  <c r="O109" i="1"/>
  <c r="N109" i="1"/>
  <c r="AZ109" i="1" s="1"/>
  <c r="M109" i="1"/>
  <c r="L109" i="1"/>
  <c r="H109" i="1"/>
  <c r="AY109" i="1" s="1"/>
  <c r="G109" i="1"/>
  <c r="F109" i="1"/>
  <c r="E109" i="1"/>
  <c r="D109" i="1"/>
  <c r="C109" i="1"/>
  <c r="B109" i="1"/>
  <c r="A109" i="1"/>
  <c r="BE108" i="1"/>
  <c r="AT108" i="1"/>
  <c r="BC108" i="1" s="1"/>
  <c r="AS108" i="1"/>
  <c r="AL108" i="1"/>
  <c r="AK108" i="1"/>
  <c r="AG108" i="1"/>
  <c r="AF108" i="1"/>
  <c r="AE108" i="1"/>
  <c r="AD108" i="1"/>
  <c r="AC108" i="1"/>
  <c r="AB108" i="1"/>
  <c r="Z108" i="1"/>
  <c r="Y108" i="1"/>
  <c r="X108" i="1"/>
  <c r="W108" i="1"/>
  <c r="V108" i="1"/>
  <c r="U108" i="1"/>
  <c r="T108" i="1"/>
  <c r="BA108" i="1" s="1"/>
  <c r="S108" i="1"/>
  <c r="R108" i="1"/>
  <c r="Q108" i="1"/>
  <c r="P108" i="1"/>
  <c r="O108" i="1"/>
  <c r="N108" i="1"/>
  <c r="AZ108" i="1" s="1"/>
  <c r="M108" i="1"/>
  <c r="L108" i="1"/>
  <c r="H108" i="1"/>
  <c r="AY108" i="1" s="1"/>
  <c r="G108" i="1"/>
  <c r="F108" i="1"/>
  <c r="E108" i="1"/>
  <c r="D108" i="1"/>
  <c r="C108" i="1"/>
  <c r="B108" i="1"/>
  <c r="A108" i="1"/>
  <c r="BE107" i="1"/>
  <c r="AT107" i="1"/>
  <c r="BC107" i="1" s="1"/>
  <c r="AS107" i="1"/>
  <c r="AL107" i="1"/>
  <c r="AK107" i="1"/>
  <c r="AG107" i="1"/>
  <c r="AF107" i="1"/>
  <c r="AE107" i="1"/>
  <c r="AD107" i="1"/>
  <c r="AC107" i="1"/>
  <c r="AB107" i="1"/>
  <c r="Z107" i="1"/>
  <c r="Y107" i="1"/>
  <c r="X107" i="1"/>
  <c r="W107" i="1"/>
  <c r="V107" i="1"/>
  <c r="U107" i="1"/>
  <c r="T107" i="1"/>
  <c r="BA107" i="1" s="1"/>
  <c r="S107" i="1"/>
  <c r="R107" i="1"/>
  <c r="Q107" i="1"/>
  <c r="P107" i="1"/>
  <c r="O107" i="1"/>
  <c r="N107" i="1"/>
  <c r="AZ107" i="1" s="1"/>
  <c r="M107" i="1"/>
  <c r="L107" i="1"/>
  <c r="H107" i="1"/>
  <c r="AY107" i="1" s="1"/>
  <c r="G107" i="1"/>
  <c r="F107" i="1"/>
  <c r="E107" i="1"/>
  <c r="D107" i="1"/>
  <c r="C107" i="1"/>
  <c r="B107" i="1"/>
  <c r="A107" i="1"/>
  <c r="BE106" i="1"/>
  <c r="AT106" i="1"/>
  <c r="BC106" i="1" s="1"/>
  <c r="AS106" i="1"/>
  <c r="AL106" i="1"/>
  <c r="AK106" i="1"/>
  <c r="AG106" i="1"/>
  <c r="AF106" i="1"/>
  <c r="AE106" i="1"/>
  <c r="AD106" i="1"/>
  <c r="AC106" i="1"/>
  <c r="AB106" i="1"/>
  <c r="Z106" i="1"/>
  <c r="Y106" i="1"/>
  <c r="X106" i="1"/>
  <c r="W106" i="1"/>
  <c r="V106" i="1"/>
  <c r="U106" i="1"/>
  <c r="T106" i="1"/>
  <c r="BA106" i="1" s="1"/>
  <c r="S106" i="1"/>
  <c r="R106" i="1"/>
  <c r="Q106" i="1"/>
  <c r="P106" i="1"/>
  <c r="O106" i="1"/>
  <c r="BG106" i="1" s="1"/>
  <c r="N106" i="1"/>
  <c r="AZ106" i="1" s="1"/>
  <c r="M106" i="1"/>
  <c r="L106" i="1"/>
  <c r="H106" i="1"/>
  <c r="AY106" i="1" s="1"/>
  <c r="G106" i="1"/>
  <c r="F106" i="1"/>
  <c r="E106" i="1"/>
  <c r="D106" i="1"/>
  <c r="C106" i="1"/>
  <c r="B106" i="1"/>
  <c r="A106" i="1"/>
  <c r="BE105" i="1"/>
  <c r="AT105" i="1"/>
  <c r="BC105" i="1" s="1"/>
  <c r="AS105" i="1"/>
  <c r="AL105" i="1"/>
  <c r="AK105" i="1"/>
  <c r="AG105" i="1"/>
  <c r="AF105" i="1"/>
  <c r="AE105" i="1"/>
  <c r="AD105" i="1"/>
  <c r="AC105" i="1"/>
  <c r="AB105" i="1"/>
  <c r="Z105" i="1"/>
  <c r="Y105" i="1"/>
  <c r="X105" i="1"/>
  <c r="W105" i="1"/>
  <c r="V105" i="1"/>
  <c r="U105" i="1"/>
  <c r="T105" i="1"/>
  <c r="BA105" i="1" s="1"/>
  <c r="S105" i="1"/>
  <c r="R105" i="1"/>
  <c r="Q105" i="1"/>
  <c r="P105" i="1"/>
  <c r="O105" i="1"/>
  <c r="N105" i="1"/>
  <c r="AZ105" i="1" s="1"/>
  <c r="M105" i="1"/>
  <c r="L105" i="1"/>
  <c r="H105" i="1"/>
  <c r="AY105" i="1" s="1"/>
  <c r="G105" i="1"/>
  <c r="F105" i="1"/>
  <c r="E105" i="1"/>
  <c r="D105" i="1"/>
  <c r="C105" i="1"/>
  <c r="B105" i="1"/>
  <c r="A105" i="1"/>
  <c r="BE104" i="1"/>
  <c r="AT104" i="1"/>
  <c r="BC104" i="1" s="1"/>
  <c r="AS104" i="1"/>
  <c r="AL104" i="1"/>
  <c r="AK104" i="1"/>
  <c r="AG104" i="1"/>
  <c r="AF104" i="1"/>
  <c r="AE104" i="1"/>
  <c r="AD104" i="1"/>
  <c r="AC104" i="1"/>
  <c r="AB104" i="1"/>
  <c r="Z104" i="1"/>
  <c r="Y104" i="1"/>
  <c r="X104" i="1"/>
  <c r="W104" i="1"/>
  <c r="V104" i="1"/>
  <c r="U104" i="1"/>
  <c r="T104" i="1"/>
  <c r="BA104" i="1" s="1"/>
  <c r="S104" i="1"/>
  <c r="R104" i="1"/>
  <c r="Q104" i="1"/>
  <c r="P104" i="1"/>
  <c r="O104" i="1"/>
  <c r="N104" i="1"/>
  <c r="AZ104" i="1" s="1"/>
  <c r="M104" i="1"/>
  <c r="L104" i="1"/>
  <c r="H104" i="1"/>
  <c r="AY104" i="1" s="1"/>
  <c r="G104" i="1"/>
  <c r="F104" i="1"/>
  <c r="E104" i="1"/>
  <c r="D104" i="1"/>
  <c r="C104" i="1"/>
  <c r="B104" i="1"/>
  <c r="A104" i="1"/>
  <c r="BE103" i="1"/>
  <c r="AT103" i="1"/>
  <c r="BC103" i="1" s="1"/>
  <c r="AS103" i="1"/>
  <c r="AL103" i="1"/>
  <c r="AM103" i="1" s="1"/>
  <c r="AK103" i="1"/>
  <c r="AG103" i="1"/>
  <c r="AF103" i="1"/>
  <c r="AE103" i="1"/>
  <c r="AD103" i="1"/>
  <c r="AC103" i="1"/>
  <c r="AB103" i="1"/>
  <c r="Z103" i="1"/>
  <c r="Y103" i="1"/>
  <c r="X103" i="1"/>
  <c r="W103" i="1"/>
  <c r="V103" i="1"/>
  <c r="U103" i="1"/>
  <c r="T103" i="1"/>
  <c r="BA103" i="1" s="1"/>
  <c r="S103" i="1"/>
  <c r="R103" i="1"/>
  <c r="Q103" i="1"/>
  <c r="P103" i="1"/>
  <c r="O103" i="1"/>
  <c r="BD103" i="1" s="1"/>
  <c r="N103" i="1"/>
  <c r="AZ103" i="1" s="1"/>
  <c r="M103" i="1"/>
  <c r="L103" i="1"/>
  <c r="H103" i="1"/>
  <c r="AY103" i="1" s="1"/>
  <c r="G103" i="1"/>
  <c r="F103" i="1"/>
  <c r="E103" i="1"/>
  <c r="D103" i="1"/>
  <c r="C103" i="1"/>
  <c r="B103" i="1"/>
  <c r="A103" i="1"/>
  <c r="BE102" i="1"/>
  <c r="AT102" i="1"/>
  <c r="BC102" i="1" s="1"/>
  <c r="AS102" i="1"/>
  <c r="AL102" i="1"/>
  <c r="AK102" i="1"/>
  <c r="AG102" i="1"/>
  <c r="AF102" i="1"/>
  <c r="AE102" i="1"/>
  <c r="AD102" i="1"/>
  <c r="AC102" i="1"/>
  <c r="AB102" i="1"/>
  <c r="Z102" i="1"/>
  <c r="Y102" i="1"/>
  <c r="X102" i="1"/>
  <c r="W102" i="1"/>
  <c r="V102" i="1"/>
  <c r="U102" i="1"/>
  <c r="T102" i="1"/>
  <c r="BA102" i="1" s="1"/>
  <c r="S102" i="1"/>
  <c r="R102" i="1"/>
  <c r="Q102" i="1"/>
  <c r="P102" i="1"/>
  <c r="O102" i="1"/>
  <c r="BD102" i="1" s="1"/>
  <c r="N102" i="1"/>
  <c r="AZ102" i="1" s="1"/>
  <c r="M102" i="1"/>
  <c r="L102" i="1"/>
  <c r="H102" i="1"/>
  <c r="AY102" i="1" s="1"/>
  <c r="G102" i="1"/>
  <c r="F102" i="1"/>
  <c r="E102" i="1"/>
  <c r="D102" i="1"/>
  <c r="C102" i="1"/>
  <c r="B102" i="1"/>
  <c r="A102" i="1"/>
  <c r="BE101" i="1"/>
  <c r="AT101" i="1"/>
  <c r="BC101" i="1" s="1"/>
  <c r="AS101" i="1"/>
  <c r="AL101" i="1"/>
  <c r="AK101" i="1"/>
  <c r="AG101" i="1"/>
  <c r="AF101" i="1"/>
  <c r="AE101" i="1"/>
  <c r="AD101" i="1"/>
  <c r="AC101" i="1"/>
  <c r="AB101" i="1"/>
  <c r="Z101" i="1"/>
  <c r="Y101" i="1"/>
  <c r="X101" i="1"/>
  <c r="W101" i="1"/>
  <c r="V101" i="1"/>
  <c r="U101" i="1"/>
  <c r="T101" i="1"/>
  <c r="BA101" i="1" s="1"/>
  <c r="S101" i="1"/>
  <c r="R101" i="1"/>
  <c r="Q101" i="1"/>
  <c r="P101" i="1"/>
  <c r="O101" i="1"/>
  <c r="N101" i="1"/>
  <c r="AZ101" i="1" s="1"/>
  <c r="M101" i="1"/>
  <c r="L101" i="1"/>
  <c r="H101" i="1"/>
  <c r="AY101" i="1" s="1"/>
  <c r="G101" i="1"/>
  <c r="F101" i="1"/>
  <c r="E101" i="1"/>
  <c r="D101" i="1"/>
  <c r="C101" i="1"/>
  <c r="B101" i="1"/>
  <c r="A101" i="1"/>
  <c r="BE100" i="1"/>
  <c r="AT100" i="1"/>
  <c r="BC100" i="1" s="1"/>
  <c r="AS100" i="1"/>
  <c r="AL100" i="1"/>
  <c r="AK100" i="1"/>
  <c r="AG100" i="1"/>
  <c r="AF100" i="1"/>
  <c r="AE100" i="1"/>
  <c r="AD100" i="1"/>
  <c r="AC100" i="1"/>
  <c r="AB100" i="1"/>
  <c r="Z100" i="1"/>
  <c r="Y100" i="1"/>
  <c r="X100" i="1"/>
  <c r="W100" i="1"/>
  <c r="V100" i="1"/>
  <c r="U100" i="1"/>
  <c r="T100" i="1"/>
  <c r="BA100" i="1" s="1"/>
  <c r="S100" i="1"/>
  <c r="R100" i="1"/>
  <c r="Q100" i="1"/>
  <c r="P100" i="1"/>
  <c r="O100" i="1"/>
  <c r="N100" i="1"/>
  <c r="AZ100" i="1" s="1"/>
  <c r="M100" i="1"/>
  <c r="L100" i="1"/>
  <c r="H100" i="1"/>
  <c r="AY100" i="1" s="1"/>
  <c r="G100" i="1"/>
  <c r="F100" i="1"/>
  <c r="E100" i="1"/>
  <c r="D100" i="1"/>
  <c r="C100" i="1"/>
  <c r="B100" i="1"/>
  <c r="A100" i="1"/>
  <c r="BE99" i="1"/>
  <c r="AT99" i="1"/>
  <c r="BC99" i="1" s="1"/>
  <c r="AS99" i="1"/>
  <c r="AL99" i="1"/>
  <c r="AK99" i="1"/>
  <c r="AG99" i="1"/>
  <c r="AF99" i="1"/>
  <c r="AE99" i="1"/>
  <c r="AD99" i="1"/>
  <c r="AC99" i="1"/>
  <c r="AB99" i="1"/>
  <c r="Z99" i="1"/>
  <c r="Y99" i="1"/>
  <c r="X99" i="1"/>
  <c r="W99" i="1"/>
  <c r="V99" i="1"/>
  <c r="U99" i="1"/>
  <c r="T99" i="1"/>
  <c r="BA99" i="1" s="1"/>
  <c r="S99" i="1"/>
  <c r="R99" i="1"/>
  <c r="Q99" i="1"/>
  <c r="P99" i="1"/>
  <c r="O99" i="1"/>
  <c r="N99" i="1"/>
  <c r="AZ99" i="1" s="1"/>
  <c r="M99" i="1"/>
  <c r="L99" i="1"/>
  <c r="H99" i="1"/>
  <c r="AY99" i="1" s="1"/>
  <c r="G99" i="1"/>
  <c r="F99" i="1"/>
  <c r="E99" i="1"/>
  <c r="D99" i="1"/>
  <c r="C99" i="1"/>
  <c r="B99" i="1"/>
  <c r="A99" i="1"/>
  <c r="BE98" i="1"/>
  <c r="AT98" i="1"/>
  <c r="BC98" i="1" s="1"/>
  <c r="AS98" i="1"/>
  <c r="AL98" i="1"/>
  <c r="AK98" i="1"/>
  <c r="AG98" i="1"/>
  <c r="AF98" i="1"/>
  <c r="AE98" i="1"/>
  <c r="AD98" i="1"/>
  <c r="AC98" i="1"/>
  <c r="AB98" i="1"/>
  <c r="Z98" i="1"/>
  <c r="Y98" i="1"/>
  <c r="X98" i="1"/>
  <c r="W98" i="1"/>
  <c r="V98" i="1"/>
  <c r="U98" i="1"/>
  <c r="T98" i="1"/>
  <c r="BA98" i="1" s="1"/>
  <c r="S98" i="1"/>
  <c r="R98" i="1"/>
  <c r="Q98" i="1"/>
  <c r="P98" i="1"/>
  <c r="O98" i="1"/>
  <c r="N98" i="1"/>
  <c r="AZ98" i="1" s="1"/>
  <c r="M98" i="1"/>
  <c r="L98" i="1"/>
  <c r="H98" i="1"/>
  <c r="AY98" i="1" s="1"/>
  <c r="G98" i="1"/>
  <c r="F98" i="1"/>
  <c r="E98" i="1"/>
  <c r="D98" i="1"/>
  <c r="C98" i="1"/>
  <c r="B98" i="1"/>
  <c r="A98" i="1"/>
  <c r="BE97" i="1"/>
  <c r="AT97" i="1"/>
  <c r="BC97" i="1" s="1"/>
  <c r="AS97" i="1"/>
  <c r="AL97" i="1"/>
  <c r="AM97" i="1" s="1"/>
  <c r="AK97" i="1"/>
  <c r="AG97" i="1"/>
  <c r="AF97" i="1"/>
  <c r="AE97" i="1"/>
  <c r="AD97" i="1"/>
  <c r="AC97" i="1"/>
  <c r="AB97" i="1"/>
  <c r="Z97" i="1"/>
  <c r="Y97" i="1"/>
  <c r="X97" i="1"/>
  <c r="W97" i="1"/>
  <c r="V97" i="1"/>
  <c r="U97" i="1"/>
  <c r="T97" i="1"/>
  <c r="BA97" i="1" s="1"/>
  <c r="S97" i="1"/>
  <c r="R97" i="1"/>
  <c r="Q97" i="1"/>
  <c r="P97" i="1"/>
  <c r="O97" i="1"/>
  <c r="N97" i="1"/>
  <c r="AZ97" i="1" s="1"/>
  <c r="M97" i="1"/>
  <c r="L97" i="1"/>
  <c r="H97" i="1"/>
  <c r="AY97" i="1" s="1"/>
  <c r="G97" i="1"/>
  <c r="F97" i="1"/>
  <c r="E97" i="1"/>
  <c r="D97" i="1"/>
  <c r="C97" i="1"/>
  <c r="B97" i="1"/>
  <c r="A97" i="1"/>
  <c r="BE96" i="1"/>
  <c r="AT96" i="1"/>
  <c r="BC96" i="1" s="1"/>
  <c r="AS96" i="1"/>
  <c r="AL96" i="1"/>
  <c r="AK96" i="1"/>
  <c r="AG96" i="1"/>
  <c r="AF96" i="1"/>
  <c r="AE96" i="1"/>
  <c r="AD96" i="1"/>
  <c r="AC96" i="1"/>
  <c r="AB96" i="1"/>
  <c r="Z96" i="1"/>
  <c r="Y96" i="1"/>
  <c r="X96" i="1"/>
  <c r="W96" i="1"/>
  <c r="V96" i="1"/>
  <c r="U96" i="1"/>
  <c r="T96" i="1"/>
  <c r="BA96" i="1" s="1"/>
  <c r="S96" i="1"/>
  <c r="R96" i="1"/>
  <c r="Q96" i="1"/>
  <c r="P96" i="1"/>
  <c r="O96" i="1"/>
  <c r="BG96" i="1" s="1"/>
  <c r="N96" i="1"/>
  <c r="AZ96" i="1" s="1"/>
  <c r="M96" i="1"/>
  <c r="L96" i="1"/>
  <c r="H96" i="1"/>
  <c r="AY96" i="1" s="1"/>
  <c r="G96" i="1"/>
  <c r="F96" i="1"/>
  <c r="E96" i="1"/>
  <c r="D96" i="1"/>
  <c r="C96" i="1"/>
  <c r="B96" i="1"/>
  <c r="A96" i="1"/>
  <c r="BE95" i="1"/>
  <c r="AT95" i="1"/>
  <c r="BC95" i="1" s="1"/>
  <c r="AS95" i="1"/>
  <c r="AL95" i="1"/>
  <c r="AM95" i="1" s="1"/>
  <c r="AK95" i="1"/>
  <c r="AG95" i="1"/>
  <c r="AF95" i="1"/>
  <c r="AE95" i="1"/>
  <c r="AD95" i="1"/>
  <c r="AC95" i="1"/>
  <c r="AB95" i="1"/>
  <c r="Z95" i="1"/>
  <c r="Y95" i="1"/>
  <c r="X95" i="1"/>
  <c r="W95" i="1"/>
  <c r="V95" i="1"/>
  <c r="U95" i="1"/>
  <c r="T95" i="1"/>
  <c r="BA95" i="1" s="1"/>
  <c r="S95" i="1"/>
  <c r="R95" i="1"/>
  <c r="Q95" i="1"/>
  <c r="P95" i="1"/>
  <c r="O95" i="1"/>
  <c r="BD95" i="1" s="1"/>
  <c r="N95" i="1"/>
  <c r="AZ95" i="1" s="1"/>
  <c r="M95" i="1"/>
  <c r="L95" i="1"/>
  <c r="H95" i="1"/>
  <c r="AY95" i="1" s="1"/>
  <c r="G95" i="1"/>
  <c r="F95" i="1"/>
  <c r="E95" i="1"/>
  <c r="D95" i="1"/>
  <c r="C95" i="1"/>
  <c r="B95" i="1"/>
  <c r="A95" i="1"/>
  <c r="BE94" i="1"/>
  <c r="AT94" i="1"/>
  <c r="BC94" i="1" s="1"/>
  <c r="AS94" i="1"/>
  <c r="AL94" i="1"/>
  <c r="AK94" i="1"/>
  <c r="AG94" i="1"/>
  <c r="AF94" i="1"/>
  <c r="AE94" i="1"/>
  <c r="AD94" i="1"/>
  <c r="AC94" i="1"/>
  <c r="AB94" i="1"/>
  <c r="Z94" i="1"/>
  <c r="Y94" i="1"/>
  <c r="X94" i="1"/>
  <c r="W94" i="1"/>
  <c r="V94" i="1"/>
  <c r="U94" i="1"/>
  <c r="T94" i="1"/>
  <c r="BA94" i="1" s="1"/>
  <c r="S94" i="1"/>
  <c r="R94" i="1"/>
  <c r="Q94" i="1"/>
  <c r="P94" i="1"/>
  <c r="O94" i="1"/>
  <c r="N94" i="1"/>
  <c r="AZ94" i="1" s="1"/>
  <c r="M94" i="1"/>
  <c r="L94" i="1"/>
  <c r="H94" i="1"/>
  <c r="AY94" i="1" s="1"/>
  <c r="G94" i="1"/>
  <c r="F94" i="1"/>
  <c r="E94" i="1"/>
  <c r="D94" i="1"/>
  <c r="C94" i="1"/>
  <c r="B94" i="1"/>
  <c r="A94" i="1"/>
  <c r="BE93" i="1"/>
  <c r="AT93" i="1"/>
  <c r="BC93" i="1" s="1"/>
  <c r="AS93" i="1"/>
  <c r="AL93" i="1"/>
  <c r="AK93" i="1"/>
  <c r="AG93" i="1"/>
  <c r="AI93" i="1" s="1"/>
  <c r="AF93" i="1"/>
  <c r="AE93" i="1"/>
  <c r="AD93" i="1"/>
  <c r="AC93" i="1"/>
  <c r="AB93" i="1"/>
  <c r="Z93" i="1"/>
  <c r="Y93" i="1"/>
  <c r="X93" i="1"/>
  <c r="W93" i="1"/>
  <c r="V93" i="1"/>
  <c r="U93" i="1"/>
  <c r="T93" i="1"/>
  <c r="BA93" i="1" s="1"/>
  <c r="S93" i="1"/>
  <c r="R93" i="1"/>
  <c r="Q93" i="1"/>
  <c r="P93" i="1"/>
  <c r="O93" i="1"/>
  <c r="N93" i="1"/>
  <c r="AZ93" i="1" s="1"/>
  <c r="M93" i="1"/>
  <c r="L93" i="1"/>
  <c r="H93" i="1"/>
  <c r="AY93" i="1" s="1"/>
  <c r="G93" i="1"/>
  <c r="F93" i="1"/>
  <c r="E93" i="1"/>
  <c r="D93" i="1"/>
  <c r="C93" i="1"/>
  <c r="B93" i="1"/>
  <c r="A93" i="1"/>
  <c r="BE92" i="1"/>
  <c r="AT92" i="1"/>
  <c r="BC92" i="1" s="1"/>
  <c r="AS92" i="1"/>
  <c r="AL92" i="1"/>
  <c r="AK92" i="1"/>
  <c r="AG92" i="1"/>
  <c r="AF92" i="1"/>
  <c r="AE92" i="1"/>
  <c r="AD92" i="1"/>
  <c r="AC92" i="1"/>
  <c r="AB92" i="1"/>
  <c r="Z92" i="1"/>
  <c r="Y92" i="1"/>
  <c r="X92" i="1"/>
  <c r="W92" i="1"/>
  <c r="V92" i="1"/>
  <c r="U92" i="1"/>
  <c r="T92" i="1"/>
  <c r="BA92" i="1" s="1"/>
  <c r="S92" i="1"/>
  <c r="R92" i="1"/>
  <c r="Q92" i="1"/>
  <c r="P92" i="1"/>
  <c r="O92" i="1"/>
  <c r="BG92" i="1" s="1"/>
  <c r="N92" i="1"/>
  <c r="AZ92" i="1" s="1"/>
  <c r="M92" i="1"/>
  <c r="L92" i="1"/>
  <c r="H92" i="1"/>
  <c r="AY92" i="1" s="1"/>
  <c r="G92" i="1"/>
  <c r="F92" i="1"/>
  <c r="E92" i="1"/>
  <c r="D92" i="1"/>
  <c r="C92" i="1"/>
  <c r="B92" i="1"/>
  <c r="A92" i="1"/>
  <c r="BE91" i="1"/>
  <c r="AT91" i="1"/>
  <c r="BC91" i="1" s="1"/>
  <c r="AS91" i="1"/>
  <c r="AN91" i="1"/>
  <c r="AL91" i="1"/>
  <c r="AX91" i="1" s="1"/>
  <c r="AK91" i="1"/>
  <c r="AG91" i="1"/>
  <c r="AF91" i="1"/>
  <c r="AE91" i="1"/>
  <c r="AD91" i="1"/>
  <c r="AC91" i="1"/>
  <c r="AB91" i="1"/>
  <c r="Z91" i="1"/>
  <c r="Y91" i="1"/>
  <c r="X91" i="1"/>
  <c r="W91" i="1"/>
  <c r="V91" i="1"/>
  <c r="U91" i="1"/>
  <c r="T91" i="1"/>
  <c r="BA91" i="1" s="1"/>
  <c r="S91" i="1"/>
  <c r="R91" i="1"/>
  <c r="Q91" i="1"/>
  <c r="P91" i="1"/>
  <c r="O91" i="1"/>
  <c r="N91" i="1"/>
  <c r="AZ91" i="1" s="1"/>
  <c r="M91" i="1"/>
  <c r="L91" i="1"/>
  <c r="H91" i="1"/>
  <c r="AY91" i="1" s="1"/>
  <c r="G91" i="1"/>
  <c r="F91" i="1"/>
  <c r="E91" i="1"/>
  <c r="D91" i="1"/>
  <c r="C91" i="1"/>
  <c r="B91" i="1"/>
  <c r="A91" i="1"/>
  <c r="BE90" i="1"/>
  <c r="AT90" i="1"/>
  <c r="BC90" i="1" s="1"/>
  <c r="AS90" i="1"/>
  <c r="AL90" i="1"/>
  <c r="AK90" i="1"/>
  <c r="AG90" i="1"/>
  <c r="AF90" i="1"/>
  <c r="AE90" i="1"/>
  <c r="AD90" i="1"/>
  <c r="AC90" i="1"/>
  <c r="AB90" i="1"/>
  <c r="Z90" i="1"/>
  <c r="Y90" i="1"/>
  <c r="X90" i="1"/>
  <c r="W90" i="1"/>
  <c r="V90" i="1"/>
  <c r="U90" i="1"/>
  <c r="T90" i="1"/>
  <c r="BA90" i="1" s="1"/>
  <c r="S90" i="1"/>
  <c r="R90" i="1"/>
  <c r="Q90" i="1"/>
  <c r="P90" i="1"/>
  <c r="O90" i="1"/>
  <c r="N90" i="1"/>
  <c r="AZ90" i="1" s="1"/>
  <c r="M90" i="1"/>
  <c r="L90" i="1"/>
  <c r="H90" i="1"/>
  <c r="AY90" i="1" s="1"/>
  <c r="G90" i="1"/>
  <c r="F90" i="1"/>
  <c r="E90" i="1"/>
  <c r="D90" i="1"/>
  <c r="C90" i="1"/>
  <c r="B90" i="1"/>
  <c r="A90" i="1"/>
  <c r="BE89" i="1"/>
  <c r="AT89" i="1"/>
  <c r="BC89" i="1" s="1"/>
  <c r="AS89" i="1"/>
  <c r="AL89" i="1"/>
  <c r="AK89" i="1"/>
  <c r="AG89" i="1"/>
  <c r="AI89" i="1" s="1"/>
  <c r="AF89" i="1"/>
  <c r="AE89" i="1"/>
  <c r="AD89" i="1"/>
  <c r="AC89" i="1"/>
  <c r="AB89" i="1"/>
  <c r="Z89" i="1"/>
  <c r="Y89" i="1"/>
  <c r="X89" i="1"/>
  <c r="W89" i="1"/>
  <c r="V89" i="1"/>
  <c r="U89" i="1"/>
  <c r="T89" i="1"/>
  <c r="BA89" i="1" s="1"/>
  <c r="S89" i="1"/>
  <c r="R89" i="1"/>
  <c r="Q89" i="1"/>
  <c r="P89" i="1"/>
  <c r="O89" i="1"/>
  <c r="BD89" i="1" s="1"/>
  <c r="N89" i="1"/>
  <c r="AZ89" i="1" s="1"/>
  <c r="M89" i="1"/>
  <c r="L89" i="1"/>
  <c r="H89" i="1"/>
  <c r="AY89" i="1" s="1"/>
  <c r="G89" i="1"/>
  <c r="F89" i="1"/>
  <c r="E89" i="1"/>
  <c r="D89" i="1"/>
  <c r="C89" i="1"/>
  <c r="B89" i="1"/>
  <c r="A89" i="1"/>
  <c r="BE88" i="1"/>
  <c r="AT88" i="1"/>
  <c r="BC88" i="1" s="1"/>
  <c r="AS88" i="1"/>
  <c r="AL88" i="1"/>
  <c r="AK88" i="1"/>
  <c r="AG88" i="1"/>
  <c r="AF88" i="1"/>
  <c r="AE88" i="1"/>
  <c r="AD88" i="1"/>
  <c r="AC88" i="1"/>
  <c r="AB88" i="1"/>
  <c r="Z88" i="1"/>
  <c r="Y88" i="1"/>
  <c r="X88" i="1"/>
  <c r="W88" i="1"/>
  <c r="V88" i="1"/>
  <c r="U88" i="1"/>
  <c r="T88" i="1"/>
  <c r="BA88" i="1" s="1"/>
  <c r="S88" i="1"/>
  <c r="R88" i="1"/>
  <c r="Q88" i="1"/>
  <c r="P88" i="1"/>
  <c r="O88" i="1"/>
  <c r="N88" i="1"/>
  <c r="AZ88" i="1" s="1"/>
  <c r="M88" i="1"/>
  <c r="L88" i="1"/>
  <c r="H88" i="1"/>
  <c r="AY88" i="1" s="1"/>
  <c r="G88" i="1"/>
  <c r="F88" i="1"/>
  <c r="E88" i="1"/>
  <c r="D88" i="1"/>
  <c r="C88" i="1"/>
  <c r="B88" i="1"/>
  <c r="A88" i="1"/>
  <c r="BE87" i="1"/>
  <c r="AT87" i="1"/>
  <c r="BC87" i="1" s="1"/>
  <c r="AS87" i="1"/>
  <c r="AL87" i="1"/>
  <c r="AM87" i="1" s="1"/>
  <c r="AK87" i="1"/>
  <c r="AG87" i="1"/>
  <c r="AI87" i="1" s="1"/>
  <c r="AF87" i="1"/>
  <c r="AE87" i="1"/>
  <c r="AD87" i="1"/>
  <c r="AC87" i="1"/>
  <c r="AB87" i="1"/>
  <c r="Z87" i="1"/>
  <c r="Y87" i="1"/>
  <c r="X87" i="1"/>
  <c r="W87" i="1"/>
  <c r="V87" i="1"/>
  <c r="U87" i="1"/>
  <c r="T87" i="1"/>
  <c r="BA87" i="1" s="1"/>
  <c r="S87" i="1"/>
  <c r="R87" i="1"/>
  <c r="Q87" i="1"/>
  <c r="P87" i="1"/>
  <c r="O87" i="1"/>
  <c r="BD87" i="1" s="1"/>
  <c r="N87" i="1"/>
  <c r="AZ87" i="1" s="1"/>
  <c r="M87" i="1"/>
  <c r="L87" i="1"/>
  <c r="H87" i="1"/>
  <c r="AY87" i="1" s="1"/>
  <c r="G87" i="1"/>
  <c r="F87" i="1"/>
  <c r="E87" i="1"/>
  <c r="D87" i="1"/>
  <c r="C87" i="1"/>
  <c r="B87" i="1"/>
  <c r="A87" i="1"/>
  <c r="BE86" i="1"/>
  <c r="AT86" i="1"/>
  <c r="BC86" i="1" s="1"/>
  <c r="AS86" i="1"/>
  <c r="AL86" i="1"/>
  <c r="AK86" i="1"/>
  <c r="AG86" i="1"/>
  <c r="AF86" i="1"/>
  <c r="AE86" i="1"/>
  <c r="AD86" i="1"/>
  <c r="AC86" i="1"/>
  <c r="AB86" i="1"/>
  <c r="Z86" i="1"/>
  <c r="Y86" i="1"/>
  <c r="X86" i="1"/>
  <c r="W86" i="1"/>
  <c r="V86" i="1"/>
  <c r="U86" i="1"/>
  <c r="T86" i="1"/>
  <c r="BA86" i="1" s="1"/>
  <c r="S86" i="1"/>
  <c r="R86" i="1"/>
  <c r="Q86" i="1"/>
  <c r="P86" i="1"/>
  <c r="O86" i="1"/>
  <c r="N86" i="1"/>
  <c r="AZ86" i="1" s="1"/>
  <c r="M86" i="1"/>
  <c r="L86" i="1"/>
  <c r="H86" i="1"/>
  <c r="AY86" i="1" s="1"/>
  <c r="G86" i="1"/>
  <c r="F86" i="1"/>
  <c r="E86" i="1"/>
  <c r="D86" i="1"/>
  <c r="C86" i="1"/>
  <c r="B86" i="1"/>
  <c r="A86" i="1"/>
  <c r="BE85" i="1"/>
  <c r="AT85" i="1"/>
  <c r="BC85" i="1" s="1"/>
  <c r="AS85" i="1"/>
  <c r="AL85" i="1"/>
  <c r="AK85" i="1"/>
  <c r="AG85" i="1"/>
  <c r="AF85" i="1"/>
  <c r="AE85" i="1"/>
  <c r="AD85" i="1"/>
  <c r="AC85" i="1"/>
  <c r="AB85" i="1"/>
  <c r="Z85" i="1"/>
  <c r="Y85" i="1"/>
  <c r="X85" i="1"/>
  <c r="W85" i="1"/>
  <c r="V85" i="1"/>
  <c r="U85" i="1"/>
  <c r="T85" i="1"/>
  <c r="BA85" i="1" s="1"/>
  <c r="S85" i="1"/>
  <c r="R85" i="1"/>
  <c r="Q85" i="1"/>
  <c r="P85" i="1"/>
  <c r="O85" i="1"/>
  <c r="N85" i="1"/>
  <c r="AZ85" i="1" s="1"/>
  <c r="M85" i="1"/>
  <c r="L85" i="1"/>
  <c r="H85" i="1"/>
  <c r="AY85" i="1" s="1"/>
  <c r="G85" i="1"/>
  <c r="F85" i="1"/>
  <c r="E85" i="1"/>
  <c r="D85" i="1"/>
  <c r="C85" i="1"/>
  <c r="B85" i="1"/>
  <c r="A85" i="1"/>
  <c r="BE84" i="1"/>
  <c r="AT84" i="1"/>
  <c r="BC84" i="1" s="1"/>
  <c r="AS84" i="1"/>
  <c r="AL84" i="1"/>
  <c r="AM84" i="1" s="1"/>
  <c r="AK84" i="1"/>
  <c r="AG84" i="1"/>
  <c r="AF84" i="1"/>
  <c r="AE84" i="1"/>
  <c r="AD84" i="1"/>
  <c r="AC84" i="1"/>
  <c r="AB84" i="1"/>
  <c r="Z84" i="1"/>
  <c r="Y84" i="1"/>
  <c r="X84" i="1"/>
  <c r="W84" i="1"/>
  <c r="V84" i="1"/>
  <c r="U84" i="1"/>
  <c r="T84" i="1"/>
  <c r="BA84" i="1" s="1"/>
  <c r="S84" i="1"/>
  <c r="R84" i="1"/>
  <c r="Q84" i="1"/>
  <c r="P84" i="1"/>
  <c r="O84" i="1"/>
  <c r="N84" i="1"/>
  <c r="AZ84" i="1" s="1"/>
  <c r="M84" i="1"/>
  <c r="L84" i="1"/>
  <c r="H84" i="1"/>
  <c r="AY84" i="1" s="1"/>
  <c r="G84" i="1"/>
  <c r="F84" i="1"/>
  <c r="E84" i="1"/>
  <c r="D84" i="1"/>
  <c r="C84" i="1"/>
  <c r="B84" i="1"/>
  <c r="A84" i="1"/>
  <c r="BE83" i="1"/>
  <c r="AT83" i="1"/>
  <c r="BC83" i="1" s="1"/>
  <c r="AS83" i="1"/>
  <c r="AL83" i="1"/>
  <c r="AK83" i="1"/>
  <c r="AG83" i="1"/>
  <c r="AF83" i="1"/>
  <c r="AE83" i="1"/>
  <c r="AD83" i="1"/>
  <c r="AC83" i="1"/>
  <c r="AB83" i="1"/>
  <c r="Z83" i="1"/>
  <c r="Y83" i="1"/>
  <c r="X83" i="1"/>
  <c r="W83" i="1"/>
  <c r="V83" i="1"/>
  <c r="U83" i="1"/>
  <c r="T83" i="1"/>
  <c r="BA83" i="1" s="1"/>
  <c r="S83" i="1"/>
  <c r="R83" i="1"/>
  <c r="Q83" i="1"/>
  <c r="P83" i="1"/>
  <c r="O83" i="1"/>
  <c r="N83" i="1"/>
  <c r="AZ83" i="1" s="1"/>
  <c r="M83" i="1"/>
  <c r="L83" i="1"/>
  <c r="H83" i="1"/>
  <c r="AY83" i="1" s="1"/>
  <c r="G83" i="1"/>
  <c r="F83" i="1"/>
  <c r="E83" i="1"/>
  <c r="D83" i="1"/>
  <c r="C83" i="1"/>
  <c r="B83" i="1"/>
  <c r="A83" i="1"/>
  <c r="BE82" i="1"/>
  <c r="AT82" i="1"/>
  <c r="BC82" i="1" s="1"/>
  <c r="AS82" i="1"/>
  <c r="AL82" i="1"/>
  <c r="AK82" i="1"/>
  <c r="AG82" i="1"/>
  <c r="AF82" i="1"/>
  <c r="AE82" i="1"/>
  <c r="AD82" i="1"/>
  <c r="AC82" i="1"/>
  <c r="AB82" i="1"/>
  <c r="Z82" i="1"/>
  <c r="Y82" i="1"/>
  <c r="X82" i="1"/>
  <c r="W82" i="1"/>
  <c r="V82" i="1"/>
  <c r="U82" i="1"/>
  <c r="T82" i="1"/>
  <c r="BA82" i="1" s="1"/>
  <c r="S82" i="1"/>
  <c r="R82" i="1"/>
  <c r="Q82" i="1"/>
  <c r="P82" i="1"/>
  <c r="O82" i="1"/>
  <c r="N82" i="1"/>
  <c r="AZ82" i="1" s="1"/>
  <c r="M82" i="1"/>
  <c r="L82" i="1"/>
  <c r="H82" i="1"/>
  <c r="AY82" i="1" s="1"/>
  <c r="G82" i="1"/>
  <c r="F82" i="1"/>
  <c r="E82" i="1"/>
  <c r="D82" i="1"/>
  <c r="C82" i="1"/>
  <c r="B82" i="1"/>
  <c r="A82" i="1"/>
  <c r="BE81" i="1"/>
  <c r="AT81" i="1"/>
  <c r="BC81" i="1" s="1"/>
  <c r="AS81" i="1"/>
  <c r="AN81" i="1"/>
  <c r="AL81" i="1"/>
  <c r="AX81" i="1" s="1"/>
  <c r="AK81" i="1"/>
  <c r="AG81" i="1"/>
  <c r="AI81" i="1" s="1"/>
  <c r="AF81" i="1"/>
  <c r="AE81" i="1"/>
  <c r="AD81" i="1"/>
  <c r="AC81" i="1"/>
  <c r="AB81" i="1"/>
  <c r="Z81" i="1"/>
  <c r="Y81" i="1"/>
  <c r="X81" i="1"/>
  <c r="W81" i="1"/>
  <c r="V81" i="1"/>
  <c r="U81" i="1"/>
  <c r="T81" i="1"/>
  <c r="BA81" i="1" s="1"/>
  <c r="S81" i="1"/>
  <c r="R81" i="1"/>
  <c r="Q81" i="1"/>
  <c r="P81" i="1"/>
  <c r="O81" i="1"/>
  <c r="N81" i="1"/>
  <c r="AZ81" i="1" s="1"/>
  <c r="M81" i="1"/>
  <c r="L81" i="1"/>
  <c r="H81" i="1"/>
  <c r="AY81" i="1" s="1"/>
  <c r="G81" i="1"/>
  <c r="F81" i="1"/>
  <c r="E81" i="1"/>
  <c r="D81" i="1"/>
  <c r="C81" i="1"/>
  <c r="B81" i="1"/>
  <c r="A81" i="1"/>
  <c r="BE80" i="1"/>
  <c r="AT80" i="1"/>
  <c r="BC80" i="1" s="1"/>
  <c r="AS80" i="1"/>
  <c r="AL80" i="1"/>
  <c r="AK80" i="1"/>
  <c r="AG80" i="1"/>
  <c r="AH80" i="1" s="1"/>
  <c r="AF80" i="1"/>
  <c r="AE80" i="1"/>
  <c r="AD80" i="1"/>
  <c r="AC80" i="1"/>
  <c r="AB80" i="1"/>
  <c r="Z80" i="1"/>
  <c r="Y80" i="1"/>
  <c r="X80" i="1"/>
  <c r="W80" i="1"/>
  <c r="V80" i="1"/>
  <c r="U80" i="1"/>
  <c r="T80" i="1"/>
  <c r="BA80" i="1" s="1"/>
  <c r="S80" i="1"/>
  <c r="R80" i="1"/>
  <c r="Q80" i="1"/>
  <c r="P80" i="1"/>
  <c r="O80" i="1"/>
  <c r="N80" i="1"/>
  <c r="AZ80" i="1" s="1"/>
  <c r="M80" i="1"/>
  <c r="L80" i="1"/>
  <c r="H80" i="1"/>
  <c r="AY80" i="1" s="1"/>
  <c r="G80" i="1"/>
  <c r="F80" i="1"/>
  <c r="E80" i="1"/>
  <c r="D80" i="1"/>
  <c r="C80" i="1"/>
  <c r="B80" i="1"/>
  <c r="A80" i="1"/>
  <c r="BE79" i="1"/>
  <c r="AT79" i="1"/>
  <c r="BC79" i="1" s="1"/>
  <c r="AS79" i="1"/>
  <c r="AL79" i="1"/>
  <c r="AK79" i="1"/>
  <c r="AG79" i="1"/>
  <c r="AF79" i="1"/>
  <c r="AE79" i="1"/>
  <c r="AD79" i="1"/>
  <c r="AC79" i="1"/>
  <c r="AB79" i="1"/>
  <c r="Z79" i="1"/>
  <c r="Y79" i="1"/>
  <c r="X79" i="1"/>
  <c r="W79" i="1"/>
  <c r="V79" i="1"/>
  <c r="U79" i="1"/>
  <c r="T79" i="1"/>
  <c r="BA79" i="1" s="1"/>
  <c r="S79" i="1"/>
  <c r="R79" i="1"/>
  <c r="Q79" i="1"/>
  <c r="P79" i="1"/>
  <c r="O79" i="1"/>
  <c r="N79" i="1"/>
  <c r="AZ79" i="1" s="1"/>
  <c r="M79" i="1"/>
  <c r="L79" i="1"/>
  <c r="H79" i="1"/>
  <c r="AY79" i="1" s="1"/>
  <c r="G79" i="1"/>
  <c r="F79" i="1"/>
  <c r="E79" i="1"/>
  <c r="D79" i="1"/>
  <c r="C79" i="1"/>
  <c r="B79" i="1"/>
  <c r="A79" i="1"/>
  <c r="BE78" i="1"/>
  <c r="AT78" i="1"/>
  <c r="BC78" i="1" s="1"/>
  <c r="AS78" i="1"/>
  <c r="AL78" i="1"/>
  <c r="AK78" i="1"/>
  <c r="AG78" i="1"/>
  <c r="AF78" i="1"/>
  <c r="AE78" i="1"/>
  <c r="AD78" i="1"/>
  <c r="AC78" i="1"/>
  <c r="AB78" i="1"/>
  <c r="Z78" i="1"/>
  <c r="Y78" i="1"/>
  <c r="X78" i="1"/>
  <c r="W78" i="1"/>
  <c r="V78" i="1"/>
  <c r="U78" i="1"/>
  <c r="T78" i="1"/>
  <c r="BA78" i="1" s="1"/>
  <c r="S78" i="1"/>
  <c r="R78" i="1"/>
  <c r="Q78" i="1"/>
  <c r="P78" i="1"/>
  <c r="O78" i="1"/>
  <c r="N78" i="1"/>
  <c r="AZ78" i="1" s="1"/>
  <c r="M78" i="1"/>
  <c r="L78" i="1"/>
  <c r="H78" i="1"/>
  <c r="AY78" i="1" s="1"/>
  <c r="G78" i="1"/>
  <c r="F78" i="1"/>
  <c r="E78" i="1"/>
  <c r="D78" i="1"/>
  <c r="C78" i="1"/>
  <c r="B78" i="1"/>
  <c r="A78" i="1"/>
  <c r="BE77" i="1"/>
  <c r="AT77" i="1"/>
  <c r="BC77" i="1" s="1"/>
  <c r="AS77" i="1"/>
  <c r="AL77" i="1"/>
  <c r="AK77" i="1"/>
  <c r="AG77" i="1"/>
  <c r="AF77" i="1"/>
  <c r="AE77" i="1"/>
  <c r="AD77" i="1"/>
  <c r="AC77" i="1"/>
  <c r="AB77" i="1"/>
  <c r="Z77" i="1"/>
  <c r="Y77" i="1"/>
  <c r="X77" i="1"/>
  <c r="W77" i="1"/>
  <c r="V77" i="1"/>
  <c r="U77" i="1"/>
  <c r="T77" i="1"/>
  <c r="BA77" i="1" s="1"/>
  <c r="S77" i="1"/>
  <c r="R77" i="1"/>
  <c r="Q77" i="1"/>
  <c r="P77" i="1"/>
  <c r="O77" i="1"/>
  <c r="N77" i="1"/>
  <c r="AZ77" i="1" s="1"/>
  <c r="M77" i="1"/>
  <c r="L77" i="1"/>
  <c r="H77" i="1"/>
  <c r="AY77" i="1" s="1"/>
  <c r="G77" i="1"/>
  <c r="F77" i="1"/>
  <c r="E77" i="1"/>
  <c r="D77" i="1"/>
  <c r="C77" i="1"/>
  <c r="B77" i="1"/>
  <c r="A77" i="1"/>
  <c r="BE76" i="1"/>
  <c r="AT76" i="1"/>
  <c r="BC76" i="1" s="1"/>
  <c r="AS76" i="1"/>
  <c r="AL76" i="1"/>
  <c r="AM76" i="1" s="1"/>
  <c r="AK76" i="1"/>
  <c r="AG76" i="1"/>
  <c r="AF76" i="1"/>
  <c r="AE76" i="1"/>
  <c r="AD76" i="1"/>
  <c r="AC76" i="1"/>
  <c r="AB76" i="1"/>
  <c r="Z76" i="1"/>
  <c r="Y76" i="1"/>
  <c r="X76" i="1"/>
  <c r="W76" i="1"/>
  <c r="V76" i="1"/>
  <c r="U76" i="1"/>
  <c r="T76" i="1"/>
  <c r="BA76" i="1" s="1"/>
  <c r="S76" i="1"/>
  <c r="R76" i="1"/>
  <c r="Q76" i="1"/>
  <c r="P76" i="1"/>
  <c r="O76" i="1"/>
  <c r="N76" i="1"/>
  <c r="AZ76" i="1" s="1"/>
  <c r="M76" i="1"/>
  <c r="L76" i="1"/>
  <c r="H76" i="1"/>
  <c r="AY76" i="1" s="1"/>
  <c r="G76" i="1"/>
  <c r="F76" i="1"/>
  <c r="E76" i="1"/>
  <c r="D76" i="1"/>
  <c r="C76" i="1"/>
  <c r="B76" i="1"/>
  <c r="A76" i="1"/>
  <c r="BE75" i="1"/>
  <c r="AT75" i="1"/>
  <c r="BC75" i="1" s="1"/>
  <c r="AS75" i="1"/>
  <c r="AL75" i="1"/>
  <c r="AK75" i="1"/>
  <c r="AG75" i="1"/>
  <c r="AF75" i="1"/>
  <c r="AE75" i="1"/>
  <c r="AD75" i="1"/>
  <c r="AC75" i="1"/>
  <c r="AB75" i="1"/>
  <c r="Z75" i="1"/>
  <c r="Y75" i="1"/>
  <c r="X75" i="1"/>
  <c r="W75" i="1"/>
  <c r="V75" i="1"/>
  <c r="U75" i="1"/>
  <c r="T75" i="1"/>
  <c r="BA75" i="1" s="1"/>
  <c r="S75" i="1"/>
  <c r="R75" i="1"/>
  <c r="Q75" i="1"/>
  <c r="P75" i="1"/>
  <c r="O75" i="1"/>
  <c r="N75" i="1"/>
  <c r="AZ75" i="1" s="1"/>
  <c r="M75" i="1"/>
  <c r="L75" i="1"/>
  <c r="H75" i="1"/>
  <c r="AY75" i="1" s="1"/>
  <c r="G75" i="1"/>
  <c r="F75" i="1"/>
  <c r="E75" i="1"/>
  <c r="D75" i="1"/>
  <c r="C75" i="1"/>
  <c r="B75" i="1"/>
  <c r="A75" i="1"/>
  <c r="BE74" i="1"/>
  <c r="AT74" i="1"/>
  <c r="BC74" i="1" s="1"/>
  <c r="AS74" i="1"/>
  <c r="AL74" i="1"/>
  <c r="AK74" i="1"/>
  <c r="AG74" i="1"/>
  <c r="AH74" i="1" s="1"/>
  <c r="AF74" i="1"/>
  <c r="AE74" i="1"/>
  <c r="AD74" i="1"/>
  <c r="AC74" i="1"/>
  <c r="AB74" i="1"/>
  <c r="Z74" i="1"/>
  <c r="Y74" i="1"/>
  <c r="X74" i="1"/>
  <c r="W74" i="1"/>
  <c r="V74" i="1"/>
  <c r="U74" i="1"/>
  <c r="T74" i="1"/>
  <c r="BA74" i="1" s="1"/>
  <c r="S74" i="1"/>
  <c r="R74" i="1"/>
  <c r="Q74" i="1"/>
  <c r="P74" i="1"/>
  <c r="O74" i="1"/>
  <c r="N74" i="1"/>
  <c r="AZ74" i="1" s="1"/>
  <c r="M74" i="1"/>
  <c r="L74" i="1"/>
  <c r="H74" i="1"/>
  <c r="AY74" i="1" s="1"/>
  <c r="G74" i="1"/>
  <c r="F74" i="1"/>
  <c r="E74" i="1"/>
  <c r="D74" i="1"/>
  <c r="C74" i="1"/>
  <c r="B74" i="1"/>
  <c r="A74" i="1"/>
  <c r="BE73" i="1"/>
  <c r="AT73" i="1"/>
  <c r="BC73" i="1" s="1"/>
  <c r="AS73" i="1"/>
  <c r="AL73" i="1"/>
  <c r="AK73" i="1"/>
  <c r="AG73" i="1"/>
  <c r="AF73" i="1"/>
  <c r="AE73" i="1"/>
  <c r="AD73" i="1"/>
  <c r="AC73" i="1"/>
  <c r="AB73" i="1"/>
  <c r="Z73" i="1"/>
  <c r="Y73" i="1"/>
  <c r="X73" i="1"/>
  <c r="W73" i="1"/>
  <c r="V73" i="1"/>
  <c r="U73" i="1"/>
  <c r="T73" i="1"/>
  <c r="BA73" i="1" s="1"/>
  <c r="S73" i="1"/>
  <c r="R73" i="1"/>
  <c r="Q73" i="1"/>
  <c r="P73" i="1"/>
  <c r="O73" i="1"/>
  <c r="N73" i="1"/>
  <c r="AZ73" i="1" s="1"/>
  <c r="M73" i="1"/>
  <c r="L73" i="1"/>
  <c r="H73" i="1"/>
  <c r="AY73" i="1" s="1"/>
  <c r="G73" i="1"/>
  <c r="F73" i="1"/>
  <c r="E73" i="1"/>
  <c r="D73" i="1"/>
  <c r="C73" i="1"/>
  <c r="B73" i="1"/>
  <c r="A73" i="1"/>
  <c r="BE72" i="1"/>
  <c r="AT72" i="1"/>
  <c r="BC72" i="1" s="1"/>
  <c r="AS72" i="1"/>
  <c r="AL72" i="1"/>
  <c r="AM72" i="1" s="1"/>
  <c r="AK72" i="1"/>
  <c r="AG72" i="1"/>
  <c r="AH72" i="1" s="1"/>
  <c r="AF72" i="1"/>
  <c r="AE72" i="1"/>
  <c r="AD72" i="1"/>
  <c r="AC72" i="1"/>
  <c r="AB72" i="1"/>
  <c r="Z72" i="1"/>
  <c r="Y72" i="1"/>
  <c r="X72" i="1"/>
  <c r="W72" i="1"/>
  <c r="V72" i="1"/>
  <c r="U72" i="1"/>
  <c r="T72" i="1"/>
  <c r="BA72" i="1" s="1"/>
  <c r="S72" i="1"/>
  <c r="R72" i="1"/>
  <c r="Q72" i="1"/>
  <c r="P72" i="1"/>
  <c r="O72" i="1"/>
  <c r="N72" i="1"/>
  <c r="AZ72" i="1" s="1"/>
  <c r="M72" i="1"/>
  <c r="L72" i="1"/>
  <c r="H72" i="1"/>
  <c r="AY72" i="1" s="1"/>
  <c r="G72" i="1"/>
  <c r="F72" i="1"/>
  <c r="E72" i="1"/>
  <c r="D72" i="1"/>
  <c r="C72" i="1"/>
  <c r="B72" i="1"/>
  <c r="A72" i="1"/>
  <c r="BE71" i="1"/>
  <c r="AT71" i="1"/>
  <c r="BC71" i="1" s="1"/>
  <c r="AS71" i="1"/>
  <c r="AL71" i="1"/>
  <c r="AK71" i="1"/>
  <c r="AG71" i="1"/>
  <c r="AI71" i="1" s="1"/>
  <c r="AF71" i="1"/>
  <c r="AE71" i="1"/>
  <c r="AD71" i="1"/>
  <c r="AC71" i="1"/>
  <c r="AB71" i="1"/>
  <c r="Z71" i="1"/>
  <c r="Y71" i="1"/>
  <c r="X71" i="1"/>
  <c r="W71" i="1"/>
  <c r="V71" i="1"/>
  <c r="U71" i="1"/>
  <c r="T71" i="1"/>
  <c r="BA71" i="1" s="1"/>
  <c r="S71" i="1"/>
  <c r="R71" i="1"/>
  <c r="Q71" i="1"/>
  <c r="P71" i="1"/>
  <c r="O71" i="1"/>
  <c r="N71" i="1"/>
  <c r="AZ71" i="1" s="1"/>
  <c r="M71" i="1"/>
  <c r="L71" i="1"/>
  <c r="H71" i="1"/>
  <c r="AY71" i="1" s="1"/>
  <c r="G71" i="1"/>
  <c r="F71" i="1"/>
  <c r="E71" i="1"/>
  <c r="D71" i="1"/>
  <c r="C71" i="1"/>
  <c r="B71" i="1"/>
  <c r="A71" i="1"/>
  <c r="BE70" i="1"/>
  <c r="AT70" i="1"/>
  <c r="BC70" i="1" s="1"/>
  <c r="AS70" i="1"/>
  <c r="AL70" i="1"/>
  <c r="AK70" i="1"/>
  <c r="AG70" i="1"/>
  <c r="AH70" i="1" s="1"/>
  <c r="AF70" i="1"/>
  <c r="AE70" i="1"/>
  <c r="AD70" i="1"/>
  <c r="AC70" i="1"/>
  <c r="AB70" i="1"/>
  <c r="Z70" i="1"/>
  <c r="Y70" i="1"/>
  <c r="X70" i="1"/>
  <c r="W70" i="1"/>
  <c r="V70" i="1"/>
  <c r="U70" i="1"/>
  <c r="T70" i="1"/>
  <c r="BA70" i="1" s="1"/>
  <c r="S70" i="1"/>
  <c r="R70" i="1"/>
  <c r="Q70" i="1"/>
  <c r="P70" i="1"/>
  <c r="O70" i="1"/>
  <c r="N70" i="1"/>
  <c r="AZ70" i="1" s="1"/>
  <c r="M70" i="1"/>
  <c r="L70" i="1"/>
  <c r="H70" i="1"/>
  <c r="AY70" i="1" s="1"/>
  <c r="G70" i="1"/>
  <c r="F70" i="1"/>
  <c r="E70" i="1"/>
  <c r="D70" i="1"/>
  <c r="C70" i="1"/>
  <c r="B70" i="1"/>
  <c r="A70" i="1"/>
  <c r="BE69" i="1"/>
  <c r="AT69" i="1"/>
  <c r="BC69" i="1" s="1"/>
  <c r="AS69" i="1"/>
  <c r="AL69" i="1"/>
  <c r="AK69" i="1"/>
  <c r="AG69" i="1"/>
  <c r="AF69" i="1"/>
  <c r="AE69" i="1"/>
  <c r="AD69" i="1"/>
  <c r="AC69" i="1"/>
  <c r="AB69" i="1"/>
  <c r="Z69" i="1"/>
  <c r="Y69" i="1"/>
  <c r="X69" i="1"/>
  <c r="W69" i="1"/>
  <c r="V69" i="1"/>
  <c r="U69" i="1"/>
  <c r="T69" i="1"/>
  <c r="BA69" i="1" s="1"/>
  <c r="S69" i="1"/>
  <c r="R69" i="1"/>
  <c r="Q69" i="1"/>
  <c r="P69" i="1"/>
  <c r="O69" i="1"/>
  <c r="BD69" i="1" s="1"/>
  <c r="N69" i="1"/>
  <c r="AZ69" i="1" s="1"/>
  <c r="M69" i="1"/>
  <c r="L69" i="1"/>
  <c r="H69" i="1"/>
  <c r="AY69" i="1" s="1"/>
  <c r="G69" i="1"/>
  <c r="F69" i="1"/>
  <c r="E69" i="1"/>
  <c r="D69" i="1"/>
  <c r="C69" i="1"/>
  <c r="B69" i="1"/>
  <c r="A69" i="1"/>
  <c r="BE68" i="1"/>
  <c r="AT68" i="1"/>
  <c r="BC68" i="1" s="1"/>
  <c r="AS68" i="1"/>
  <c r="AL68" i="1"/>
  <c r="AK68" i="1"/>
  <c r="AG68" i="1"/>
  <c r="AF68" i="1"/>
  <c r="AE68" i="1"/>
  <c r="AD68" i="1"/>
  <c r="AC68" i="1"/>
  <c r="AB68" i="1"/>
  <c r="Z68" i="1"/>
  <c r="Y68" i="1"/>
  <c r="X68" i="1"/>
  <c r="W68" i="1"/>
  <c r="V68" i="1"/>
  <c r="U68" i="1"/>
  <c r="T68" i="1"/>
  <c r="BA68" i="1" s="1"/>
  <c r="S68" i="1"/>
  <c r="R68" i="1"/>
  <c r="Q68" i="1"/>
  <c r="P68" i="1"/>
  <c r="O68" i="1"/>
  <c r="N68" i="1"/>
  <c r="AZ68" i="1" s="1"/>
  <c r="M68" i="1"/>
  <c r="L68" i="1"/>
  <c r="H68" i="1"/>
  <c r="AY68" i="1" s="1"/>
  <c r="G68" i="1"/>
  <c r="F68" i="1"/>
  <c r="E68" i="1"/>
  <c r="D68" i="1"/>
  <c r="C68" i="1"/>
  <c r="B68" i="1"/>
  <c r="A68" i="1"/>
  <c r="BE67" i="1"/>
  <c r="AT67" i="1"/>
  <c r="BC67" i="1" s="1"/>
  <c r="AS67" i="1"/>
  <c r="AL67" i="1"/>
  <c r="AK67" i="1"/>
  <c r="AG67" i="1"/>
  <c r="AF67" i="1"/>
  <c r="AE67" i="1"/>
  <c r="AD67" i="1"/>
  <c r="AC67" i="1"/>
  <c r="AB67" i="1"/>
  <c r="Z67" i="1"/>
  <c r="Y67" i="1"/>
  <c r="X67" i="1"/>
  <c r="W67" i="1"/>
  <c r="V67" i="1"/>
  <c r="U67" i="1"/>
  <c r="T67" i="1"/>
  <c r="BA67" i="1" s="1"/>
  <c r="S67" i="1"/>
  <c r="R67" i="1"/>
  <c r="Q67" i="1"/>
  <c r="P67" i="1"/>
  <c r="O67" i="1"/>
  <c r="N67" i="1"/>
  <c r="AZ67" i="1" s="1"/>
  <c r="M67" i="1"/>
  <c r="L67" i="1"/>
  <c r="H67" i="1"/>
  <c r="AY67" i="1" s="1"/>
  <c r="G67" i="1"/>
  <c r="F67" i="1"/>
  <c r="E67" i="1"/>
  <c r="D67" i="1"/>
  <c r="C67" i="1"/>
  <c r="B67" i="1"/>
  <c r="A67" i="1"/>
  <c r="BE66" i="1"/>
  <c r="AT66" i="1"/>
  <c r="BC66" i="1" s="1"/>
  <c r="AS66" i="1"/>
  <c r="AL66" i="1"/>
  <c r="AK66" i="1"/>
  <c r="AG66" i="1"/>
  <c r="AH66" i="1" s="1"/>
  <c r="AF66" i="1"/>
  <c r="AE66" i="1"/>
  <c r="AD66" i="1"/>
  <c r="AC66" i="1"/>
  <c r="AB66" i="1"/>
  <c r="Z66" i="1"/>
  <c r="Y66" i="1"/>
  <c r="X66" i="1"/>
  <c r="W66" i="1"/>
  <c r="V66" i="1"/>
  <c r="U66" i="1"/>
  <c r="T66" i="1"/>
  <c r="BA66" i="1" s="1"/>
  <c r="S66" i="1"/>
  <c r="R66" i="1"/>
  <c r="Q66" i="1"/>
  <c r="P66" i="1"/>
  <c r="O66" i="1"/>
  <c r="N66" i="1"/>
  <c r="AZ66" i="1" s="1"/>
  <c r="M66" i="1"/>
  <c r="L66" i="1"/>
  <c r="H66" i="1"/>
  <c r="AY66" i="1" s="1"/>
  <c r="G66" i="1"/>
  <c r="F66" i="1"/>
  <c r="E66" i="1"/>
  <c r="D66" i="1"/>
  <c r="C66" i="1"/>
  <c r="B66" i="1"/>
  <c r="A66" i="1"/>
  <c r="BE65" i="1"/>
  <c r="AT65" i="1"/>
  <c r="BC65" i="1" s="1"/>
  <c r="AS65" i="1"/>
  <c r="AL65" i="1"/>
  <c r="AK65" i="1"/>
  <c r="AG65" i="1"/>
  <c r="AF65" i="1"/>
  <c r="AE65" i="1"/>
  <c r="AD65" i="1"/>
  <c r="AC65" i="1"/>
  <c r="AB65" i="1"/>
  <c r="Z65" i="1"/>
  <c r="Y65" i="1"/>
  <c r="X65" i="1"/>
  <c r="W65" i="1"/>
  <c r="V65" i="1"/>
  <c r="U65" i="1"/>
  <c r="T65" i="1"/>
  <c r="BA65" i="1" s="1"/>
  <c r="S65" i="1"/>
  <c r="R65" i="1"/>
  <c r="Q65" i="1"/>
  <c r="P65" i="1"/>
  <c r="O65" i="1"/>
  <c r="N65" i="1"/>
  <c r="AZ65" i="1" s="1"/>
  <c r="M65" i="1"/>
  <c r="L65" i="1"/>
  <c r="H65" i="1"/>
  <c r="AY65" i="1" s="1"/>
  <c r="G65" i="1"/>
  <c r="F65" i="1"/>
  <c r="E65" i="1"/>
  <c r="D65" i="1"/>
  <c r="C65" i="1"/>
  <c r="B65" i="1"/>
  <c r="A65" i="1"/>
  <c r="BE64" i="1"/>
  <c r="AT64" i="1"/>
  <c r="BC64" i="1" s="1"/>
  <c r="AS64" i="1"/>
  <c r="AL64" i="1"/>
  <c r="AM64" i="1" s="1"/>
  <c r="AK64" i="1"/>
  <c r="AG64" i="1"/>
  <c r="AF64" i="1"/>
  <c r="AE64" i="1"/>
  <c r="AD64" i="1"/>
  <c r="AC64" i="1"/>
  <c r="AB64" i="1"/>
  <c r="Z64" i="1"/>
  <c r="Y64" i="1"/>
  <c r="X64" i="1"/>
  <c r="W64" i="1"/>
  <c r="V64" i="1"/>
  <c r="U64" i="1"/>
  <c r="T64" i="1"/>
  <c r="BA64" i="1" s="1"/>
  <c r="S64" i="1"/>
  <c r="R64" i="1"/>
  <c r="Q64" i="1"/>
  <c r="P64" i="1"/>
  <c r="O64" i="1"/>
  <c r="N64" i="1"/>
  <c r="AZ64" i="1" s="1"/>
  <c r="M64" i="1"/>
  <c r="L64" i="1"/>
  <c r="H64" i="1"/>
  <c r="AY64" i="1" s="1"/>
  <c r="G64" i="1"/>
  <c r="F64" i="1"/>
  <c r="E64" i="1"/>
  <c r="D64" i="1"/>
  <c r="C64" i="1"/>
  <c r="B64" i="1"/>
  <c r="A64" i="1"/>
  <c r="BE63" i="1"/>
  <c r="AT63" i="1"/>
  <c r="BC63" i="1" s="1"/>
  <c r="AS63" i="1"/>
  <c r="AL63" i="1"/>
  <c r="AK63" i="1"/>
  <c r="AG63" i="1"/>
  <c r="AF63" i="1"/>
  <c r="AE63" i="1"/>
  <c r="AD63" i="1"/>
  <c r="AC63" i="1"/>
  <c r="AB63" i="1"/>
  <c r="Z63" i="1"/>
  <c r="Y63" i="1"/>
  <c r="X63" i="1"/>
  <c r="W63" i="1"/>
  <c r="V63" i="1"/>
  <c r="U63" i="1"/>
  <c r="T63" i="1"/>
  <c r="BA63" i="1" s="1"/>
  <c r="S63" i="1"/>
  <c r="R63" i="1"/>
  <c r="Q63" i="1"/>
  <c r="P63" i="1"/>
  <c r="O63" i="1"/>
  <c r="N63" i="1"/>
  <c r="AZ63" i="1" s="1"/>
  <c r="M63" i="1"/>
  <c r="L63" i="1"/>
  <c r="H63" i="1"/>
  <c r="AY63" i="1" s="1"/>
  <c r="G63" i="1"/>
  <c r="F63" i="1"/>
  <c r="E63" i="1"/>
  <c r="D63" i="1"/>
  <c r="C63" i="1"/>
  <c r="B63" i="1"/>
  <c r="A63" i="1"/>
  <c r="BE62" i="1"/>
  <c r="AT62" i="1"/>
  <c r="BC62" i="1" s="1"/>
  <c r="AS62" i="1"/>
  <c r="AL62" i="1"/>
  <c r="AK62" i="1"/>
  <c r="AG62" i="1"/>
  <c r="AF62" i="1"/>
  <c r="AE62" i="1"/>
  <c r="AD62" i="1"/>
  <c r="AC62" i="1"/>
  <c r="AB62" i="1"/>
  <c r="Z62" i="1"/>
  <c r="Y62" i="1"/>
  <c r="X62" i="1"/>
  <c r="W62" i="1"/>
  <c r="V62" i="1"/>
  <c r="U62" i="1"/>
  <c r="T62" i="1"/>
  <c r="BA62" i="1" s="1"/>
  <c r="S62" i="1"/>
  <c r="R62" i="1"/>
  <c r="Q62" i="1"/>
  <c r="P62" i="1"/>
  <c r="O62" i="1"/>
  <c r="N62" i="1"/>
  <c r="AZ62" i="1" s="1"/>
  <c r="M62" i="1"/>
  <c r="L62" i="1"/>
  <c r="H62" i="1"/>
  <c r="AY62" i="1" s="1"/>
  <c r="G62" i="1"/>
  <c r="F62" i="1"/>
  <c r="E62" i="1"/>
  <c r="D62" i="1"/>
  <c r="C62" i="1"/>
  <c r="B62" i="1"/>
  <c r="A62" i="1"/>
  <c r="BE61" i="1"/>
  <c r="AT61" i="1"/>
  <c r="BC61" i="1" s="1"/>
  <c r="AS61" i="1"/>
  <c r="AL61" i="1"/>
  <c r="AK61" i="1"/>
  <c r="AG61" i="1"/>
  <c r="AF61" i="1"/>
  <c r="AE61" i="1"/>
  <c r="AD61" i="1"/>
  <c r="AC61" i="1"/>
  <c r="AB61" i="1"/>
  <c r="Z61" i="1"/>
  <c r="Y61" i="1"/>
  <c r="X61" i="1"/>
  <c r="W61" i="1"/>
  <c r="V61" i="1"/>
  <c r="U61" i="1"/>
  <c r="T61" i="1"/>
  <c r="BA61" i="1" s="1"/>
  <c r="S61" i="1"/>
  <c r="R61" i="1"/>
  <c r="Q61" i="1"/>
  <c r="P61" i="1"/>
  <c r="O61" i="1"/>
  <c r="N61" i="1"/>
  <c r="AZ61" i="1" s="1"/>
  <c r="M61" i="1"/>
  <c r="L61" i="1"/>
  <c r="H61" i="1"/>
  <c r="AY61" i="1" s="1"/>
  <c r="G61" i="1"/>
  <c r="F61" i="1"/>
  <c r="E61" i="1"/>
  <c r="D61" i="1"/>
  <c r="C61" i="1"/>
  <c r="B61" i="1"/>
  <c r="A61" i="1"/>
  <c r="BE60" i="1"/>
  <c r="AT60" i="1"/>
  <c r="BC60" i="1" s="1"/>
  <c r="AS60" i="1"/>
  <c r="AL60" i="1"/>
  <c r="AK60" i="1"/>
  <c r="AG60" i="1"/>
  <c r="AF60" i="1"/>
  <c r="AE60" i="1"/>
  <c r="AD60" i="1"/>
  <c r="AC60" i="1"/>
  <c r="AB60" i="1"/>
  <c r="Z60" i="1"/>
  <c r="Y60" i="1"/>
  <c r="X60" i="1"/>
  <c r="W60" i="1"/>
  <c r="V60" i="1"/>
  <c r="U60" i="1"/>
  <c r="T60" i="1"/>
  <c r="BA60" i="1" s="1"/>
  <c r="S60" i="1"/>
  <c r="R60" i="1"/>
  <c r="Q60" i="1"/>
  <c r="P60" i="1"/>
  <c r="O60" i="1"/>
  <c r="N60" i="1"/>
  <c r="AZ60" i="1" s="1"/>
  <c r="M60" i="1"/>
  <c r="L60" i="1"/>
  <c r="H60" i="1"/>
  <c r="AY60" i="1" s="1"/>
  <c r="G60" i="1"/>
  <c r="F60" i="1"/>
  <c r="E60" i="1"/>
  <c r="D60" i="1"/>
  <c r="C60" i="1"/>
  <c r="B60" i="1"/>
  <c r="A60" i="1"/>
  <c r="BE59" i="1"/>
  <c r="AT59" i="1"/>
  <c r="BC59" i="1" s="1"/>
  <c r="AS59" i="1"/>
  <c r="AL59" i="1"/>
  <c r="AK59" i="1"/>
  <c r="AG59" i="1"/>
  <c r="AF59" i="1"/>
  <c r="AE59" i="1"/>
  <c r="AD59" i="1"/>
  <c r="AC59" i="1"/>
  <c r="AB59" i="1"/>
  <c r="Z59" i="1"/>
  <c r="Y59" i="1"/>
  <c r="X59" i="1"/>
  <c r="W59" i="1"/>
  <c r="V59" i="1"/>
  <c r="U59" i="1"/>
  <c r="T59" i="1"/>
  <c r="BA59" i="1" s="1"/>
  <c r="S59" i="1"/>
  <c r="R59" i="1"/>
  <c r="Q59" i="1"/>
  <c r="P59" i="1"/>
  <c r="O59" i="1"/>
  <c r="N59" i="1"/>
  <c r="AZ59" i="1" s="1"/>
  <c r="M59" i="1"/>
  <c r="L59" i="1"/>
  <c r="H59" i="1"/>
  <c r="AY59" i="1" s="1"/>
  <c r="G59" i="1"/>
  <c r="F59" i="1"/>
  <c r="E59" i="1"/>
  <c r="D59" i="1"/>
  <c r="C59" i="1"/>
  <c r="B59" i="1"/>
  <c r="A59" i="1"/>
  <c r="BE58" i="1"/>
  <c r="AT58" i="1"/>
  <c r="BC58" i="1" s="1"/>
  <c r="AS58" i="1"/>
  <c r="AL58" i="1"/>
  <c r="AK58" i="1"/>
  <c r="AG58" i="1"/>
  <c r="AF58" i="1"/>
  <c r="AE58" i="1"/>
  <c r="AD58" i="1"/>
  <c r="AC58" i="1"/>
  <c r="AB58" i="1"/>
  <c r="Z58" i="1"/>
  <c r="Y58" i="1"/>
  <c r="X58" i="1"/>
  <c r="W58" i="1"/>
  <c r="V58" i="1"/>
  <c r="U58" i="1"/>
  <c r="T58" i="1"/>
  <c r="BA58" i="1" s="1"/>
  <c r="S58" i="1"/>
  <c r="R58" i="1"/>
  <c r="Q58" i="1"/>
  <c r="P58" i="1"/>
  <c r="O58" i="1"/>
  <c r="N58" i="1"/>
  <c r="AZ58" i="1" s="1"/>
  <c r="M58" i="1"/>
  <c r="L58" i="1"/>
  <c r="H58" i="1"/>
  <c r="AY58" i="1" s="1"/>
  <c r="G58" i="1"/>
  <c r="F58" i="1"/>
  <c r="E58" i="1"/>
  <c r="D58" i="1"/>
  <c r="C58" i="1"/>
  <c r="B58" i="1"/>
  <c r="A58" i="1"/>
  <c r="BE57" i="1"/>
  <c r="AT57" i="1"/>
  <c r="BC57" i="1" s="1"/>
  <c r="AS57" i="1"/>
  <c r="AL57" i="1"/>
  <c r="AK57" i="1"/>
  <c r="AG57" i="1"/>
  <c r="AF57" i="1"/>
  <c r="AE57" i="1"/>
  <c r="AD57" i="1"/>
  <c r="AC57" i="1"/>
  <c r="AB57" i="1"/>
  <c r="Z57" i="1"/>
  <c r="Y57" i="1"/>
  <c r="X57" i="1"/>
  <c r="W57" i="1"/>
  <c r="V57" i="1"/>
  <c r="U57" i="1"/>
  <c r="T57" i="1"/>
  <c r="BA57" i="1" s="1"/>
  <c r="S57" i="1"/>
  <c r="R57" i="1"/>
  <c r="Q57" i="1"/>
  <c r="P57" i="1"/>
  <c r="O57" i="1"/>
  <c r="N57" i="1"/>
  <c r="AZ57" i="1" s="1"/>
  <c r="M57" i="1"/>
  <c r="L57" i="1"/>
  <c r="H57" i="1"/>
  <c r="AY57" i="1" s="1"/>
  <c r="G57" i="1"/>
  <c r="F57" i="1"/>
  <c r="E57" i="1"/>
  <c r="D57" i="1"/>
  <c r="C57" i="1"/>
  <c r="B57" i="1"/>
  <c r="A57" i="1"/>
  <c r="BE56" i="1"/>
  <c r="AT56" i="1"/>
  <c r="BC56" i="1" s="1"/>
  <c r="AS56" i="1"/>
  <c r="AL56" i="1"/>
  <c r="AK56" i="1"/>
  <c r="AG56" i="1"/>
  <c r="AF56" i="1"/>
  <c r="AE56" i="1"/>
  <c r="AD56" i="1"/>
  <c r="AC56" i="1"/>
  <c r="AB56" i="1"/>
  <c r="Z56" i="1"/>
  <c r="Y56" i="1"/>
  <c r="X56" i="1"/>
  <c r="W56" i="1"/>
  <c r="V56" i="1"/>
  <c r="U56" i="1"/>
  <c r="T56" i="1"/>
  <c r="BA56" i="1" s="1"/>
  <c r="S56" i="1"/>
  <c r="R56" i="1"/>
  <c r="Q56" i="1"/>
  <c r="P56" i="1"/>
  <c r="O56" i="1"/>
  <c r="N56" i="1"/>
  <c r="AZ56" i="1" s="1"/>
  <c r="M56" i="1"/>
  <c r="L56" i="1"/>
  <c r="H56" i="1"/>
  <c r="AY56" i="1" s="1"/>
  <c r="G56" i="1"/>
  <c r="F56" i="1"/>
  <c r="E56" i="1"/>
  <c r="D56" i="1"/>
  <c r="C56" i="1"/>
  <c r="B56" i="1"/>
  <c r="A56" i="1"/>
  <c r="BE55" i="1"/>
  <c r="AT55" i="1"/>
  <c r="BC55" i="1" s="1"/>
  <c r="AS55" i="1"/>
  <c r="AL55" i="1"/>
  <c r="AK55" i="1"/>
  <c r="AG55" i="1"/>
  <c r="AI55" i="1" s="1"/>
  <c r="AF55" i="1"/>
  <c r="AE55" i="1"/>
  <c r="AD55" i="1"/>
  <c r="AC55" i="1"/>
  <c r="AB55" i="1"/>
  <c r="Z55" i="1"/>
  <c r="Y55" i="1"/>
  <c r="X55" i="1"/>
  <c r="W55" i="1"/>
  <c r="V55" i="1"/>
  <c r="U55" i="1"/>
  <c r="T55" i="1"/>
  <c r="BA55" i="1" s="1"/>
  <c r="S55" i="1"/>
  <c r="R55" i="1"/>
  <c r="Q55" i="1"/>
  <c r="P55" i="1"/>
  <c r="O55" i="1"/>
  <c r="N55" i="1"/>
  <c r="AZ55" i="1" s="1"/>
  <c r="M55" i="1"/>
  <c r="L55" i="1"/>
  <c r="H55" i="1"/>
  <c r="AY55" i="1" s="1"/>
  <c r="G55" i="1"/>
  <c r="F55" i="1"/>
  <c r="E55" i="1"/>
  <c r="D55" i="1"/>
  <c r="C55" i="1"/>
  <c r="B55" i="1"/>
  <c r="A55" i="1"/>
  <c r="BE54" i="1"/>
  <c r="AT54" i="1"/>
  <c r="BC54" i="1" s="1"/>
  <c r="AS54" i="1"/>
  <c r="AL54" i="1"/>
  <c r="AK54" i="1"/>
  <c r="AG54" i="1"/>
  <c r="AF54" i="1"/>
  <c r="AE54" i="1"/>
  <c r="AD54" i="1"/>
  <c r="AC54" i="1"/>
  <c r="AB54" i="1"/>
  <c r="Z54" i="1"/>
  <c r="Y54" i="1"/>
  <c r="X54" i="1"/>
  <c r="W54" i="1"/>
  <c r="V54" i="1"/>
  <c r="U54" i="1"/>
  <c r="T54" i="1"/>
  <c r="BA54" i="1" s="1"/>
  <c r="S54" i="1"/>
  <c r="R54" i="1"/>
  <c r="Q54" i="1"/>
  <c r="P54" i="1"/>
  <c r="O54" i="1"/>
  <c r="N54" i="1"/>
  <c r="AZ54" i="1" s="1"/>
  <c r="M54" i="1"/>
  <c r="L54" i="1"/>
  <c r="H54" i="1"/>
  <c r="AY54" i="1" s="1"/>
  <c r="G54" i="1"/>
  <c r="F54" i="1"/>
  <c r="E54" i="1"/>
  <c r="D54" i="1"/>
  <c r="C54" i="1"/>
  <c r="B54" i="1"/>
  <c r="A54" i="1"/>
  <c r="BE53" i="1"/>
  <c r="AT53" i="1"/>
  <c r="BC53" i="1" s="1"/>
  <c r="AS53" i="1"/>
  <c r="AL53" i="1"/>
  <c r="AK53" i="1"/>
  <c r="AG53" i="1"/>
  <c r="AF53" i="1"/>
  <c r="AE53" i="1"/>
  <c r="AD53" i="1"/>
  <c r="AC53" i="1"/>
  <c r="AB53" i="1"/>
  <c r="Z53" i="1"/>
  <c r="Y53" i="1"/>
  <c r="X53" i="1"/>
  <c r="W53" i="1"/>
  <c r="V53" i="1"/>
  <c r="U53" i="1"/>
  <c r="T53" i="1"/>
  <c r="BA53" i="1" s="1"/>
  <c r="S53" i="1"/>
  <c r="R53" i="1"/>
  <c r="Q53" i="1"/>
  <c r="P53" i="1"/>
  <c r="O53" i="1"/>
  <c r="N53" i="1"/>
  <c r="AZ53" i="1" s="1"/>
  <c r="M53" i="1"/>
  <c r="L53" i="1"/>
  <c r="H53" i="1"/>
  <c r="AY53" i="1" s="1"/>
  <c r="G53" i="1"/>
  <c r="F53" i="1"/>
  <c r="E53" i="1"/>
  <c r="D53" i="1"/>
  <c r="C53" i="1"/>
  <c r="B53" i="1"/>
  <c r="A53" i="1"/>
  <c r="BE52" i="1"/>
  <c r="AT52" i="1"/>
  <c r="BC52" i="1" s="1"/>
  <c r="AS52" i="1"/>
  <c r="AL52" i="1"/>
  <c r="AK52" i="1"/>
  <c r="AG52" i="1"/>
  <c r="AF52" i="1"/>
  <c r="AE52" i="1"/>
  <c r="AD52" i="1"/>
  <c r="AC52" i="1"/>
  <c r="AB52" i="1"/>
  <c r="Z52" i="1"/>
  <c r="Y52" i="1"/>
  <c r="X52" i="1"/>
  <c r="W52" i="1"/>
  <c r="V52" i="1"/>
  <c r="U52" i="1"/>
  <c r="T52" i="1"/>
  <c r="BA52" i="1" s="1"/>
  <c r="S52" i="1"/>
  <c r="R52" i="1"/>
  <c r="Q52" i="1"/>
  <c r="P52" i="1"/>
  <c r="O52" i="1"/>
  <c r="N52" i="1"/>
  <c r="AZ52" i="1" s="1"/>
  <c r="M52" i="1"/>
  <c r="L52" i="1"/>
  <c r="H52" i="1"/>
  <c r="AY52" i="1" s="1"/>
  <c r="G52" i="1"/>
  <c r="F52" i="1"/>
  <c r="E52" i="1"/>
  <c r="D52" i="1"/>
  <c r="C52" i="1"/>
  <c r="B52" i="1"/>
  <c r="A52" i="1"/>
  <c r="BE51" i="1"/>
  <c r="AT51" i="1"/>
  <c r="BC51" i="1" s="1"/>
  <c r="AS51" i="1"/>
  <c r="AL51" i="1"/>
  <c r="AK51" i="1"/>
  <c r="AG51" i="1"/>
  <c r="AF51" i="1"/>
  <c r="AE51" i="1"/>
  <c r="AD51" i="1"/>
  <c r="AC51" i="1"/>
  <c r="AB51" i="1"/>
  <c r="Z51" i="1"/>
  <c r="Y51" i="1"/>
  <c r="X51" i="1"/>
  <c r="W51" i="1"/>
  <c r="V51" i="1"/>
  <c r="U51" i="1"/>
  <c r="T51" i="1"/>
  <c r="BA51" i="1" s="1"/>
  <c r="S51" i="1"/>
  <c r="R51" i="1"/>
  <c r="Q51" i="1"/>
  <c r="P51" i="1"/>
  <c r="O51" i="1"/>
  <c r="N51" i="1"/>
  <c r="AZ51" i="1" s="1"/>
  <c r="M51" i="1"/>
  <c r="L51" i="1"/>
  <c r="H51" i="1"/>
  <c r="AY51" i="1" s="1"/>
  <c r="G51" i="1"/>
  <c r="F51" i="1"/>
  <c r="E51" i="1"/>
  <c r="D51" i="1"/>
  <c r="C51" i="1"/>
  <c r="B51" i="1"/>
  <c r="A51" i="1"/>
  <c r="BE50" i="1"/>
  <c r="AT50" i="1"/>
  <c r="BC50" i="1" s="1"/>
  <c r="AS50" i="1"/>
  <c r="AL50" i="1"/>
  <c r="AK50" i="1"/>
  <c r="AG50" i="1"/>
  <c r="AF50" i="1"/>
  <c r="AE50" i="1"/>
  <c r="AD50" i="1"/>
  <c r="AC50" i="1"/>
  <c r="AB50" i="1"/>
  <c r="Z50" i="1"/>
  <c r="Y50" i="1"/>
  <c r="X50" i="1"/>
  <c r="W50" i="1"/>
  <c r="V50" i="1"/>
  <c r="U50" i="1"/>
  <c r="T50" i="1"/>
  <c r="BA50" i="1" s="1"/>
  <c r="S50" i="1"/>
  <c r="R50" i="1"/>
  <c r="Q50" i="1"/>
  <c r="P50" i="1"/>
  <c r="O50" i="1"/>
  <c r="N50" i="1"/>
  <c r="AZ50" i="1" s="1"/>
  <c r="M50" i="1"/>
  <c r="L50" i="1"/>
  <c r="H50" i="1"/>
  <c r="AY50" i="1" s="1"/>
  <c r="G50" i="1"/>
  <c r="F50" i="1"/>
  <c r="E50" i="1"/>
  <c r="D50" i="1"/>
  <c r="C50" i="1"/>
  <c r="B50" i="1"/>
  <c r="A50" i="1"/>
  <c r="BE49" i="1"/>
  <c r="AT49" i="1"/>
  <c r="BC49" i="1" s="1"/>
  <c r="AS49" i="1"/>
  <c r="AL49" i="1"/>
  <c r="AK49" i="1"/>
  <c r="AG49" i="1"/>
  <c r="AI49" i="1" s="1"/>
  <c r="AF49" i="1"/>
  <c r="AE49" i="1"/>
  <c r="AD49" i="1"/>
  <c r="AC49" i="1"/>
  <c r="AB49" i="1"/>
  <c r="Z49" i="1"/>
  <c r="Y49" i="1"/>
  <c r="X49" i="1"/>
  <c r="W49" i="1"/>
  <c r="V49" i="1"/>
  <c r="U49" i="1"/>
  <c r="T49" i="1"/>
  <c r="BA49" i="1" s="1"/>
  <c r="S49" i="1"/>
  <c r="R49" i="1"/>
  <c r="Q49" i="1"/>
  <c r="P49" i="1"/>
  <c r="O49" i="1"/>
  <c r="N49" i="1"/>
  <c r="AZ49" i="1" s="1"/>
  <c r="M49" i="1"/>
  <c r="L49" i="1"/>
  <c r="H49" i="1"/>
  <c r="AY49" i="1" s="1"/>
  <c r="G49" i="1"/>
  <c r="F49" i="1"/>
  <c r="E49" i="1"/>
  <c r="D49" i="1"/>
  <c r="C49" i="1"/>
  <c r="B49" i="1"/>
  <c r="A49" i="1"/>
  <c r="BE48" i="1"/>
  <c r="AT48" i="1"/>
  <c r="BC48" i="1" s="1"/>
  <c r="AS48" i="1"/>
  <c r="AL48" i="1"/>
  <c r="AK48" i="1"/>
  <c r="AG48" i="1"/>
  <c r="AF48" i="1"/>
  <c r="AE48" i="1"/>
  <c r="AD48" i="1"/>
  <c r="AC48" i="1"/>
  <c r="AB48" i="1"/>
  <c r="Z48" i="1"/>
  <c r="Y48" i="1"/>
  <c r="X48" i="1"/>
  <c r="W48" i="1"/>
  <c r="V48" i="1"/>
  <c r="U48" i="1"/>
  <c r="T48" i="1"/>
  <c r="BA48" i="1" s="1"/>
  <c r="S48" i="1"/>
  <c r="R48" i="1"/>
  <c r="Q48" i="1"/>
  <c r="P48" i="1"/>
  <c r="O48" i="1"/>
  <c r="N48" i="1"/>
  <c r="AZ48" i="1" s="1"/>
  <c r="M48" i="1"/>
  <c r="L48" i="1"/>
  <c r="H48" i="1"/>
  <c r="AY48" i="1" s="1"/>
  <c r="G48" i="1"/>
  <c r="F48" i="1"/>
  <c r="E48" i="1"/>
  <c r="D48" i="1"/>
  <c r="C48" i="1"/>
  <c r="B48" i="1"/>
  <c r="A48" i="1"/>
  <c r="BE47" i="1"/>
  <c r="AT47" i="1"/>
  <c r="BC47" i="1" s="1"/>
  <c r="AS47" i="1"/>
  <c r="AL47" i="1"/>
  <c r="AK47" i="1"/>
  <c r="AG47" i="1"/>
  <c r="AF47" i="1"/>
  <c r="AE47" i="1"/>
  <c r="AD47" i="1"/>
  <c r="AC47" i="1"/>
  <c r="AB47" i="1"/>
  <c r="Z47" i="1"/>
  <c r="Y47" i="1"/>
  <c r="X47" i="1"/>
  <c r="W47" i="1"/>
  <c r="V47" i="1"/>
  <c r="U47" i="1"/>
  <c r="T47" i="1"/>
  <c r="BA47" i="1" s="1"/>
  <c r="S47" i="1"/>
  <c r="R47" i="1"/>
  <c r="Q47" i="1"/>
  <c r="P47" i="1"/>
  <c r="O47" i="1"/>
  <c r="N47" i="1"/>
  <c r="AZ47" i="1" s="1"/>
  <c r="M47" i="1"/>
  <c r="L47" i="1"/>
  <c r="H47" i="1"/>
  <c r="AY47" i="1" s="1"/>
  <c r="G47" i="1"/>
  <c r="F47" i="1"/>
  <c r="E47" i="1"/>
  <c r="D47" i="1"/>
  <c r="C47" i="1"/>
  <c r="B47" i="1"/>
  <c r="A47" i="1"/>
  <c r="BE46" i="1"/>
  <c r="AT46" i="1"/>
  <c r="BC46" i="1" s="1"/>
  <c r="AS46" i="1"/>
  <c r="AL46" i="1"/>
  <c r="AK46" i="1"/>
  <c r="AG46" i="1"/>
  <c r="AF46" i="1"/>
  <c r="AE46" i="1"/>
  <c r="AD46" i="1"/>
  <c r="AC46" i="1"/>
  <c r="AB46" i="1"/>
  <c r="Z46" i="1"/>
  <c r="Y46" i="1"/>
  <c r="X46" i="1"/>
  <c r="W46" i="1"/>
  <c r="V46" i="1"/>
  <c r="U46" i="1"/>
  <c r="T46" i="1"/>
  <c r="BA46" i="1" s="1"/>
  <c r="S46" i="1"/>
  <c r="R46" i="1"/>
  <c r="Q46" i="1"/>
  <c r="P46" i="1"/>
  <c r="O46" i="1"/>
  <c r="N46" i="1"/>
  <c r="AZ46" i="1" s="1"/>
  <c r="M46" i="1"/>
  <c r="L46" i="1"/>
  <c r="H46" i="1"/>
  <c r="AY46" i="1" s="1"/>
  <c r="G46" i="1"/>
  <c r="F46" i="1"/>
  <c r="E46" i="1"/>
  <c r="D46" i="1"/>
  <c r="C46" i="1"/>
  <c r="B46" i="1"/>
  <c r="A46" i="1"/>
  <c r="BE45" i="1"/>
  <c r="AT45" i="1"/>
  <c r="BC45" i="1" s="1"/>
  <c r="AS45" i="1"/>
  <c r="AL45" i="1"/>
  <c r="AK45" i="1"/>
  <c r="AG45" i="1"/>
  <c r="AF45" i="1"/>
  <c r="AE45" i="1"/>
  <c r="AD45" i="1"/>
  <c r="AC45" i="1"/>
  <c r="AB45" i="1"/>
  <c r="Z45" i="1"/>
  <c r="Y45" i="1"/>
  <c r="X45" i="1"/>
  <c r="W45" i="1"/>
  <c r="V45" i="1"/>
  <c r="U45" i="1"/>
  <c r="T45" i="1"/>
  <c r="BA45" i="1" s="1"/>
  <c r="S45" i="1"/>
  <c r="R45" i="1"/>
  <c r="Q45" i="1"/>
  <c r="P45" i="1"/>
  <c r="O45" i="1"/>
  <c r="N45" i="1"/>
  <c r="AZ45" i="1" s="1"/>
  <c r="M45" i="1"/>
  <c r="L45" i="1"/>
  <c r="H45" i="1"/>
  <c r="AY45" i="1" s="1"/>
  <c r="G45" i="1"/>
  <c r="F45" i="1"/>
  <c r="E45" i="1"/>
  <c r="D45" i="1"/>
  <c r="C45" i="1"/>
  <c r="B45" i="1"/>
  <c r="A45" i="1"/>
  <c r="BE44" i="1"/>
  <c r="AT44" i="1"/>
  <c r="BC44" i="1" s="1"/>
  <c r="AS44" i="1"/>
  <c r="AL44" i="1"/>
  <c r="AK44" i="1"/>
  <c r="AG44" i="1"/>
  <c r="AF44" i="1"/>
  <c r="AE44" i="1"/>
  <c r="AD44" i="1"/>
  <c r="AC44" i="1"/>
  <c r="AB44" i="1"/>
  <c r="Z44" i="1"/>
  <c r="Y44" i="1"/>
  <c r="X44" i="1"/>
  <c r="W44" i="1"/>
  <c r="V44" i="1"/>
  <c r="U44" i="1"/>
  <c r="T44" i="1"/>
  <c r="BA44" i="1" s="1"/>
  <c r="S44" i="1"/>
  <c r="R44" i="1"/>
  <c r="Q44" i="1"/>
  <c r="P44" i="1"/>
  <c r="O44" i="1"/>
  <c r="N44" i="1"/>
  <c r="AZ44" i="1" s="1"/>
  <c r="M44" i="1"/>
  <c r="L44" i="1"/>
  <c r="H44" i="1"/>
  <c r="AY44" i="1" s="1"/>
  <c r="G44" i="1"/>
  <c r="F44" i="1"/>
  <c r="E44" i="1"/>
  <c r="D44" i="1"/>
  <c r="C44" i="1"/>
  <c r="B44" i="1"/>
  <c r="A44" i="1"/>
  <c r="BE43" i="1"/>
  <c r="AT43" i="1"/>
  <c r="BC43" i="1" s="1"/>
  <c r="AS43" i="1"/>
  <c r="AL43" i="1"/>
  <c r="AK43" i="1"/>
  <c r="AG43" i="1"/>
  <c r="AF43" i="1"/>
  <c r="AE43" i="1"/>
  <c r="AD43" i="1"/>
  <c r="AC43" i="1"/>
  <c r="AB43" i="1"/>
  <c r="Z43" i="1"/>
  <c r="Y43" i="1"/>
  <c r="X43" i="1"/>
  <c r="W43" i="1"/>
  <c r="V43" i="1"/>
  <c r="U43" i="1"/>
  <c r="T43" i="1"/>
  <c r="BA43" i="1" s="1"/>
  <c r="S43" i="1"/>
  <c r="R43" i="1"/>
  <c r="Q43" i="1"/>
  <c r="P43" i="1"/>
  <c r="O43" i="1"/>
  <c r="N43" i="1"/>
  <c r="AZ43" i="1" s="1"/>
  <c r="M43" i="1"/>
  <c r="L43" i="1"/>
  <c r="H43" i="1"/>
  <c r="AY43" i="1" s="1"/>
  <c r="G43" i="1"/>
  <c r="F43" i="1"/>
  <c r="E43" i="1"/>
  <c r="D43" i="1"/>
  <c r="C43" i="1"/>
  <c r="B43" i="1"/>
  <c r="A43" i="1"/>
  <c r="BE42" i="1"/>
  <c r="AT42" i="1"/>
  <c r="BC42" i="1" s="1"/>
  <c r="AS42" i="1"/>
  <c r="AL42" i="1"/>
  <c r="AK42" i="1"/>
  <c r="AG42" i="1"/>
  <c r="AF42" i="1"/>
  <c r="AE42" i="1"/>
  <c r="AD42" i="1"/>
  <c r="AC42" i="1"/>
  <c r="AB42" i="1"/>
  <c r="Z42" i="1"/>
  <c r="Y42" i="1"/>
  <c r="X42" i="1"/>
  <c r="W42" i="1"/>
  <c r="V42" i="1"/>
  <c r="U42" i="1"/>
  <c r="T42" i="1"/>
  <c r="BA42" i="1" s="1"/>
  <c r="S42" i="1"/>
  <c r="R42" i="1"/>
  <c r="Q42" i="1"/>
  <c r="P42" i="1"/>
  <c r="O42" i="1"/>
  <c r="N42" i="1"/>
  <c r="AZ42" i="1" s="1"/>
  <c r="M42" i="1"/>
  <c r="L42" i="1"/>
  <c r="H42" i="1"/>
  <c r="AY42" i="1" s="1"/>
  <c r="G42" i="1"/>
  <c r="F42" i="1"/>
  <c r="E42" i="1"/>
  <c r="D42" i="1"/>
  <c r="C42" i="1"/>
  <c r="B42" i="1"/>
  <c r="A42" i="1"/>
  <c r="BE41" i="1"/>
  <c r="AT41" i="1"/>
  <c r="BC41" i="1" s="1"/>
  <c r="AS41" i="1"/>
  <c r="AL41" i="1"/>
  <c r="AK41" i="1"/>
  <c r="AG41" i="1"/>
  <c r="AF41" i="1"/>
  <c r="AE41" i="1"/>
  <c r="AD41" i="1"/>
  <c r="AC41" i="1"/>
  <c r="AB41" i="1"/>
  <c r="Z41" i="1"/>
  <c r="Y41" i="1"/>
  <c r="X41" i="1"/>
  <c r="W41" i="1"/>
  <c r="V41" i="1"/>
  <c r="U41" i="1"/>
  <c r="T41" i="1"/>
  <c r="BA41" i="1" s="1"/>
  <c r="S41" i="1"/>
  <c r="R41" i="1"/>
  <c r="Q41" i="1"/>
  <c r="P41" i="1"/>
  <c r="O41" i="1"/>
  <c r="N41" i="1"/>
  <c r="AZ41" i="1" s="1"/>
  <c r="M41" i="1"/>
  <c r="L41" i="1"/>
  <c r="H41" i="1"/>
  <c r="AY41" i="1" s="1"/>
  <c r="G41" i="1"/>
  <c r="F41" i="1"/>
  <c r="E41" i="1"/>
  <c r="D41" i="1"/>
  <c r="C41" i="1"/>
  <c r="B41" i="1"/>
  <c r="A41" i="1"/>
  <c r="BE40" i="1"/>
  <c r="AT40" i="1"/>
  <c r="BC40" i="1" s="1"/>
  <c r="AS40" i="1"/>
  <c r="AL40" i="1"/>
  <c r="AK40" i="1"/>
  <c r="AG40" i="1"/>
  <c r="AF40" i="1"/>
  <c r="AE40" i="1"/>
  <c r="AD40" i="1"/>
  <c r="AC40" i="1"/>
  <c r="AB40" i="1"/>
  <c r="Z40" i="1"/>
  <c r="Y40" i="1"/>
  <c r="X40" i="1"/>
  <c r="W40" i="1"/>
  <c r="V40" i="1"/>
  <c r="U40" i="1"/>
  <c r="T40" i="1"/>
  <c r="BA40" i="1" s="1"/>
  <c r="S40" i="1"/>
  <c r="R40" i="1"/>
  <c r="Q40" i="1"/>
  <c r="P40" i="1"/>
  <c r="O40" i="1"/>
  <c r="N40" i="1"/>
  <c r="AZ40" i="1" s="1"/>
  <c r="M40" i="1"/>
  <c r="L40" i="1"/>
  <c r="H40" i="1"/>
  <c r="AY40" i="1" s="1"/>
  <c r="G40" i="1"/>
  <c r="F40" i="1"/>
  <c r="E40" i="1"/>
  <c r="D40" i="1"/>
  <c r="C40" i="1"/>
  <c r="B40" i="1"/>
  <c r="A40" i="1"/>
  <c r="BE39" i="1"/>
  <c r="AT39" i="1"/>
  <c r="BC39" i="1" s="1"/>
  <c r="AS39" i="1"/>
  <c r="AL39" i="1"/>
  <c r="AK39" i="1"/>
  <c r="AG39" i="1"/>
  <c r="AI39" i="1" s="1"/>
  <c r="AF39" i="1"/>
  <c r="AE39" i="1"/>
  <c r="AD39" i="1"/>
  <c r="AC39" i="1"/>
  <c r="AB39" i="1"/>
  <c r="Z39" i="1"/>
  <c r="Y39" i="1"/>
  <c r="X39" i="1"/>
  <c r="W39" i="1"/>
  <c r="V39" i="1"/>
  <c r="U39" i="1"/>
  <c r="T39" i="1"/>
  <c r="BA39" i="1" s="1"/>
  <c r="S39" i="1"/>
  <c r="R39" i="1"/>
  <c r="Q39" i="1"/>
  <c r="P39" i="1"/>
  <c r="O39" i="1"/>
  <c r="N39" i="1"/>
  <c r="AZ39" i="1" s="1"/>
  <c r="M39" i="1"/>
  <c r="L39" i="1"/>
  <c r="H39" i="1"/>
  <c r="AY39" i="1" s="1"/>
  <c r="G39" i="1"/>
  <c r="F39" i="1"/>
  <c r="E39" i="1"/>
  <c r="D39" i="1"/>
  <c r="C39" i="1"/>
  <c r="B39" i="1"/>
  <c r="A39" i="1"/>
  <c r="BE38" i="1"/>
  <c r="AT38" i="1"/>
  <c r="BC38" i="1" s="1"/>
  <c r="AS38" i="1"/>
  <c r="AL38" i="1"/>
  <c r="AK38" i="1"/>
  <c r="AG38" i="1"/>
  <c r="AF38" i="1"/>
  <c r="AE38" i="1"/>
  <c r="AD38" i="1"/>
  <c r="AC38" i="1"/>
  <c r="AB38" i="1"/>
  <c r="Z38" i="1"/>
  <c r="Y38" i="1"/>
  <c r="X38" i="1"/>
  <c r="W38" i="1"/>
  <c r="V38" i="1"/>
  <c r="U38" i="1"/>
  <c r="T38" i="1"/>
  <c r="BA38" i="1" s="1"/>
  <c r="S38" i="1"/>
  <c r="R38" i="1"/>
  <c r="Q38" i="1"/>
  <c r="P38" i="1"/>
  <c r="O38" i="1"/>
  <c r="N38" i="1"/>
  <c r="AZ38" i="1" s="1"/>
  <c r="M38" i="1"/>
  <c r="L38" i="1"/>
  <c r="H38" i="1"/>
  <c r="AY38" i="1" s="1"/>
  <c r="G38" i="1"/>
  <c r="F38" i="1"/>
  <c r="E38" i="1"/>
  <c r="D38" i="1"/>
  <c r="C38" i="1"/>
  <c r="B38" i="1"/>
  <c r="A38" i="1"/>
  <c r="BE37" i="1"/>
  <c r="AT37" i="1"/>
  <c r="BC37" i="1" s="1"/>
  <c r="AS37" i="1"/>
  <c r="AL37" i="1"/>
  <c r="AK37" i="1"/>
  <c r="AG37" i="1"/>
  <c r="AF37" i="1"/>
  <c r="AE37" i="1"/>
  <c r="AD37" i="1"/>
  <c r="AC37" i="1"/>
  <c r="AB37" i="1"/>
  <c r="Z37" i="1"/>
  <c r="Y37" i="1"/>
  <c r="X37" i="1"/>
  <c r="W37" i="1"/>
  <c r="V37" i="1"/>
  <c r="U37" i="1"/>
  <c r="T37" i="1"/>
  <c r="BA37" i="1" s="1"/>
  <c r="S37" i="1"/>
  <c r="R37" i="1"/>
  <c r="Q37" i="1"/>
  <c r="P37" i="1"/>
  <c r="O37" i="1"/>
  <c r="N37" i="1"/>
  <c r="AZ37" i="1" s="1"/>
  <c r="M37" i="1"/>
  <c r="L37" i="1"/>
  <c r="H37" i="1"/>
  <c r="AY37" i="1" s="1"/>
  <c r="G37" i="1"/>
  <c r="F37" i="1"/>
  <c r="E37" i="1"/>
  <c r="D37" i="1"/>
  <c r="C37" i="1"/>
  <c r="B37" i="1"/>
  <c r="A37" i="1"/>
  <c r="BE36" i="1"/>
  <c r="AT36" i="1"/>
  <c r="BC36" i="1" s="1"/>
  <c r="AS36" i="1"/>
  <c r="AL36" i="1"/>
  <c r="AK36" i="1"/>
  <c r="AG36" i="1"/>
  <c r="AF36" i="1"/>
  <c r="AE36" i="1"/>
  <c r="AD36" i="1"/>
  <c r="AC36" i="1"/>
  <c r="AB36" i="1"/>
  <c r="Z36" i="1"/>
  <c r="Y36" i="1"/>
  <c r="X36" i="1"/>
  <c r="W36" i="1"/>
  <c r="V36" i="1"/>
  <c r="U36" i="1"/>
  <c r="T36" i="1"/>
  <c r="BA36" i="1" s="1"/>
  <c r="S36" i="1"/>
  <c r="R36" i="1"/>
  <c r="Q36" i="1"/>
  <c r="P36" i="1"/>
  <c r="O36" i="1"/>
  <c r="N36" i="1"/>
  <c r="AZ36" i="1" s="1"/>
  <c r="M36" i="1"/>
  <c r="L36" i="1"/>
  <c r="H36" i="1"/>
  <c r="AY36" i="1" s="1"/>
  <c r="G36" i="1"/>
  <c r="F36" i="1"/>
  <c r="E36" i="1"/>
  <c r="D36" i="1"/>
  <c r="C36" i="1"/>
  <c r="B36" i="1"/>
  <c r="A36" i="1"/>
  <c r="BE35" i="1"/>
  <c r="AT35" i="1"/>
  <c r="BC35" i="1" s="1"/>
  <c r="AS35" i="1"/>
  <c r="AL35" i="1"/>
  <c r="AK35" i="1"/>
  <c r="AG35" i="1"/>
  <c r="AF35" i="1"/>
  <c r="AE35" i="1"/>
  <c r="AD35" i="1"/>
  <c r="AC35" i="1"/>
  <c r="AB35" i="1"/>
  <c r="Z35" i="1"/>
  <c r="Y35" i="1"/>
  <c r="X35" i="1"/>
  <c r="W35" i="1"/>
  <c r="V35" i="1"/>
  <c r="U35" i="1"/>
  <c r="T35" i="1"/>
  <c r="BA35" i="1" s="1"/>
  <c r="S35" i="1"/>
  <c r="R35" i="1"/>
  <c r="Q35" i="1"/>
  <c r="P35" i="1"/>
  <c r="O35" i="1"/>
  <c r="N35" i="1"/>
  <c r="AZ35" i="1" s="1"/>
  <c r="M35" i="1"/>
  <c r="L35" i="1"/>
  <c r="H35" i="1"/>
  <c r="AY35" i="1" s="1"/>
  <c r="G35" i="1"/>
  <c r="F35" i="1"/>
  <c r="E35" i="1"/>
  <c r="D35" i="1"/>
  <c r="C35" i="1"/>
  <c r="B35" i="1"/>
  <c r="A35" i="1"/>
  <c r="BE34" i="1"/>
  <c r="AT34" i="1"/>
  <c r="BC34" i="1" s="1"/>
  <c r="AS34" i="1"/>
  <c r="AL34" i="1"/>
  <c r="AM34" i="1" s="1"/>
  <c r="AK34" i="1"/>
  <c r="AG34" i="1"/>
  <c r="AF34" i="1"/>
  <c r="AE34" i="1"/>
  <c r="AD34" i="1"/>
  <c r="AC34" i="1"/>
  <c r="AB34" i="1"/>
  <c r="Z34" i="1"/>
  <c r="Y34" i="1"/>
  <c r="X34" i="1"/>
  <c r="W34" i="1"/>
  <c r="V34" i="1"/>
  <c r="U34" i="1"/>
  <c r="T34" i="1"/>
  <c r="BA34" i="1" s="1"/>
  <c r="S34" i="1"/>
  <c r="R34" i="1"/>
  <c r="Q34" i="1"/>
  <c r="P34" i="1"/>
  <c r="O34" i="1"/>
  <c r="N34" i="1"/>
  <c r="AZ34" i="1" s="1"/>
  <c r="M34" i="1"/>
  <c r="L34" i="1"/>
  <c r="H34" i="1"/>
  <c r="AY34" i="1" s="1"/>
  <c r="G34" i="1"/>
  <c r="F34" i="1"/>
  <c r="E34" i="1"/>
  <c r="D34" i="1"/>
  <c r="C34" i="1"/>
  <c r="B34" i="1"/>
  <c r="A34" i="1"/>
  <c r="BE33" i="1"/>
  <c r="AT33" i="1"/>
  <c r="BC33" i="1" s="1"/>
  <c r="AS33" i="1"/>
  <c r="AL33" i="1"/>
  <c r="AK33" i="1"/>
  <c r="AG33" i="1"/>
  <c r="AF33" i="1"/>
  <c r="AE33" i="1"/>
  <c r="AD33" i="1"/>
  <c r="AC33" i="1"/>
  <c r="AB33" i="1"/>
  <c r="Z33" i="1"/>
  <c r="Y33" i="1"/>
  <c r="X33" i="1"/>
  <c r="W33" i="1"/>
  <c r="V33" i="1"/>
  <c r="U33" i="1"/>
  <c r="T33" i="1"/>
  <c r="BA33" i="1" s="1"/>
  <c r="S33" i="1"/>
  <c r="R33" i="1"/>
  <c r="Q33" i="1"/>
  <c r="P33" i="1"/>
  <c r="O33" i="1"/>
  <c r="N33" i="1"/>
  <c r="AZ33" i="1" s="1"/>
  <c r="M33" i="1"/>
  <c r="L33" i="1"/>
  <c r="H33" i="1"/>
  <c r="AY33" i="1" s="1"/>
  <c r="G33" i="1"/>
  <c r="F33" i="1"/>
  <c r="E33" i="1"/>
  <c r="D33" i="1"/>
  <c r="C33" i="1"/>
  <c r="B33" i="1"/>
  <c r="A33" i="1"/>
  <c r="BE32" i="1"/>
  <c r="AT32" i="1"/>
  <c r="BC32" i="1" s="1"/>
  <c r="AS32" i="1"/>
  <c r="AL32" i="1"/>
  <c r="AK32" i="1"/>
  <c r="AG32" i="1"/>
  <c r="AF32" i="1"/>
  <c r="AE32" i="1"/>
  <c r="AD32" i="1"/>
  <c r="AC32" i="1"/>
  <c r="AB32" i="1"/>
  <c r="Z32" i="1"/>
  <c r="Y32" i="1"/>
  <c r="X32" i="1"/>
  <c r="W32" i="1"/>
  <c r="V32" i="1"/>
  <c r="U32" i="1"/>
  <c r="T32" i="1"/>
  <c r="BA32" i="1" s="1"/>
  <c r="S32" i="1"/>
  <c r="R32" i="1"/>
  <c r="Q32" i="1"/>
  <c r="P32" i="1"/>
  <c r="O32" i="1"/>
  <c r="N32" i="1"/>
  <c r="AZ32" i="1" s="1"/>
  <c r="M32" i="1"/>
  <c r="L32" i="1"/>
  <c r="H32" i="1"/>
  <c r="AY32" i="1" s="1"/>
  <c r="G32" i="1"/>
  <c r="F32" i="1"/>
  <c r="E32" i="1"/>
  <c r="D32" i="1"/>
  <c r="C32" i="1"/>
  <c r="B32" i="1"/>
  <c r="A32" i="1"/>
  <c r="BE31" i="1"/>
  <c r="AT31" i="1"/>
  <c r="BC31" i="1" s="1"/>
  <c r="AS31" i="1"/>
  <c r="AL31" i="1"/>
  <c r="AK31" i="1"/>
  <c r="AG31" i="1"/>
  <c r="AF31" i="1"/>
  <c r="AE31" i="1"/>
  <c r="AD31" i="1"/>
  <c r="AC31" i="1"/>
  <c r="AB31" i="1"/>
  <c r="Z31" i="1"/>
  <c r="Y31" i="1"/>
  <c r="X31" i="1"/>
  <c r="W31" i="1"/>
  <c r="V31" i="1"/>
  <c r="U31" i="1"/>
  <c r="T31" i="1"/>
  <c r="BA31" i="1" s="1"/>
  <c r="S31" i="1"/>
  <c r="R31" i="1"/>
  <c r="Q31" i="1"/>
  <c r="P31" i="1"/>
  <c r="O31" i="1"/>
  <c r="N31" i="1"/>
  <c r="AZ31" i="1" s="1"/>
  <c r="M31" i="1"/>
  <c r="L31" i="1"/>
  <c r="H31" i="1"/>
  <c r="AY31" i="1" s="1"/>
  <c r="G31" i="1"/>
  <c r="F31" i="1"/>
  <c r="E31" i="1"/>
  <c r="D31" i="1"/>
  <c r="C31" i="1"/>
  <c r="B31" i="1"/>
  <c r="A31" i="1"/>
  <c r="BE30" i="1"/>
  <c r="AT30" i="1"/>
  <c r="BC30" i="1" s="1"/>
  <c r="AS30" i="1"/>
  <c r="AL30" i="1"/>
  <c r="AM30" i="1" s="1"/>
  <c r="AK30" i="1"/>
  <c r="AG30" i="1"/>
  <c r="AF30" i="1"/>
  <c r="AE30" i="1"/>
  <c r="AD30" i="1"/>
  <c r="AC30" i="1"/>
  <c r="AB30" i="1"/>
  <c r="Z30" i="1"/>
  <c r="Y30" i="1"/>
  <c r="X30" i="1"/>
  <c r="W30" i="1"/>
  <c r="V30" i="1"/>
  <c r="U30" i="1"/>
  <c r="T30" i="1"/>
  <c r="BA30" i="1" s="1"/>
  <c r="S30" i="1"/>
  <c r="R30" i="1"/>
  <c r="Q30" i="1"/>
  <c r="P30" i="1"/>
  <c r="O30" i="1"/>
  <c r="N30" i="1"/>
  <c r="AZ30" i="1" s="1"/>
  <c r="M30" i="1"/>
  <c r="L30" i="1"/>
  <c r="H30" i="1"/>
  <c r="AY30" i="1" s="1"/>
  <c r="G30" i="1"/>
  <c r="F30" i="1"/>
  <c r="E30" i="1"/>
  <c r="D30" i="1"/>
  <c r="C30" i="1"/>
  <c r="B30" i="1"/>
  <c r="A30" i="1"/>
  <c r="BE29" i="1"/>
  <c r="AT29" i="1"/>
  <c r="BC29" i="1" s="1"/>
  <c r="AS29" i="1"/>
  <c r="AL29" i="1"/>
  <c r="AK29" i="1"/>
  <c r="AG29" i="1"/>
  <c r="AF29" i="1"/>
  <c r="AE29" i="1"/>
  <c r="AD29" i="1"/>
  <c r="AC29" i="1"/>
  <c r="AB29" i="1"/>
  <c r="Z29" i="1"/>
  <c r="Y29" i="1"/>
  <c r="X29" i="1"/>
  <c r="W29" i="1"/>
  <c r="V29" i="1"/>
  <c r="U29" i="1"/>
  <c r="T29" i="1"/>
  <c r="BA29" i="1" s="1"/>
  <c r="S29" i="1"/>
  <c r="R29" i="1"/>
  <c r="Q29" i="1"/>
  <c r="P29" i="1"/>
  <c r="O29" i="1"/>
  <c r="N29" i="1"/>
  <c r="AZ29" i="1" s="1"/>
  <c r="M29" i="1"/>
  <c r="L29" i="1"/>
  <c r="H29" i="1"/>
  <c r="AY29" i="1" s="1"/>
  <c r="G29" i="1"/>
  <c r="F29" i="1"/>
  <c r="E29" i="1"/>
  <c r="D29" i="1"/>
  <c r="C29" i="1"/>
  <c r="B29" i="1"/>
  <c r="A29" i="1"/>
  <c r="BE28" i="1"/>
  <c r="AT28" i="1"/>
  <c r="BC28" i="1" s="1"/>
  <c r="AS28" i="1"/>
  <c r="AL28" i="1"/>
  <c r="AK28" i="1"/>
  <c r="AG28" i="1"/>
  <c r="AI28" i="1" s="1"/>
  <c r="AF28" i="1"/>
  <c r="AE28" i="1"/>
  <c r="AD28" i="1"/>
  <c r="AC28" i="1"/>
  <c r="AB28" i="1"/>
  <c r="Z28" i="1"/>
  <c r="Y28" i="1"/>
  <c r="X28" i="1"/>
  <c r="W28" i="1"/>
  <c r="V28" i="1"/>
  <c r="U28" i="1"/>
  <c r="T28" i="1"/>
  <c r="BA28" i="1" s="1"/>
  <c r="S28" i="1"/>
  <c r="R28" i="1"/>
  <c r="Q28" i="1"/>
  <c r="P28" i="1"/>
  <c r="O28" i="1"/>
  <c r="N28" i="1"/>
  <c r="AZ28" i="1" s="1"/>
  <c r="M28" i="1"/>
  <c r="L28" i="1"/>
  <c r="H28" i="1"/>
  <c r="AY28" i="1" s="1"/>
  <c r="G28" i="1"/>
  <c r="F28" i="1"/>
  <c r="E28" i="1"/>
  <c r="D28" i="1"/>
  <c r="C28" i="1"/>
  <c r="B28" i="1"/>
  <c r="A28" i="1"/>
  <c r="BE27" i="1"/>
  <c r="AT27" i="1"/>
  <c r="BC27" i="1" s="1"/>
  <c r="AS27" i="1"/>
  <c r="AL27" i="1"/>
  <c r="AK27" i="1"/>
  <c r="AG27" i="1"/>
  <c r="AI27" i="1" s="1"/>
  <c r="AF27" i="1"/>
  <c r="AE27" i="1"/>
  <c r="AD27" i="1"/>
  <c r="AC27" i="1"/>
  <c r="AB27" i="1"/>
  <c r="Z27" i="1"/>
  <c r="Y27" i="1"/>
  <c r="X27" i="1"/>
  <c r="W27" i="1"/>
  <c r="V27" i="1"/>
  <c r="U27" i="1"/>
  <c r="T27" i="1"/>
  <c r="BA27" i="1" s="1"/>
  <c r="S27" i="1"/>
  <c r="R27" i="1"/>
  <c r="Q27" i="1"/>
  <c r="P27" i="1"/>
  <c r="O27" i="1"/>
  <c r="N27" i="1"/>
  <c r="AZ27" i="1" s="1"/>
  <c r="M27" i="1"/>
  <c r="L27" i="1"/>
  <c r="H27" i="1"/>
  <c r="AY27" i="1" s="1"/>
  <c r="G27" i="1"/>
  <c r="F27" i="1"/>
  <c r="E27" i="1"/>
  <c r="D27" i="1"/>
  <c r="C27" i="1"/>
  <c r="B27" i="1"/>
  <c r="A27" i="1"/>
  <c r="BE26" i="1"/>
  <c r="AT26" i="1"/>
  <c r="BC26" i="1" s="1"/>
  <c r="AS26" i="1"/>
  <c r="AL26" i="1"/>
  <c r="AK26" i="1"/>
  <c r="AG26" i="1"/>
  <c r="AH26" i="1" s="1"/>
  <c r="AF26" i="1"/>
  <c r="AE26" i="1"/>
  <c r="AD26" i="1"/>
  <c r="AC26" i="1"/>
  <c r="AB26" i="1"/>
  <c r="Z26" i="1"/>
  <c r="Y26" i="1"/>
  <c r="X26" i="1"/>
  <c r="W26" i="1"/>
  <c r="V26" i="1"/>
  <c r="U26" i="1"/>
  <c r="T26" i="1"/>
  <c r="BA26" i="1" s="1"/>
  <c r="S26" i="1"/>
  <c r="R26" i="1"/>
  <c r="Q26" i="1"/>
  <c r="P26" i="1"/>
  <c r="O26" i="1"/>
  <c r="N26" i="1"/>
  <c r="AZ26" i="1" s="1"/>
  <c r="M26" i="1"/>
  <c r="L26" i="1"/>
  <c r="H26" i="1"/>
  <c r="AY26" i="1" s="1"/>
  <c r="G26" i="1"/>
  <c r="F26" i="1"/>
  <c r="E26" i="1"/>
  <c r="D26" i="1"/>
  <c r="C26" i="1"/>
  <c r="B26" i="1"/>
  <c r="A26" i="1"/>
  <c r="BE25" i="1"/>
  <c r="AT25" i="1"/>
  <c r="BC25" i="1" s="1"/>
  <c r="AS25" i="1"/>
  <c r="AL25" i="1"/>
  <c r="AK25" i="1"/>
  <c r="AG25" i="1"/>
  <c r="AF25" i="1"/>
  <c r="AE25" i="1"/>
  <c r="AD25" i="1"/>
  <c r="AC25" i="1"/>
  <c r="AB25" i="1"/>
  <c r="Z25" i="1"/>
  <c r="Y25" i="1"/>
  <c r="X25" i="1"/>
  <c r="W25" i="1"/>
  <c r="V25" i="1"/>
  <c r="U25" i="1"/>
  <c r="T25" i="1"/>
  <c r="BA25" i="1" s="1"/>
  <c r="S25" i="1"/>
  <c r="R25" i="1"/>
  <c r="Q25" i="1"/>
  <c r="P25" i="1"/>
  <c r="O25" i="1"/>
  <c r="N25" i="1"/>
  <c r="AZ25" i="1" s="1"/>
  <c r="M25" i="1"/>
  <c r="L25" i="1"/>
  <c r="H25" i="1"/>
  <c r="AY25" i="1" s="1"/>
  <c r="G25" i="1"/>
  <c r="F25" i="1"/>
  <c r="E25" i="1"/>
  <c r="D25" i="1"/>
  <c r="C25" i="1"/>
  <c r="B25" i="1"/>
  <c r="A25" i="1"/>
  <c r="BE24" i="1"/>
  <c r="AT24" i="1"/>
  <c r="BC24" i="1" s="1"/>
  <c r="AS24" i="1"/>
  <c r="AL24" i="1"/>
  <c r="AK24" i="1"/>
  <c r="AG24" i="1"/>
  <c r="AF24" i="1"/>
  <c r="AE24" i="1"/>
  <c r="AD24" i="1"/>
  <c r="AC24" i="1"/>
  <c r="AB24" i="1"/>
  <c r="Z24" i="1"/>
  <c r="Y24" i="1"/>
  <c r="X24" i="1"/>
  <c r="W24" i="1"/>
  <c r="V24" i="1"/>
  <c r="U24" i="1"/>
  <c r="T24" i="1"/>
  <c r="BA24" i="1" s="1"/>
  <c r="S24" i="1"/>
  <c r="R24" i="1"/>
  <c r="Q24" i="1"/>
  <c r="P24" i="1"/>
  <c r="O24" i="1"/>
  <c r="N24" i="1"/>
  <c r="AZ24" i="1" s="1"/>
  <c r="M24" i="1"/>
  <c r="L24" i="1"/>
  <c r="H24" i="1"/>
  <c r="AY24" i="1" s="1"/>
  <c r="G24" i="1"/>
  <c r="F24" i="1"/>
  <c r="E24" i="1"/>
  <c r="D24" i="1"/>
  <c r="C24" i="1"/>
  <c r="B24" i="1"/>
  <c r="A24" i="1"/>
  <c r="BE23" i="1"/>
  <c r="AT23" i="1"/>
  <c r="BC23" i="1" s="1"/>
  <c r="AS23" i="1"/>
  <c r="AL23" i="1"/>
  <c r="AM23" i="1" s="1"/>
  <c r="AK23" i="1"/>
  <c r="AG23" i="1"/>
  <c r="AF23" i="1"/>
  <c r="AE23" i="1"/>
  <c r="AD23" i="1"/>
  <c r="AC23" i="1"/>
  <c r="AB23" i="1"/>
  <c r="Z23" i="1"/>
  <c r="Y23" i="1"/>
  <c r="X23" i="1"/>
  <c r="W23" i="1"/>
  <c r="V23" i="1"/>
  <c r="U23" i="1"/>
  <c r="T23" i="1"/>
  <c r="BA23" i="1" s="1"/>
  <c r="S23" i="1"/>
  <c r="R23" i="1"/>
  <c r="Q23" i="1"/>
  <c r="P23" i="1"/>
  <c r="O23" i="1"/>
  <c r="N23" i="1"/>
  <c r="AZ23" i="1" s="1"/>
  <c r="M23" i="1"/>
  <c r="L23" i="1"/>
  <c r="H23" i="1"/>
  <c r="AY23" i="1" s="1"/>
  <c r="G23" i="1"/>
  <c r="F23" i="1"/>
  <c r="E23" i="1"/>
  <c r="D23" i="1"/>
  <c r="C23" i="1"/>
  <c r="B23" i="1"/>
  <c r="A23" i="1"/>
  <c r="BE22" i="1"/>
  <c r="AT22" i="1"/>
  <c r="BC22" i="1" s="1"/>
  <c r="AS22" i="1"/>
  <c r="AL22" i="1"/>
  <c r="AM22" i="1" s="1"/>
  <c r="AK22" i="1"/>
  <c r="AG22" i="1"/>
  <c r="AH22" i="1" s="1"/>
  <c r="AF22" i="1"/>
  <c r="AE22" i="1"/>
  <c r="AD22" i="1"/>
  <c r="AC22" i="1"/>
  <c r="AB22" i="1"/>
  <c r="Z22" i="1"/>
  <c r="Y22" i="1"/>
  <c r="X22" i="1"/>
  <c r="W22" i="1"/>
  <c r="V22" i="1"/>
  <c r="U22" i="1"/>
  <c r="T22" i="1"/>
  <c r="BA22" i="1" s="1"/>
  <c r="S22" i="1"/>
  <c r="R22" i="1"/>
  <c r="Q22" i="1"/>
  <c r="P22" i="1"/>
  <c r="O22" i="1"/>
  <c r="N22" i="1"/>
  <c r="AZ22" i="1" s="1"/>
  <c r="M22" i="1"/>
  <c r="L22" i="1"/>
  <c r="H22" i="1"/>
  <c r="AY22" i="1" s="1"/>
  <c r="G22" i="1"/>
  <c r="F22" i="1"/>
  <c r="E22" i="1"/>
  <c r="D22" i="1"/>
  <c r="C22" i="1"/>
  <c r="B22" i="1"/>
  <c r="A22" i="1"/>
  <c r="BE21" i="1"/>
  <c r="AT21" i="1"/>
  <c r="BC21" i="1" s="1"/>
  <c r="AS21" i="1"/>
  <c r="AL21" i="1"/>
  <c r="AK21" i="1"/>
  <c r="AG21" i="1"/>
  <c r="AH21" i="1" s="1"/>
  <c r="AF21" i="1"/>
  <c r="AE21" i="1"/>
  <c r="AD21" i="1"/>
  <c r="AC21" i="1"/>
  <c r="AB21" i="1"/>
  <c r="Z21" i="1"/>
  <c r="Y21" i="1"/>
  <c r="X21" i="1"/>
  <c r="W21" i="1"/>
  <c r="V21" i="1"/>
  <c r="U21" i="1"/>
  <c r="T21" i="1"/>
  <c r="BA21" i="1" s="1"/>
  <c r="S21" i="1"/>
  <c r="R21" i="1"/>
  <c r="Q21" i="1"/>
  <c r="P21" i="1"/>
  <c r="O21" i="1"/>
  <c r="N21" i="1"/>
  <c r="AZ21" i="1" s="1"/>
  <c r="M21" i="1"/>
  <c r="L21" i="1"/>
  <c r="H21" i="1"/>
  <c r="AY21" i="1" s="1"/>
  <c r="G21" i="1"/>
  <c r="F21" i="1"/>
  <c r="E21" i="1"/>
  <c r="D21" i="1"/>
  <c r="C21" i="1"/>
  <c r="B21" i="1"/>
  <c r="A21" i="1"/>
  <c r="BE20" i="1"/>
  <c r="AT20" i="1"/>
  <c r="BC20" i="1" s="1"/>
  <c r="AS20" i="1"/>
  <c r="AL20" i="1"/>
  <c r="AK20" i="1"/>
  <c r="AG20" i="1"/>
  <c r="AF20" i="1"/>
  <c r="AE20" i="1"/>
  <c r="AD20" i="1"/>
  <c r="AC20" i="1"/>
  <c r="AB20" i="1"/>
  <c r="Z20" i="1"/>
  <c r="Y20" i="1"/>
  <c r="X20" i="1"/>
  <c r="W20" i="1"/>
  <c r="V20" i="1"/>
  <c r="U20" i="1"/>
  <c r="T20" i="1"/>
  <c r="BA20" i="1" s="1"/>
  <c r="S20" i="1"/>
  <c r="R20" i="1"/>
  <c r="Q20" i="1"/>
  <c r="P20" i="1"/>
  <c r="O20" i="1"/>
  <c r="N20" i="1"/>
  <c r="AZ20" i="1" s="1"/>
  <c r="M20" i="1"/>
  <c r="L20" i="1"/>
  <c r="H20" i="1"/>
  <c r="AY20" i="1" s="1"/>
  <c r="G20" i="1"/>
  <c r="F20" i="1"/>
  <c r="E20" i="1"/>
  <c r="D20" i="1"/>
  <c r="C20" i="1"/>
  <c r="B20" i="1"/>
  <c r="A20" i="1"/>
  <c r="BE19" i="1"/>
  <c r="AT19" i="1"/>
  <c r="BC19" i="1" s="1"/>
  <c r="AS19" i="1"/>
  <c r="AL19" i="1"/>
  <c r="AK19" i="1"/>
  <c r="AG19" i="1"/>
  <c r="AF19" i="1"/>
  <c r="AE19" i="1"/>
  <c r="AD19" i="1"/>
  <c r="AC19" i="1"/>
  <c r="AB19" i="1"/>
  <c r="Z19" i="1"/>
  <c r="Y19" i="1"/>
  <c r="X19" i="1"/>
  <c r="W19" i="1"/>
  <c r="V19" i="1"/>
  <c r="U19" i="1"/>
  <c r="T19" i="1"/>
  <c r="BA19" i="1" s="1"/>
  <c r="S19" i="1"/>
  <c r="R19" i="1"/>
  <c r="Q19" i="1"/>
  <c r="P19" i="1"/>
  <c r="O19" i="1"/>
  <c r="N19" i="1"/>
  <c r="AZ19" i="1" s="1"/>
  <c r="M19" i="1"/>
  <c r="L19" i="1"/>
  <c r="H19" i="1"/>
  <c r="AY19" i="1" s="1"/>
  <c r="G19" i="1"/>
  <c r="F19" i="1"/>
  <c r="E19" i="1"/>
  <c r="D19" i="1"/>
  <c r="C19" i="1"/>
  <c r="B19" i="1"/>
  <c r="A19" i="1"/>
  <c r="BE18" i="1"/>
  <c r="AT18" i="1"/>
  <c r="BC18" i="1" s="1"/>
  <c r="AS18" i="1"/>
  <c r="AL18" i="1"/>
  <c r="AM18" i="1" s="1"/>
  <c r="AK18" i="1"/>
  <c r="AG18" i="1"/>
  <c r="AF18" i="1"/>
  <c r="AE18" i="1"/>
  <c r="AD18" i="1"/>
  <c r="AC18" i="1"/>
  <c r="AB18" i="1"/>
  <c r="Z18" i="1"/>
  <c r="Y18" i="1"/>
  <c r="X18" i="1"/>
  <c r="W18" i="1"/>
  <c r="V18" i="1"/>
  <c r="U18" i="1"/>
  <c r="T18" i="1"/>
  <c r="BA18" i="1" s="1"/>
  <c r="S18" i="1"/>
  <c r="R18" i="1"/>
  <c r="Q18" i="1"/>
  <c r="P18" i="1"/>
  <c r="O18" i="1"/>
  <c r="N18" i="1"/>
  <c r="AZ18" i="1" s="1"/>
  <c r="M18" i="1"/>
  <c r="L18" i="1"/>
  <c r="H18" i="1"/>
  <c r="AY18" i="1" s="1"/>
  <c r="G18" i="1"/>
  <c r="F18" i="1"/>
  <c r="E18" i="1"/>
  <c r="D18" i="1"/>
  <c r="C18" i="1"/>
  <c r="B18" i="1"/>
  <c r="A18" i="1"/>
  <c r="BE17" i="1"/>
  <c r="AT17" i="1"/>
  <c r="BC17" i="1" s="1"/>
  <c r="AS17" i="1"/>
  <c r="AL17" i="1"/>
  <c r="AK17" i="1"/>
  <c r="AG17" i="1"/>
  <c r="AF17" i="1"/>
  <c r="AE17" i="1"/>
  <c r="AD17" i="1"/>
  <c r="AC17" i="1"/>
  <c r="AB17" i="1"/>
  <c r="Z17" i="1"/>
  <c r="Y17" i="1"/>
  <c r="X17" i="1"/>
  <c r="W17" i="1"/>
  <c r="V17" i="1"/>
  <c r="U17" i="1"/>
  <c r="T17" i="1"/>
  <c r="BA17" i="1" s="1"/>
  <c r="S17" i="1"/>
  <c r="R17" i="1"/>
  <c r="Q17" i="1"/>
  <c r="P17" i="1"/>
  <c r="O17" i="1"/>
  <c r="N17" i="1"/>
  <c r="AZ17" i="1" s="1"/>
  <c r="M17" i="1"/>
  <c r="L17" i="1"/>
  <c r="H17" i="1"/>
  <c r="AY17" i="1" s="1"/>
  <c r="G17" i="1"/>
  <c r="F17" i="1"/>
  <c r="E17" i="1"/>
  <c r="D17" i="1"/>
  <c r="C17" i="1"/>
  <c r="B17" i="1"/>
  <c r="A17" i="1"/>
  <c r="BE16" i="1"/>
  <c r="AT16" i="1"/>
  <c r="BC16" i="1" s="1"/>
  <c r="AS16" i="1"/>
  <c r="AL16" i="1"/>
  <c r="AK16" i="1"/>
  <c r="AG16" i="1"/>
  <c r="AF16" i="1"/>
  <c r="AE16" i="1"/>
  <c r="AD16" i="1"/>
  <c r="AC16" i="1"/>
  <c r="AB16" i="1"/>
  <c r="Z16" i="1"/>
  <c r="Y16" i="1"/>
  <c r="X16" i="1"/>
  <c r="W16" i="1"/>
  <c r="V16" i="1"/>
  <c r="U16" i="1"/>
  <c r="T16" i="1"/>
  <c r="BA16" i="1" s="1"/>
  <c r="S16" i="1"/>
  <c r="R16" i="1"/>
  <c r="Q16" i="1"/>
  <c r="P16" i="1"/>
  <c r="O16" i="1"/>
  <c r="N16" i="1"/>
  <c r="AZ16" i="1" s="1"/>
  <c r="M16" i="1"/>
  <c r="L16" i="1"/>
  <c r="H16" i="1"/>
  <c r="AY16" i="1" s="1"/>
  <c r="G16" i="1"/>
  <c r="F16" i="1"/>
  <c r="E16" i="1"/>
  <c r="D16" i="1"/>
  <c r="C16" i="1"/>
  <c r="B16" i="1"/>
  <c r="A16" i="1"/>
  <c r="BE15" i="1"/>
  <c r="AT15" i="1"/>
  <c r="BC15" i="1" s="1"/>
  <c r="AS15" i="1"/>
  <c r="AL15" i="1"/>
  <c r="AK15" i="1"/>
  <c r="AG15" i="1"/>
  <c r="AF15" i="1"/>
  <c r="AE15" i="1"/>
  <c r="AD15" i="1"/>
  <c r="AC15" i="1"/>
  <c r="AB15" i="1"/>
  <c r="Z15" i="1"/>
  <c r="Y15" i="1"/>
  <c r="X15" i="1"/>
  <c r="W15" i="1"/>
  <c r="V15" i="1"/>
  <c r="U15" i="1"/>
  <c r="T15" i="1"/>
  <c r="BA15" i="1" s="1"/>
  <c r="S15" i="1"/>
  <c r="R15" i="1"/>
  <c r="Q15" i="1"/>
  <c r="P15" i="1"/>
  <c r="O15" i="1"/>
  <c r="N15" i="1"/>
  <c r="AZ15" i="1" s="1"/>
  <c r="M15" i="1"/>
  <c r="L15" i="1"/>
  <c r="H15" i="1"/>
  <c r="AY15" i="1" s="1"/>
  <c r="G15" i="1"/>
  <c r="F15" i="1"/>
  <c r="E15" i="1"/>
  <c r="D15" i="1"/>
  <c r="C15" i="1"/>
  <c r="B15" i="1"/>
  <c r="A15" i="1"/>
  <c r="BE14" i="1"/>
  <c r="AT14" i="1"/>
  <c r="BC14" i="1" s="1"/>
  <c r="AS14" i="1"/>
  <c r="AL14" i="1"/>
  <c r="AM14" i="1" s="1"/>
  <c r="AK14" i="1"/>
  <c r="AG14" i="1"/>
  <c r="AH14" i="1" s="1"/>
  <c r="AF14" i="1"/>
  <c r="AE14" i="1"/>
  <c r="AD14" i="1"/>
  <c r="AC14" i="1"/>
  <c r="AB14" i="1"/>
  <c r="Z14" i="1"/>
  <c r="Y14" i="1"/>
  <c r="X14" i="1"/>
  <c r="W14" i="1"/>
  <c r="V14" i="1"/>
  <c r="U14" i="1"/>
  <c r="T14" i="1"/>
  <c r="BA14" i="1" s="1"/>
  <c r="S14" i="1"/>
  <c r="R14" i="1"/>
  <c r="Q14" i="1"/>
  <c r="P14" i="1"/>
  <c r="O14" i="1"/>
  <c r="N14" i="1"/>
  <c r="AZ14" i="1" s="1"/>
  <c r="M14" i="1"/>
  <c r="L14" i="1"/>
  <c r="H14" i="1"/>
  <c r="AY14" i="1" s="1"/>
  <c r="G14" i="1"/>
  <c r="F14" i="1"/>
  <c r="E14" i="1"/>
  <c r="D14" i="1"/>
  <c r="C14" i="1"/>
  <c r="B14" i="1"/>
  <c r="A14" i="1"/>
  <c r="BE13" i="1"/>
  <c r="AT13" i="1"/>
  <c r="BC13" i="1" s="1"/>
  <c r="AS13" i="1"/>
  <c r="AL13" i="1"/>
  <c r="AM13" i="1" s="1"/>
  <c r="AK13" i="1"/>
  <c r="AG13" i="1"/>
  <c r="AF13" i="1"/>
  <c r="AE13" i="1"/>
  <c r="AD13" i="1"/>
  <c r="AC13" i="1"/>
  <c r="AB13" i="1"/>
  <c r="Z13" i="1"/>
  <c r="Y13" i="1"/>
  <c r="X13" i="1"/>
  <c r="W13" i="1"/>
  <c r="V13" i="1"/>
  <c r="U13" i="1"/>
  <c r="T13" i="1"/>
  <c r="BA13" i="1" s="1"/>
  <c r="S13" i="1"/>
  <c r="R13" i="1"/>
  <c r="Q13" i="1"/>
  <c r="P13" i="1"/>
  <c r="O13" i="1"/>
  <c r="N13" i="1"/>
  <c r="AZ13" i="1" s="1"/>
  <c r="M13" i="1"/>
  <c r="L13" i="1"/>
  <c r="H13" i="1"/>
  <c r="AY13" i="1" s="1"/>
  <c r="G13" i="1"/>
  <c r="F13" i="1"/>
  <c r="E13" i="1"/>
  <c r="D13" i="1"/>
  <c r="C13" i="1"/>
  <c r="B13" i="1"/>
  <c r="A13" i="1"/>
  <c r="AA55" i="1" l="1"/>
  <c r="AO55" i="1" s="1"/>
  <c r="AA89" i="1"/>
  <c r="AO89" i="1" s="1"/>
  <c r="AA93" i="1"/>
  <c r="AH101" i="1"/>
  <c r="AI32" i="1"/>
  <c r="AA32" i="1" s="1"/>
  <c r="AO32" i="1" s="1"/>
  <c r="AA27" i="1"/>
  <c r="AO27" i="1" s="1"/>
  <c r="AM39" i="1"/>
  <c r="AH48" i="1"/>
  <c r="AA28" i="1"/>
  <c r="AO28" i="1" s="1"/>
  <c r="AI64" i="1"/>
  <c r="AA39" i="1"/>
  <c r="AO39" i="1" s="1"/>
  <c r="AH71" i="1"/>
  <c r="AH76" i="1"/>
  <c r="AM77" i="1"/>
  <c r="AH36" i="1"/>
  <c r="AH41" i="1"/>
  <c r="AI53" i="1"/>
  <c r="AA53" i="1" s="1"/>
  <c r="AO53" i="1" s="1"/>
  <c r="AH60" i="1"/>
  <c r="BD96" i="1"/>
  <c r="AJ19" i="1"/>
  <c r="AJ76" i="1"/>
  <c r="AJ18" i="1"/>
  <c r="AH40" i="1"/>
  <c r="AM47" i="1"/>
  <c r="AH32" i="1"/>
  <c r="AJ35" i="1"/>
  <c r="AM35" i="1"/>
  <c r="AJ36" i="1"/>
  <c r="AJ54" i="1"/>
  <c r="AA71" i="1"/>
  <c r="AO71" i="1" s="1"/>
  <c r="AM71" i="1"/>
  <c r="AM73" i="1"/>
  <c r="AI77" i="1"/>
  <c r="AA77" i="1" s="1"/>
  <c r="AO77" i="1" s="1"/>
  <c r="BG95" i="1"/>
  <c r="AJ40" i="1"/>
  <c r="AA49" i="1"/>
  <c r="AO49" i="1" s="1"/>
  <c r="AJ50" i="1"/>
  <c r="AH54" i="1"/>
  <c r="AA81" i="1"/>
  <c r="AO81" i="1" s="1"/>
  <c r="AJ88" i="1"/>
  <c r="AJ108" i="1"/>
  <c r="AJ111" i="1"/>
  <c r="AI112" i="1"/>
  <c r="AA112" i="1" s="1"/>
  <c r="AO112" i="1" s="1"/>
  <c r="AH16" i="1"/>
  <c r="AM19" i="1"/>
  <c r="AM20" i="1"/>
  <c r="AI52" i="1"/>
  <c r="AA52" i="1" s="1"/>
  <c r="AO52" i="1" s="1"/>
  <c r="AH82" i="1"/>
  <c r="AM89" i="1"/>
  <c r="AI90" i="1"/>
  <c r="AA90" i="1" s="1"/>
  <c r="AO90" i="1" s="1"/>
  <c r="AH20" i="1"/>
  <c r="AI16" i="1"/>
  <c r="AA16" i="1" s="1"/>
  <c r="AO16" i="1" s="1"/>
  <c r="AJ23" i="1"/>
  <c r="AM36" i="1"/>
  <c r="AH38" i="1"/>
  <c r="AJ38" i="1"/>
  <c r="AH44" i="1"/>
  <c r="AM61" i="1"/>
  <c r="AH62" i="1"/>
  <c r="AM93" i="1"/>
  <c r="AI94" i="1"/>
  <c r="AA94" i="1" s="1"/>
  <c r="AO94" i="1" s="1"/>
  <c r="AH94" i="1"/>
  <c r="AM15" i="1"/>
  <c r="AI20" i="1"/>
  <c r="AA20" i="1" s="1"/>
  <c r="AO20" i="1" s="1"/>
  <c r="AH25" i="1"/>
  <c r="AI15" i="1"/>
  <c r="AJ21" i="1"/>
  <c r="AI21" i="1"/>
  <c r="AA21" i="1" s="1"/>
  <c r="AO21" i="1" s="1"/>
  <c r="AM21" i="1"/>
  <c r="AI44" i="1"/>
  <c r="AA44" i="1" s="1"/>
  <c r="AO44" i="1" s="1"/>
  <c r="AM55" i="1"/>
  <c r="AI56" i="1"/>
  <c r="AA56" i="1" s="1"/>
  <c r="AO56" i="1" s="1"/>
  <c r="AM57" i="1"/>
  <c r="AH58" i="1"/>
  <c r="AM59" i="1"/>
  <c r="AJ20" i="1"/>
  <c r="AJ39" i="1"/>
  <c r="AJ45" i="1"/>
  <c r="AI48" i="1"/>
  <c r="AA48" i="1" s="1"/>
  <c r="AO48" i="1" s="1"/>
  <c r="AJ62" i="1"/>
  <c r="AR91" i="1"/>
  <c r="AJ92" i="1"/>
  <c r="AJ99" i="1"/>
  <c r="BG102" i="1"/>
  <c r="AJ103" i="1"/>
  <c r="AO93" i="1"/>
  <c r="BD106" i="1"/>
  <c r="AJ58" i="1"/>
  <c r="AI73" i="1"/>
  <c r="AA73" i="1" s="1"/>
  <c r="AO73" i="1" s="1"/>
  <c r="AJ77" i="1"/>
  <c r="AM85" i="1"/>
  <c r="AH86" i="1"/>
  <c r="AA87" i="1"/>
  <c r="AO87" i="1" s="1"/>
  <c r="AM91" i="1"/>
  <c r="AH92" i="1"/>
  <c r="AM112" i="1"/>
  <c r="AJ22" i="1"/>
  <c r="AI24" i="1"/>
  <c r="AA24" i="1" s="1"/>
  <c r="AJ37" i="1"/>
  <c r="AH37" i="1"/>
  <c r="AM38" i="1"/>
  <c r="AJ44" i="1"/>
  <c r="AM27" i="1"/>
  <c r="AI37" i="1"/>
  <c r="AA37" i="1" s="1"/>
  <c r="AO37" i="1" s="1"/>
  <c r="AM51" i="1"/>
  <c r="AJ33" i="1"/>
  <c r="AI33" i="1"/>
  <c r="AA33" i="1" s="1"/>
  <c r="AO33" i="1" s="1"/>
  <c r="AM50" i="1"/>
  <c r="AI23" i="1"/>
  <c r="AA23" i="1" s="1"/>
  <c r="AO23" i="1" s="1"/>
  <c r="AH24" i="1"/>
  <c r="AH28" i="1"/>
  <c r="AM31" i="1"/>
  <c r="AM37" i="1"/>
  <c r="AM43" i="1"/>
  <c r="AM46" i="1"/>
  <c r="AJ69" i="1"/>
  <c r="AI78" i="1"/>
  <c r="AA78" i="1" s="1"/>
  <c r="AO78" i="1" s="1"/>
  <c r="AJ105" i="1"/>
  <c r="AH105" i="1"/>
  <c r="AM107" i="1"/>
  <c r="AI109" i="1"/>
  <c r="AA109" i="1" s="1"/>
  <c r="AO109" i="1" s="1"/>
  <c r="AH109" i="1"/>
  <c r="AJ24" i="1"/>
  <c r="AJ28" i="1"/>
  <c r="AI36" i="1"/>
  <c r="AA36" i="1" s="1"/>
  <c r="AO36" i="1" s="1"/>
  <c r="AI40" i="1"/>
  <c r="AA40" i="1" s="1"/>
  <c r="AO40" i="1" s="1"/>
  <c r="AJ49" i="1"/>
  <c r="AH52" i="1"/>
  <c r="AM53" i="1"/>
  <c r="AH56" i="1"/>
  <c r="AI60" i="1"/>
  <c r="AA60" i="1" s="1"/>
  <c r="AO60" i="1" s="1"/>
  <c r="AI61" i="1"/>
  <c r="AA61" i="1" s="1"/>
  <c r="AO61" i="1" s="1"/>
  <c r="AM63" i="1"/>
  <c r="AH64" i="1"/>
  <c r="AI65" i="1"/>
  <c r="AA65" i="1" s="1"/>
  <c r="AO65" i="1" s="1"/>
  <c r="AJ70" i="1"/>
  <c r="AM70" i="1"/>
  <c r="AM75" i="1"/>
  <c r="AH78" i="1"/>
  <c r="AM81" i="1"/>
  <c r="AW81" i="1"/>
  <c r="AI82" i="1"/>
  <c r="AA82" i="1" s="1"/>
  <c r="AO82" i="1" s="1"/>
  <c r="AH88" i="1"/>
  <c r="AM100" i="1"/>
  <c r="AM104" i="1"/>
  <c r="AI105" i="1"/>
  <c r="AA105" i="1" s="1"/>
  <c r="AO105" i="1" s="1"/>
  <c r="AM111" i="1"/>
  <c r="AX111" i="1"/>
  <c r="AW111" i="1"/>
  <c r="AJ75" i="1"/>
  <c r="AH75" i="1"/>
  <c r="AH79" i="1"/>
  <c r="AP81" i="1"/>
  <c r="BD81" i="1" s="1"/>
  <c r="AR81" i="1"/>
  <c r="BG86" i="1"/>
  <c r="BD86" i="1"/>
  <c r="AH96" i="1"/>
  <c r="BD98" i="1"/>
  <c r="BG98" i="1"/>
  <c r="BD99" i="1"/>
  <c r="BG99" i="1"/>
  <c r="AM99" i="1"/>
  <c r="AI100" i="1"/>
  <c r="AA100" i="1" s="1"/>
  <c r="AO100" i="1" s="1"/>
  <c r="AI104" i="1"/>
  <c r="AA104" i="1" s="1"/>
  <c r="AO104" i="1" s="1"/>
  <c r="AJ34" i="1"/>
  <c r="AA64" i="1"/>
  <c r="AO64" i="1" s="1"/>
  <c r="AM65" i="1"/>
  <c r="AJ68" i="1"/>
  <c r="AM69" i="1"/>
  <c r="AI70" i="1"/>
  <c r="AA70" i="1" s="1"/>
  <c r="AO70" i="1" s="1"/>
  <c r="AI74" i="1"/>
  <c r="AA74" i="1" s="1"/>
  <c r="AO74" i="1" s="1"/>
  <c r="AM74" i="1"/>
  <c r="AI75" i="1"/>
  <c r="AA75" i="1" s="1"/>
  <c r="AO75" i="1" s="1"/>
  <c r="AJ78" i="1"/>
  <c r="AJ82" i="1"/>
  <c r="AH90" i="1"/>
  <c r="BD92" i="1"/>
  <c r="AJ96" i="1"/>
  <c r="AJ100" i="1"/>
  <c r="AJ104" i="1"/>
  <c r="AJ66" i="1"/>
  <c r="AJ71" i="1"/>
  <c r="AJ72" i="1"/>
  <c r="AJ73" i="1"/>
  <c r="AJ83" i="1"/>
  <c r="AI86" i="1"/>
  <c r="AA86" i="1" s="1"/>
  <c r="AO86" i="1" s="1"/>
  <c r="AP91" i="1"/>
  <c r="BD91" i="1" s="1"/>
  <c r="AI101" i="1"/>
  <c r="AA101" i="1" s="1"/>
  <c r="AJ107" i="1"/>
  <c r="AJ101" i="1"/>
  <c r="BG103" i="1"/>
  <c r="AI108" i="1"/>
  <c r="AA108" i="1" s="1"/>
  <c r="AO108" i="1" s="1"/>
  <c r="AM108" i="1"/>
  <c r="AJ109" i="1"/>
  <c r="AJ112" i="1"/>
  <c r="AJ32" i="1"/>
  <c r="AJ97" i="1"/>
  <c r="AH97" i="1"/>
  <c r="AI97" i="1"/>
  <c r="AA97" i="1" s="1"/>
  <c r="AO97" i="1" s="1"/>
  <c r="AH15" i="1"/>
  <c r="AJ15" i="1"/>
  <c r="AJ16" i="1"/>
  <c r="AI17" i="1"/>
  <c r="AA17" i="1" s="1"/>
  <c r="AO17" i="1" s="1"/>
  <c r="AH19" i="1"/>
  <c r="AI19" i="1"/>
  <c r="AA19" i="1" s="1"/>
  <c r="AO19" i="1" s="1"/>
  <c r="AM24" i="1"/>
  <c r="AH27" i="1"/>
  <c r="AJ27" i="1"/>
  <c r="AJ29" i="1"/>
  <c r="AI29" i="1"/>
  <c r="AA29" i="1" s="1"/>
  <c r="AO29" i="1" s="1"/>
  <c r="AH29" i="1"/>
  <c r="AI30" i="1"/>
  <c r="AA30" i="1" s="1"/>
  <c r="AO30" i="1" s="1"/>
  <c r="AJ30" i="1"/>
  <c r="AH30" i="1"/>
  <c r="AH31" i="1"/>
  <c r="AJ31" i="1"/>
  <c r="AI31" i="1"/>
  <c r="AA31" i="1" s="1"/>
  <c r="AO31" i="1" s="1"/>
  <c r="AM40" i="1"/>
  <c r="AM56" i="1"/>
  <c r="AJ17" i="1"/>
  <c r="AH17" i="1"/>
  <c r="AJ13" i="1"/>
  <c r="AI13" i="1"/>
  <c r="AA13" i="1" s="1"/>
  <c r="AO13" i="1" s="1"/>
  <c r="AO24" i="1"/>
  <c r="AM26" i="1"/>
  <c r="AM28" i="1"/>
  <c r="AI42" i="1"/>
  <c r="AA42" i="1" s="1"/>
  <c r="AO42" i="1" s="1"/>
  <c r="AJ42" i="1"/>
  <c r="AH42" i="1"/>
  <c r="AH43" i="1"/>
  <c r="AJ43" i="1"/>
  <c r="AI43" i="1"/>
  <c r="AA43" i="1" s="1"/>
  <c r="AO43" i="1" s="1"/>
  <c r="AJ52" i="1"/>
  <c r="AM68" i="1"/>
  <c r="AM42" i="1"/>
  <c r="AA15" i="1"/>
  <c r="AO15" i="1" s="1"/>
  <c r="AH13" i="1"/>
  <c r="AI14" i="1"/>
  <c r="AA14" i="1" s="1"/>
  <c r="AO14" i="1" s="1"/>
  <c r="AJ14" i="1"/>
  <c r="AM16" i="1"/>
  <c r="AM17" i="1"/>
  <c r="AI18" i="1"/>
  <c r="AA18" i="1" s="1"/>
  <c r="AO18" i="1" s="1"/>
  <c r="AH18" i="1"/>
  <c r="AJ25" i="1"/>
  <c r="AI25" i="1"/>
  <c r="AA25" i="1" s="1"/>
  <c r="AO25" i="1" s="1"/>
  <c r="AM25" i="1"/>
  <c r="AI26" i="1"/>
  <c r="AA26" i="1" s="1"/>
  <c r="AO26" i="1" s="1"/>
  <c r="AJ26" i="1"/>
  <c r="AM29" i="1"/>
  <c r="AJ41" i="1"/>
  <c r="AI41" i="1"/>
  <c r="AA41" i="1" s="1"/>
  <c r="AO41" i="1" s="1"/>
  <c r="AM41" i="1"/>
  <c r="AJ48" i="1"/>
  <c r="AJ60" i="1"/>
  <c r="AI46" i="1"/>
  <c r="AA46" i="1" s="1"/>
  <c r="AO46" i="1" s="1"/>
  <c r="AH47" i="1"/>
  <c r="AJ51" i="1"/>
  <c r="AH51" i="1"/>
  <c r="AH57" i="1"/>
  <c r="AJ57" i="1"/>
  <c r="AM58" i="1"/>
  <c r="AJ59" i="1"/>
  <c r="AH59" i="1"/>
  <c r="AM62" i="1"/>
  <c r="AJ63" i="1"/>
  <c r="AI63" i="1"/>
  <c r="AA63" i="1" s="1"/>
  <c r="AO63" i="1" s="1"/>
  <c r="AH63" i="1"/>
  <c r="AJ64" i="1"/>
  <c r="AM66" i="1"/>
  <c r="AJ67" i="1"/>
  <c r="AI67" i="1"/>
  <c r="AA67" i="1" s="1"/>
  <c r="AO67" i="1" s="1"/>
  <c r="AH67" i="1"/>
  <c r="AM78" i="1"/>
  <c r="AI34" i="1"/>
  <c r="AA34" i="1" s="1"/>
  <c r="AO34" i="1" s="1"/>
  <c r="AH35" i="1"/>
  <c r="AM44" i="1"/>
  <c r="AH45" i="1"/>
  <c r="AM45" i="1"/>
  <c r="AH46" i="1"/>
  <c r="AI47" i="1"/>
  <c r="AA47" i="1" s="1"/>
  <c r="AO47" i="1" s="1"/>
  <c r="AI50" i="1"/>
  <c r="AA50" i="1" s="1"/>
  <c r="AO50" i="1" s="1"/>
  <c r="AI51" i="1"/>
  <c r="AA51" i="1" s="1"/>
  <c r="AO51" i="1" s="1"/>
  <c r="AM52" i="1"/>
  <c r="AJ56" i="1"/>
  <c r="AI57" i="1"/>
  <c r="AA57" i="1" s="1"/>
  <c r="AO57" i="1" s="1"/>
  <c r="AI59" i="1"/>
  <c r="AA59" i="1" s="1"/>
  <c r="AO59" i="1" s="1"/>
  <c r="AM60" i="1"/>
  <c r="AI22" i="1"/>
  <c r="AA22" i="1" s="1"/>
  <c r="AO22" i="1" s="1"/>
  <c r="AH23" i="1"/>
  <c r="AM32" i="1"/>
  <c r="AH33" i="1"/>
  <c r="AM33" i="1"/>
  <c r="AH34" i="1"/>
  <c r="AI35" i="1"/>
  <c r="AA35" i="1" s="1"/>
  <c r="AO35" i="1" s="1"/>
  <c r="AI38" i="1"/>
  <c r="AA38" i="1" s="1"/>
  <c r="AO38" i="1" s="1"/>
  <c r="AH39" i="1"/>
  <c r="AI45" i="1"/>
  <c r="AA45" i="1" s="1"/>
  <c r="AO45" i="1" s="1"/>
  <c r="AJ46" i="1"/>
  <c r="AJ47" i="1"/>
  <c r="AM48" i="1"/>
  <c r="AH49" i="1"/>
  <c r="AM49" i="1"/>
  <c r="AH50" i="1"/>
  <c r="AH53" i="1"/>
  <c r="AJ53" i="1"/>
  <c r="AM54" i="1"/>
  <c r="AJ55" i="1"/>
  <c r="AH55" i="1"/>
  <c r="AM67" i="1"/>
  <c r="AJ74" i="1"/>
  <c r="AI54" i="1"/>
  <c r="AA54" i="1" s="1"/>
  <c r="AO54" i="1" s="1"/>
  <c r="AI58" i="1"/>
  <c r="AA58" i="1" s="1"/>
  <c r="AO58" i="1" s="1"/>
  <c r="AJ61" i="1"/>
  <c r="AI62" i="1"/>
  <c r="AA62" i="1" s="1"/>
  <c r="AO62" i="1" s="1"/>
  <c r="AJ65" i="1"/>
  <c r="AI66" i="1"/>
  <c r="AA66" i="1" s="1"/>
  <c r="AO66" i="1" s="1"/>
  <c r="AI68" i="1"/>
  <c r="AA68" i="1" s="1"/>
  <c r="AO68" i="1" s="1"/>
  <c r="AH68" i="1"/>
  <c r="BG69" i="1"/>
  <c r="AH81" i="1"/>
  <c r="AJ81" i="1"/>
  <c r="AM90" i="1"/>
  <c r="AH95" i="1"/>
  <c r="AJ95" i="1"/>
  <c r="AI95" i="1"/>
  <c r="AA95" i="1" s="1"/>
  <c r="AO95" i="1" s="1"/>
  <c r="AJ98" i="1"/>
  <c r="AI98" i="1"/>
  <c r="AA98" i="1" s="1"/>
  <c r="AO98" i="1" s="1"/>
  <c r="AH98" i="1"/>
  <c r="AJ110" i="1"/>
  <c r="AI110" i="1"/>
  <c r="AA110" i="1" s="1"/>
  <c r="AO110" i="1" s="1"/>
  <c r="AH110" i="1"/>
  <c r="AM80" i="1"/>
  <c r="AM82" i="1"/>
  <c r="AH61" i="1"/>
  <c r="AH65" i="1"/>
  <c r="AH69" i="1"/>
  <c r="AI69" i="1"/>
  <c r="AA69" i="1" s="1"/>
  <c r="AO69" i="1" s="1"/>
  <c r="AJ79" i="1"/>
  <c r="AI79" i="1"/>
  <c r="AA79" i="1" s="1"/>
  <c r="AO79" i="1" s="1"/>
  <c r="AM79" i="1"/>
  <c r="AI80" i="1"/>
  <c r="AA80" i="1" s="1"/>
  <c r="AO80" i="1" s="1"/>
  <c r="AJ80" i="1"/>
  <c r="AJ86" i="1"/>
  <c r="AM101" i="1"/>
  <c r="AI84" i="1"/>
  <c r="AA84" i="1" s="1"/>
  <c r="AO84" i="1" s="1"/>
  <c r="AJ85" i="1"/>
  <c r="AH85" i="1"/>
  <c r="AH91" i="1"/>
  <c r="AJ91" i="1"/>
  <c r="AM92" i="1"/>
  <c r="AJ94" i="1"/>
  <c r="AJ102" i="1"/>
  <c r="AI102" i="1"/>
  <c r="AA102" i="1" s="1"/>
  <c r="AO102" i="1" s="1"/>
  <c r="AH102" i="1"/>
  <c r="AI72" i="1"/>
  <c r="AA72" i="1" s="1"/>
  <c r="AO72" i="1" s="1"/>
  <c r="AH73" i="1"/>
  <c r="BF81" i="1"/>
  <c r="BG81" i="1" s="1"/>
  <c r="AH83" i="1"/>
  <c r="AM83" i="1"/>
  <c r="AH84" i="1"/>
  <c r="AI85" i="1"/>
  <c r="AA85" i="1" s="1"/>
  <c r="AO85" i="1" s="1"/>
  <c r="AM86" i="1"/>
  <c r="AJ90" i="1"/>
  <c r="AI91" i="1"/>
  <c r="AA91" i="1" s="1"/>
  <c r="AO91" i="1" s="1"/>
  <c r="BF91" i="1"/>
  <c r="BG91" i="1" s="1"/>
  <c r="AJ93" i="1"/>
  <c r="AH93" i="1"/>
  <c r="BG97" i="1"/>
  <c r="BD97" i="1"/>
  <c r="BG105" i="1"/>
  <c r="BD105" i="1"/>
  <c r="AI76" i="1"/>
  <c r="AA76" i="1" s="1"/>
  <c r="AO76" i="1" s="1"/>
  <c r="AH77" i="1"/>
  <c r="AI83" i="1"/>
  <c r="AA83" i="1" s="1"/>
  <c r="AO83" i="1" s="1"/>
  <c r="AJ84" i="1"/>
  <c r="AH87" i="1"/>
  <c r="AJ87" i="1"/>
  <c r="BG87" i="1"/>
  <c r="AM88" i="1"/>
  <c r="AJ89" i="1"/>
  <c r="AH89" i="1"/>
  <c r="BG89" i="1"/>
  <c r="AM94" i="1"/>
  <c r="AM96" i="1"/>
  <c r="AM109" i="1"/>
  <c r="AI88" i="1"/>
  <c r="AA88" i="1" s="1"/>
  <c r="AO88" i="1" s="1"/>
  <c r="AW91" i="1"/>
  <c r="AI92" i="1"/>
  <c r="AA92" i="1" s="1"/>
  <c r="AO92" i="1" s="1"/>
  <c r="AI96" i="1"/>
  <c r="AA96" i="1" s="1"/>
  <c r="AO96" i="1" s="1"/>
  <c r="AM98" i="1"/>
  <c r="AI99" i="1"/>
  <c r="AA99" i="1" s="1"/>
  <c r="AO99" i="1" s="1"/>
  <c r="AH99" i="1"/>
  <c r="AM106" i="1"/>
  <c r="AI107" i="1"/>
  <c r="AA107" i="1" s="1"/>
  <c r="AO107" i="1" s="1"/>
  <c r="AH107" i="1"/>
  <c r="AO101" i="1"/>
  <c r="AJ106" i="1"/>
  <c r="AI106" i="1"/>
  <c r="AA106" i="1" s="1"/>
  <c r="AO106" i="1" s="1"/>
  <c r="AM102" i="1"/>
  <c r="AI103" i="1"/>
  <c r="AA103" i="1" s="1"/>
  <c r="AO103" i="1" s="1"/>
  <c r="AH103" i="1"/>
  <c r="AM105" i="1"/>
  <c r="AH106" i="1"/>
  <c r="AM110" i="1"/>
  <c r="AI111" i="1"/>
  <c r="AA111" i="1" s="1"/>
  <c r="AO111" i="1" s="1"/>
  <c r="AH111" i="1"/>
  <c r="AH100" i="1"/>
  <c r="AH104" i="1"/>
  <c r="AH108" i="1"/>
  <c r="AH112" i="1"/>
  <c r="AN109" i="1"/>
  <c r="AN108" i="1"/>
  <c r="AR108" i="1" s="1"/>
  <c r="AN107" i="1"/>
  <c r="BF107" i="1" s="1"/>
  <c r="BG107" i="1" s="1"/>
  <c r="AR109" i="1" l="1"/>
  <c r="BF109" i="1"/>
  <c r="BG109" i="1" s="1"/>
  <c r="AP109" i="1"/>
  <c r="BD109" i="1" s="1"/>
  <c r="AP107" i="1"/>
  <c r="BD107" i="1" s="1"/>
  <c r="AR107" i="1"/>
  <c r="AP108" i="1"/>
  <c r="BD108" i="1" s="1"/>
  <c r="BF108" i="1"/>
  <c r="BG108" i="1" s="1"/>
  <c r="AN106" i="1"/>
  <c r="AP106" i="1" l="1"/>
  <c r="BF106" i="1"/>
  <c r="AR106" i="1"/>
  <c r="AN119" i="1"/>
  <c r="AN118" i="1"/>
  <c r="AN117" i="1"/>
  <c r="AN116" i="1"/>
  <c r="AN115" i="1"/>
  <c r="AN114" i="1"/>
  <c r="AN113" i="1"/>
  <c r="AN112" i="1"/>
  <c r="AN111" i="1"/>
  <c r="AN110" i="1"/>
  <c r="AN105" i="1"/>
  <c r="AN104" i="1"/>
  <c r="AR115" i="1" l="1"/>
  <c r="BF115" i="1"/>
  <c r="BG115" i="1" s="1"/>
  <c r="AP115" i="1"/>
  <c r="BD115" i="1" s="1"/>
  <c r="AP119" i="1"/>
  <c r="BD119" i="1" s="1"/>
  <c r="AR119" i="1"/>
  <c r="BF119" i="1"/>
  <c r="BG119" i="1" s="1"/>
  <c r="AR116" i="1"/>
  <c r="BF116" i="1"/>
  <c r="BG116" i="1" s="1"/>
  <c r="AP116" i="1"/>
  <c r="BD116" i="1" s="1"/>
  <c r="AR117" i="1"/>
  <c r="BF117" i="1"/>
  <c r="BG117" i="1" s="1"/>
  <c r="AP117" i="1"/>
  <c r="BD117" i="1" s="1"/>
  <c r="BF118" i="1"/>
  <c r="BG118" i="1" s="1"/>
  <c r="AR118" i="1"/>
  <c r="AP118" i="1"/>
  <c r="BD118" i="1" s="1"/>
  <c r="AR114" i="1"/>
  <c r="BF114" i="1"/>
  <c r="BG114" i="1" s="1"/>
  <c r="AP114" i="1"/>
  <c r="BD114" i="1" s="1"/>
  <c r="BF104" i="1"/>
  <c r="BG104" i="1" s="1"/>
  <c r="AR104" i="1"/>
  <c r="AP104" i="1"/>
  <c r="BD104" i="1" s="1"/>
  <c r="BF105" i="1"/>
  <c r="AP105" i="1"/>
  <c r="AR105" i="1"/>
  <c r="AR113" i="1"/>
  <c r="BF113" i="1"/>
  <c r="BG113" i="1" s="1"/>
  <c r="AP113" i="1"/>
  <c r="BD113" i="1" s="1"/>
  <c r="BF111" i="1"/>
  <c r="BG111" i="1" s="1"/>
  <c r="AR111" i="1"/>
  <c r="AP111" i="1"/>
  <c r="BD111" i="1" s="1"/>
  <c r="BF112" i="1"/>
  <c r="BG112" i="1" s="1"/>
  <c r="AR112" i="1"/>
  <c r="AP112" i="1"/>
  <c r="BD112" i="1" s="1"/>
  <c r="AR110" i="1"/>
  <c r="BF110" i="1"/>
  <c r="BG110" i="1" s="1"/>
  <c r="AP110" i="1"/>
  <c r="BD110" i="1" s="1"/>
  <c r="AN95" i="1"/>
  <c r="AN96" i="1"/>
  <c r="AN97" i="1"/>
  <c r="AN98" i="1"/>
  <c r="AN99" i="1"/>
  <c r="AN100" i="1"/>
  <c r="AN101" i="1"/>
  <c r="AN102" i="1"/>
  <c r="AN103" i="1"/>
  <c r="AN94" i="1"/>
  <c r="AP98" i="1" l="1"/>
  <c r="AR98" i="1"/>
  <c r="BF98" i="1"/>
  <c r="AR101" i="1"/>
  <c r="AP101" i="1"/>
  <c r="BD101" i="1" s="1"/>
  <c r="BF101" i="1"/>
  <c r="BG101" i="1" s="1"/>
  <c r="AR97" i="1"/>
  <c r="AP97" i="1"/>
  <c r="BF97" i="1"/>
  <c r="AP102" i="1"/>
  <c r="BF102" i="1"/>
  <c r="AR102" i="1"/>
  <c r="AR94" i="1"/>
  <c r="BF94" i="1"/>
  <c r="BG94" i="1" s="1"/>
  <c r="AP94" i="1"/>
  <c r="BD94" i="1" s="1"/>
  <c r="AP100" i="1"/>
  <c r="BD100" i="1" s="1"/>
  <c r="AR100" i="1"/>
  <c r="BF100" i="1"/>
  <c r="BG100" i="1" s="1"/>
  <c r="AP96" i="1"/>
  <c r="AR96" i="1"/>
  <c r="BF96" i="1"/>
  <c r="BF103" i="1"/>
  <c r="AR103" i="1"/>
  <c r="AP103" i="1"/>
  <c r="AR99" i="1"/>
  <c r="BF99" i="1"/>
  <c r="AP99" i="1"/>
  <c r="AR95" i="1"/>
  <c r="AP95" i="1"/>
  <c r="BF95" i="1"/>
  <c r="B930" i="5" l="1"/>
  <c r="AN85" i="1" l="1"/>
  <c r="AN86" i="1"/>
  <c r="AN87" i="1"/>
  <c r="AN88" i="1"/>
  <c r="AN89" i="1"/>
  <c r="AN90" i="1"/>
  <c r="AN92" i="1"/>
  <c r="AN93" i="1"/>
  <c r="AR93" i="1" l="1"/>
  <c r="BF93" i="1"/>
  <c r="BG93" i="1" s="1"/>
  <c r="AP93" i="1"/>
  <c r="BD93" i="1" s="1"/>
  <c r="AR92" i="1"/>
  <c r="AP92" i="1"/>
  <c r="BF92" i="1"/>
  <c r="BF87" i="1"/>
  <c r="AP87" i="1"/>
  <c r="AR87" i="1"/>
  <c r="AR88" i="1"/>
  <c r="BF88" i="1"/>
  <c r="BG88" i="1" s="1"/>
  <c r="AP88" i="1"/>
  <c r="BD88" i="1" s="1"/>
  <c r="AR90" i="1"/>
  <c r="BF90" i="1"/>
  <c r="BG90" i="1" s="1"/>
  <c r="AP90" i="1"/>
  <c r="BD90" i="1" s="1"/>
  <c r="AR86" i="1"/>
  <c r="AP86" i="1"/>
  <c r="BF86" i="1"/>
  <c r="AR85" i="1"/>
  <c r="BF85" i="1"/>
  <c r="BG85" i="1" s="1"/>
  <c r="AP85" i="1"/>
  <c r="BD85" i="1" s="1"/>
  <c r="BF89" i="1"/>
  <c r="AR89" i="1"/>
  <c r="AP89" i="1"/>
  <c r="A2" i="19" l="1"/>
  <c r="B2" i="19" l="1"/>
  <c r="O520" i="4" l="1"/>
  <c r="O521" i="4"/>
  <c r="O522" i="4"/>
  <c r="O523" i="4"/>
  <c r="AV71" i="1" s="1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519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AU71" i="1" s="1"/>
  <c r="N522" i="4"/>
  <c r="N521" i="4"/>
  <c r="N520" i="4"/>
  <c r="N519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AN66" i="1" l="1"/>
  <c r="AN67" i="1"/>
  <c r="AN68" i="1"/>
  <c r="AN69" i="1"/>
  <c r="AN70" i="1"/>
  <c r="AN71" i="1"/>
  <c r="AN72" i="1"/>
  <c r="AN73" i="1"/>
  <c r="AN74" i="1"/>
  <c r="BF73" i="1" l="1"/>
  <c r="BG73" i="1" s="1"/>
  <c r="AP73" i="1"/>
  <c r="BD73" i="1" s="1"/>
  <c r="AR73" i="1"/>
  <c r="BF69" i="1"/>
  <c r="AP69" i="1"/>
  <c r="AR69" i="1"/>
  <c r="AR72" i="1"/>
  <c r="AP72" i="1"/>
  <c r="BD72" i="1" s="1"/>
  <c r="BF72" i="1"/>
  <c r="BG72" i="1" s="1"/>
  <c r="AR68" i="1"/>
  <c r="AP68" i="1"/>
  <c r="BD68" i="1" s="1"/>
  <c r="BF68" i="1"/>
  <c r="BG68" i="1" s="1"/>
  <c r="AR74" i="1"/>
  <c r="BF74" i="1"/>
  <c r="BG74" i="1" s="1"/>
  <c r="AP74" i="1"/>
  <c r="BD74" i="1" s="1"/>
  <c r="AR71" i="1"/>
  <c r="AP71" i="1"/>
  <c r="BD71" i="1" s="1"/>
  <c r="BF71" i="1"/>
  <c r="BG71" i="1" s="1"/>
  <c r="AP67" i="1"/>
  <c r="BD67" i="1" s="1"/>
  <c r="AR67" i="1"/>
  <c r="BF67" i="1"/>
  <c r="BG67" i="1" s="1"/>
  <c r="BF70" i="1"/>
  <c r="BG70" i="1" s="1"/>
  <c r="AR70" i="1"/>
  <c r="AP70" i="1"/>
  <c r="BD70" i="1" s="1"/>
  <c r="AR66" i="1"/>
  <c r="BF66" i="1"/>
  <c r="BG66" i="1" s="1"/>
  <c r="AP66" i="1"/>
  <c r="BD66" i="1" s="1"/>
  <c r="AN64" i="1"/>
  <c r="BF64" i="1" l="1"/>
  <c r="BG64" i="1" s="1"/>
  <c r="AR64" i="1"/>
  <c r="AP64" i="1"/>
  <c r="BD64" i="1" s="1"/>
  <c r="AN59" i="1"/>
  <c r="AR59" i="1" l="1"/>
  <c r="BF59" i="1"/>
  <c r="BG59" i="1" s="1"/>
  <c r="AP59" i="1"/>
  <c r="BD59" i="1" s="1"/>
  <c r="AN54" i="1"/>
  <c r="AN53" i="1"/>
  <c r="AN52" i="1"/>
  <c r="AR54" i="1" l="1"/>
  <c r="BF54" i="1"/>
  <c r="BG54" i="1" s="1"/>
  <c r="AP54" i="1"/>
  <c r="BD54" i="1" s="1"/>
  <c r="AP52" i="1"/>
  <c r="BD52" i="1" s="1"/>
  <c r="AR52" i="1"/>
  <c r="BF52" i="1"/>
  <c r="BG52" i="1" s="1"/>
  <c r="AR53" i="1"/>
  <c r="AP53" i="1"/>
  <c r="BD53" i="1" s="1"/>
  <c r="BF53" i="1"/>
  <c r="BG53" i="1" s="1"/>
  <c r="N658" i="4" l="1"/>
  <c r="O658" i="4"/>
  <c r="N659" i="4"/>
  <c r="O659" i="4"/>
  <c r="N660" i="4"/>
  <c r="O660" i="4"/>
  <c r="O642" i="4"/>
  <c r="O662" i="4"/>
  <c r="O663" i="4"/>
  <c r="O664" i="4"/>
  <c r="O665" i="4"/>
  <c r="AV82" i="1" s="1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61" i="4"/>
  <c r="AV44" i="1" s="1"/>
  <c r="N662" i="4"/>
  <c r="N663" i="4"/>
  <c r="N664" i="4"/>
  <c r="N665" i="4"/>
  <c r="AU82" i="1" s="1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61" i="4"/>
  <c r="AU44" i="1" s="1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O293" i="4" l="1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AV66" i="1" s="1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287" i="4"/>
  <c r="O288" i="4"/>
  <c r="O289" i="4"/>
  <c r="O290" i="4"/>
  <c r="O291" i="4"/>
  <c r="O292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AV236" i="1" l="1"/>
  <c r="AV231" i="1"/>
  <c r="AV228" i="1"/>
  <c r="AV229" i="1"/>
  <c r="AV233" i="1"/>
  <c r="AV214" i="1"/>
  <c r="AV218" i="1"/>
  <c r="AV208" i="1"/>
  <c r="AV211" i="1"/>
  <c r="AV226" i="1"/>
  <c r="AV205" i="1"/>
  <c r="AV227" i="1"/>
  <c r="AV221" i="1"/>
  <c r="AV207" i="1"/>
  <c r="AV217" i="1"/>
  <c r="AV220" i="1"/>
  <c r="AV224" i="1"/>
  <c r="AV210" i="1"/>
  <c r="AV206" i="1"/>
  <c r="AV212" i="1"/>
  <c r="AV209" i="1"/>
  <c r="AV216" i="1"/>
  <c r="AV213" i="1"/>
  <c r="AV24" i="1"/>
  <c r="AV34" i="1"/>
  <c r="AV26" i="1"/>
  <c r="AV194" i="1"/>
  <c r="AV192" i="1"/>
  <c r="AV177" i="1"/>
  <c r="AV170" i="1"/>
  <c r="AV196" i="1"/>
  <c r="AV139" i="1"/>
  <c r="AV131" i="1"/>
  <c r="AV146" i="1"/>
  <c r="AV130" i="1"/>
  <c r="AV140" i="1"/>
  <c r="AV134" i="1"/>
  <c r="AV143" i="1"/>
  <c r="AV149" i="1"/>
  <c r="AV150" i="1"/>
  <c r="AV144" i="1"/>
  <c r="AV136" i="1"/>
  <c r="AV132" i="1"/>
  <c r="AV148" i="1"/>
  <c r="AV133" i="1"/>
  <c r="AV153" i="1"/>
  <c r="AV142" i="1"/>
  <c r="AV129" i="1"/>
  <c r="AV152" i="1"/>
  <c r="AV147" i="1"/>
  <c r="AV145" i="1"/>
  <c r="AV125" i="1"/>
  <c r="AV127" i="1"/>
  <c r="AV123" i="1"/>
  <c r="AV128" i="1"/>
  <c r="AV120" i="1"/>
  <c r="AV122" i="1"/>
  <c r="AV118" i="1"/>
  <c r="AV121" i="1"/>
  <c r="AV116" i="1"/>
  <c r="AV119" i="1"/>
  <c r="AV113" i="1"/>
  <c r="AV52" i="1"/>
  <c r="AV109" i="1"/>
  <c r="AV112" i="1"/>
  <c r="AV29" i="1"/>
  <c r="AV106" i="1"/>
  <c r="AV36" i="1"/>
  <c r="AV60" i="1"/>
  <c r="AV108" i="1"/>
  <c r="AV104" i="1"/>
  <c r="AV49" i="1"/>
  <c r="AV110" i="1"/>
  <c r="AV107" i="1"/>
  <c r="AV103" i="1"/>
  <c r="AV54" i="1"/>
  <c r="AV111" i="1"/>
  <c r="AV114" i="1"/>
  <c r="AV79" i="1"/>
  <c r="AV77" i="1"/>
  <c r="AV89" i="1"/>
  <c r="AV61" i="1"/>
  <c r="AV75" i="1"/>
  <c r="AV70" i="1"/>
  <c r="AV42" i="1"/>
  <c r="AV57" i="1"/>
  <c r="AV81" i="1"/>
  <c r="AV62" i="1"/>
  <c r="AV78" i="1"/>
  <c r="AV74" i="1"/>
  <c r="AV87" i="1"/>
  <c r="AV98" i="1"/>
  <c r="AV91" i="1"/>
  <c r="AV92" i="1"/>
  <c r="AV35" i="1"/>
  <c r="AV39" i="1"/>
  <c r="AV69" i="1"/>
  <c r="AV90" i="1"/>
  <c r="AV41" i="1"/>
  <c r="AV68" i="1"/>
  <c r="AV95" i="1"/>
  <c r="AV84" i="1"/>
  <c r="AV47" i="1"/>
  <c r="AV73" i="1"/>
  <c r="AV100" i="1"/>
  <c r="AV43" i="1"/>
  <c r="AV83" i="1"/>
  <c r="AV201" i="1"/>
  <c r="AV200" i="1"/>
  <c r="AV137" i="1"/>
  <c r="AV138" i="1"/>
  <c r="AV135" i="1"/>
  <c r="AV151" i="1"/>
  <c r="AV141" i="1"/>
  <c r="AV126" i="1"/>
  <c r="AV124" i="1"/>
  <c r="AV115" i="1"/>
  <c r="AV117" i="1"/>
  <c r="AV97" i="1"/>
  <c r="AV30" i="1"/>
  <c r="AV76" i="1"/>
  <c r="AV86" i="1"/>
  <c r="AV65" i="1"/>
  <c r="AV80" i="1"/>
  <c r="AV101" i="1"/>
  <c r="AV94" i="1"/>
  <c r="AV105" i="1"/>
  <c r="AV93" i="1"/>
  <c r="AV67" i="1"/>
  <c r="AV99" i="1"/>
  <c r="AV50" i="1"/>
  <c r="AV102" i="1"/>
  <c r="AV85" i="1"/>
  <c r="AV72" i="1"/>
  <c r="AV64" i="1"/>
  <c r="AV96" i="1"/>
  <c r="AV46" i="1"/>
  <c r="AV63" i="1"/>
  <c r="AV22" i="1"/>
  <c r="AV20" i="1"/>
  <c r="AN47" i="1"/>
  <c r="AN48" i="1"/>
  <c r="AN49" i="1"/>
  <c r="AN50" i="1"/>
  <c r="AN51" i="1"/>
  <c r="AN55" i="1"/>
  <c r="AN56" i="1"/>
  <c r="AN57" i="1"/>
  <c r="AN58" i="1"/>
  <c r="AN60" i="1"/>
  <c r="AN61" i="1"/>
  <c r="AN62" i="1"/>
  <c r="AN63" i="1"/>
  <c r="AN65" i="1"/>
  <c r="AN75" i="1"/>
  <c r="AN76" i="1"/>
  <c r="AN77" i="1"/>
  <c r="AN78" i="1"/>
  <c r="AN79" i="1"/>
  <c r="AN80" i="1"/>
  <c r="AN82" i="1"/>
  <c r="AN83" i="1"/>
  <c r="AN84" i="1"/>
  <c r="AP76" i="1" l="1"/>
  <c r="BD76" i="1" s="1"/>
  <c r="BF76" i="1"/>
  <c r="BG76" i="1" s="1"/>
  <c r="AR76" i="1"/>
  <c r="AP79" i="1"/>
  <c r="BD79" i="1" s="1"/>
  <c r="AR79" i="1"/>
  <c r="BF79" i="1"/>
  <c r="BG79" i="1" s="1"/>
  <c r="BF75" i="1"/>
  <c r="BG75" i="1" s="1"/>
  <c r="AR75" i="1"/>
  <c r="AP75" i="1"/>
  <c r="BD75" i="1" s="1"/>
  <c r="AP61" i="1"/>
  <c r="BD61" i="1" s="1"/>
  <c r="AR61" i="1"/>
  <c r="BF61" i="1"/>
  <c r="BG61" i="1" s="1"/>
  <c r="AR56" i="1"/>
  <c r="BF56" i="1"/>
  <c r="BG56" i="1" s="1"/>
  <c r="AP56" i="1"/>
  <c r="BD56" i="1" s="1"/>
  <c r="BF49" i="1"/>
  <c r="BG49" i="1" s="1"/>
  <c r="AR49" i="1"/>
  <c r="AP49" i="1"/>
  <c r="BD49" i="1" s="1"/>
  <c r="BF62" i="1"/>
  <c r="BG62" i="1" s="1"/>
  <c r="AP62" i="1"/>
  <c r="BD62" i="1" s="1"/>
  <c r="AR62" i="1"/>
  <c r="BF50" i="1"/>
  <c r="BG50" i="1" s="1"/>
  <c r="AR50" i="1"/>
  <c r="AP50" i="1"/>
  <c r="BD50" i="1" s="1"/>
  <c r="AR83" i="1"/>
  <c r="AP83" i="1"/>
  <c r="BD83" i="1" s="1"/>
  <c r="BF83" i="1"/>
  <c r="BG83" i="1" s="1"/>
  <c r="BF78" i="1"/>
  <c r="BG78" i="1" s="1"/>
  <c r="AP78" i="1"/>
  <c r="BD78" i="1" s="1"/>
  <c r="AR78" i="1"/>
  <c r="BF65" i="1"/>
  <c r="BG65" i="1" s="1"/>
  <c r="AR65" i="1"/>
  <c r="AP65" i="1"/>
  <c r="BD65" i="1" s="1"/>
  <c r="AR60" i="1"/>
  <c r="BF60" i="1"/>
  <c r="BG60" i="1" s="1"/>
  <c r="AP60" i="1"/>
  <c r="BD60" i="1" s="1"/>
  <c r="AR55" i="1"/>
  <c r="BF55" i="1"/>
  <c r="BG55" i="1" s="1"/>
  <c r="AP55" i="1"/>
  <c r="BD55" i="1" s="1"/>
  <c r="AR48" i="1"/>
  <c r="BF48" i="1"/>
  <c r="BG48" i="1" s="1"/>
  <c r="AP48" i="1"/>
  <c r="BD48" i="1" s="1"/>
  <c r="AR80" i="1"/>
  <c r="AP80" i="1"/>
  <c r="BD80" i="1" s="1"/>
  <c r="BF80" i="1"/>
  <c r="BG80" i="1" s="1"/>
  <c r="AR57" i="1"/>
  <c r="AP57" i="1"/>
  <c r="BD57" i="1" s="1"/>
  <c r="BF57" i="1"/>
  <c r="BG57" i="1" s="1"/>
  <c r="AP82" i="1"/>
  <c r="BD82" i="1" s="1"/>
  <c r="AR82" i="1"/>
  <c r="BF82" i="1"/>
  <c r="BG82" i="1" s="1"/>
  <c r="AP77" i="1"/>
  <c r="BD77" i="1" s="1"/>
  <c r="AR77" i="1"/>
  <c r="BF77" i="1"/>
  <c r="BG77" i="1" s="1"/>
  <c r="BF63" i="1"/>
  <c r="BG63" i="1" s="1"/>
  <c r="AR63" i="1"/>
  <c r="AP63" i="1"/>
  <c r="BD63" i="1" s="1"/>
  <c r="AR58" i="1"/>
  <c r="BF58" i="1"/>
  <c r="BG58" i="1" s="1"/>
  <c r="AP58" i="1"/>
  <c r="BD58" i="1" s="1"/>
  <c r="AP51" i="1"/>
  <c r="BD51" i="1" s="1"/>
  <c r="BF51" i="1"/>
  <c r="BG51" i="1" s="1"/>
  <c r="AR51" i="1"/>
  <c r="BF47" i="1"/>
  <c r="BG47" i="1" s="1"/>
  <c r="AR47" i="1"/>
  <c r="AP47" i="1"/>
  <c r="BD47" i="1" s="1"/>
  <c r="AR84" i="1"/>
  <c r="BF84" i="1"/>
  <c r="BG84" i="1" s="1"/>
  <c r="AP84" i="1"/>
  <c r="BD84" i="1" s="1"/>
  <c r="A9" i="1"/>
  <c r="B9" i="1"/>
  <c r="C9" i="1"/>
  <c r="D9" i="1"/>
  <c r="E9" i="1"/>
  <c r="F9" i="1"/>
  <c r="G9" i="1"/>
  <c r="H9" i="1"/>
  <c r="AY9" i="1" s="1"/>
  <c r="L9" i="1"/>
  <c r="M9" i="1"/>
  <c r="N9" i="1"/>
  <c r="AZ9" i="1" s="1"/>
  <c r="O9" i="1"/>
  <c r="P9" i="1"/>
  <c r="Q9" i="1"/>
  <c r="R9" i="1"/>
  <c r="S9" i="1"/>
  <c r="T9" i="1"/>
  <c r="BA9" i="1" s="1"/>
  <c r="U9" i="1"/>
  <c r="V9" i="1"/>
  <c r="W9" i="1"/>
  <c r="X9" i="1"/>
  <c r="Y9" i="1"/>
  <c r="Z9" i="1"/>
  <c r="AB9" i="1"/>
  <c r="AC9" i="1"/>
  <c r="AD9" i="1"/>
  <c r="AE9" i="1"/>
  <c r="AF9" i="1"/>
  <c r="AG9" i="1"/>
  <c r="AH9" i="1" s="1"/>
  <c r="AK9" i="1"/>
  <c r="AL9" i="1"/>
  <c r="AS9" i="1"/>
  <c r="AT9" i="1"/>
  <c r="BC9" i="1" s="1"/>
  <c r="BE9" i="1"/>
  <c r="A10" i="1"/>
  <c r="B10" i="1"/>
  <c r="C10" i="1"/>
  <c r="D10" i="1"/>
  <c r="E10" i="1"/>
  <c r="F10" i="1"/>
  <c r="G10" i="1"/>
  <c r="H10" i="1"/>
  <c r="AY10" i="1" s="1"/>
  <c r="L10" i="1"/>
  <c r="M10" i="1"/>
  <c r="N10" i="1"/>
  <c r="AZ10" i="1" s="1"/>
  <c r="O10" i="1"/>
  <c r="P10" i="1"/>
  <c r="Q10" i="1"/>
  <c r="R10" i="1"/>
  <c r="S10" i="1"/>
  <c r="T10" i="1"/>
  <c r="BA10" i="1" s="1"/>
  <c r="U10" i="1"/>
  <c r="V10" i="1"/>
  <c r="W10" i="1"/>
  <c r="X10" i="1"/>
  <c r="Y10" i="1"/>
  <c r="Z10" i="1"/>
  <c r="AB10" i="1"/>
  <c r="AC10" i="1"/>
  <c r="AD10" i="1"/>
  <c r="AE10" i="1"/>
  <c r="AF10" i="1"/>
  <c r="AG10" i="1"/>
  <c r="AK10" i="1"/>
  <c r="AL10" i="1"/>
  <c r="AM10" i="1" s="1"/>
  <c r="AS10" i="1"/>
  <c r="AT10" i="1"/>
  <c r="BC10" i="1" s="1"/>
  <c r="BE10" i="1"/>
  <c r="A11" i="1"/>
  <c r="B11" i="1"/>
  <c r="C11" i="1"/>
  <c r="D11" i="1"/>
  <c r="E11" i="1"/>
  <c r="F11" i="1"/>
  <c r="G11" i="1"/>
  <c r="H11" i="1"/>
  <c r="AY11" i="1" s="1"/>
  <c r="L11" i="1"/>
  <c r="M11" i="1"/>
  <c r="N11" i="1"/>
  <c r="AZ11" i="1" s="1"/>
  <c r="O11" i="1"/>
  <c r="P11" i="1"/>
  <c r="Q11" i="1"/>
  <c r="R11" i="1"/>
  <c r="S11" i="1"/>
  <c r="T11" i="1"/>
  <c r="BA11" i="1" s="1"/>
  <c r="U11" i="1"/>
  <c r="V11" i="1"/>
  <c r="W11" i="1"/>
  <c r="X11" i="1"/>
  <c r="Y11" i="1"/>
  <c r="Z11" i="1"/>
  <c r="AB11" i="1"/>
  <c r="AC11" i="1"/>
  <c r="AD11" i="1"/>
  <c r="AE11" i="1"/>
  <c r="AF11" i="1"/>
  <c r="AG11" i="1"/>
  <c r="AK11" i="1"/>
  <c r="AL11" i="1"/>
  <c r="AS11" i="1"/>
  <c r="AT11" i="1"/>
  <c r="BC11" i="1" s="1"/>
  <c r="BE11" i="1"/>
  <c r="A12" i="1"/>
  <c r="B12" i="1"/>
  <c r="C12" i="1"/>
  <c r="D12" i="1"/>
  <c r="E12" i="1"/>
  <c r="F12" i="1"/>
  <c r="G12" i="1"/>
  <c r="H12" i="1"/>
  <c r="AY12" i="1" s="1"/>
  <c r="L12" i="1"/>
  <c r="M12" i="1"/>
  <c r="N12" i="1"/>
  <c r="AZ12" i="1" s="1"/>
  <c r="O12" i="1"/>
  <c r="P12" i="1"/>
  <c r="Q12" i="1"/>
  <c r="R12" i="1"/>
  <c r="S12" i="1"/>
  <c r="T12" i="1"/>
  <c r="BA12" i="1" s="1"/>
  <c r="U12" i="1"/>
  <c r="V12" i="1"/>
  <c r="W12" i="1"/>
  <c r="X12" i="1"/>
  <c r="Y12" i="1"/>
  <c r="Z12" i="1"/>
  <c r="AB12" i="1"/>
  <c r="AC12" i="1"/>
  <c r="AD12" i="1"/>
  <c r="AE12" i="1"/>
  <c r="AF12" i="1"/>
  <c r="AG12" i="1"/>
  <c r="AH12" i="1" s="1"/>
  <c r="AK12" i="1"/>
  <c r="AL12" i="1"/>
  <c r="AS12" i="1"/>
  <c r="AT12" i="1"/>
  <c r="BC12" i="1" s="1"/>
  <c r="BE12" i="1"/>
  <c r="AJ10" i="1" l="1"/>
  <c r="AI12" i="1"/>
  <c r="AA12" i="1" s="1"/>
  <c r="AO12" i="1" s="1"/>
  <c r="AJ9" i="1"/>
  <c r="AM9" i="1"/>
  <c r="AI9" i="1"/>
  <c r="AA9" i="1" s="1"/>
  <c r="AO9" i="1" s="1"/>
  <c r="AJ12" i="1"/>
  <c r="AM11" i="1"/>
  <c r="AH10" i="1"/>
  <c r="AI10" i="1"/>
  <c r="AA10" i="1" s="1"/>
  <c r="AO10" i="1" s="1"/>
  <c r="AI11" i="1"/>
  <c r="AA11" i="1" s="1"/>
  <c r="AO11" i="1" s="1"/>
  <c r="AJ11" i="1"/>
  <c r="AM12" i="1"/>
  <c r="AH11" i="1"/>
  <c r="AN37" i="1"/>
  <c r="BF37" i="1" l="1"/>
  <c r="BG37" i="1" s="1"/>
  <c r="AR37" i="1"/>
  <c r="AP37" i="1"/>
  <c r="BD37" i="1" s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2" i="5"/>
  <c r="C2" i="4"/>
  <c r="AN41" i="1" l="1"/>
  <c r="AN42" i="1"/>
  <c r="AN43" i="1"/>
  <c r="AN44" i="1"/>
  <c r="AN45" i="1"/>
  <c r="AN46" i="1"/>
  <c r="AP44" i="1" l="1"/>
  <c r="BD44" i="1" s="1"/>
  <c r="AR44" i="1"/>
  <c r="BF44" i="1"/>
  <c r="BG44" i="1" s="1"/>
  <c r="AP43" i="1"/>
  <c r="BD43" i="1" s="1"/>
  <c r="AR43" i="1"/>
  <c r="BF43" i="1"/>
  <c r="BG43" i="1" s="1"/>
  <c r="AP46" i="1"/>
  <c r="BD46" i="1" s="1"/>
  <c r="AR46" i="1"/>
  <c r="BF46" i="1"/>
  <c r="BG46" i="1" s="1"/>
  <c r="AR42" i="1"/>
  <c r="BF42" i="1"/>
  <c r="BG42" i="1" s="1"/>
  <c r="AP42" i="1"/>
  <c r="BD42" i="1" s="1"/>
  <c r="AR45" i="1"/>
  <c r="BF45" i="1"/>
  <c r="BG45" i="1" s="1"/>
  <c r="AP45" i="1"/>
  <c r="BD45" i="1" s="1"/>
  <c r="AR41" i="1"/>
  <c r="AP41" i="1"/>
  <c r="BD41" i="1" s="1"/>
  <c r="BF41" i="1"/>
  <c r="BG41" i="1" s="1"/>
  <c r="H2" i="18"/>
  <c r="E34" i="14"/>
  <c r="BE3" i="1" l="1"/>
  <c r="BE4" i="1"/>
  <c r="BE5" i="1"/>
  <c r="BE6" i="1"/>
  <c r="BE7" i="1"/>
  <c r="BE8" i="1"/>
  <c r="BE2" i="1"/>
  <c r="AN38" i="1" l="1"/>
  <c r="AN40" i="1"/>
  <c r="AR40" i="1" l="1"/>
  <c r="BF40" i="1"/>
  <c r="BG40" i="1" s="1"/>
  <c r="AP40" i="1"/>
  <c r="BD40" i="1" s="1"/>
  <c r="AR38" i="1"/>
  <c r="AP38" i="1"/>
  <c r="BD38" i="1" s="1"/>
  <c r="BF38" i="1"/>
  <c r="BG38" i="1" s="1"/>
  <c r="AN22" i="1"/>
  <c r="AR22" i="1" l="1"/>
  <c r="BF22" i="1"/>
  <c r="BG22" i="1" s="1"/>
  <c r="AP22" i="1"/>
  <c r="BD22" i="1" s="1"/>
  <c r="A7" i="1"/>
  <c r="AN33" i="1" l="1"/>
  <c r="AN32" i="1"/>
  <c r="BF33" i="1" l="1"/>
  <c r="BG33" i="1" s="1"/>
  <c r="AR33" i="1"/>
  <c r="AP33" i="1"/>
  <c r="BD33" i="1" s="1"/>
  <c r="AR32" i="1"/>
  <c r="AP32" i="1"/>
  <c r="BD32" i="1" s="1"/>
  <c r="BF32" i="1"/>
  <c r="BG32" i="1" s="1"/>
  <c r="AN31" i="1"/>
  <c r="AL6" i="1"/>
  <c r="AM6" i="1" s="1"/>
  <c r="AP31" i="1" l="1"/>
  <c r="BD31" i="1" s="1"/>
  <c r="BF31" i="1"/>
  <c r="BG31" i="1" s="1"/>
  <c r="AR31" i="1"/>
  <c r="AV11" i="1"/>
  <c r="N613" i="4"/>
  <c r="N614" i="4"/>
  <c r="N615" i="4"/>
  <c r="N616" i="4"/>
  <c r="AU11" i="1" s="1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AP2" i="1" l="1"/>
  <c r="AN7" i="1" l="1"/>
  <c r="C4" i="1" l="1"/>
  <c r="C5" i="1"/>
  <c r="C6" i="1"/>
  <c r="C7" i="1"/>
  <c r="C8" i="1"/>
  <c r="B3" i="1"/>
  <c r="B4" i="1"/>
  <c r="B5" i="1"/>
  <c r="B6" i="1"/>
  <c r="B7" i="1"/>
  <c r="B8" i="1"/>
  <c r="AT8" i="1" l="1"/>
  <c r="BC8" i="1" s="1"/>
  <c r="AS8" i="1"/>
  <c r="AL8" i="1"/>
  <c r="AK8" i="1"/>
  <c r="AG8" i="1"/>
  <c r="AF8" i="1"/>
  <c r="AE8" i="1"/>
  <c r="AD8" i="1"/>
  <c r="AC8" i="1"/>
  <c r="AB8" i="1"/>
  <c r="Z8" i="1"/>
  <c r="Y8" i="1"/>
  <c r="X8" i="1"/>
  <c r="W8" i="1"/>
  <c r="V8" i="1"/>
  <c r="U8" i="1"/>
  <c r="T8" i="1"/>
  <c r="BA8" i="1" s="1"/>
  <c r="S8" i="1"/>
  <c r="R8" i="1"/>
  <c r="Q8" i="1"/>
  <c r="P8" i="1"/>
  <c r="O8" i="1"/>
  <c r="N8" i="1"/>
  <c r="AZ8" i="1" s="1"/>
  <c r="M8" i="1"/>
  <c r="L8" i="1"/>
  <c r="H8" i="1"/>
  <c r="AY8" i="1" s="1"/>
  <c r="G8" i="1"/>
  <c r="F8" i="1"/>
  <c r="E8" i="1"/>
  <c r="D8" i="1"/>
  <c r="A8" i="1"/>
  <c r="AT7" i="1"/>
  <c r="BC7" i="1" s="1"/>
  <c r="AS7" i="1"/>
  <c r="AL7" i="1"/>
  <c r="BF7" i="1" s="1"/>
  <c r="AK7" i="1"/>
  <c r="AG7" i="1"/>
  <c r="AI7" i="1" s="1"/>
  <c r="AF7" i="1"/>
  <c r="AE7" i="1"/>
  <c r="AD7" i="1"/>
  <c r="AC7" i="1"/>
  <c r="AB7" i="1"/>
  <c r="Z7" i="1"/>
  <c r="Y7" i="1"/>
  <c r="X7" i="1"/>
  <c r="W7" i="1"/>
  <c r="V7" i="1"/>
  <c r="U7" i="1"/>
  <c r="T7" i="1"/>
  <c r="BA7" i="1" s="1"/>
  <c r="S7" i="1"/>
  <c r="R7" i="1"/>
  <c r="Q7" i="1"/>
  <c r="P7" i="1"/>
  <c r="O7" i="1"/>
  <c r="N7" i="1"/>
  <c r="AZ7" i="1" s="1"/>
  <c r="M7" i="1"/>
  <c r="L7" i="1"/>
  <c r="H7" i="1"/>
  <c r="AY7" i="1" s="1"/>
  <c r="G7" i="1"/>
  <c r="F7" i="1"/>
  <c r="E7" i="1"/>
  <c r="D7" i="1"/>
  <c r="AT6" i="1"/>
  <c r="BC6" i="1" s="1"/>
  <c r="AS6" i="1"/>
  <c r="AK6" i="1"/>
  <c r="AG6" i="1"/>
  <c r="AF6" i="1"/>
  <c r="AE6" i="1"/>
  <c r="AD6" i="1"/>
  <c r="AC6" i="1"/>
  <c r="AB6" i="1"/>
  <c r="Z6" i="1"/>
  <c r="Y6" i="1"/>
  <c r="X6" i="1"/>
  <c r="W6" i="1"/>
  <c r="V6" i="1"/>
  <c r="U6" i="1"/>
  <c r="T6" i="1"/>
  <c r="BA6" i="1" s="1"/>
  <c r="S6" i="1"/>
  <c r="R6" i="1"/>
  <c r="Q6" i="1"/>
  <c r="P6" i="1"/>
  <c r="O6" i="1"/>
  <c r="N6" i="1"/>
  <c r="AZ6" i="1" s="1"/>
  <c r="M6" i="1"/>
  <c r="L6" i="1"/>
  <c r="H6" i="1"/>
  <c r="AY6" i="1" s="1"/>
  <c r="G6" i="1"/>
  <c r="F6" i="1"/>
  <c r="E6" i="1"/>
  <c r="D6" i="1"/>
  <c r="A6" i="1"/>
  <c r="AT5" i="1"/>
  <c r="BC5" i="1" s="1"/>
  <c r="AS5" i="1"/>
  <c r="AL5" i="1"/>
  <c r="AK5" i="1"/>
  <c r="AG5" i="1"/>
  <c r="AF5" i="1"/>
  <c r="AE5" i="1"/>
  <c r="AD5" i="1"/>
  <c r="AC5" i="1"/>
  <c r="AB5" i="1"/>
  <c r="Z5" i="1"/>
  <c r="Y5" i="1"/>
  <c r="X5" i="1"/>
  <c r="W5" i="1"/>
  <c r="V5" i="1"/>
  <c r="U5" i="1"/>
  <c r="T5" i="1"/>
  <c r="BA5" i="1" s="1"/>
  <c r="S5" i="1"/>
  <c r="R5" i="1"/>
  <c r="Q5" i="1"/>
  <c r="P5" i="1"/>
  <c r="O5" i="1"/>
  <c r="N5" i="1"/>
  <c r="AZ5" i="1" s="1"/>
  <c r="M5" i="1"/>
  <c r="L5" i="1"/>
  <c r="H5" i="1"/>
  <c r="AY5" i="1" s="1"/>
  <c r="G5" i="1"/>
  <c r="F5" i="1"/>
  <c r="E5" i="1"/>
  <c r="D5" i="1"/>
  <c r="A5" i="1"/>
  <c r="AT4" i="1"/>
  <c r="BC4" i="1" s="1"/>
  <c r="AS4" i="1"/>
  <c r="AL4" i="1"/>
  <c r="AK4" i="1"/>
  <c r="AG4" i="1"/>
  <c r="AF4" i="1"/>
  <c r="AE4" i="1"/>
  <c r="AD4" i="1"/>
  <c r="AC4" i="1"/>
  <c r="AB4" i="1"/>
  <c r="Z4" i="1"/>
  <c r="Y4" i="1"/>
  <c r="X4" i="1"/>
  <c r="W4" i="1"/>
  <c r="V4" i="1"/>
  <c r="U4" i="1"/>
  <c r="T4" i="1"/>
  <c r="BA4" i="1" s="1"/>
  <c r="S4" i="1"/>
  <c r="R4" i="1"/>
  <c r="Q4" i="1"/>
  <c r="P4" i="1"/>
  <c r="O4" i="1"/>
  <c r="N4" i="1"/>
  <c r="AZ4" i="1" s="1"/>
  <c r="M4" i="1"/>
  <c r="L4" i="1"/>
  <c r="H4" i="1"/>
  <c r="AY4" i="1" s="1"/>
  <c r="G4" i="1"/>
  <c r="F4" i="1"/>
  <c r="E4" i="1"/>
  <c r="D4" i="1"/>
  <c r="A4" i="1"/>
  <c r="BG7" i="1" l="1"/>
  <c r="AR7" i="1"/>
  <c r="AP7" i="1"/>
  <c r="BD7" i="1" s="1"/>
  <c r="AA7" i="1"/>
  <c r="AO7" i="1" s="1"/>
  <c r="AM5" i="1"/>
  <c r="AJ7" i="1"/>
  <c r="AJ8" i="1"/>
  <c r="AM4" i="1"/>
  <c r="AI8" i="1"/>
  <c r="AA8" i="1" s="1"/>
  <c r="AO8" i="1" s="1"/>
  <c r="AJ4" i="1"/>
  <c r="AJ5" i="1"/>
  <c r="AJ6" i="1"/>
  <c r="AI4" i="1"/>
  <c r="AA4" i="1" s="1"/>
  <c r="AO4" i="1" s="1"/>
  <c r="AI5" i="1"/>
  <c r="AA5" i="1" s="1"/>
  <c r="AO5" i="1" s="1"/>
  <c r="AI6" i="1"/>
  <c r="AA6" i="1" s="1"/>
  <c r="AO6" i="1" s="1"/>
  <c r="AM7" i="1"/>
  <c r="AM8" i="1"/>
  <c r="AH4" i="1"/>
  <c r="AH5" i="1"/>
  <c r="AH6" i="1"/>
  <c r="AH7" i="1"/>
  <c r="AH8" i="1"/>
  <c r="AN23" i="1"/>
  <c r="AN24" i="1"/>
  <c r="AN25" i="1"/>
  <c r="AN26" i="1"/>
  <c r="AN27" i="1"/>
  <c r="AN28" i="1"/>
  <c r="AN29" i="1"/>
  <c r="AN30" i="1"/>
  <c r="AN34" i="1"/>
  <c r="AN35" i="1"/>
  <c r="AN36" i="1"/>
  <c r="AP27" i="1" l="1"/>
  <c r="BD27" i="1" s="1"/>
  <c r="AR27" i="1"/>
  <c r="BF27" i="1"/>
  <c r="BG27" i="1" s="1"/>
  <c r="AR30" i="1"/>
  <c r="AP30" i="1"/>
  <c r="BD30" i="1" s="1"/>
  <c r="BF30" i="1"/>
  <c r="BG30" i="1" s="1"/>
  <c r="AR35" i="1"/>
  <c r="BF35" i="1"/>
  <c r="BG35" i="1" s="1"/>
  <c r="AP35" i="1"/>
  <c r="BD35" i="1" s="1"/>
  <c r="BF28" i="1"/>
  <c r="BG28" i="1" s="1"/>
  <c r="AR28" i="1"/>
  <c r="AP28" i="1"/>
  <c r="BD28" i="1" s="1"/>
  <c r="BF24" i="1"/>
  <c r="BG24" i="1" s="1"/>
  <c r="AP24" i="1"/>
  <c r="BD24" i="1" s="1"/>
  <c r="AR24" i="1"/>
  <c r="BF23" i="1"/>
  <c r="BG23" i="1" s="1"/>
  <c r="AP23" i="1"/>
  <c r="BD23" i="1" s="1"/>
  <c r="AR23" i="1"/>
  <c r="AR26" i="1"/>
  <c r="AP26" i="1"/>
  <c r="BD26" i="1" s="1"/>
  <c r="BF26" i="1"/>
  <c r="BG26" i="1" s="1"/>
  <c r="AP34" i="1"/>
  <c r="BD34" i="1" s="1"/>
  <c r="BF34" i="1"/>
  <c r="BG34" i="1" s="1"/>
  <c r="AR34" i="1"/>
  <c r="AR36" i="1"/>
  <c r="BF36" i="1"/>
  <c r="BG36" i="1" s="1"/>
  <c r="AP36" i="1"/>
  <c r="BD36" i="1" s="1"/>
  <c r="AP29" i="1"/>
  <c r="BD29" i="1" s="1"/>
  <c r="AR29" i="1"/>
  <c r="BF29" i="1"/>
  <c r="BG29" i="1" s="1"/>
  <c r="AP25" i="1"/>
  <c r="BD25" i="1" s="1"/>
  <c r="AR25" i="1"/>
  <c r="BF25" i="1"/>
  <c r="BG25" i="1" s="1"/>
  <c r="E24" i="14"/>
  <c r="L3" i="1" l="1"/>
  <c r="O685" i="4" l="1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AV10" i="1" s="1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AV88" i="1" s="1"/>
  <c r="O684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AV19" i="1" l="1"/>
  <c r="AV16" i="1"/>
  <c r="AV18" i="1"/>
  <c r="AV14" i="1"/>
  <c r="AV32" i="1"/>
  <c r="AV23" i="1"/>
  <c r="AV33" i="1"/>
  <c r="AV28" i="1"/>
  <c r="AV17" i="1"/>
  <c r="AV13" i="1"/>
  <c r="AV51" i="1"/>
  <c r="AV21" i="1"/>
  <c r="AV7" i="1"/>
  <c r="AV8" i="1"/>
  <c r="AV6" i="1"/>
  <c r="AV5" i="1"/>
  <c r="AB3" i="1"/>
  <c r="U3" i="1" l="1"/>
  <c r="V3" i="1"/>
  <c r="A3" i="1"/>
  <c r="A11" i="14" s="1"/>
  <c r="N3" i="1" l="1"/>
  <c r="AZ3" i="1" s="1"/>
  <c r="H3" i="1"/>
  <c r="AN5" i="1"/>
  <c r="AN6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K3" i="1"/>
  <c r="AF3" i="1"/>
  <c r="AG3" i="1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AU10" i="1" s="1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AU88" i="1" s="1"/>
  <c r="AU14" i="1" l="1"/>
  <c r="AU18" i="1"/>
  <c r="AU16" i="1"/>
  <c r="AU19" i="1"/>
  <c r="AU13" i="1"/>
  <c r="AU51" i="1"/>
  <c r="AU17" i="1"/>
  <c r="AU28" i="1"/>
  <c r="AU21" i="1"/>
  <c r="BF19" i="1"/>
  <c r="BG19" i="1" s="1"/>
  <c r="AP19" i="1"/>
  <c r="BD19" i="1" s="1"/>
  <c r="AR19" i="1"/>
  <c r="AR15" i="1"/>
  <c r="BF15" i="1"/>
  <c r="BG15" i="1" s="1"/>
  <c r="AP15" i="1"/>
  <c r="BD15" i="1" s="1"/>
  <c r="AP18" i="1"/>
  <c r="BD18" i="1" s="1"/>
  <c r="BF18" i="1"/>
  <c r="BG18" i="1" s="1"/>
  <c r="AR18" i="1"/>
  <c r="AP14" i="1"/>
  <c r="BD14" i="1" s="1"/>
  <c r="AR14" i="1"/>
  <c r="BF14" i="1"/>
  <c r="BG14" i="1" s="1"/>
  <c r="BF21" i="1"/>
  <c r="BG21" i="1" s="1"/>
  <c r="AP21" i="1"/>
  <c r="BD21" i="1" s="1"/>
  <c r="AR21" i="1"/>
  <c r="AR17" i="1"/>
  <c r="BF17" i="1"/>
  <c r="BG17" i="1" s="1"/>
  <c r="AP17" i="1"/>
  <c r="BD17" i="1" s="1"/>
  <c r="BF13" i="1"/>
  <c r="BG13" i="1" s="1"/>
  <c r="AR13" i="1"/>
  <c r="AP13" i="1"/>
  <c r="BD13" i="1" s="1"/>
  <c r="AR20" i="1"/>
  <c r="AP20" i="1"/>
  <c r="BD20" i="1" s="1"/>
  <c r="BF20" i="1"/>
  <c r="BG20" i="1" s="1"/>
  <c r="AP16" i="1"/>
  <c r="BD16" i="1" s="1"/>
  <c r="BF16" i="1"/>
  <c r="BG16" i="1" s="1"/>
  <c r="AR16" i="1"/>
  <c r="BF10" i="1"/>
  <c r="BG10" i="1" s="1"/>
  <c r="AP10" i="1"/>
  <c r="BD10" i="1" s="1"/>
  <c r="AP12" i="1"/>
  <c r="BD12" i="1" s="1"/>
  <c r="BF12" i="1"/>
  <c r="BG12" i="1" s="1"/>
  <c r="BF8" i="1"/>
  <c r="BG8" i="1" s="1"/>
  <c r="AP8" i="1"/>
  <c r="BD8" i="1" s="1"/>
  <c r="AP9" i="1"/>
  <c r="BD9" i="1" s="1"/>
  <c r="BF9" i="1"/>
  <c r="BG9" i="1" s="1"/>
  <c r="BF11" i="1"/>
  <c r="BG11" i="1" s="1"/>
  <c r="AP11" i="1"/>
  <c r="BD11" i="1" s="1"/>
  <c r="AR6" i="1"/>
  <c r="BF6" i="1"/>
  <c r="BG6" i="1" s="1"/>
  <c r="AP6" i="1"/>
  <c r="BD6" i="1" s="1"/>
  <c r="AR8" i="1"/>
  <c r="AR5" i="1"/>
  <c r="BF5" i="1"/>
  <c r="BG5" i="1" s="1"/>
  <c r="AP5" i="1"/>
  <c r="BD5" i="1" s="1"/>
  <c r="AR10" i="1"/>
  <c r="AR9" i="1"/>
  <c r="AR11" i="1"/>
  <c r="AR12" i="1"/>
  <c r="AU5" i="1"/>
  <c r="AS3" i="1"/>
  <c r="AT3" i="1"/>
  <c r="BC3" i="1" s="1"/>
  <c r="AT2" i="1"/>
  <c r="BC2" i="1" s="1"/>
  <c r="AS2" i="1"/>
  <c r="AN4" i="1"/>
  <c r="AN3" i="1"/>
  <c r="BB4" i="1" l="1"/>
  <c r="AP4" i="1"/>
  <c r="AR3" i="1"/>
  <c r="AR4" i="1"/>
  <c r="BF4" i="1"/>
  <c r="BG4" i="1" s="1"/>
  <c r="BD4" i="1"/>
  <c r="AY3" i="1" l="1"/>
  <c r="AN877" i="5" l="1"/>
  <c r="AN878" i="5"/>
  <c r="AN879" i="5"/>
  <c r="AN880" i="5"/>
  <c r="AN881" i="5"/>
  <c r="AN882" i="5"/>
  <c r="AN883" i="5"/>
  <c r="AN884" i="5"/>
  <c r="AN885" i="5"/>
  <c r="AN886" i="5"/>
  <c r="AN887" i="5"/>
  <c r="AN888" i="5"/>
  <c r="AN889" i="5"/>
  <c r="AN890" i="5"/>
  <c r="AN891" i="5"/>
  <c r="AN892" i="5"/>
  <c r="AN893" i="5"/>
  <c r="AN894" i="5"/>
  <c r="AN895" i="5"/>
  <c r="AN896" i="5"/>
  <c r="AN897" i="5"/>
  <c r="AN898" i="5"/>
  <c r="AN899" i="5"/>
  <c r="AN900" i="5"/>
  <c r="AN901" i="5"/>
  <c r="AN902" i="5"/>
  <c r="AN903" i="5"/>
  <c r="AN904" i="5"/>
  <c r="AN905" i="5"/>
  <c r="AN906" i="5"/>
  <c r="AN907" i="5"/>
  <c r="AN908" i="5"/>
  <c r="AN909" i="5"/>
  <c r="AN910" i="5"/>
  <c r="AN911" i="5"/>
  <c r="AN912" i="5"/>
  <c r="AN913" i="5"/>
  <c r="AN914" i="5"/>
  <c r="AN915" i="5"/>
  <c r="AN916" i="5"/>
  <c r="AN917" i="5"/>
  <c r="AN918" i="5"/>
  <c r="AN919" i="5"/>
  <c r="AN920" i="5"/>
  <c r="AN921" i="5"/>
  <c r="AN922" i="5"/>
  <c r="AN923" i="5"/>
  <c r="AN924" i="5"/>
  <c r="AN925" i="5"/>
  <c r="AN926" i="5"/>
  <c r="AN927" i="5"/>
  <c r="AN928" i="5"/>
  <c r="AN876" i="5"/>
  <c r="AN875" i="5"/>
  <c r="AN874" i="5"/>
  <c r="AN873" i="5"/>
  <c r="AN850" i="5"/>
  <c r="AN851" i="5"/>
  <c r="AN852" i="5"/>
  <c r="AX39" i="1" s="1"/>
  <c r="AN853" i="5"/>
  <c r="AN854" i="5"/>
  <c r="AN855" i="5"/>
  <c r="AN856" i="5"/>
  <c r="AN857" i="5"/>
  <c r="AN858" i="5"/>
  <c r="AN859" i="5"/>
  <c r="AN860" i="5"/>
  <c r="AN861" i="5"/>
  <c r="AN862" i="5"/>
  <c r="AN863" i="5"/>
  <c r="AN864" i="5"/>
  <c r="AN865" i="5"/>
  <c r="AN866" i="5"/>
  <c r="AN867" i="5"/>
  <c r="AN868" i="5"/>
  <c r="AN869" i="5"/>
  <c r="AN870" i="5"/>
  <c r="AN871" i="5"/>
  <c r="AN872" i="5"/>
  <c r="AN849" i="5"/>
  <c r="AN803" i="5"/>
  <c r="AN804" i="5"/>
  <c r="AN805" i="5"/>
  <c r="AN806" i="5"/>
  <c r="AN807" i="5"/>
  <c r="AN808" i="5"/>
  <c r="AN809" i="5"/>
  <c r="AX82" i="1" s="1"/>
  <c r="AN810" i="5"/>
  <c r="AN811" i="5"/>
  <c r="AN812" i="5"/>
  <c r="AN813" i="5"/>
  <c r="AN814" i="5"/>
  <c r="AN815" i="5"/>
  <c r="AN816" i="5"/>
  <c r="AN817" i="5"/>
  <c r="AN818" i="5"/>
  <c r="AN819" i="5"/>
  <c r="AN820" i="5"/>
  <c r="AN821" i="5"/>
  <c r="AN822" i="5"/>
  <c r="AN823" i="5"/>
  <c r="AN824" i="5"/>
  <c r="AN825" i="5"/>
  <c r="AN826" i="5"/>
  <c r="AX222" i="1" s="1"/>
  <c r="AN827" i="5"/>
  <c r="AN828" i="5"/>
  <c r="AN829" i="5"/>
  <c r="AN830" i="5"/>
  <c r="AN831" i="5"/>
  <c r="AN832" i="5"/>
  <c r="AN833" i="5"/>
  <c r="AN834" i="5"/>
  <c r="AN835" i="5"/>
  <c r="AN836" i="5"/>
  <c r="AN837" i="5"/>
  <c r="AN838" i="5"/>
  <c r="AN839" i="5"/>
  <c r="AN840" i="5"/>
  <c r="AN841" i="5"/>
  <c r="AN842" i="5"/>
  <c r="AN843" i="5"/>
  <c r="AN844" i="5"/>
  <c r="AN845" i="5"/>
  <c r="AN846" i="5"/>
  <c r="AN847" i="5"/>
  <c r="AN848" i="5"/>
  <c r="AN802" i="5"/>
  <c r="AN801" i="5"/>
  <c r="AN782" i="5"/>
  <c r="AN783" i="5"/>
  <c r="AN784" i="5"/>
  <c r="AN785" i="5"/>
  <c r="AN786" i="5"/>
  <c r="AN787" i="5"/>
  <c r="AN788" i="5"/>
  <c r="AN789" i="5"/>
  <c r="AN790" i="5"/>
  <c r="AN791" i="5"/>
  <c r="AN792" i="5"/>
  <c r="AN793" i="5"/>
  <c r="AN794" i="5"/>
  <c r="AN795" i="5"/>
  <c r="AN796" i="5"/>
  <c r="AN797" i="5"/>
  <c r="AN798" i="5"/>
  <c r="AN799" i="5"/>
  <c r="AN800" i="5"/>
  <c r="AN781" i="5"/>
  <c r="AN774" i="5"/>
  <c r="AN775" i="5"/>
  <c r="AN776" i="5"/>
  <c r="AN777" i="5"/>
  <c r="AN778" i="5"/>
  <c r="AN779" i="5"/>
  <c r="AN780" i="5"/>
  <c r="AN773" i="5"/>
  <c r="AN731" i="5"/>
  <c r="AN732" i="5"/>
  <c r="AN733" i="5"/>
  <c r="AN734" i="5"/>
  <c r="AN735" i="5"/>
  <c r="AN736" i="5"/>
  <c r="AN737" i="5"/>
  <c r="AN738" i="5"/>
  <c r="AN739" i="5"/>
  <c r="AN740" i="5"/>
  <c r="AN741" i="5"/>
  <c r="AN742" i="5"/>
  <c r="AN743" i="5"/>
  <c r="AN744" i="5"/>
  <c r="AN745" i="5"/>
  <c r="AN746" i="5"/>
  <c r="AN747" i="5"/>
  <c r="AN748" i="5"/>
  <c r="AN749" i="5"/>
  <c r="AN750" i="5"/>
  <c r="AN751" i="5"/>
  <c r="AN752" i="5"/>
  <c r="AN753" i="5"/>
  <c r="AN754" i="5"/>
  <c r="AN755" i="5"/>
  <c r="AN756" i="5"/>
  <c r="AN757" i="5"/>
  <c r="AN758" i="5"/>
  <c r="AN759" i="5"/>
  <c r="AN760" i="5"/>
  <c r="AN761" i="5"/>
  <c r="AN762" i="5"/>
  <c r="AN763" i="5"/>
  <c r="AN764" i="5"/>
  <c r="AN765" i="5"/>
  <c r="AN766" i="5"/>
  <c r="AN767" i="5"/>
  <c r="AN768" i="5"/>
  <c r="AN769" i="5"/>
  <c r="AN770" i="5"/>
  <c r="AN771" i="5"/>
  <c r="AN772" i="5"/>
  <c r="AN730" i="5"/>
  <c r="AN707" i="5"/>
  <c r="AN708" i="5"/>
  <c r="AN709" i="5"/>
  <c r="AN710" i="5"/>
  <c r="AN711" i="5"/>
  <c r="AN712" i="5"/>
  <c r="AN713" i="5"/>
  <c r="AN714" i="5"/>
  <c r="AN715" i="5"/>
  <c r="AN716" i="5"/>
  <c r="AN717" i="5"/>
  <c r="AN718" i="5"/>
  <c r="AN719" i="5"/>
  <c r="AN720" i="5"/>
  <c r="AN721" i="5"/>
  <c r="AN722" i="5"/>
  <c r="AN723" i="5"/>
  <c r="AN724" i="5"/>
  <c r="AN725" i="5"/>
  <c r="AN726" i="5"/>
  <c r="AN727" i="5"/>
  <c r="AN728" i="5"/>
  <c r="AN729" i="5"/>
  <c r="AN706" i="5"/>
  <c r="AN705" i="5"/>
  <c r="AN704" i="5"/>
  <c r="AN669" i="5"/>
  <c r="AN670" i="5"/>
  <c r="AN671" i="5"/>
  <c r="AN672" i="5"/>
  <c r="AN673" i="5"/>
  <c r="AN674" i="5"/>
  <c r="AN675" i="5"/>
  <c r="AN676" i="5"/>
  <c r="AN677" i="5"/>
  <c r="AN678" i="5"/>
  <c r="AN679" i="5"/>
  <c r="AN680" i="5"/>
  <c r="AN681" i="5"/>
  <c r="AN682" i="5"/>
  <c r="AN683" i="5"/>
  <c r="AN684" i="5"/>
  <c r="AN685" i="5"/>
  <c r="AN686" i="5"/>
  <c r="AN687" i="5"/>
  <c r="AN688" i="5"/>
  <c r="AN689" i="5"/>
  <c r="AN690" i="5"/>
  <c r="AN691" i="5"/>
  <c r="AN692" i="5"/>
  <c r="AN693" i="5"/>
  <c r="AN694" i="5"/>
  <c r="AN695" i="5"/>
  <c r="AN696" i="5"/>
  <c r="AN697" i="5"/>
  <c r="AN698" i="5"/>
  <c r="AN699" i="5"/>
  <c r="AN700" i="5"/>
  <c r="AN701" i="5"/>
  <c r="AN702" i="5"/>
  <c r="AN703" i="5"/>
  <c r="AN668" i="5"/>
  <c r="AN643" i="5"/>
  <c r="AN644" i="5"/>
  <c r="AN645" i="5"/>
  <c r="AN646" i="5"/>
  <c r="AN647" i="5"/>
  <c r="AN648" i="5"/>
  <c r="AN649" i="5"/>
  <c r="AN650" i="5"/>
  <c r="AN651" i="5"/>
  <c r="AN652" i="5"/>
  <c r="AN653" i="5"/>
  <c r="AN654" i="5"/>
  <c r="AN655" i="5"/>
  <c r="AN656" i="5"/>
  <c r="AN657" i="5"/>
  <c r="AN658" i="5"/>
  <c r="AN659" i="5"/>
  <c r="AN660" i="5"/>
  <c r="AN661" i="5"/>
  <c r="AN662" i="5"/>
  <c r="AN663" i="5"/>
  <c r="AN664" i="5"/>
  <c r="AN665" i="5"/>
  <c r="AN666" i="5"/>
  <c r="AN667" i="5"/>
  <c r="AN642" i="5"/>
  <c r="AN628" i="5"/>
  <c r="AN629" i="5"/>
  <c r="AN630" i="5"/>
  <c r="AN631" i="5"/>
  <c r="AN632" i="5"/>
  <c r="AN633" i="5"/>
  <c r="AN634" i="5"/>
  <c r="AN635" i="5"/>
  <c r="AN636" i="5"/>
  <c r="AN637" i="5"/>
  <c r="AN638" i="5"/>
  <c r="AN639" i="5"/>
  <c r="AN640" i="5"/>
  <c r="AN641" i="5"/>
  <c r="AN627" i="5"/>
  <c r="AN578" i="5"/>
  <c r="AN579" i="5"/>
  <c r="AN580" i="5"/>
  <c r="AN581" i="5"/>
  <c r="AN582" i="5"/>
  <c r="AN583" i="5"/>
  <c r="AN584" i="5"/>
  <c r="AN585" i="5"/>
  <c r="AN586" i="5"/>
  <c r="AN587" i="5"/>
  <c r="AN588" i="5"/>
  <c r="AN589" i="5"/>
  <c r="AN590" i="5"/>
  <c r="AN591" i="5"/>
  <c r="AN592" i="5"/>
  <c r="AN593" i="5"/>
  <c r="AN594" i="5"/>
  <c r="AN595" i="5"/>
  <c r="AN596" i="5"/>
  <c r="AN597" i="5"/>
  <c r="AN598" i="5"/>
  <c r="AN599" i="5"/>
  <c r="AN600" i="5"/>
  <c r="AN601" i="5"/>
  <c r="AN602" i="5"/>
  <c r="AN603" i="5"/>
  <c r="AN604" i="5"/>
  <c r="AN605" i="5"/>
  <c r="AN606" i="5"/>
  <c r="AN607" i="5"/>
  <c r="AN608" i="5"/>
  <c r="AN609" i="5"/>
  <c r="AN610" i="5"/>
  <c r="AN611" i="5"/>
  <c r="AN612" i="5"/>
  <c r="AN613" i="5"/>
  <c r="AN614" i="5"/>
  <c r="AN615" i="5"/>
  <c r="AN616" i="5"/>
  <c r="AN617" i="5"/>
  <c r="AN618" i="5"/>
  <c r="AN619" i="5"/>
  <c r="AN620" i="5"/>
  <c r="AN621" i="5"/>
  <c r="AN622" i="5"/>
  <c r="AN623" i="5"/>
  <c r="AN624" i="5"/>
  <c r="AN625" i="5"/>
  <c r="AN626" i="5"/>
  <c r="AN577" i="5"/>
  <c r="AN554" i="5"/>
  <c r="AN555" i="5"/>
  <c r="AN556" i="5"/>
  <c r="AN557" i="5"/>
  <c r="AN558" i="5"/>
  <c r="AN559" i="5"/>
  <c r="AN560" i="5"/>
  <c r="AN561" i="5"/>
  <c r="AN562" i="5"/>
  <c r="AN563" i="5"/>
  <c r="AN564" i="5"/>
  <c r="AN565" i="5"/>
  <c r="AN566" i="5"/>
  <c r="AN567" i="5"/>
  <c r="AN568" i="5"/>
  <c r="AN569" i="5"/>
  <c r="AN570" i="5"/>
  <c r="AN571" i="5"/>
  <c r="AN572" i="5"/>
  <c r="AN573" i="5"/>
  <c r="AN574" i="5"/>
  <c r="AN575" i="5"/>
  <c r="AN576" i="5"/>
  <c r="AN553" i="5"/>
  <c r="AN547" i="5"/>
  <c r="AN548" i="5"/>
  <c r="AN549" i="5"/>
  <c r="AN550" i="5"/>
  <c r="AN551" i="5"/>
  <c r="AN552" i="5"/>
  <c r="AN546" i="5"/>
  <c r="AN545" i="5"/>
  <c r="AN544" i="5"/>
  <c r="AN542" i="5"/>
  <c r="AN543" i="5"/>
  <c r="AN541" i="5"/>
  <c r="AN538" i="5"/>
  <c r="AN539" i="5"/>
  <c r="AN540" i="5"/>
  <c r="AN537" i="5"/>
  <c r="AN536" i="5"/>
  <c r="AN535" i="5"/>
  <c r="AN534" i="5"/>
  <c r="AN533" i="5"/>
  <c r="AN529" i="5"/>
  <c r="AN530" i="5"/>
  <c r="AN531" i="5"/>
  <c r="AN532" i="5"/>
  <c r="AN528" i="5"/>
  <c r="AN519" i="5"/>
  <c r="AN520" i="5"/>
  <c r="AN521" i="5"/>
  <c r="AN522" i="5"/>
  <c r="AN523" i="5"/>
  <c r="AN524" i="5"/>
  <c r="AN525" i="5"/>
  <c r="AN526" i="5"/>
  <c r="AN527" i="5"/>
  <c r="AN518" i="5"/>
  <c r="AN514" i="5"/>
  <c r="AN515" i="5"/>
  <c r="AN516" i="5"/>
  <c r="AN517" i="5"/>
  <c r="AN513" i="5"/>
  <c r="AN509" i="5"/>
  <c r="AN510" i="5"/>
  <c r="AN511" i="5"/>
  <c r="AN512" i="5"/>
  <c r="AN508" i="5"/>
  <c r="AN504" i="5"/>
  <c r="AN505" i="5"/>
  <c r="AN506" i="5"/>
  <c r="AN507" i="5"/>
  <c r="AN503" i="5"/>
  <c r="AN482" i="5"/>
  <c r="AN483" i="5"/>
  <c r="AN484" i="5"/>
  <c r="AN485" i="5"/>
  <c r="AN486" i="5"/>
  <c r="AN487" i="5"/>
  <c r="AN488" i="5"/>
  <c r="AN489" i="5"/>
  <c r="AN490" i="5"/>
  <c r="AN491" i="5"/>
  <c r="AN492" i="5"/>
  <c r="AN493" i="5"/>
  <c r="AN494" i="5"/>
  <c r="AN495" i="5"/>
  <c r="AN496" i="5"/>
  <c r="AN497" i="5"/>
  <c r="AN498" i="5"/>
  <c r="AN499" i="5"/>
  <c r="AN500" i="5"/>
  <c r="AN501" i="5"/>
  <c r="AN502" i="5"/>
  <c r="AN481" i="5"/>
  <c r="AN473" i="5"/>
  <c r="AN474" i="5"/>
  <c r="AN475" i="5"/>
  <c r="AN476" i="5"/>
  <c r="AN477" i="5"/>
  <c r="AN478" i="5"/>
  <c r="AN479" i="5"/>
  <c r="AN480" i="5"/>
  <c r="AN472" i="5"/>
  <c r="AN469" i="5"/>
  <c r="AN470" i="5"/>
  <c r="AN471" i="5"/>
  <c r="AN468" i="5"/>
  <c r="AN435" i="5"/>
  <c r="AN436" i="5"/>
  <c r="AN437" i="5"/>
  <c r="AN438" i="5"/>
  <c r="AN439" i="5"/>
  <c r="AN440" i="5"/>
  <c r="AN441" i="5"/>
  <c r="AN442" i="5"/>
  <c r="AN443" i="5"/>
  <c r="AN444" i="5"/>
  <c r="AN445" i="5"/>
  <c r="AN446" i="5"/>
  <c r="AN447" i="5"/>
  <c r="AN448" i="5"/>
  <c r="AN449" i="5"/>
  <c r="AN450" i="5"/>
  <c r="AN451" i="5"/>
  <c r="AN452" i="5"/>
  <c r="AN453" i="5"/>
  <c r="AN454" i="5"/>
  <c r="AN455" i="5"/>
  <c r="AN456" i="5"/>
  <c r="AN457" i="5"/>
  <c r="AN458" i="5"/>
  <c r="AN459" i="5"/>
  <c r="AN460" i="5"/>
  <c r="AN461" i="5"/>
  <c r="AN462" i="5"/>
  <c r="AN463" i="5"/>
  <c r="AN464" i="5"/>
  <c r="AN465" i="5"/>
  <c r="AN466" i="5"/>
  <c r="AN467" i="5"/>
  <c r="AN434" i="5"/>
  <c r="AN427" i="5"/>
  <c r="AN428" i="5"/>
  <c r="AN429" i="5"/>
  <c r="AN430" i="5"/>
  <c r="AN431" i="5"/>
  <c r="AN432" i="5"/>
  <c r="AN433" i="5"/>
  <c r="AN426" i="5"/>
  <c r="AN425" i="5"/>
  <c r="AN419" i="5"/>
  <c r="AN420" i="5"/>
  <c r="AN421" i="5"/>
  <c r="AN422" i="5"/>
  <c r="AN423" i="5"/>
  <c r="AN424" i="5"/>
  <c r="AN418" i="5"/>
  <c r="AN320" i="5"/>
  <c r="AN321" i="5"/>
  <c r="AN322" i="5"/>
  <c r="AN323" i="5"/>
  <c r="AN324" i="5"/>
  <c r="AN325" i="5"/>
  <c r="AN326" i="5"/>
  <c r="AN327" i="5"/>
  <c r="AN328" i="5"/>
  <c r="AN329" i="5"/>
  <c r="AN330" i="5"/>
  <c r="AN331" i="5"/>
  <c r="AN332" i="5"/>
  <c r="AN333" i="5"/>
  <c r="AN334" i="5"/>
  <c r="AN335" i="5"/>
  <c r="AN336" i="5"/>
  <c r="AN337" i="5"/>
  <c r="AN338" i="5"/>
  <c r="AN339" i="5"/>
  <c r="AN340" i="5"/>
  <c r="AN341" i="5"/>
  <c r="AN342" i="5"/>
  <c r="AN343" i="5"/>
  <c r="AN344" i="5"/>
  <c r="AN345" i="5"/>
  <c r="AN346" i="5"/>
  <c r="AN347" i="5"/>
  <c r="AN348" i="5"/>
  <c r="AX136" i="1" s="1"/>
  <c r="AN349" i="5"/>
  <c r="AN350" i="5"/>
  <c r="AN351" i="5"/>
  <c r="AN352" i="5"/>
  <c r="AX151" i="1" s="1"/>
  <c r="AN353" i="5"/>
  <c r="AN354" i="5"/>
  <c r="AN355" i="5"/>
  <c r="AN356" i="5"/>
  <c r="AX178" i="1" s="1"/>
  <c r="AN357" i="5"/>
  <c r="AN358" i="5"/>
  <c r="AN359" i="5"/>
  <c r="AN360" i="5"/>
  <c r="AN361" i="5"/>
  <c r="AN362" i="5"/>
  <c r="AN363" i="5"/>
  <c r="AN364" i="5"/>
  <c r="AN365" i="5"/>
  <c r="AN366" i="5"/>
  <c r="AN367" i="5"/>
  <c r="AN368" i="5"/>
  <c r="AN369" i="5"/>
  <c r="AN370" i="5"/>
  <c r="AN371" i="5"/>
  <c r="AN372" i="5"/>
  <c r="AN373" i="5"/>
  <c r="AN374" i="5"/>
  <c r="AN375" i="5"/>
  <c r="AN376" i="5"/>
  <c r="AN377" i="5"/>
  <c r="AN378" i="5"/>
  <c r="AN379" i="5"/>
  <c r="AN380" i="5"/>
  <c r="AN381" i="5"/>
  <c r="AN382" i="5"/>
  <c r="AN383" i="5"/>
  <c r="AN384" i="5"/>
  <c r="AN385" i="5"/>
  <c r="AN386" i="5"/>
  <c r="AN387" i="5"/>
  <c r="AN388" i="5"/>
  <c r="AN389" i="5"/>
  <c r="AN390" i="5"/>
  <c r="AN391" i="5"/>
  <c r="AN392" i="5"/>
  <c r="AN393" i="5"/>
  <c r="AN394" i="5"/>
  <c r="AN395" i="5"/>
  <c r="AN396" i="5"/>
  <c r="AN397" i="5"/>
  <c r="AN398" i="5"/>
  <c r="AX143" i="1" s="1"/>
  <c r="AN399" i="5"/>
  <c r="AN400" i="5"/>
  <c r="AN401" i="5"/>
  <c r="AN402" i="5"/>
  <c r="AN403" i="5"/>
  <c r="AN404" i="5"/>
  <c r="AN405" i="5"/>
  <c r="AN406" i="5"/>
  <c r="AN407" i="5"/>
  <c r="AN408" i="5"/>
  <c r="AN409" i="5"/>
  <c r="AN410" i="5"/>
  <c r="AN411" i="5"/>
  <c r="AN412" i="5"/>
  <c r="AN413" i="5"/>
  <c r="AN414" i="5"/>
  <c r="AN415" i="5"/>
  <c r="AN416" i="5"/>
  <c r="AN417" i="5"/>
  <c r="AN275" i="5"/>
  <c r="AN276" i="5"/>
  <c r="AN277" i="5"/>
  <c r="AN278" i="5"/>
  <c r="AN279" i="5"/>
  <c r="AN280" i="5"/>
  <c r="AN281" i="5"/>
  <c r="AN282" i="5"/>
  <c r="AN283" i="5"/>
  <c r="AN284" i="5"/>
  <c r="AN285" i="5"/>
  <c r="AN286" i="5"/>
  <c r="AN287" i="5"/>
  <c r="AN288" i="5"/>
  <c r="AN289" i="5"/>
  <c r="AN290" i="5"/>
  <c r="AN291" i="5"/>
  <c r="AN292" i="5"/>
  <c r="AN293" i="5"/>
  <c r="AN294" i="5"/>
  <c r="AN295" i="5"/>
  <c r="AN296" i="5"/>
  <c r="AN297" i="5"/>
  <c r="AN298" i="5"/>
  <c r="AN299" i="5"/>
  <c r="AN300" i="5"/>
  <c r="AN301" i="5"/>
  <c r="AN302" i="5"/>
  <c r="AN303" i="5"/>
  <c r="AN304" i="5"/>
  <c r="AN305" i="5"/>
  <c r="AN306" i="5"/>
  <c r="AN307" i="5"/>
  <c r="AN308" i="5"/>
  <c r="AN309" i="5"/>
  <c r="AN310" i="5"/>
  <c r="AN311" i="5"/>
  <c r="AN312" i="5"/>
  <c r="AN313" i="5"/>
  <c r="AN314" i="5"/>
  <c r="AN315" i="5"/>
  <c r="AN316" i="5"/>
  <c r="AN317" i="5"/>
  <c r="AN318" i="5"/>
  <c r="AN319" i="5"/>
  <c r="AN274" i="5"/>
  <c r="AN273" i="5"/>
  <c r="AN272" i="5"/>
  <c r="AM241" i="5"/>
  <c r="AM242" i="5"/>
  <c r="AM243" i="5"/>
  <c r="AM244" i="5"/>
  <c r="AM245" i="5"/>
  <c r="AM246" i="5"/>
  <c r="AM247" i="5"/>
  <c r="AM248" i="5"/>
  <c r="AM249" i="5"/>
  <c r="AM250" i="5"/>
  <c r="AM251" i="5"/>
  <c r="AM252" i="5"/>
  <c r="AM253" i="5"/>
  <c r="AM254" i="5"/>
  <c r="AM255" i="5"/>
  <c r="AM256" i="5"/>
  <c r="AM257" i="5"/>
  <c r="AM258" i="5"/>
  <c r="AM259" i="5"/>
  <c r="AM260" i="5"/>
  <c r="AM261" i="5"/>
  <c r="AM262" i="5"/>
  <c r="AM263" i="5"/>
  <c r="AM264" i="5"/>
  <c r="AM265" i="5"/>
  <c r="AM266" i="5"/>
  <c r="AM267" i="5"/>
  <c r="AM268" i="5"/>
  <c r="AM269" i="5"/>
  <c r="AM270" i="5"/>
  <c r="AM271" i="5"/>
  <c r="AM272" i="5"/>
  <c r="AM273" i="5"/>
  <c r="AM274" i="5"/>
  <c r="AM275" i="5"/>
  <c r="AM276" i="5"/>
  <c r="AM277" i="5"/>
  <c r="AM278" i="5"/>
  <c r="AM279" i="5"/>
  <c r="AM280" i="5"/>
  <c r="AM281" i="5"/>
  <c r="AM282" i="5"/>
  <c r="AM283" i="5"/>
  <c r="AM284" i="5"/>
  <c r="AM285" i="5"/>
  <c r="AM286" i="5"/>
  <c r="AM287" i="5"/>
  <c r="AM288" i="5"/>
  <c r="AM289" i="5"/>
  <c r="AM290" i="5"/>
  <c r="AM291" i="5"/>
  <c r="AM292" i="5"/>
  <c r="AM293" i="5"/>
  <c r="AM294" i="5"/>
  <c r="AM295" i="5"/>
  <c r="AM296" i="5"/>
  <c r="AM297" i="5"/>
  <c r="AM298" i="5"/>
  <c r="AM299" i="5"/>
  <c r="AM300" i="5"/>
  <c r="AM301" i="5"/>
  <c r="AM302" i="5"/>
  <c r="AM303" i="5"/>
  <c r="AM304" i="5"/>
  <c r="AM305" i="5"/>
  <c r="AM306" i="5"/>
  <c r="AM307" i="5"/>
  <c r="AM308" i="5"/>
  <c r="AM309" i="5"/>
  <c r="AM310" i="5"/>
  <c r="AM311" i="5"/>
  <c r="AM312" i="5"/>
  <c r="AM313" i="5"/>
  <c r="AM314" i="5"/>
  <c r="AM315" i="5"/>
  <c r="AM316" i="5"/>
  <c r="AM317" i="5"/>
  <c r="AM318" i="5"/>
  <c r="AM319" i="5"/>
  <c r="AM320" i="5"/>
  <c r="AM321" i="5"/>
  <c r="AM322" i="5"/>
  <c r="AM323" i="5"/>
  <c r="AM324" i="5"/>
  <c r="AM325" i="5"/>
  <c r="AM326" i="5"/>
  <c r="AM327" i="5"/>
  <c r="AM328" i="5"/>
  <c r="AM329" i="5"/>
  <c r="AM330" i="5"/>
  <c r="AM331" i="5"/>
  <c r="AM332" i="5"/>
  <c r="AM333" i="5"/>
  <c r="AM334" i="5"/>
  <c r="AM335" i="5"/>
  <c r="AM336" i="5"/>
  <c r="AM337" i="5"/>
  <c r="AM338" i="5"/>
  <c r="AM339" i="5"/>
  <c r="AM340" i="5"/>
  <c r="AM341" i="5"/>
  <c r="AM342" i="5"/>
  <c r="AM343" i="5"/>
  <c r="AM344" i="5"/>
  <c r="AM345" i="5"/>
  <c r="AM346" i="5"/>
  <c r="AM347" i="5"/>
  <c r="AM348" i="5"/>
  <c r="AW136" i="1" s="1"/>
  <c r="AM349" i="5"/>
  <c r="AM350" i="5"/>
  <c r="AM351" i="5"/>
  <c r="AM352" i="5"/>
  <c r="AW151" i="1" s="1"/>
  <c r="AM353" i="5"/>
  <c r="AM354" i="5"/>
  <c r="AM355" i="5"/>
  <c r="AM356" i="5"/>
  <c r="AW178" i="1" s="1"/>
  <c r="AM357" i="5"/>
  <c r="AM358" i="5"/>
  <c r="AM359" i="5"/>
  <c r="AM360" i="5"/>
  <c r="AM361" i="5"/>
  <c r="AM362" i="5"/>
  <c r="AM363" i="5"/>
  <c r="AM364" i="5"/>
  <c r="AM365" i="5"/>
  <c r="AM366" i="5"/>
  <c r="AM367" i="5"/>
  <c r="AM368" i="5"/>
  <c r="AM369" i="5"/>
  <c r="AM370" i="5"/>
  <c r="AM371" i="5"/>
  <c r="AM372" i="5"/>
  <c r="AM373" i="5"/>
  <c r="AM374" i="5"/>
  <c r="AM375" i="5"/>
  <c r="AM376" i="5"/>
  <c r="AM377" i="5"/>
  <c r="AM378" i="5"/>
  <c r="AM379" i="5"/>
  <c r="AM380" i="5"/>
  <c r="AM381" i="5"/>
  <c r="AM382" i="5"/>
  <c r="AM383" i="5"/>
  <c r="AM384" i="5"/>
  <c r="AM385" i="5"/>
  <c r="AM386" i="5"/>
  <c r="AM387" i="5"/>
  <c r="AM388" i="5"/>
  <c r="AM389" i="5"/>
  <c r="AM390" i="5"/>
  <c r="AM391" i="5"/>
  <c r="AM392" i="5"/>
  <c r="AM393" i="5"/>
  <c r="AM394" i="5"/>
  <c r="AM395" i="5"/>
  <c r="AM396" i="5"/>
  <c r="AM397" i="5"/>
  <c r="AM398" i="5"/>
  <c r="AW143" i="1" s="1"/>
  <c r="AM399" i="5"/>
  <c r="AM400" i="5"/>
  <c r="AM401" i="5"/>
  <c r="AM402" i="5"/>
  <c r="AM403" i="5"/>
  <c r="AM404" i="5"/>
  <c r="AM405" i="5"/>
  <c r="AM406" i="5"/>
  <c r="AM407" i="5"/>
  <c r="AM408" i="5"/>
  <c r="AM409" i="5"/>
  <c r="AM410" i="5"/>
  <c r="AM411" i="5"/>
  <c r="AM412" i="5"/>
  <c r="AM413" i="5"/>
  <c r="AM414" i="5"/>
  <c r="AM415" i="5"/>
  <c r="AM416" i="5"/>
  <c r="AM417" i="5"/>
  <c r="AM418" i="5"/>
  <c r="AM419" i="5"/>
  <c r="AM420" i="5"/>
  <c r="AM421" i="5"/>
  <c r="AM422" i="5"/>
  <c r="AM423" i="5"/>
  <c r="AM424" i="5"/>
  <c r="AM425" i="5"/>
  <c r="AM426" i="5"/>
  <c r="AM427" i="5"/>
  <c r="AM428" i="5"/>
  <c r="AM429" i="5"/>
  <c r="AM430" i="5"/>
  <c r="AM431" i="5"/>
  <c r="AM432" i="5"/>
  <c r="AM433" i="5"/>
  <c r="AM434" i="5"/>
  <c r="AM435" i="5"/>
  <c r="AM436" i="5"/>
  <c r="AM437" i="5"/>
  <c r="AM438" i="5"/>
  <c r="AM439" i="5"/>
  <c r="AM440" i="5"/>
  <c r="AM441" i="5"/>
  <c r="AM442" i="5"/>
  <c r="AM443" i="5"/>
  <c r="AM444" i="5"/>
  <c r="AM445" i="5"/>
  <c r="AM446" i="5"/>
  <c r="AM447" i="5"/>
  <c r="AM448" i="5"/>
  <c r="AM449" i="5"/>
  <c r="AM450" i="5"/>
  <c r="AM451" i="5"/>
  <c r="AM452" i="5"/>
  <c r="AM453" i="5"/>
  <c r="AM454" i="5"/>
  <c r="AM455" i="5"/>
  <c r="AM456" i="5"/>
  <c r="AM457" i="5"/>
  <c r="AM458" i="5"/>
  <c r="AM459" i="5"/>
  <c r="AM460" i="5"/>
  <c r="AM461" i="5"/>
  <c r="AM462" i="5"/>
  <c r="AM463" i="5"/>
  <c r="AM464" i="5"/>
  <c r="AM465" i="5"/>
  <c r="AM466" i="5"/>
  <c r="AM467" i="5"/>
  <c r="AM468" i="5"/>
  <c r="AM469" i="5"/>
  <c r="AM470" i="5"/>
  <c r="AM471" i="5"/>
  <c r="AM472" i="5"/>
  <c r="AM473" i="5"/>
  <c r="AM474" i="5"/>
  <c r="AM475" i="5"/>
  <c r="AM476" i="5"/>
  <c r="AM477" i="5"/>
  <c r="AM478" i="5"/>
  <c r="AM479" i="5"/>
  <c r="AM480" i="5"/>
  <c r="AM481" i="5"/>
  <c r="AM482" i="5"/>
  <c r="AM483" i="5"/>
  <c r="AM484" i="5"/>
  <c r="AM485" i="5"/>
  <c r="AM486" i="5"/>
  <c r="AM487" i="5"/>
  <c r="AM488" i="5"/>
  <c r="AM489" i="5"/>
  <c r="AM490" i="5"/>
  <c r="AM491" i="5"/>
  <c r="AM492" i="5"/>
  <c r="AM493" i="5"/>
  <c r="AM494" i="5"/>
  <c r="AM495" i="5"/>
  <c r="AM496" i="5"/>
  <c r="AM497" i="5"/>
  <c r="AM498" i="5"/>
  <c r="AM499" i="5"/>
  <c r="AM500" i="5"/>
  <c r="AM501" i="5"/>
  <c r="AM502" i="5"/>
  <c r="AM503" i="5"/>
  <c r="AM504" i="5"/>
  <c r="AM505" i="5"/>
  <c r="AM506" i="5"/>
  <c r="AM507" i="5"/>
  <c r="AM508" i="5"/>
  <c r="AM509" i="5"/>
  <c r="AM510" i="5"/>
  <c r="AM511" i="5"/>
  <c r="AM512" i="5"/>
  <c r="AM513" i="5"/>
  <c r="AM514" i="5"/>
  <c r="AM515" i="5"/>
  <c r="AM516" i="5"/>
  <c r="AM517" i="5"/>
  <c r="AM518" i="5"/>
  <c r="AM519" i="5"/>
  <c r="AM520" i="5"/>
  <c r="AM521" i="5"/>
  <c r="AM522" i="5"/>
  <c r="AM523" i="5"/>
  <c r="AM524" i="5"/>
  <c r="AM525" i="5"/>
  <c r="AM526" i="5"/>
  <c r="AM527" i="5"/>
  <c r="AM528" i="5"/>
  <c r="AM529" i="5"/>
  <c r="AM530" i="5"/>
  <c r="AM531" i="5"/>
  <c r="AM532" i="5"/>
  <c r="AM533" i="5"/>
  <c r="AM534" i="5"/>
  <c r="AM535" i="5"/>
  <c r="AM536" i="5"/>
  <c r="AM537" i="5"/>
  <c r="AM538" i="5"/>
  <c r="AM539" i="5"/>
  <c r="AM540" i="5"/>
  <c r="AM541" i="5"/>
  <c r="AM542" i="5"/>
  <c r="AM543" i="5"/>
  <c r="AM544" i="5"/>
  <c r="AM545" i="5"/>
  <c r="AM546" i="5"/>
  <c r="AM547" i="5"/>
  <c r="AM548" i="5"/>
  <c r="AM549" i="5"/>
  <c r="AM550" i="5"/>
  <c r="AM551" i="5"/>
  <c r="AM552" i="5"/>
  <c r="AM553" i="5"/>
  <c r="AM554" i="5"/>
  <c r="AM555" i="5"/>
  <c r="AM556" i="5"/>
  <c r="AM557" i="5"/>
  <c r="AM558" i="5"/>
  <c r="AM559" i="5"/>
  <c r="AM560" i="5"/>
  <c r="AM561" i="5"/>
  <c r="AM562" i="5"/>
  <c r="AM563" i="5"/>
  <c r="AM564" i="5"/>
  <c r="AM565" i="5"/>
  <c r="AM566" i="5"/>
  <c r="AM567" i="5"/>
  <c r="AM568" i="5"/>
  <c r="AM569" i="5"/>
  <c r="AM570" i="5"/>
  <c r="AM571" i="5"/>
  <c r="AM572" i="5"/>
  <c r="AM573" i="5"/>
  <c r="AM574" i="5"/>
  <c r="AM575" i="5"/>
  <c r="AM576" i="5"/>
  <c r="AM577" i="5"/>
  <c r="AM578" i="5"/>
  <c r="AM579" i="5"/>
  <c r="AM580" i="5"/>
  <c r="AM581" i="5"/>
  <c r="AM582" i="5"/>
  <c r="AM583" i="5"/>
  <c r="AM584" i="5"/>
  <c r="AM585" i="5"/>
  <c r="AM586" i="5"/>
  <c r="AM587" i="5"/>
  <c r="AM588" i="5"/>
  <c r="AM589" i="5"/>
  <c r="AM590" i="5"/>
  <c r="AM591" i="5"/>
  <c r="AM592" i="5"/>
  <c r="AM593" i="5"/>
  <c r="AM594" i="5"/>
  <c r="AM595" i="5"/>
  <c r="AM596" i="5"/>
  <c r="AM597" i="5"/>
  <c r="AM598" i="5"/>
  <c r="AM599" i="5"/>
  <c r="AM600" i="5"/>
  <c r="AM601" i="5"/>
  <c r="AM602" i="5"/>
  <c r="AM603" i="5"/>
  <c r="AM604" i="5"/>
  <c r="AM605" i="5"/>
  <c r="AM606" i="5"/>
  <c r="AM607" i="5"/>
  <c r="AM608" i="5"/>
  <c r="AM609" i="5"/>
  <c r="AM610" i="5"/>
  <c r="AM611" i="5"/>
  <c r="AM612" i="5"/>
  <c r="AM613" i="5"/>
  <c r="AM614" i="5"/>
  <c r="AM615" i="5"/>
  <c r="AM616" i="5"/>
  <c r="AM617" i="5"/>
  <c r="AM618" i="5"/>
  <c r="AM619" i="5"/>
  <c r="AM620" i="5"/>
  <c r="AM621" i="5"/>
  <c r="AM622" i="5"/>
  <c r="AM623" i="5"/>
  <c r="AM624" i="5"/>
  <c r="AM625" i="5"/>
  <c r="AM626" i="5"/>
  <c r="AM627" i="5"/>
  <c r="AM628" i="5"/>
  <c r="AM629" i="5"/>
  <c r="AM630" i="5"/>
  <c r="AM631" i="5"/>
  <c r="AM632" i="5"/>
  <c r="AM633" i="5"/>
  <c r="AM634" i="5"/>
  <c r="AM635" i="5"/>
  <c r="AM636" i="5"/>
  <c r="AM637" i="5"/>
  <c r="AM638" i="5"/>
  <c r="AM639" i="5"/>
  <c r="AM640" i="5"/>
  <c r="AM641" i="5"/>
  <c r="AM642" i="5"/>
  <c r="AM643" i="5"/>
  <c r="AM644" i="5"/>
  <c r="AM645" i="5"/>
  <c r="AM646" i="5"/>
  <c r="AM647" i="5"/>
  <c r="AM648" i="5"/>
  <c r="AM649" i="5"/>
  <c r="AM650" i="5"/>
  <c r="AM651" i="5"/>
  <c r="AM652" i="5"/>
  <c r="AM653" i="5"/>
  <c r="AM654" i="5"/>
  <c r="AM655" i="5"/>
  <c r="AM656" i="5"/>
  <c r="AM657" i="5"/>
  <c r="AM658" i="5"/>
  <c r="AM659" i="5"/>
  <c r="AM660" i="5"/>
  <c r="AM661" i="5"/>
  <c r="AM662" i="5"/>
  <c r="AM663" i="5"/>
  <c r="AM664" i="5"/>
  <c r="AM665" i="5"/>
  <c r="AM666" i="5"/>
  <c r="AM667" i="5"/>
  <c r="AM668" i="5"/>
  <c r="AM669" i="5"/>
  <c r="AM670" i="5"/>
  <c r="AM671" i="5"/>
  <c r="AM672" i="5"/>
  <c r="AM673" i="5"/>
  <c r="AM674" i="5"/>
  <c r="AM675" i="5"/>
  <c r="AM676" i="5"/>
  <c r="AM677" i="5"/>
  <c r="AM678" i="5"/>
  <c r="AM679" i="5"/>
  <c r="AM680" i="5"/>
  <c r="AM681" i="5"/>
  <c r="AM682" i="5"/>
  <c r="AM683" i="5"/>
  <c r="AM684" i="5"/>
  <c r="AM685" i="5"/>
  <c r="AM686" i="5"/>
  <c r="AM687" i="5"/>
  <c r="AM688" i="5"/>
  <c r="AM689" i="5"/>
  <c r="AM690" i="5"/>
  <c r="AM691" i="5"/>
  <c r="AM692" i="5"/>
  <c r="AM693" i="5"/>
  <c r="AM694" i="5"/>
  <c r="AM695" i="5"/>
  <c r="AM696" i="5"/>
  <c r="AM697" i="5"/>
  <c r="AM698" i="5"/>
  <c r="AM699" i="5"/>
  <c r="AM700" i="5"/>
  <c r="AM701" i="5"/>
  <c r="AM702" i="5"/>
  <c r="AM703" i="5"/>
  <c r="AM704" i="5"/>
  <c r="AM705" i="5"/>
  <c r="AM706" i="5"/>
  <c r="AM707" i="5"/>
  <c r="AM708" i="5"/>
  <c r="AM709" i="5"/>
  <c r="AM710" i="5"/>
  <c r="AM711" i="5"/>
  <c r="AM712" i="5"/>
  <c r="AM713" i="5"/>
  <c r="AM714" i="5"/>
  <c r="AM715" i="5"/>
  <c r="AM716" i="5"/>
  <c r="AM717" i="5"/>
  <c r="AM718" i="5"/>
  <c r="AM719" i="5"/>
  <c r="AM720" i="5"/>
  <c r="AM721" i="5"/>
  <c r="AM722" i="5"/>
  <c r="AM723" i="5"/>
  <c r="AM724" i="5"/>
  <c r="AM725" i="5"/>
  <c r="AM726" i="5"/>
  <c r="AM727" i="5"/>
  <c r="AM728" i="5"/>
  <c r="AM729" i="5"/>
  <c r="AM730" i="5"/>
  <c r="AM731" i="5"/>
  <c r="AM732" i="5"/>
  <c r="AM733" i="5"/>
  <c r="AM734" i="5"/>
  <c r="AM735" i="5"/>
  <c r="AM736" i="5"/>
  <c r="AM737" i="5"/>
  <c r="AM738" i="5"/>
  <c r="AM739" i="5"/>
  <c r="AM740" i="5"/>
  <c r="AM741" i="5"/>
  <c r="AM742" i="5"/>
  <c r="AM743" i="5"/>
  <c r="AM744" i="5"/>
  <c r="AM745" i="5"/>
  <c r="AM746" i="5"/>
  <c r="AM747" i="5"/>
  <c r="AM748" i="5"/>
  <c r="AM749" i="5"/>
  <c r="AM750" i="5"/>
  <c r="AM751" i="5"/>
  <c r="AM752" i="5"/>
  <c r="AM753" i="5"/>
  <c r="AM754" i="5"/>
  <c r="AM755" i="5"/>
  <c r="AM756" i="5"/>
  <c r="AM757" i="5"/>
  <c r="AM758" i="5"/>
  <c r="AM759" i="5"/>
  <c r="AM760" i="5"/>
  <c r="AM761" i="5"/>
  <c r="AM762" i="5"/>
  <c r="AM763" i="5"/>
  <c r="AM764" i="5"/>
  <c r="AM765" i="5"/>
  <c r="AM766" i="5"/>
  <c r="AM767" i="5"/>
  <c r="AM768" i="5"/>
  <c r="AM769" i="5"/>
  <c r="AM770" i="5"/>
  <c r="AM771" i="5"/>
  <c r="AM772" i="5"/>
  <c r="AM773" i="5"/>
  <c r="AM774" i="5"/>
  <c r="AM775" i="5"/>
  <c r="AM776" i="5"/>
  <c r="AM777" i="5"/>
  <c r="AM778" i="5"/>
  <c r="AM779" i="5"/>
  <c r="AM780" i="5"/>
  <c r="AM781" i="5"/>
  <c r="AM782" i="5"/>
  <c r="AM783" i="5"/>
  <c r="AM784" i="5"/>
  <c r="AM785" i="5"/>
  <c r="AM786" i="5"/>
  <c r="AM787" i="5"/>
  <c r="AM788" i="5"/>
  <c r="AM789" i="5"/>
  <c r="AM790" i="5"/>
  <c r="AM791" i="5"/>
  <c r="AM792" i="5"/>
  <c r="AM793" i="5"/>
  <c r="AM794" i="5"/>
  <c r="AM795" i="5"/>
  <c r="AM796" i="5"/>
  <c r="AM797" i="5"/>
  <c r="AM798" i="5"/>
  <c r="AM799" i="5"/>
  <c r="AM800" i="5"/>
  <c r="AM801" i="5"/>
  <c r="AM802" i="5"/>
  <c r="AM803" i="5"/>
  <c r="AM804" i="5"/>
  <c r="AM805" i="5"/>
  <c r="AM806" i="5"/>
  <c r="AM807" i="5"/>
  <c r="AM808" i="5"/>
  <c r="AM809" i="5"/>
  <c r="AW82" i="1" s="1"/>
  <c r="AM810" i="5"/>
  <c r="AM811" i="5"/>
  <c r="AM812" i="5"/>
  <c r="AM813" i="5"/>
  <c r="AM814" i="5"/>
  <c r="AM815" i="5"/>
  <c r="AM816" i="5"/>
  <c r="AM817" i="5"/>
  <c r="AM818" i="5"/>
  <c r="AM819" i="5"/>
  <c r="AM820" i="5"/>
  <c r="AM821" i="5"/>
  <c r="AM822" i="5"/>
  <c r="AM823" i="5"/>
  <c r="AM824" i="5"/>
  <c r="AM825" i="5"/>
  <c r="AM826" i="5"/>
  <c r="AW222" i="1" s="1"/>
  <c r="AM827" i="5"/>
  <c r="AM828" i="5"/>
  <c r="AM829" i="5"/>
  <c r="AM830" i="5"/>
  <c r="AM831" i="5"/>
  <c r="AM832" i="5"/>
  <c r="AM833" i="5"/>
  <c r="AM834" i="5"/>
  <c r="AM835" i="5"/>
  <c r="AM836" i="5"/>
  <c r="AM837" i="5"/>
  <c r="AM838" i="5"/>
  <c r="AM839" i="5"/>
  <c r="AM840" i="5"/>
  <c r="AM841" i="5"/>
  <c r="AM842" i="5"/>
  <c r="AM843" i="5"/>
  <c r="AM844" i="5"/>
  <c r="AM845" i="5"/>
  <c r="AM846" i="5"/>
  <c r="AM847" i="5"/>
  <c r="AM848" i="5"/>
  <c r="AM849" i="5"/>
  <c r="AM850" i="5"/>
  <c r="AM851" i="5"/>
  <c r="AM852" i="5"/>
  <c r="AW39" i="1" s="1"/>
  <c r="AM853" i="5"/>
  <c r="AM854" i="5"/>
  <c r="AM855" i="5"/>
  <c r="AM856" i="5"/>
  <c r="AM857" i="5"/>
  <c r="AM858" i="5"/>
  <c r="AM859" i="5"/>
  <c r="AM860" i="5"/>
  <c r="AM861" i="5"/>
  <c r="AM862" i="5"/>
  <c r="AM863" i="5"/>
  <c r="AM864" i="5"/>
  <c r="AM865" i="5"/>
  <c r="AM866" i="5"/>
  <c r="AM867" i="5"/>
  <c r="AM868" i="5"/>
  <c r="AM869" i="5"/>
  <c r="AM870" i="5"/>
  <c r="AM871" i="5"/>
  <c r="AM872" i="5"/>
  <c r="AM873" i="5"/>
  <c r="AM874" i="5"/>
  <c r="AM875" i="5"/>
  <c r="AM876" i="5"/>
  <c r="AM877" i="5"/>
  <c r="AM878" i="5"/>
  <c r="AM879" i="5"/>
  <c r="AM880" i="5"/>
  <c r="AM881" i="5"/>
  <c r="AM882" i="5"/>
  <c r="AM883" i="5"/>
  <c r="AM884" i="5"/>
  <c r="AM885" i="5"/>
  <c r="AM886" i="5"/>
  <c r="AM887" i="5"/>
  <c r="AM888" i="5"/>
  <c r="AM889" i="5"/>
  <c r="AM890" i="5"/>
  <c r="AM891" i="5"/>
  <c r="AM892" i="5"/>
  <c r="AM893" i="5"/>
  <c r="AM894" i="5"/>
  <c r="AM895" i="5"/>
  <c r="AM896" i="5"/>
  <c r="AM897" i="5"/>
  <c r="AM898" i="5"/>
  <c r="AM899" i="5"/>
  <c r="AM900" i="5"/>
  <c r="AM901" i="5"/>
  <c r="AM902" i="5"/>
  <c r="AM903" i="5"/>
  <c r="AM904" i="5"/>
  <c r="AM905" i="5"/>
  <c r="AM906" i="5"/>
  <c r="AM907" i="5"/>
  <c r="AM908" i="5"/>
  <c r="AM909" i="5"/>
  <c r="AM910" i="5"/>
  <c r="AM911" i="5"/>
  <c r="AM912" i="5"/>
  <c r="AM913" i="5"/>
  <c r="AM914" i="5"/>
  <c r="AM915" i="5"/>
  <c r="AM916" i="5"/>
  <c r="AM917" i="5"/>
  <c r="AM918" i="5"/>
  <c r="AM919" i="5"/>
  <c r="AM920" i="5"/>
  <c r="AM921" i="5"/>
  <c r="AM922" i="5"/>
  <c r="AM923" i="5"/>
  <c r="AM924" i="5"/>
  <c r="AM925" i="5"/>
  <c r="AM926" i="5"/>
  <c r="AM927" i="5"/>
  <c r="AM928" i="5"/>
  <c r="AM929" i="5"/>
  <c r="AN233" i="5"/>
  <c r="AN234" i="5"/>
  <c r="AN235" i="5"/>
  <c r="AN236" i="5"/>
  <c r="AN237" i="5"/>
  <c r="AN238" i="5"/>
  <c r="AN239" i="5"/>
  <c r="AN240" i="5"/>
  <c r="AN241" i="5"/>
  <c r="AN242" i="5"/>
  <c r="AN243" i="5"/>
  <c r="AN244" i="5"/>
  <c r="AN245" i="5"/>
  <c r="AN246" i="5"/>
  <c r="AN247" i="5"/>
  <c r="AN248" i="5"/>
  <c r="AN249" i="5"/>
  <c r="AN250" i="5"/>
  <c r="AN251" i="5"/>
  <c r="AN252" i="5"/>
  <c r="AN253" i="5"/>
  <c r="AN254" i="5"/>
  <c r="AN255" i="5"/>
  <c r="AN256" i="5"/>
  <c r="AN257" i="5"/>
  <c r="AN258" i="5"/>
  <c r="AN259" i="5"/>
  <c r="AN260" i="5"/>
  <c r="AN261" i="5"/>
  <c r="AN262" i="5"/>
  <c r="AN263" i="5"/>
  <c r="AN264" i="5"/>
  <c r="AN265" i="5"/>
  <c r="AN266" i="5"/>
  <c r="AN267" i="5"/>
  <c r="AN268" i="5"/>
  <c r="AN269" i="5"/>
  <c r="AN270" i="5"/>
  <c r="AN271" i="5"/>
  <c r="AN232" i="5"/>
  <c r="AN226" i="5"/>
  <c r="AN227" i="5"/>
  <c r="AN228" i="5"/>
  <c r="AN229" i="5"/>
  <c r="AN230" i="5"/>
  <c r="AN231" i="5"/>
  <c r="AN225" i="5"/>
  <c r="AN223" i="5"/>
  <c r="AN224" i="5"/>
  <c r="AN22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02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187" i="5"/>
  <c r="AN184" i="5"/>
  <c r="AN185" i="5"/>
  <c r="AN186" i="5"/>
  <c r="AN183" i="5"/>
  <c r="AN131" i="5"/>
  <c r="AX109" i="1" s="1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30" i="5"/>
  <c r="AN129" i="5"/>
  <c r="AN124" i="5"/>
  <c r="AN125" i="5"/>
  <c r="AN126" i="5"/>
  <c r="AN127" i="5"/>
  <c r="AN128" i="5"/>
  <c r="AN123" i="5"/>
  <c r="AM130" i="5"/>
  <c r="AN110" i="5"/>
  <c r="AN111" i="5"/>
  <c r="AN112" i="5"/>
  <c r="AN113" i="5"/>
  <c r="AN114" i="5"/>
  <c r="AN115" i="5"/>
  <c r="AN116" i="5"/>
  <c r="AN117" i="5"/>
  <c r="AN118" i="5"/>
  <c r="AN119" i="5"/>
  <c r="AN120" i="5"/>
  <c r="AX44" i="1" s="1"/>
  <c r="AN121" i="5"/>
  <c r="AN122" i="5"/>
  <c r="AN109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73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58" i="5"/>
  <c r="AN49" i="5"/>
  <c r="AN50" i="5"/>
  <c r="AN51" i="5"/>
  <c r="AX219" i="1" s="1"/>
  <c r="AN52" i="5"/>
  <c r="AN53" i="5"/>
  <c r="AX210" i="1" s="1"/>
  <c r="AN54" i="5"/>
  <c r="AN55" i="5"/>
  <c r="AN56" i="5"/>
  <c r="AN57" i="5"/>
  <c r="AN48" i="5"/>
  <c r="AN44" i="5"/>
  <c r="AN45" i="5"/>
  <c r="AN46" i="5"/>
  <c r="AN47" i="5"/>
  <c r="AN43" i="5"/>
  <c r="AN32" i="5"/>
  <c r="AN33" i="5"/>
  <c r="AN34" i="5"/>
  <c r="AN35" i="5"/>
  <c r="AN36" i="5"/>
  <c r="AN37" i="5"/>
  <c r="AN38" i="5"/>
  <c r="AN39" i="5"/>
  <c r="AN40" i="5"/>
  <c r="AN41" i="5"/>
  <c r="AN42" i="5"/>
  <c r="AN31" i="5"/>
  <c r="AN3" i="5"/>
  <c r="AN4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2" i="5"/>
  <c r="AM240" i="5"/>
  <c r="AM239" i="5"/>
  <c r="AM238" i="5"/>
  <c r="AM237" i="5"/>
  <c r="AM236" i="5"/>
  <c r="AM235" i="5"/>
  <c r="AM234" i="5"/>
  <c r="AM233" i="5"/>
  <c r="AM232" i="5"/>
  <c r="AM231" i="5"/>
  <c r="AM230" i="5"/>
  <c r="AM229" i="5"/>
  <c r="AM228" i="5"/>
  <c r="AM227" i="5"/>
  <c r="AM226" i="5"/>
  <c r="AM225" i="5"/>
  <c r="AM224" i="5"/>
  <c r="AM223" i="5"/>
  <c r="AM222" i="5"/>
  <c r="AM221" i="5"/>
  <c r="AM220" i="5"/>
  <c r="AM219" i="5"/>
  <c r="AM218" i="5"/>
  <c r="AM217" i="5"/>
  <c r="AM216" i="5"/>
  <c r="AM215" i="5"/>
  <c r="AM214" i="5"/>
  <c r="AM213" i="5"/>
  <c r="AM212" i="5"/>
  <c r="AM211" i="5"/>
  <c r="AM210" i="5"/>
  <c r="AM209" i="5"/>
  <c r="AM208" i="5"/>
  <c r="AM207" i="5"/>
  <c r="AM206" i="5"/>
  <c r="AM205" i="5"/>
  <c r="AM204" i="5"/>
  <c r="AM203" i="5"/>
  <c r="AM202" i="5"/>
  <c r="AM201" i="5"/>
  <c r="AM200" i="5"/>
  <c r="AM199" i="5"/>
  <c r="AM198" i="5"/>
  <c r="AM197" i="5"/>
  <c r="AM196" i="5"/>
  <c r="AM195" i="5"/>
  <c r="AM194" i="5"/>
  <c r="AM193" i="5"/>
  <c r="AM192" i="5"/>
  <c r="AM191" i="5"/>
  <c r="AM190" i="5"/>
  <c r="AM189" i="5"/>
  <c r="AM188" i="5"/>
  <c r="AM187" i="5"/>
  <c r="AM186" i="5"/>
  <c r="AM185" i="5"/>
  <c r="AM184" i="5"/>
  <c r="AM183" i="5"/>
  <c r="AM182" i="5"/>
  <c r="AM181" i="5"/>
  <c r="AM180" i="5"/>
  <c r="AM179" i="5"/>
  <c r="AM178" i="5"/>
  <c r="AM177" i="5"/>
  <c r="AM176" i="5"/>
  <c r="AM175" i="5"/>
  <c r="AM174" i="5"/>
  <c r="AM173" i="5"/>
  <c r="AM172" i="5"/>
  <c r="AM171" i="5"/>
  <c r="AM170" i="5"/>
  <c r="AM169" i="5"/>
  <c r="AM168" i="5"/>
  <c r="AM167" i="5"/>
  <c r="AM166" i="5"/>
  <c r="AM165" i="5"/>
  <c r="AM164" i="5"/>
  <c r="AM163" i="5"/>
  <c r="AM162" i="5"/>
  <c r="AM161" i="5"/>
  <c r="AM160" i="5"/>
  <c r="AM159" i="5"/>
  <c r="AM158" i="5"/>
  <c r="AM157" i="5"/>
  <c r="AM156" i="5"/>
  <c r="AM155" i="5"/>
  <c r="AM154" i="5"/>
  <c r="AM153" i="5"/>
  <c r="AM152" i="5"/>
  <c r="AM151" i="5"/>
  <c r="AM150" i="5"/>
  <c r="AM149" i="5"/>
  <c r="AM148" i="5"/>
  <c r="AM147" i="5"/>
  <c r="AM146" i="5"/>
  <c r="AM145" i="5"/>
  <c r="AM144" i="5"/>
  <c r="AM143" i="5"/>
  <c r="AM142" i="5"/>
  <c r="AM141" i="5"/>
  <c r="AM140" i="5"/>
  <c r="AM139" i="5"/>
  <c r="AM138" i="5"/>
  <c r="AM137" i="5"/>
  <c r="AM136" i="5"/>
  <c r="AM135" i="5"/>
  <c r="AM134" i="5"/>
  <c r="AM133" i="5"/>
  <c r="AM132" i="5"/>
  <c r="AM131" i="5"/>
  <c r="AW109" i="1" s="1"/>
  <c r="AM129" i="5"/>
  <c r="AM128" i="5"/>
  <c r="AM127" i="5"/>
  <c r="AM126" i="5"/>
  <c r="AM125" i="5"/>
  <c r="AM124" i="5"/>
  <c r="AM123" i="5"/>
  <c r="AM122" i="5"/>
  <c r="AM121" i="5"/>
  <c r="AM120" i="5"/>
  <c r="AW44" i="1" s="1"/>
  <c r="AM119" i="5"/>
  <c r="AM118" i="5"/>
  <c r="AM117" i="5"/>
  <c r="AM116" i="5"/>
  <c r="AM115" i="5"/>
  <c r="AM114" i="5"/>
  <c r="AM113" i="5"/>
  <c r="AM112" i="5"/>
  <c r="AM111" i="5"/>
  <c r="AM110" i="5"/>
  <c r="AM109" i="5"/>
  <c r="AM108" i="5"/>
  <c r="AM107" i="5"/>
  <c r="AM106" i="5"/>
  <c r="AM105" i="5"/>
  <c r="AM104" i="5"/>
  <c r="AM103" i="5"/>
  <c r="AM102" i="5"/>
  <c r="AM101" i="5"/>
  <c r="AM100" i="5"/>
  <c r="AM99" i="5"/>
  <c r="AM98" i="5"/>
  <c r="AM97" i="5"/>
  <c r="AM96" i="5"/>
  <c r="AM95" i="5"/>
  <c r="AM94" i="5"/>
  <c r="AM93" i="5"/>
  <c r="AM92" i="5"/>
  <c r="AM91" i="5"/>
  <c r="AM90" i="5"/>
  <c r="AM89" i="5"/>
  <c r="AM88" i="5"/>
  <c r="AM87" i="5"/>
  <c r="AM86" i="5"/>
  <c r="AM85" i="5"/>
  <c r="AM84" i="5"/>
  <c r="AM83" i="5"/>
  <c r="AM82" i="5"/>
  <c r="AM81" i="5"/>
  <c r="AM80" i="5"/>
  <c r="AM79" i="5"/>
  <c r="AM78" i="5"/>
  <c r="AM77" i="5"/>
  <c r="AM76" i="5"/>
  <c r="AM75" i="5"/>
  <c r="AM74" i="5"/>
  <c r="AM73" i="5"/>
  <c r="AM72" i="5"/>
  <c r="AM71" i="5"/>
  <c r="AM70" i="5"/>
  <c r="AM69" i="5"/>
  <c r="AM68" i="5"/>
  <c r="AM67" i="5"/>
  <c r="AM66" i="5"/>
  <c r="AM65" i="5"/>
  <c r="AM64" i="5"/>
  <c r="AM63" i="5"/>
  <c r="AM62" i="5"/>
  <c r="AM61" i="5"/>
  <c r="AM60" i="5"/>
  <c r="AM59" i="5"/>
  <c r="AM58" i="5"/>
  <c r="AM57" i="5"/>
  <c r="AM56" i="5"/>
  <c r="AM55" i="5"/>
  <c r="AM54" i="5"/>
  <c r="AM53" i="5"/>
  <c r="AW210" i="1" s="1"/>
  <c r="AM52" i="5"/>
  <c r="AM51" i="5"/>
  <c r="AW219" i="1" s="1"/>
  <c r="AM50" i="5"/>
  <c r="AM49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M4" i="5"/>
  <c r="AM3" i="5"/>
  <c r="AM2" i="5"/>
  <c r="AW228" i="1" l="1"/>
  <c r="AW236" i="1"/>
  <c r="AW179" i="1"/>
  <c r="AW197" i="1"/>
  <c r="AW184" i="1"/>
  <c r="AW164" i="1"/>
  <c r="AW168" i="1"/>
  <c r="AX236" i="1"/>
  <c r="AX228" i="1"/>
  <c r="AX179" i="1"/>
  <c r="AX197" i="1"/>
  <c r="AX184" i="1"/>
  <c r="AX164" i="1"/>
  <c r="AX168" i="1"/>
  <c r="AW138" i="1"/>
  <c r="AW232" i="1"/>
  <c r="AW231" i="1"/>
  <c r="AW191" i="1"/>
  <c r="AX226" i="1"/>
  <c r="AX229" i="1"/>
  <c r="AX230" i="1"/>
  <c r="AX138" i="1"/>
  <c r="AX232" i="1"/>
  <c r="AX231" i="1"/>
  <c r="AX191" i="1"/>
  <c r="AW227" i="1"/>
  <c r="AW233" i="1"/>
  <c r="AW226" i="1"/>
  <c r="AW229" i="1"/>
  <c r="AW230" i="1"/>
  <c r="AX227" i="1"/>
  <c r="AX233" i="1"/>
  <c r="AW211" i="1"/>
  <c r="AW217" i="1"/>
  <c r="AW207" i="1"/>
  <c r="AW205" i="1"/>
  <c r="AX215" i="1"/>
  <c r="AX223" i="1"/>
  <c r="AW218" i="1"/>
  <c r="AW224" i="1"/>
  <c r="AW221" i="1"/>
  <c r="AW212" i="1"/>
  <c r="AW213" i="1"/>
  <c r="AW216" i="1"/>
  <c r="AW208" i="1"/>
  <c r="AX217" i="1"/>
  <c r="AX211" i="1"/>
  <c r="AX205" i="1"/>
  <c r="AX207" i="1"/>
  <c r="AW215" i="1"/>
  <c r="AW223" i="1"/>
  <c r="AW220" i="1"/>
  <c r="AW206" i="1"/>
  <c r="AX218" i="1"/>
  <c r="AX221" i="1"/>
  <c r="AX212" i="1"/>
  <c r="AX224" i="1"/>
  <c r="AX213" i="1"/>
  <c r="AX208" i="1"/>
  <c r="AX216" i="1"/>
  <c r="AX220" i="1"/>
  <c r="AX206" i="1"/>
  <c r="AW203" i="1"/>
  <c r="AX203" i="1"/>
  <c r="AW126" i="1"/>
  <c r="AW170" i="1"/>
  <c r="AW139" i="1"/>
  <c r="AW134" i="1"/>
  <c r="AW131" i="1"/>
  <c r="AW153" i="1"/>
  <c r="AX126" i="1"/>
  <c r="AX170" i="1"/>
  <c r="AX139" i="1"/>
  <c r="AX134" i="1"/>
  <c r="AX153" i="1"/>
  <c r="AX131" i="1"/>
  <c r="AX88" i="1"/>
  <c r="AX193" i="1"/>
  <c r="AW88" i="1"/>
  <c r="AW193" i="1"/>
  <c r="AW141" i="1"/>
  <c r="AW152" i="1"/>
  <c r="AW177" i="1"/>
  <c r="AW176" i="1"/>
  <c r="AW185" i="1"/>
  <c r="AW201" i="1"/>
  <c r="AW133" i="1"/>
  <c r="AW132" i="1"/>
  <c r="AX152" i="1"/>
  <c r="AX141" i="1"/>
  <c r="AX177" i="1"/>
  <c r="AX176" i="1"/>
  <c r="AX201" i="1"/>
  <c r="AX185" i="1"/>
  <c r="AX132" i="1"/>
  <c r="AX133" i="1"/>
  <c r="AW190" i="1"/>
  <c r="AW154" i="1"/>
  <c r="AW155" i="1"/>
  <c r="AX190" i="1"/>
  <c r="AX155" i="1"/>
  <c r="AX154" i="1"/>
  <c r="AW200" i="1"/>
  <c r="AW192" i="1"/>
  <c r="AW137" i="1"/>
  <c r="AW135" i="1"/>
  <c r="AW140" i="1"/>
  <c r="AW129" i="1"/>
  <c r="AW130" i="1"/>
  <c r="AW144" i="1"/>
  <c r="AX192" i="1"/>
  <c r="AX200" i="1"/>
  <c r="AX137" i="1"/>
  <c r="AX129" i="1"/>
  <c r="AX130" i="1"/>
  <c r="AX144" i="1"/>
  <c r="AX135" i="1"/>
  <c r="AX140" i="1"/>
  <c r="AW86" i="1"/>
  <c r="AW106" i="1"/>
  <c r="AW25" i="1"/>
  <c r="AW127" i="1"/>
  <c r="AW121" i="1"/>
  <c r="AW119" i="1"/>
  <c r="AW114" i="1"/>
  <c r="AW22" i="1"/>
  <c r="AW40" i="1"/>
  <c r="AW76" i="1"/>
  <c r="AW27" i="1"/>
  <c r="AW69" i="1"/>
  <c r="AW103" i="1"/>
  <c r="AW14" i="1"/>
  <c r="AW56" i="1"/>
  <c r="AW26" i="1"/>
  <c r="AW34" i="1"/>
  <c r="AW107" i="1"/>
  <c r="AW108" i="1"/>
  <c r="AW61" i="1"/>
  <c r="AW90" i="1"/>
  <c r="AW125" i="1"/>
  <c r="AW31" i="1"/>
  <c r="AW71" i="1"/>
  <c r="AW30" i="1"/>
  <c r="AX25" i="1"/>
  <c r="AX86" i="1"/>
  <c r="AX106" i="1"/>
  <c r="AX127" i="1"/>
  <c r="AX119" i="1"/>
  <c r="AX121" i="1"/>
  <c r="AX114" i="1"/>
  <c r="AX69" i="1"/>
  <c r="AX61" i="1"/>
  <c r="AX103" i="1"/>
  <c r="AX22" i="1"/>
  <c r="AX76" i="1"/>
  <c r="AX40" i="1"/>
  <c r="AX14" i="1"/>
  <c r="AX56" i="1"/>
  <c r="AX34" i="1"/>
  <c r="AX108" i="1"/>
  <c r="AX107" i="1"/>
  <c r="AX90" i="1"/>
  <c r="AX27" i="1"/>
  <c r="AX26" i="1"/>
  <c r="AX125" i="1"/>
  <c r="AX31" i="1"/>
  <c r="AX30" i="1"/>
  <c r="AX71" i="1"/>
  <c r="AW105" i="1"/>
  <c r="AW98" i="1"/>
  <c r="AW24" i="1"/>
  <c r="AW28" i="1"/>
  <c r="AW123" i="1"/>
  <c r="AW77" i="1"/>
  <c r="AW85" i="1"/>
  <c r="AW35" i="1"/>
  <c r="AW46" i="1"/>
  <c r="AW20" i="1"/>
  <c r="AW29" i="1"/>
  <c r="AW36" i="1"/>
  <c r="AW64" i="1"/>
  <c r="AW37" i="1"/>
  <c r="AW38" i="1"/>
  <c r="AW80" i="1"/>
  <c r="AW95" i="1"/>
  <c r="AW117" i="1"/>
  <c r="AW115" i="1"/>
  <c r="AW49" i="1"/>
  <c r="AW73" i="1"/>
  <c r="AW62" i="1"/>
  <c r="AW57" i="1"/>
  <c r="AW54" i="1"/>
  <c r="AW21" i="1"/>
  <c r="AW55" i="1"/>
  <c r="AW51" i="1"/>
  <c r="AW58" i="1"/>
  <c r="AW23" i="1"/>
  <c r="AW75" i="1"/>
  <c r="AW48" i="1"/>
  <c r="AW101" i="1"/>
  <c r="AW89" i="1"/>
  <c r="AW18" i="1"/>
  <c r="AX98" i="1"/>
  <c r="AX105" i="1"/>
  <c r="AX28" i="1"/>
  <c r="AX24" i="1"/>
  <c r="AX123" i="1"/>
  <c r="AX85" i="1"/>
  <c r="AX36" i="1"/>
  <c r="AX37" i="1"/>
  <c r="AX95" i="1"/>
  <c r="AX80" i="1"/>
  <c r="AX77" i="1"/>
  <c r="AX35" i="1"/>
  <c r="AX46" i="1"/>
  <c r="AX38" i="1"/>
  <c r="AX64" i="1"/>
  <c r="AX20" i="1"/>
  <c r="AX29" i="1"/>
  <c r="AX117" i="1"/>
  <c r="AX115" i="1"/>
  <c r="AX51" i="1"/>
  <c r="AX57" i="1"/>
  <c r="AX73" i="1"/>
  <c r="AX23" i="1"/>
  <c r="AX18" i="1"/>
  <c r="AX101" i="1"/>
  <c r="AX89" i="1"/>
  <c r="AX21" i="1"/>
  <c r="AX55" i="1"/>
  <c r="AX49" i="1"/>
  <c r="AX58" i="1"/>
  <c r="AX75" i="1"/>
  <c r="AX48" i="1"/>
  <c r="AX62" i="1"/>
  <c r="AX54" i="1"/>
  <c r="AW124" i="1"/>
  <c r="AW72" i="1"/>
  <c r="AW93" i="1"/>
  <c r="AW84" i="1"/>
  <c r="AW68" i="1"/>
  <c r="AW60" i="1"/>
  <c r="AW94" i="1"/>
  <c r="AW53" i="1"/>
  <c r="AW47" i="1"/>
  <c r="AW122" i="1"/>
  <c r="AW116" i="1"/>
  <c r="AW118" i="1"/>
  <c r="AW120" i="1"/>
  <c r="AW113" i="1"/>
  <c r="AW78" i="1"/>
  <c r="AW96" i="1"/>
  <c r="AW99" i="1"/>
  <c r="AW17" i="1"/>
  <c r="AW66" i="1"/>
  <c r="AW70" i="1"/>
  <c r="AW50" i="1"/>
  <c r="AW74" i="1"/>
  <c r="AW97" i="1"/>
  <c r="AW110" i="1"/>
  <c r="AW15" i="1"/>
  <c r="AW43" i="1"/>
  <c r="AW65" i="1"/>
  <c r="AW92" i="1"/>
  <c r="AW87" i="1"/>
  <c r="AW128" i="1"/>
  <c r="AW45" i="1"/>
  <c r="AW63" i="1"/>
  <c r="AW52" i="1"/>
  <c r="AW41" i="1"/>
  <c r="AW32" i="1"/>
  <c r="AW79" i="1"/>
  <c r="AW104" i="1"/>
  <c r="AW83" i="1"/>
  <c r="AW59" i="1"/>
  <c r="AW100" i="1"/>
  <c r="AW42" i="1"/>
  <c r="AW102" i="1"/>
  <c r="AW33" i="1"/>
  <c r="AW19" i="1"/>
  <c r="AW112" i="1"/>
  <c r="AW13" i="1"/>
  <c r="AW16" i="1"/>
  <c r="AW67" i="1"/>
  <c r="AX124" i="1"/>
  <c r="AX93" i="1"/>
  <c r="AX72" i="1"/>
  <c r="AX68" i="1"/>
  <c r="AX84" i="1"/>
  <c r="AX47" i="1"/>
  <c r="AX60" i="1"/>
  <c r="AX53" i="1"/>
  <c r="AX94" i="1"/>
  <c r="AX116" i="1"/>
  <c r="AX118" i="1"/>
  <c r="AX122" i="1"/>
  <c r="AX120" i="1"/>
  <c r="AX113" i="1"/>
  <c r="AX17" i="1"/>
  <c r="AX70" i="1"/>
  <c r="AX99" i="1"/>
  <c r="AX66" i="1"/>
  <c r="AX78" i="1"/>
  <c r="AX87" i="1"/>
  <c r="AX97" i="1"/>
  <c r="AX65" i="1"/>
  <c r="AX110" i="1"/>
  <c r="AX43" i="1"/>
  <c r="AX92" i="1"/>
  <c r="AX96" i="1"/>
  <c r="AX74" i="1"/>
  <c r="AX15" i="1"/>
  <c r="AX50" i="1"/>
  <c r="AX128" i="1"/>
  <c r="AX42" i="1"/>
  <c r="AX19" i="1"/>
  <c r="AX32" i="1"/>
  <c r="AX59" i="1"/>
  <c r="AX33" i="1"/>
  <c r="AX100" i="1"/>
  <c r="AX13" i="1"/>
  <c r="AX83" i="1"/>
  <c r="AX67" i="1"/>
  <c r="AX63" i="1"/>
  <c r="AX41" i="1"/>
  <c r="AX45" i="1"/>
  <c r="AX79" i="1"/>
  <c r="AX16" i="1"/>
  <c r="AX52" i="1"/>
  <c r="AX102" i="1"/>
  <c r="AX112" i="1"/>
  <c r="AX104" i="1"/>
  <c r="AW12" i="1"/>
  <c r="AW4" i="1"/>
  <c r="AX12" i="1"/>
  <c r="AX4" i="1"/>
  <c r="AW5" i="1"/>
  <c r="AW9" i="1"/>
  <c r="AW10" i="1"/>
  <c r="AW11" i="1"/>
  <c r="AW7" i="1"/>
  <c r="AX5" i="1"/>
  <c r="AX10" i="1"/>
  <c r="AX11" i="1"/>
  <c r="AX9" i="1"/>
  <c r="AX7" i="1"/>
  <c r="AW6" i="1"/>
  <c r="AW8" i="1"/>
  <c r="AX8" i="1"/>
  <c r="AX6" i="1"/>
  <c r="N653" i="4"/>
  <c r="O168" i="4"/>
  <c r="AV9" i="1" s="1"/>
  <c r="O169" i="4"/>
  <c r="O170" i="4"/>
  <c r="O171" i="4"/>
  <c r="AV230" i="1" s="1"/>
  <c r="O172" i="4"/>
  <c r="O173" i="4"/>
  <c r="O174" i="4"/>
  <c r="O175" i="4"/>
  <c r="AV27" i="1" s="1"/>
  <c r="O176" i="4"/>
  <c r="O177" i="4"/>
  <c r="AV15" i="1" s="1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167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AV176" i="1" s="1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AV4" i="1" s="1"/>
  <c r="O163" i="4"/>
  <c r="O164" i="4"/>
  <c r="O165" i="4"/>
  <c r="O166" i="4"/>
  <c r="O118" i="4"/>
  <c r="O115" i="4"/>
  <c r="O116" i="4"/>
  <c r="O117" i="4"/>
  <c r="O114" i="4"/>
  <c r="O113" i="4"/>
  <c r="O112" i="4"/>
  <c r="O111" i="4"/>
  <c r="O110" i="4"/>
  <c r="O107" i="4"/>
  <c r="O108" i="4"/>
  <c r="O109" i="4"/>
  <c r="O106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91" i="4"/>
  <c r="O82" i="4"/>
  <c r="O83" i="4"/>
  <c r="O84" i="4"/>
  <c r="O85" i="4"/>
  <c r="O86" i="4"/>
  <c r="O87" i="4"/>
  <c r="O88" i="4"/>
  <c r="O89" i="4"/>
  <c r="O90" i="4"/>
  <c r="O81" i="4"/>
  <c r="O76" i="4"/>
  <c r="O77" i="4"/>
  <c r="O78" i="4"/>
  <c r="O79" i="4"/>
  <c r="O80" i="4"/>
  <c r="O75" i="4"/>
  <c r="O71" i="4"/>
  <c r="O72" i="4"/>
  <c r="O73" i="4"/>
  <c r="O74" i="4"/>
  <c r="O70" i="4"/>
  <c r="O6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49" i="4"/>
  <c r="O48" i="4"/>
  <c r="O47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16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2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AU176" i="1" s="1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AU4" i="1" s="1"/>
  <c r="N163" i="4"/>
  <c r="N164" i="4"/>
  <c r="N165" i="4"/>
  <c r="N166" i="4"/>
  <c r="N167" i="4"/>
  <c r="N168" i="4"/>
  <c r="AU9" i="1" s="1"/>
  <c r="N169" i="4"/>
  <c r="N170" i="4"/>
  <c r="N171" i="4"/>
  <c r="AU230" i="1" s="1"/>
  <c r="N172" i="4"/>
  <c r="N173" i="4"/>
  <c r="N174" i="4"/>
  <c r="N175" i="4"/>
  <c r="AU27" i="1" s="1"/>
  <c r="N176" i="4"/>
  <c r="N177" i="4"/>
  <c r="AU15" i="1" s="1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606" i="4"/>
  <c r="N607" i="4"/>
  <c r="N608" i="4"/>
  <c r="N609" i="4"/>
  <c r="N610" i="4"/>
  <c r="N611" i="4"/>
  <c r="N612" i="4"/>
  <c r="N642" i="4"/>
  <c r="N643" i="4"/>
  <c r="N644" i="4"/>
  <c r="N645" i="4"/>
  <c r="N646" i="4"/>
  <c r="N647" i="4"/>
  <c r="N648" i="4"/>
  <c r="N649" i="4"/>
  <c r="N650" i="4"/>
  <c r="N651" i="4"/>
  <c r="N652" i="4"/>
  <c r="N654" i="4"/>
  <c r="N655" i="4"/>
  <c r="N656" i="4"/>
  <c r="N657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8" i="4"/>
  <c r="N309" i="4"/>
  <c r="N310" i="4"/>
  <c r="N311" i="4"/>
  <c r="N312" i="4"/>
  <c r="N313" i="4"/>
  <c r="N316" i="4"/>
  <c r="N317" i="4"/>
  <c r="N318" i="4"/>
  <c r="N319" i="4"/>
  <c r="N320" i="4"/>
  <c r="N321" i="4"/>
  <c r="N324" i="4"/>
  <c r="N325" i="4"/>
  <c r="N326" i="4"/>
  <c r="N329" i="4"/>
  <c r="N330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3" i="4"/>
  <c r="N364" i="4"/>
  <c r="N306" i="4"/>
  <c r="N307" i="4"/>
  <c r="N315" i="4"/>
  <c r="N327" i="4"/>
  <c r="N314" i="4"/>
  <c r="N322" i="4"/>
  <c r="N323" i="4"/>
  <c r="N328" i="4"/>
  <c r="AU66" i="1" s="1"/>
  <c r="N331" i="4"/>
  <c r="N362" i="4"/>
  <c r="AU231" i="1" l="1"/>
  <c r="AU233" i="1"/>
  <c r="AU236" i="1"/>
  <c r="AU229" i="1"/>
  <c r="AU228" i="1"/>
  <c r="AU208" i="1"/>
  <c r="AU224" i="1"/>
  <c r="AU226" i="1"/>
  <c r="AU207" i="1"/>
  <c r="AU216" i="1"/>
  <c r="AU205" i="1"/>
  <c r="AU220" i="1"/>
  <c r="AU213" i="1"/>
  <c r="AU221" i="1"/>
  <c r="AU227" i="1"/>
  <c r="AU214" i="1"/>
  <c r="AU211" i="1"/>
  <c r="AU210" i="1"/>
  <c r="AU217" i="1"/>
  <c r="AU209" i="1"/>
  <c r="AU218" i="1"/>
  <c r="AU206" i="1"/>
  <c r="AU212" i="1"/>
  <c r="AU200" i="1"/>
  <c r="AU201" i="1"/>
  <c r="AU138" i="1"/>
  <c r="AU141" i="1"/>
  <c r="AU135" i="1"/>
  <c r="AU137" i="1"/>
  <c r="AU151" i="1"/>
  <c r="AU124" i="1"/>
  <c r="AU126" i="1"/>
  <c r="AU115" i="1"/>
  <c r="AU117" i="1"/>
  <c r="AU96" i="1"/>
  <c r="AU64" i="1"/>
  <c r="AU72" i="1"/>
  <c r="AU105" i="1"/>
  <c r="AU50" i="1"/>
  <c r="AU76" i="1"/>
  <c r="AU94" i="1"/>
  <c r="AU63" i="1"/>
  <c r="AU46" i="1"/>
  <c r="AU102" i="1"/>
  <c r="AU93" i="1"/>
  <c r="AU65" i="1"/>
  <c r="AU86" i="1"/>
  <c r="AU97" i="1"/>
  <c r="AU30" i="1"/>
  <c r="AU80" i="1"/>
  <c r="AU85" i="1"/>
  <c r="AU101" i="1"/>
  <c r="AU67" i="1"/>
  <c r="AU99" i="1"/>
  <c r="AU170" i="1"/>
  <c r="AU177" i="1"/>
  <c r="AU192" i="1"/>
  <c r="AU194" i="1"/>
  <c r="AU196" i="1"/>
  <c r="AU134" i="1"/>
  <c r="AU144" i="1"/>
  <c r="AU150" i="1"/>
  <c r="AU133" i="1"/>
  <c r="AU129" i="1"/>
  <c r="AU153" i="1"/>
  <c r="AU143" i="1"/>
  <c r="AU142" i="1"/>
  <c r="AU132" i="1"/>
  <c r="AU136" i="1"/>
  <c r="AU145" i="1"/>
  <c r="AU131" i="1"/>
  <c r="AU152" i="1"/>
  <c r="AU139" i="1"/>
  <c r="AU148" i="1"/>
  <c r="AU140" i="1"/>
  <c r="AU149" i="1"/>
  <c r="AU147" i="1"/>
  <c r="AU130" i="1"/>
  <c r="AU146" i="1"/>
  <c r="AU128" i="1"/>
  <c r="AU125" i="1"/>
  <c r="AU127" i="1"/>
  <c r="AU123" i="1"/>
  <c r="AU121" i="1"/>
  <c r="AU122" i="1"/>
  <c r="AU118" i="1"/>
  <c r="AU119" i="1"/>
  <c r="AU116" i="1"/>
  <c r="AU120" i="1"/>
  <c r="AU113" i="1"/>
  <c r="AU60" i="1"/>
  <c r="AU52" i="1"/>
  <c r="AU54" i="1"/>
  <c r="AU108" i="1"/>
  <c r="AU104" i="1"/>
  <c r="AU107" i="1"/>
  <c r="AU112" i="1"/>
  <c r="AU36" i="1"/>
  <c r="AU109" i="1"/>
  <c r="AU49" i="1"/>
  <c r="AU103" i="1"/>
  <c r="AU106" i="1"/>
  <c r="AU111" i="1"/>
  <c r="AU110" i="1"/>
  <c r="AU29" i="1"/>
  <c r="AU22" i="1"/>
  <c r="AU20" i="1"/>
  <c r="AU34" i="1"/>
  <c r="AU24" i="1"/>
  <c r="AU26" i="1"/>
  <c r="AU40" i="1"/>
  <c r="AU38" i="1"/>
  <c r="AU53" i="1"/>
  <c r="AU45" i="1"/>
  <c r="AU37" i="1"/>
  <c r="AU25" i="1"/>
  <c r="AU58" i="1"/>
  <c r="AU55" i="1"/>
  <c r="AU59" i="1"/>
  <c r="AV31" i="1"/>
  <c r="AV56" i="1"/>
  <c r="AV48" i="1"/>
  <c r="AU114" i="1"/>
  <c r="AU68" i="1"/>
  <c r="AU74" i="1"/>
  <c r="AU61" i="1"/>
  <c r="AU90" i="1"/>
  <c r="AU70" i="1"/>
  <c r="AU79" i="1"/>
  <c r="AU43" i="1"/>
  <c r="AU47" i="1"/>
  <c r="AU39" i="1"/>
  <c r="AU91" i="1"/>
  <c r="AU100" i="1"/>
  <c r="AU42" i="1"/>
  <c r="AU57" i="1"/>
  <c r="AU35" i="1"/>
  <c r="AU81" i="1"/>
  <c r="AU73" i="1"/>
  <c r="AU77" i="1"/>
  <c r="AU84" i="1"/>
  <c r="AU89" i="1"/>
  <c r="AU95" i="1"/>
  <c r="AU98" i="1"/>
  <c r="AU69" i="1"/>
  <c r="AU83" i="1"/>
  <c r="AU75" i="1"/>
  <c r="AU41" i="1"/>
  <c r="AU62" i="1"/>
  <c r="AU92" i="1"/>
  <c r="AU78" i="1"/>
  <c r="AU87" i="1"/>
  <c r="AV53" i="1"/>
  <c r="AV25" i="1"/>
  <c r="AV37" i="1"/>
  <c r="AV40" i="1"/>
  <c r="AV45" i="1"/>
  <c r="AV38" i="1"/>
  <c r="AV58" i="1"/>
  <c r="AV59" i="1"/>
  <c r="AV55" i="1"/>
  <c r="AU32" i="1"/>
  <c r="AU23" i="1"/>
  <c r="AU33" i="1"/>
  <c r="AU48" i="1"/>
  <c r="AU31" i="1"/>
  <c r="AU56" i="1"/>
  <c r="AU12" i="1"/>
  <c r="AV12" i="1"/>
  <c r="AU6" i="1"/>
  <c r="AU8" i="1"/>
  <c r="AU7" i="1"/>
  <c r="AV3" i="1"/>
  <c r="AL3" i="1"/>
  <c r="AE3" i="1"/>
  <c r="AD3" i="1"/>
  <c r="AC3" i="1"/>
  <c r="Z3" i="1"/>
  <c r="Y3" i="1"/>
  <c r="X3" i="1"/>
  <c r="W3" i="1"/>
  <c r="T3" i="1"/>
  <c r="BA3" i="1" s="1"/>
  <c r="S3" i="1"/>
  <c r="R3" i="1"/>
  <c r="Q3" i="1"/>
  <c r="P3" i="1"/>
  <c r="O3" i="1"/>
  <c r="M3" i="1"/>
  <c r="G3" i="1"/>
  <c r="F3" i="1"/>
  <c r="E3" i="1"/>
  <c r="D3" i="1"/>
  <c r="C3" i="1"/>
  <c r="AL2" i="1"/>
  <c r="AK2" i="1"/>
  <c r="AR2" i="1" s="1"/>
  <c r="AG2" i="1"/>
  <c r="AV2" i="1" s="1"/>
  <c r="AF2" i="1"/>
  <c r="AE2" i="1"/>
  <c r="AD2" i="1"/>
  <c r="AC2" i="1"/>
  <c r="AB2" i="1"/>
  <c r="Z2" i="1"/>
  <c r="Y2" i="1"/>
  <c r="X2" i="1"/>
  <c r="W2" i="1"/>
  <c r="V2" i="1"/>
  <c r="U2" i="1"/>
  <c r="T2" i="1"/>
  <c r="BA2" i="1" s="1"/>
  <c r="S2" i="1"/>
  <c r="R2" i="1"/>
  <c r="Q2" i="1"/>
  <c r="P2" i="1"/>
  <c r="O2" i="1"/>
  <c r="BD2" i="1" s="1"/>
  <c r="N2" i="1"/>
  <c r="AZ2" i="1" s="1"/>
  <c r="M2" i="1"/>
  <c r="L2" i="1"/>
  <c r="H2" i="1"/>
  <c r="AY2" i="1" s="1"/>
  <c r="G2" i="1"/>
  <c r="F2" i="1"/>
  <c r="E2" i="1"/>
  <c r="D2" i="1"/>
  <c r="C2" i="1"/>
  <c r="I221" i="19" l="1"/>
  <c r="I3" i="19"/>
  <c r="K22" i="19"/>
  <c r="K46" i="19"/>
  <c r="K52" i="19"/>
  <c r="K244" i="19"/>
  <c r="J229" i="19"/>
  <c r="D221" i="19"/>
  <c r="E221" i="19" s="1"/>
  <c r="K214" i="19"/>
  <c r="F3" i="19"/>
  <c r="I22" i="19"/>
  <c r="J51" i="19"/>
  <c r="I52" i="19"/>
  <c r="I81" i="19"/>
  <c r="J84" i="19"/>
  <c r="J92" i="19"/>
  <c r="I97" i="19"/>
  <c r="D237" i="19"/>
  <c r="E237" i="19" s="1"/>
  <c r="J243" i="19"/>
  <c r="K228" i="19"/>
  <c r="K229" i="19"/>
  <c r="I211" i="19"/>
  <c r="C214" i="19"/>
  <c r="I219" i="19"/>
  <c r="G3" i="19"/>
  <c r="J10" i="19"/>
  <c r="J22" i="19"/>
  <c r="C44" i="19"/>
  <c r="C46" i="19"/>
  <c r="J52" i="19"/>
  <c r="J81" i="19"/>
  <c r="K84" i="19"/>
  <c r="J97" i="19"/>
  <c r="J241" i="19"/>
  <c r="G243" i="19"/>
  <c r="J230" i="19"/>
  <c r="C221" i="19"/>
  <c r="F224" i="19"/>
  <c r="C207" i="19"/>
  <c r="D214" i="19"/>
  <c r="E214" i="19" s="1"/>
  <c r="C215" i="19"/>
  <c r="J216" i="19"/>
  <c r="H3" i="19"/>
  <c r="F5" i="19"/>
  <c r="J25" i="19"/>
  <c r="D44" i="19"/>
  <c r="E44" i="19" s="1"/>
  <c r="F46" i="19"/>
  <c r="C51" i="19"/>
  <c r="C52" i="19"/>
  <c r="G64" i="19"/>
  <c r="I77" i="19"/>
  <c r="F84" i="19"/>
  <c r="F94" i="19"/>
  <c r="H97" i="19"/>
  <c r="K140" i="19"/>
  <c r="I145" i="19"/>
  <c r="K148" i="19"/>
  <c r="K157" i="19"/>
  <c r="I182" i="19"/>
  <c r="J190" i="19"/>
  <c r="J145" i="19"/>
  <c r="I161" i="19"/>
  <c r="J182" i="19"/>
  <c r="D229" i="19"/>
  <c r="E229" i="19" s="1"/>
  <c r="F214" i="19"/>
  <c r="C217" i="19"/>
  <c r="K3" i="19"/>
  <c r="K36" i="19"/>
  <c r="F240" i="19"/>
  <c r="K241" i="19"/>
  <c r="H243" i="19"/>
  <c r="C229" i="19"/>
  <c r="F221" i="19"/>
  <c r="G224" i="19"/>
  <c r="D207" i="19"/>
  <c r="E207" i="19" s="1"/>
  <c r="D215" i="19"/>
  <c r="E215" i="19" s="1"/>
  <c r="J3" i="19"/>
  <c r="J5" i="19"/>
  <c r="J7" i="19"/>
  <c r="C22" i="19"/>
  <c r="G46" i="19"/>
  <c r="D52" i="19"/>
  <c r="E52" i="19" s="1"/>
  <c r="F56" i="19"/>
  <c r="H64" i="19"/>
  <c r="H72" i="19"/>
  <c r="J77" i="19"/>
  <c r="D79" i="19"/>
  <c r="E79" i="19" s="1"/>
  <c r="C81" i="19"/>
  <c r="G84" i="19"/>
  <c r="I88" i="19"/>
  <c r="C92" i="19"/>
  <c r="G94" i="19"/>
  <c r="K97" i="19"/>
  <c r="F109" i="19"/>
  <c r="C142" i="19"/>
  <c r="F152" i="19"/>
  <c r="C179" i="19"/>
  <c r="K190" i="19"/>
  <c r="K199" i="19"/>
  <c r="F237" i="19"/>
  <c r="H240" i="19"/>
  <c r="K243" i="19"/>
  <c r="D228" i="19"/>
  <c r="E228" i="19" s="1"/>
  <c r="C231" i="19"/>
  <c r="G221" i="19"/>
  <c r="K224" i="19"/>
  <c r="F227" i="19"/>
  <c r="K10" i="19"/>
  <c r="D22" i="19"/>
  <c r="E22" i="19" s="1"/>
  <c r="G26" i="19"/>
  <c r="K31" i="19"/>
  <c r="I46" i="19"/>
  <c r="F51" i="19"/>
  <c r="G52" i="19"/>
  <c r="K56" i="19"/>
  <c r="F61" i="19"/>
  <c r="I64" i="19"/>
  <c r="K72" i="19"/>
  <c r="F79" i="19"/>
  <c r="D81" i="19"/>
  <c r="E81" i="19" s="1"/>
  <c r="I84" i="19"/>
  <c r="J88" i="19"/>
  <c r="D92" i="19"/>
  <c r="E92" i="19" s="1"/>
  <c r="C106" i="19"/>
  <c r="D107" i="19"/>
  <c r="E107" i="19" s="1"/>
  <c r="G109" i="19"/>
  <c r="C244" i="19"/>
  <c r="I228" i="19"/>
  <c r="K221" i="19"/>
  <c r="I227" i="19"/>
  <c r="G214" i="19"/>
  <c r="D3" i="19"/>
  <c r="E3" i="19" s="1"/>
  <c r="C30" i="19"/>
  <c r="H32" i="19"/>
  <c r="F35" i="19"/>
  <c r="G42" i="19"/>
  <c r="D46" i="19"/>
  <c r="E46" i="19" s="1"/>
  <c r="I55" i="19"/>
  <c r="J79" i="19"/>
  <c r="K81" i="19"/>
  <c r="H98" i="19"/>
  <c r="K114" i="19"/>
  <c r="G117" i="19"/>
  <c r="C132" i="19"/>
  <c r="F141" i="19"/>
  <c r="K142" i="19"/>
  <c r="C145" i="19"/>
  <c r="F148" i="19"/>
  <c r="C170" i="19"/>
  <c r="I179" i="19"/>
  <c r="H182" i="19"/>
  <c r="D190" i="19"/>
  <c r="E190" i="19" s="1"/>
  <c r="D161" i="19"/>
  <c r="E161" i="19" s="1"/>
  <c r="D184" i="19"/>
  <c r="E184" i="19" s="1"/>
  <c r="C189" i="19"/>
  <c r="C193" i="19"/>
  <c r="C243" i="19"/>
  <c r="J33" i="19"/>
  <c r="J47" i="19"/>
  <c r="K58" i="19"/>
  <c r="G68" i="19"/>
  <c r="G78" i="19"/>
  <c r="F89" i="19"/>
  <c r="I112" i="19"/>
  <c r="I143" i="19"/>
  <c r="D162" i="19"/>
  <c r="E162" i="19" s="1"/>
  <c r="D180" i="19"/>
  <c r="E180" i="19" s="1"/>
  <c r="H190" i="19"/>
  <c r="C196" i="19"/>
  <c r="K197" i="19"/>
  <c r="C201" i="19"/>
  <c r="D203" i="19"/>
  <c r="E203" i="19" s="1"/>
  <c r="K6" i="19"/>
  <c r="G16" i="19"/>
  <c r="G237" i="19"/>
  <c r="C240" i="19"/>
  <c r="I244" i="19"/>
  <c r="G231" i="19"/>
  <c r="J227" i="19"/>
  <c r="I207" i="19"/>
  <c r="H214" i="19"/>
  <c r="I216" i="19"/>
  <c r="G6" i="19"/>
  <c r="D30" i="19"/>
  <c r="E30" i="19" s="1"/>
  <c r="I32" i="19"/>
  <c r="G35" i="19"/>
  <c r="H42" i="19"/>
  <c r="J46" i="19"/>
  <c r="G51" i="19"/>
  <c r="C58" i="19"/>
  <c r="C87" i="19"/>
  <c r="D94" i="19"/>
  <c r="E94" i="19" s="1"/>
  <c r="I98" i="19"/>
  <c r="D106" i="19"/>
  <c r="E106" i="19" s="1"/>
  <c r="I107" i="19"/>
  <c r="H117" i="19"/>
  <c r="F123" i="19"/>
  <c r="D132" i="19"/>
  <c r="E132" i="19" s="1"/>
  <c r="F140" i="19"/>
  <c r="I141" i="19"/>
  <c r="D145" i="19"/>
  <c r="E145" i="19" s="1"/>
  <c r="G148" i="19"/>
  <c r="C158" i="19"/>
  <c r="C161" i="19"/>
  <c r="D170" i="19"/>
  <c r="E170" i="19" s="1"/>
  <c r="K179" i="19"/>
  <c r="K182" i="19"/>
  <c r="F190" i="19"/>
  <c r="C197" i="19"/>
  <c r="G199" i="19"/>
  <c r="J107" i="19"/>
  <c r="C112" i="19"/>
  <c r="G123" i="19"/>
  <c r="D131" i="19"/>
  <c r="E131" i="19" s="1"/>
  <c r="J141" i="19"/>
  <c r="H143" i="19"/>
  <c r="C157" i="19"/>
  <c r="C162" i="19"/>
  <c r="G190" i="19"/>
  <c r="H199" i="19"/>
  <c r="I237" i="19"/>
  <c r="K231" i="19"/>
  <c r="H234" i="19"/>
  <c r="K225" i="19"/>
  <c r="C213" i="19"/>
  <c r="J6" i="19"/>
  <c r="C12" i="19"/>
  <c r="I25" i="19"/>
  <c r="I51" i="19"/>
  <c r="C63" i="19"/>
  <c r="C66" i="19"/>
  <c r="I85" i="19"/>
  <c r="F91" i="19"/>
  <c r="C97" i="19"/>
  <c r="D119" i="19"/>
  <c r="E119" i="19" s="1"/>
  <c r="C120" i="19"/>
  <c r="J123" i="19"/>
  <c r="G129" i="19"/>
  <c r="F131" i="19"/>
  <c r="F132" i="19"/>
  <c r="J140" i="19"/>
  <c r="F147" i="19"/>
  <c r="J148" i="19"/>
  <c r="J184" i="19"/>
  <c r="J189" i="19"/>
  <c r="I229" i="19"/>
  <c r="H237" i="19"/>
  <c r="D240" i="19"/>
  <c r="E240" i="19" s="1"/>
  <c r="J244" i="19"/>
  <c r="I231" i="19"/>
  <c r="C234" i="19"/>
  <c r="D222" i="19"/>
  <c r="E222" i="19" s="1"/>
  <c r="J225" i="19"/>
  <c r="K227" i="19"/>
  <c r="K207" i="19"/>
  <c r="I214" i="19"/>
  <c r="I6" i="19"/>
  <c r="D19" i="19"/>
  <c r="E19" i="19" s="1"/>
  <c r="F22" i="19"/>
  <c r="F25" i="19"/>
  <c r="I30" i="19"/>
  <c r="H35" i="19"/>
  <c r="J39" i="19"/>
  <c r="I42" i="19"/>
  <c r="D49" i="19"/>
  <c r="E49" i="19" s="1"/>
  <c r="H51" i="19"/>
  <c r="F58" i="19"/>
  <c r="C70" i="19"/>
  <c r="I73" i="19"/>
  <c r="F78" i="19"/>
  <c r="H85" i="19"/>
  <c r="D87" i="19"/>
  <c r="E87" i="19" s="1"/>
  <c r="F92" i="19"/>
  <c r="D102" i="19"/>
  <c r="E102" i="19" s="1"/>
  <c r="I117" i="19"/>
  <c r="F129" i="19"/>
  <c r="F134" i="19"/>
  <c r="G140" i="19"/>
  <c r="I148" i="19"/>
  <c r="C151" i="19"/>
  <c r="J176" i="19"/>
  <c r="C203" i="19"/>
  <c r="I240" i="19"/>
  <c r="D220" i="19"/>
  <c r="E220" i="19" s="1"/>
  <c r="G22" i="19"/>
  <c r="J30" i="19"/>
  <c r="G92" i="19"/>
  <c r="G106" i="19"/>
  <c r="F145" i="19"/>
  <c r="D157" i="19"/>
  <c r="E157" i="19" s="1"/>
  <c r="C167" i="19"/>
  <c r="K170" i="19"/>
  <c r="C182" i="19"/>
  <c r="H206" i="19"/>
  <c r="J208" i="19"/>
  <c r="I213" i="19"/>
  <c r="F217" i="19"/>
  <c r="C4" i="19"/>
  <c r="D12" i="19"/>
  <c r="E12" i="19" s="1"/>
  <c r="C241" i="19"/>
  <c r="I215" i="19"/>
  <c r="I43" i="19"/>
  <c r="J45" i="19"/>
  <c r="J61" i="19"/>
  <c r="K64" i="19"/>
  <c r="G74" i="19"/>
  <c r="G97" i="19"/>
  <c r="F118" i="19"/>
  <c r="J129" i="19"/>
  <c r="D141" i="19"/>
  <c r="E141" i="19" s="1"/>
  <c r="K143" i="19"/>
  <c r="H145" i="19"/>
  <c r="F157" i="19"/>
  <c r="I167" i="19"/>
  <c r="D179" i="19"/>
  <c r="E179" i="19" s="1"/>
  <c r="C183" i="19"/>
  <c r="D188" i="19"/>
  <c r="E188" i="19" s="1"/>
  <c r="I190" i="19"/>
  <c r="J192" i="19"/>
  <c r="D196" i="19"/>
  <c r="E196" i="19" s="1"/>
  <c r="F179" i="19"/>
  <c r="K188" i="19"/>
  <c r="G203" i="19"/>
  <c r="G228" i="19"/>
  <c r="I18" i="19"/>
  <c r="F50" i="19"/>
  <c r="K59" i="19"/>
  <c r="J71" i="19"/>
  <c r="G93" i="19"/>
  <c r="G131" i="19"/>
  <c r="C140" i="19"/>
  <c r="C166" i="19"/>
  <c r="D191" i="19"/>
  <c r="E191" i="19" s="1"/>
  <c r="K203" i="19"/>
  <c r="H228" i="19"/>
  <c r="C224" i="19"/>
  <c r="K47" i="19"/>
  <c r="J50" i="19"/>
  <c r="D57" i="19"/>
  <c r="E57" i="19" s="1"/>
  <c r="G69" i="19"/>
  <c r="J85" i="19"/>
  <c r="G91" i="19"/>
  <c r="D114" i="19"/>
  <c r="E114" i="19" s="1"/>
  <c r="C121" i="19"/>
  <c r="C127" i="19"/>
  <c r="H131" i="19"/>
  <c r="D140" i="19"/>
  <c r="E140" i="19" s="1"/>
  <c r="F161" i="19"/>
  <c r="K168" i="19"/>
  <c r="F182" i="19"/>
  <c r="D187" i="19"/>
  <c r="E187" i="19" s="1"/>
  <c r="K189" i="19"/>
  <c r="C195" i="19"/>
  <c r="D199" i="19"/>
  <c r="E199" i="19" s="1"/>
  <c r="D201" i="19"/>
  <c r="E201" i="19" s="1"/>
  <c r="H23" i="19"/>
  <c r="K50" i="19"/>
  <c r="D63" i="19"/>
  <c r="E63" i="19" s="1"/>
  <c r="J99" i="19"/>
  <c r="F119" i="19"/>
  <c r="D121" i="19"/>
  <c r="E121" i="19" s="1"/>
  <c r="D123" i="19"/>
  <c r="E123" i="19" s="1"/>
  <c r="F127" i="19"/>
  <c r="D178" i="19"/>
  <c r="E178" i="19" s="1"/>
  <c r="K180" i="19"/>
  <c r="G182" i="19"/>
  <c r="J204" i="19"/>
  <c r="C55" i="19"/>
  <c r="I91" i="19"/>
  <c r="J106" i="19"/>
  <c r="K121" i="19"/>
  <c r="H129" i="19"/>
  <c r="H171" i="19"/>
  <c r="K201" i="19"/>
  <c r="K204" i="19"/>
  <c r="J221" i="19"/>
  <c r="D212" i="19"/>
  <c r="E212" i="19" s="1"/>
  <c r="C20" i="19"/>
  <c r="D28" i="19"/>
  <c r="E28" i="19" s="1"/>
  <c r="D38" i="19"/>
  <c r="E38" i="19" s="1"/>
  <c r="F45" i="19"/>
  <c r="K48" i="19"/>
  <c r="H55" i="19"/>
  <c r="G61" i="19"/>
  <c r="C64" i="19"/>
  <c r="D67" i="19"/>
  <c r="E67" i="19" s="1"/>
  <c r="H77" i="19"/>
  <c r="I83" i="19"/>
  <c r="J91" i="19"/>
  <c r="F97" i="19"/>
  <c r="K106" i="19"/>
  <c r="F113" i="19"/>
  <c r="C118" i="19"/>
  <c r="J119" i="19"/>
  <c r="I127" i="19"/>
  <c r="I129" i="19"/>
  <c r="J132" i="19"/>
  <c r="C141" i="19"/>
  <c r="J143" i="19"/>
  <c r="G145" i="19"/>
  <c r="D148" i="19"/>
  <c r="E148" i="19" s="1"/>
  <c r="C159" i="19"/>
  <c r="K161" i="19"/>
  <c r="C169" i="19"/>
  <c r="C175" i="19"/>
  <c r="C188" i="19"/>
  <c r="C190" i="19"/>
  <c r="D200" i="19"/>
  <c r="E200" i="19" s="1"/>
  <c r="D241" i="19"/>
  <c r="E241" i="19" s="1"/>
  <c r="I230" i="19"/>
  <c r="C235" i="19"/>
  <c r="K215" i="19"/>
  <c r="J43" i="19"/>
  <c r="H52" i="19"/>
  <c r="D71" i="19"/>
  <c r="E71" i="19" s="1"/>
  <c r="K74" i="19"/>
  <c r="I78" i="19"/>
  <c r="F81" i="19"/>
  <c r="F87" i="19"/>
  <c r="I92" i="19"/>
  <c r="F95" i="19"/>
  <c r="C111" i="19"/>
  <c r="G118" i="19"/>
  <c r="F128" i="19"/>
  <c r="K145" i="19"/>
  <c r="G157" i="19"/>
  <c r="J162" i="19"/>
  <c r="J167" i="19"/>
  <c r="F173" i="19"/>
  <c r="D183" i="19"/>
  <c r="E183" i="19" s="1"/>
  <c r="F200" i="19"/>
  <c r="F203" i="19"/>
  <c r="C133" i="19"/>
  <c r="D142" i="19"/>
  <c r="E142" i="19" s="1"/>
  <c r="H157" i="19"/>
  <c r="K162" i="19"/>
  <c r="K167" i="19"/>
  <c r="G173" i="19"/>
  <c r="C191" i="19"/>
  <c r="K105" i="19"/>
  <c r="C116" i="19"/>
  <c r="J128" i="19"/>
  <c r="C137" i="19"/>
  <c r="G142" i="19"/>
  <c r="J144" i="19"/>
  <c r="C150" i="19"/>
  <c r="J157" i="19"/>
  <c r="J173" i="19"/>
  <c r="J177" i="19"/>
  <c r="K183" i="19"/>
  <c r="I79" i="19"/>
  <c r="K88" i="19"/>
  <c r="H93" i="19"/>
  <c r="F99" i="19"/>
  <c r="K128" i="19"/>
  <c r="D137" i="19"/>
  <c r="E137" i="19" s="1"/>
  <c r="H142" i="19"/>
  <c r="K144" i="19"/>
  <c r="F166" i="19"/>
  <c r="J180" i="19"/>
  <c r="F243" i="19"/>
  <c r="K206" i="19"/>
  <c r="K217" i="19"/>
  <c r="C3" i="19"/>
  <c r="H69" i="19"/>
  <c r="F77" i="19"/>
  <c r="K85" i="19"/>
  <c r="H91" i="19"/>
  <c r="F135" i="19"/>
  <c r="I142" i="19"/>
  <c r="D156" i="19"/>
  <c r="E156" i="19" s="1"/>
  <c r="G161" i="19"/>
  <c r="G166" i="19"/>
  <c r="D195" i="19"/>
  <c r="E195" i="19" s="1"/>
  <c r="J201" i="19"/>
  <c r="I233" i="19"/>
  <c r="H221" i="19"/>
  <c r="C212" i="19"/>
  <c r="I48" i="19"/>
  <c r="C67" i="19"/>
  <c r="G77" i="19"/>
  <c r="D97" i="19"/>
  <c r="E97" i="19" s="1"/>
  <c r="C110" i="19"/>
  <c r="G114" i="19"/>
  <c r="H119" i="19"/>
  <c r="H127" i="19"/>
  <c r="C148" i="19"/>
  <c r="J161" i="19"/>
  <c r="F178" i="19"/>
  <c r="K185" i="19"/>
  <c r="D192" i="19"/>
  <c r="E192" i="19" s="1"/>
  <c r="F228" i="19"/>
  <c r="K235" i="19"/>
  <c r="H227" i="19"/>
  <c r="G209" i="19"/>
  <c r="C11" i="19"/>
  <c r="K26" i="19"/>
  <c r="K30" i="19"/>
  <c r="D35" i="19"/>
  <c r="E35" i="19" s="1"/>
  <c r="G40" i="19"/>
  <c r="K43" i="19"/>
  <c r="C50" i="19"/>
  <c r="J59" i="19"/>
  <c r="I68" i="19"/>
  <c r="F71" i="19"/>
  <c r="J78" i="19"/>
  <c r="G81" i="19"/>
  <c r="D84" i="19"/>
  <c r="E84" i="19" s="1"/>
  <c r="K87" i="19"/>
  <c r="K95" i="19"/>
  <c r="J105" i="19"/>
  <c r="D111" i="19"/>
  <c r="E111" i="19" s="1"/>
  <c r="H118" i="19"/>
  <c r="G128" i="19"/>
  <c r="D182" i="19"/>
  <c r="E182" i="19" s="1"/>
  <c r="F196" i="19"/>
  <c r="J213" i="19"/>
  <c r="H40" i="19"/>
  <c r="C57" i="19"/>
  <c r="H81" i="19"/>
  <c r="H101" i="19"/>
  <c r="C114" i="19"/>
  <c r="C199" i="19"/>
  <c r="I239" i="19"/>
  <c r="I206" i="19"/>
  <c r="K213" i="19"/>
  <c r="K12" i="19"/>
  <c r="I105" i="19"/>
  <c r="K195" i="19"/>
  <c r="C236" i="19"/>
  <c r="J239" i="19"/>
  <c r="F93" i="19"/>
  <c r="I75" i="19"/>
  <c r="K165" i="19"/>
  <c r="J153" i="19"/>
  <c r="J100" i="19"/>
  <c r="J38" i="19"/>
  <c r="C14" i="19"/>
  <c r="J218" i="19"/>
  <c r="G110" i="19"/>
  <c r="I168" i="19"/>
  <c r="C134" i="19"/>
  <c r="K27" i="19"/>
  <c r="G191" i="19"/>
  <c r="I144" i="19"/>
  <c r="K126" i="19"/>
  <c r="D90" i="19"/>
  <c r="E90" i="19" s="1"/>
  <c r="D209" i="19"/>
  <c r="E209" i="19" s="1"/>
  <c r="C205" i="19"/>
  <c r="H186" i="19"/>
  <c r="G172" i="19"/>
  <c r="H136" i="19"/>
  <c r="I9" i="19"/>
  <c r="H198" i="19"/>
  <c r="D169" i="19"/>
  <c r="E169" i="19" s="1"/>
  <c r="D48" i="19"/>
  <c r="E48" i="19" s="1"/>
  <c r="C178" i="19"/>
  <c r="K174" i="19"/>
  <c r="K67" i="19"/>
  <c r="D210" i="19"/>
  <c r="E210" i="19" s="1"/>
  <c r="C165" i="19"/>
  <c r="D105" i="19"/>
  <c r="E105" i="19" s="1"/>
  <c r="D59" i="19"/>
  <c r="E59" i="19" s="1"/>
  <c r="F29" i="19"/>
  <c r="K11" i="19"/>
  <c r="K232" i="19"/>
  <c r="I16" i="19"/>
  <c r="G188" i="19"/>
  <c r="D127" i="19"/>
  <c r="E127" i="19" s="1"/>
  <c r="F57" i="19"/>
  <c r="J235" i="19"/>
  <c r="C71" i="19"/>
  <c r="H203" i="19"/>
  <c r="G102" i="19"/>
  <c r="K68" i="19"/>
  <c r="H220" i="19"/>
  <c r="D238" i="19"/>
  <c r="E238" i="19" s="1"/>
  <c r="D74" i="19"/>
  <c r="E74" i="19" s="1"/>
  <c r="C206" i="19"/>
  <c r="H193" i="19"/>
  <c r="C96" i="19"/>
  <c r="H70" i="19"/>
  <c r="G49" i="19"/>
  <c r="G19" i="19"/>
  <c r="F114" i="19"/>
  <c r="C78" i="19"/>
  <c r="H18" i="19"/>
  <c r="D149" i="19"/>
  <c r="E149" i="19" s="1"/>
  <c r="F41" i="19"/>
  <c r="D217" i="19"/>
  <c r="E217" i="19" s="1"/>
  <c r="I35" i="19"/>
  <c r="F199" i="19"/>
  <c r="H125" i="19"/>
  <c r="K79" i="19"/>
  <c r="H56" i="19"/>
  <c r="H84" i="19"/>
  <c r="D243" i="19"/>
  <c r="E243" i="19" s="1"/>
  <c r="D51" i="19"/>
  <c r="E51" i="19" s="1"/>
  <c r="I243" i="19"/>
  <c r="D244" i="19"/>
  <c r="E244" i="19" s="1"/>
  <c r="J240" i="19"/>
  <c r="C242" i="19"/>
  <c r="F235" i="19"/>
  <c r="H230" i="19"/>
  <c r="G235" i="19"/>
  <c r="H225" i="19"/>
  <c r="I224" i="19"/>
  <c r="J226" i="19"/>
  <c r="F208" i="19"/>
  <c r="G210" i="19"/>
  <c r="K211" i="19"/>
  <c r="I218" i="19"/>
  <c r="J211" i="19"/>
  <c r="G124" i="19"/>
  <c r="I185" i="19"/>
  <c r="D134" i="19"/>
  <c r="E134" i="19" s="1"/>
  <c r="F86" i="19"/>
  <c r="J197" i="19"/>
  <c r="K158" i="19"/>
  <c r="J130" i="19"/>
  <c r="C37" i="19"/>
  <c r="D34" i="19"/>
  <c r="E34" i="19" s="1"/>
  <c r="J32" i="19"/>
  <c r="G13" i="19"/>
  <c r="K169" i="19"/>
  <c r="I187" i="19"/>
  <c r="D69" i="19"/>
  <c r="E69" i="19" s="1"/>
  <c r="F236" i="19"/>
  <c r="D166" i="19"/>
  <c r="E166" i="19" s="1"/>
  <c r="K93" i="19"/>
  <c r="J75" i="19"/>
  <c r="D53" i="19"/>
  <c r="E53" i="19" s="1"/>
  <c r="I165" i="19"/>
  <c r="I104" i="19"/>
  <c r="J90" i="19"/>
  <c r="K38" i="19"/>
  <c r="D14" i="19"/>
  <c r="E14" i="19" s="1"/>
  <c r="H110" i="19"/>
  <c r="C204" i="19"/>
  <c r="J168" i="19"/>
  <c r="F27" i="19"/>
  <c r="K186" i="19"/>
  <c r="J191" i="19"/>
  <c r="H144" i="19"/>
  <c r="F126" i="19"/>
  <c r="H62" i="19"/>
  <c r="I209" i="19"/>
  <c r="K205" i="19"/>
  <c r="C186" i="19"/>
  <c r="F122" i="19"/>
  <c r="D139" i="19"/>
  <c r="E139" i="19" s="1"/>
  <c r="F136" i="19"/>
  <c r="J9" i="19"/>
  <c r="I198" i="19"/>
  <c r="F169" i="19"/>
  <c r="G48" i="19"/>
  <c r="G178" i="19"/>
  <c r="D174" i="19"/>
  <c r="E174" i="19" s="1"/>
  <c r="C19" i="19"/>
  <c r="I210" i="19"/>
  <c r="H160" i="19"/>
  <c r="F105" i="19"/>
  <c r="H59" i="19"/>
  <c r="J29" i="19"/>
  <c r="D11" i="19"/>
  <c r="E11" i="19" s="1"/>
  <c r="H177" i="19"/>
  <c r="C208" i="19"/>
  <c r="I188" i="19"/>
  <c r="G119" i="19"/>
  <c r="H57" i="19"/>
  <c r="I33" i="19"/>
  <c r="J135" i="19"/>
  <c r="I40" i="19"/>
  <c r="I203" i="19"/>
  <c r="K82" i="19"/>
  <c r="D66" i="19"/>
  <c r="E66" i="19" s="1"/>
  <c r="H39" i="19"/>
  <c r="F222" i="19"/>
  <c r="K212" i="19"/>
  <c r="I238" i="19"/>
  <c r="F74" i="19"/>
  <c r="D206" i="19"/>
  <c r="E206" i="19" s="1"/>
  <c r="J193" i="19"/>
  <c r="K129" i="19"/>
  <c r="D70" i="19"/>
  <c r="E70" i="19" s="1"/>
  <c r="H19" i="19"/>
  <c r="C225" i="19"/>
  <c r="C103" i="19"/>
  <c r="D78" i="19"/>
  <c r="E78" i="19" s="1"/>
  <c r="H6" i="19"/>
  <c r="H132" i="19"/>
  <c r="G217" i="19"/>
  <c r="J35" i="19"/>
  <c r="I158" i="19"/>
  <c r="K120" i="19"/>
  <c r="G56" i="19"/>
  <c r="C84" i="19"/>
  <c r="F241" i="19"/>
  <c r="G8" i="19"/>
  <c r="K240" i="19"/>
  <c r="H242" i="19"/>
  <c r="H238" i="19"/>
  <c r="D239" i="19"/>
  <c r="E239" i="19" s="1"/>
  <c r="D233" i="19"/>
  <c r="E233" i="19" s="1"/>
  <c r="F230" i="19"/>
  <c r="D230" i="19"/>
  <c r="E230" i="19" s="1"/>
  <c r="D226" i="19"/>
  <c r="E226" i="19" s="1"/>
  <c r="D223" i="19"/>
  <c r="E223" i="19" s="1"/>
  <c r="K223" i="19"/>
  <c r="D219" i="19"/>
  <c r="E219" i="19" s="1"/>
  <c r="J209" i="19"/>
  <c r="C211" i="19"/>
  <c r="G216" i="19"/>
  <c r="K208" i="19"/>
  <c r="I124" i="19"/>
  <c r="C184" i="19"/>
  <c r="F133" i="19"/>
  <c r="G86" i="19"/>
  <c r="C192" i="19"/>
  <c r="J156" i="19"/>
  <c r="H116" i="19"/>
  <c r="K37" i="19"/>
  <c r="K122" i="19"/>
  <c r="F187" i="19"/>
  <c r="I23" i="19"/>
  <c r="K166" i="19"/>
  <c r="K75" i="19"/>
  <c r="F53" i="19"/>
  <c r="J165" i="19"/>
  <c r="H100" i="19"/>
  <c r="I90" i="19"/>
  <c r="G38" i="19"/>
  <c r="G14" i="19"/>
  <c r="J113" i="19"/>
  <c r="K110" i="19"/>
  <c r="D204" i="19"/>
  <c r="E204" i="19" s="1"/>
  <c r="C168" i="19"/>
  <c r="G27" i="19"/>
  <c r="D154" i="19"/>
  <c r="E154" i="19" s="1"/>
  <c r="D165" i="19"/>
  <c r="E165" i="19" s="1"/>
  <c r="F137" i="19"/>
  <c r="G126" i="19"/>
  <c r="J62" i="19"/>
  <c r="K209" i="19"/>
  <c r="J205" i="19"/>
  <c r="D186" i="19"/>
  <c r="E186" i="19" s="1"/>
  <c r="C122" i="19"/>
  <c r="G139" i="19"/>
  <c r="J136" i="19"/>
  <c r="I225" i="19"/>
  <c r="H185" i="19"/>
  <c r="I169" i="19"/>
  <c r="H48" i="19"/>
  <c r="J178" i="19"/>
  <c r="G156" i="19"/>
  <c r="G155" i="19"/>
  <c r="H161" i="19"/>
  <c r="F160" i="19"/>
  <c r="I59" i="19"/>
  <c r="F11" i="19"/>
  <c r="D43" i="19"/>
  <c r="E43" i="19" s="1"/>
  <c r="J188" i="19"/>
  <c r="I57" i="19"/>
  <c r="K33" i="19"/>
  <c r="D135" i="19"/>
  <c r="E135" i="19" s="1"/>
  <c r="C28" i="19"/>
  <c r="D167" i="19"/>
  <c r="E167" i="19" s="1"/>
  <c r="J66" i="19"/>
  <c r="G220" i="19"/>
  <c r="I222" i="19"/>
  <c r="I212" i="19"/>
  <c r="K238" i="19"/>
  <c r="C74" i="19"/>
  <c r="F206" i="19"/>
  <c r="K193" i="19"/>
  <c r="C129" i="19"/>
  <c r="J89" i="19"/>
  <c r="J70" i="19"/>
  <c r="H49" i="19"/>
  <c r="F19" i="19"/>
  <c r="G234" i="19"/>
  <c r="K98" i="19"/>
  <c r="I63" i="19"/>
  <c r="F6" i="19"/>
  <c r="G130" i="19"/>
  <c r="G34" i="19"/>
  <c r="I217" i="19"/>
  <c r="H30" i="19"/>
  <c r="J199" i="19"/>
  <c r="H114" i="19"/>
  <c r="C79" i="19"/>
  <c r="I56" i="19"/>
  <c r="K51" i="19"/>
  <c r="I241" i="19"/>
  <c r="C216" i="19"/>
  <c r="C76" i="19"/>
  <c r="G242" i="19"/>
  <c r="K237" i="19"/>
  <c r="G238" i="19"/>
  <c r="G232" i="19"/>
  <c r="K233" i="19"/>
  <c r="G229" i="19"/>
  <c r="G225" i="19"/>
  <c r="G222" i="19"/>
  <c r="H219" i="19"/>
  <c r="G218" i="19"/>
  <c r="F210" i="19"/>
  <c r="K219" i="19"/>
  <c r="J194" i="19"/>
  <c r="J181" i="19"/>
  <c r="K184" i="19"/>
  <c r="G133" i="19"/>
  <c r="D80" i="19"/>
  <c r="E80" i="19" s="1"/>
  <c r="K192" i="19"/>
  <c r="I155" i="19"/>
  <c r="F116" i="19"/>
  <c r="D37" i="19"/>
  <c r="E37" i="19" s="1"/>
  <c r="C34" i="19"/>
  <c r="K32" i="19"/>
  <c r="I13" i="19"/>
  <c r="K196" i="19"/>
  <c r="C187" i="19"/>
  <c r="I175" i="19"/>
  <c r="G171" i="19"/>
  <c r="G59" i="19"/>
  <c r="K187" i="19"/>
  <c r="K23" i="19"/>
  <c r="I236" i="19"/>
  <c r="G121" i="19"/>
  <c r="D93" i="19"/>
  <c r="E93" i="19" s="1"/>
  <c r="G75" i="19"/>
  <c r="K181" i="19"/>
  <c r="I153" i="19"/>
  <c r="G100" i="19"/>
  <c r="F38" i="19"/>
  <c r="F14" i="19"/>
  <c r="F218" i="19"/>
  <c r="K113" i="19"/>
  <c r="F110" i="19"/>
  <c r="H60" i="19"/>
  <c r="I163" i="19"/>
  <c r="J27" i="19"/>
  <c r="H146" i="19"/>
  <c r="D144" i="19"/>
  <c r="E144" i="19" s="1"/>
  <c r="H137" i="19"/>
  <c r="C101" i="19"/>
  <c r="F62" i="19"/>
  <c r="F209" i="19"/>
  <c r="I186" i="19"/>
  <c r="G122" i="19"/>
  <c r="I139" i="19"/>
  <c r="K118" i="19"/>
  <c r="K198" i="19"/>
  <c r="J185" i="19"/>
  <c r="H169" i="19"/>
  <c r="F48" i="19"/>
  <c r="H178" i="19"/>
  <c r="H67" i="19"/>
  <c r="C210" i="19"/>
  <c r="F198" i="19"/>
  <c r="F139" i="19"/>
  <c r="G105" i="19"/>
  <c r="C59" i="19"/>
  <c r="G11" i="19"/>
  <c r="I232" i="19"/>
  <c r="C43" i="19"/>
  <c r="C223" i="19"/>
  <c r="I183" i="19"/>
  <c r="G99" i="19"/>
  <c r="K57" i="19"/>
  <c r="D4" i="19"/>
  <c r="E4" i="19" s="1"/>
  <c r="G111" i="19"/>
  <c r="I147" i="19"/>
  <c r="F143" i="19"/>
  <c r="C80" i="19"/>
  <c r="K66" i="19"/>
  <c r="I220" i="19"/>
  <c r="C222" i="19"/>
  <c r="H212" i="19"/>
  <c r="J200" i="19"/>
  <c r="I74" i="19"/>
  <c r="G180" i="19"/>
  <c r="F176" i="19"/>
  <c r="K119" i="19"/>
  <c r="K89" i="19"/>
  <c r="F70" i="19"/>
  <c r="F49" i="19"/>
  <c r="K19" i="19"/>
  <c r="F234" i="19"/>
  <c r="D95" i="19"/>
  <c r="E95" i="19" s="1"/>
  <c r="D58" i="19"/>
  <c r="E58" i="19" s="1"/>
  <c r="D6" i="19"/>
  <c r="E6" i="19" s="1"/>
  <c r="G87" i="19"/>
  <c r="I26" i="19"/>
  <c r="H231" i="19"/>
  <c r="F30" i="19"/>
  <c r="H152" i="19"/>
  <c r="F106" i="19"/>
  <c r="C72" i="19"/>
  <c r="G227" i="19"/>
  <c r="J215" i="19"/>
  <c r="G240" i="19"/>
  <c r="J214" i="19"/>
  <c r="H46" i="19"/>
  <c r="F242" i="19"/>
  <c r="G239" i="19"/>
  <c r="H244" i="19"/>
  <c r="F232" i="19"/>
  <c r="K230" i="19"/>
  <c r="G195" i="19"/>
  <c r="F69" i="19"/>
  <c r="D236" i="19"/>
  <c r="E236" i="19" s="1"/>
  <c r="J236" i="19"/>
  <c r="H121" i="19"/>
  <c r="C75" i="19"/>
  <c r="H75" i="19"/>
  <c r="F165" i="19"/>
  <c r="F153" i="19"/>
  <c r="C100" i="19"/>
  <c r="J14" i="19"/>
  <c r="C218" i="19"/>
  <c r="D113" i="19"/>
  <c r="E113" i="19" s="1"/>
  <c r="G204" i="19"/>
  <c r="G168" i="19"/>
  <c r="D163" i="19"/>
  <c r="E163" i="19" s="1"/>
  <c r="I27" i="19"/>
  <c r="C144" i="19"/>
  <c r="K137" i="19"/>
  <c r="D101" i="19"/>
  <c r="E101" i="19" s="1"/>
  <c r="K62" i="19"/>
  <c r="D205" i="19"/>
  <c r="E205" i="19" s="1"/>
  <c r="J202" i="19"/>
  <c r="H122" i="19"/>
  <c r="J139" i="19"/>
  <c r="K9" i="19"/>
  <c r="D198" i="19"/>
  <c r="E198" i="19" s="1"/>
  <c r="F175" i="19"/>
  <c r="G138" i="19"/>
  <c r="G32" i="19"/>
  <c r="F174" i="19"/>
  <c r="I67" i="19"/>
  <c r="J210" i="19"/>
  <c r="C136" i="19"/>
  <c r="H105" i="19"/>
  <c r="F59" i="19"/>
  <c r="H11" i="19"/>
  <c r="D232" i="19"/>
  <c r="E232" i="19" s="1"/>
  <c r="G43" i="19"/>
  <c r="J223" i="19"/>
  <c r="J183" i="19"/>
  <c r="H99" i="19"/>
  <c r="D235" i="19"/>
  <c r="E235" i="19" s="1"/>
  <c r="F111" i="19"/>
  <c r="D128" i="19"/>
  <c r="E128" i="19" s="1"/>
  <c r="K127" i="19"/>
  <c r="K73" i="19"/>
  <c r="F66" i="19"/>
  <c r="J220" i="19"/>
  <c r="J222" i="19"/>
  <c r="F238" i="19"/>
  <c r="C173" i="19"/>
  <c r="J74" i="19"/>
  <c r="I162" i="19"/>
  <c r="I118" i="19"/>
  <c r="G89" i="19"/>
  <c r="G70" i="19"/>
  <c r="K49" i="19"/>
  <c r="F212" i="19"/>
  <c r="I234" i="19"/>
  <c r="H78" i="19"/>
  <c r="G58" i="19"/>
  <c r="J186" i="19"/>
  <c r="G236" i="19"/>
  <c r="J121" i="19"/>
  <c r="D100" i="19"/>
  <c r="E100" i="19" s="1"/>
  <c r="D110" i="19"/>
  <c r="E110" i="19" s="1"/>
  <c r="G163" i="19"/>
  <c r="F191" i="19"/>
  <c r="G101" i="19"/>
  <c r="C202" i="19"/>
  <c r="D122" i="19"/>
  <c r="E122" i="19" s="1"/>
  <c r="G169" i="19"/>
  <c r="J174" i="19"/>
  <c r="K100" i="19"/>
  <c r="J11" i="19"/>
  <c r="I208" i="19"/>
  <c r="I99" i="19"/>
  <c r="G66" i="19"/>
  <c r="G212" i="19"/>
  <c r="H74" i="19"/>
  <c r="I151" i="19"/>
  <c r="H89" i="19"/>
  <c r="J19" i="19"/>
  <c r="C95" i="19"/>
  <c r="I242" i="19"/>
  <c r="H26" i="19"/>
  <c r="G30" i="19"/>
  <c r="H86" i="19"/>
  <c r="K35" i="19"/>
  <c r="F52" i="19"/>
  <c r="C237" i="19"/>
  <c r="J231" i="19"/>
  <c r="G230" i="19"/>
  <c r="G226" i="19"/>
  <c r="G219" i="19"/>
  <c r="D211" i="19"/>
  <c r="E211" i="19" s="1"/>
  <c r="G207" i="19"/>
  <c r="K216" i="19"/>
  <c r="H108" i="19"/>
  <c r="K80" i="19"/>
  <c r="K151" i="19"/>
  <c r="J96" i="19"/>
  <c r="H34" i="19"/>
  <c r="K13" i="19"/>
  <c r="K200" i="19"/>
  <c r="H189" i="19"/>
  <c r="H170" i="19"/>
  <c r="J152" i="19"/>
  <c r="J133" i="19"/>
  <c r="F112" i="19"/>
  <c r="G55" i="19"/>
  <c r="K4" i="19"/>
  <c r="D124" i="19"/>
  <c r="E124" i="19" s="1"/>
  <c r="I102" i="19"/>
  <c r="H76" i="19"/>
  <c r="F60" i="19"/>
  <c r="F10" i="19"/>
  <c r="G154" i="19"/>
  <c r="J54" i="19"/>
  <c r="J17" i="19"/>
  <c r="C7" i="19"/>
  <c r="G151" i="19"/>
  <c r="C126" i="19"/>
  <c r="G135" i="19"/>
  <c r="I120" i="19"/>
  <c r="C21" i="19"/>
  <c r="G184" i="19"/>
  <c r="C194" i="19"/>
  <c r="J166" i="19"/>
  <c r="I126" i="19"/>
  <c r="H104" i="19"/>
  <c r="C54" i="19"/>
  <c r="F36" i="19"/>
  <c r="F31" i="19"/>
  <c r="H25" i="19"/>
  <c r="J20" i="19"/>
  <c r="K8" i="19"/>
  <c r="D130" i="19"/>
  <c r="E130" i="19" s="1"/>
  <c r="J76" i="19"/>
  <c r="G158" i="19"/>
  <c r="D125" i="19"/>
  <c r="E125" i="19" s="1"/>
  <c r="G73" i="19"/>
  <c r="I176" i="19"/>
  <c r="C152" i="19"/>
  <c r="C82" i="19"/>
  <c r="I138" i="19"/>
  <c r="C98" i="19"/>
  <c r="H197" i="19"/>
  <c r="D177" i="19"/>
  <c r="E177" i="19" s="1"/>
  <c r="G197" i="19"/>
  <c r="I173" i="19"/>
  <c r="G200" i="19"/>
  <c r="H191" i="19"/>
  <c r="F168" i="19"/>
  <c r="F162" i="19"/>
  <c r="G152" i="19"/>
  <c r="D143" i="19"/>
  <c r="E143" i="19" s="1"/>
  <c r="C107" i="19"/>
  <c r="G96" i="19"/>
  <c r="G85" i="19"/>
  <c r="J24" i="19"/>
  <c r="J21" i="19"/>
  <c r="C77" i="19"/>
  <c r="G63" i="19"/>
  <c r="K45" i="19"/>
  <c r="H28" i="19"/>
  <c r="F16" i="19"/>
  <c r="J110" i="19"/>
  <c r="F90" i="19"/>
  <c r="C68" i="19"/>
  <c r="H50" i="19"/>
  <c r="D26" i="19"/>
  <c r="E26" i="19" s="1"/>
  <c r="G9" i="19"/>
  <c r="H5" i="19"/>
  <c r="H128" i="19"/>
  <c r="H106" i="19"/>
  <c r="K71" i="19"/>
  <c r="D33" i="19"/>
  <c r="E33" i="19" s="1"/>
  <c r="G12" i="19"/>
  <c r="I62" i="19"/>
  <c r="I66" i="19"/>
  <c r="H195" i="19"/>
  <c r="H236" i="19"/>
  <c r="D181" i="19"/>
  <c r="E181" i="19" s="1"/>
  <c r="I100" i="19"/>
  <c r="I14" i="19"/>
  <c r="F204" i="19"/>
  <c r="J163" i="19"/>
  <c r="D153" i="19"/>
  <c r="E153" i="19" s="1"/>
  <c r="K101" i="19"/>
  <c r="J122" i="19"/>
  <c r="F9" i="19"/>
  <c r="D129" i="19"/>
  <c r="E129" i="19" s="1"/>
  <c r="G67" i="19"/>
  <c r="D175" i="19"/>
  <c r="E175" i="19" s="1"/>
  <c r="C90" i="19"/>
  <c r="H232" i="19"/>
  <c r="G196" i="19"/>
  <c r="G57" i="19"/>
  <c r="I235" i="19"/>
  <c r="F115" i="19"/>
  <c r="I39" i="19"/>
  <c r="J131" i="19"/>
  <c r="I89" i="19"/>
  <c r="I19" i="19"/>
  <c r="D197" i="19"/>
  <c r="E197" i="19" s="1"/>
  <c r="J26" i="19"/>
  <c r="H8" i="19"/>
  <c r="I86" i="19"/>
  <c r="D227" i="19"/>
  <c r="E227" i="19" s="1"/>
  <c r="H92" i="19"/>
  <c r="H22" i="19"/>
  <c r="H241" i="19"/>
  <c r="J233" i="19"/>
  <c r="F226" i="19"/>
  <c r="F211" i="19"/>
  <c r="G211" i="19"/>
  <c r="H164" i="19"/>
  <c r="D108" i="19"/>
  <c r="E108" i="19" s="1"/>
  <c r="J86" i="19"/>
  <c r="H202" i="19"/>
  <c r="K150" i="19"/>
  <c r="G37" i="19"/>
  <c r="I34" i="19"/>
  <c r="D13" i="19"/>
  <c r="E13" i="19" s="1"/>
  <c r="I197" i="19"/>
  <c r="F185" i="19"/>
  <c r="I174" i="19"/>
  <c r="I170" i="19"/>
  <c r="J151" i="19"/>
  <c r="I130" i="19"/>
  <c r="G112" i="19"/>
  <c r="J55" i="19"/>
  <c r="I152" i="19"/>
  <c r="K116" i="19"/>
  <c r="K102" i="19"/>
  <c r="G65" i="19"/>
  <c r="C18" i="19"/>
  <c r="G10" i="19"/>
  <c r="F138" i="19"/>
  <c r="K54" i="19"/>
  <c r="F15" i="19"/>
  <c r="K156" i="19"/>
  <c r="D7" i="19"/>
  <c r="E7" i="19" s="1"/>
  <c r="D151" i="19"/>
  <c r="E151" i="19" s="1"/>
  <c r="D126" i="19"/>
  <c r="E126" i="19" s="1"/>
  <c r="K108" i="19"/>
  <c r="K21" i="19"/>
  <c r="H172" i="19"/>
  <c r="G192" i="19"/>
  <c r="H166" i="19"/>
  <c r="J142" i="19"/>
  <c r="C124" i="19"/>
  <c r="K96" i="19"/>
  <c r="G41" i="19"/>
  <c r="G36" i="19"/>
  <c r="C31" i="19"/>
  <c r="C25" i="19"/>
  <c r="D20" i="19"/>
  <c r="E20" i="19" s="1"/>
  <c r="D8" i="19"/>
  <c r="E8" i="19" s="1"/>
  <c r="G103" i="19"/>
  <c r="K76" i="19"/>
  <c r="H158" i="19"/>
  <c r="F125" i="19"/>
  <c r="C73" i="19"/>
  <c r="D160" i="19"/>
  <c r="E160" i="19" s="1"/>
  <c r="K149" i="19"/>
  <c r="D82" i="19"/>
  <c r="E82" i="19" s="1"/>
  <c r="K125" i="19"/>
  <c r="D98" i="19"/>
  <c r="E98" i="19" s="1"/>
  <c r="D194" i="19"/>
  <c r="E194" i="19" s="1"/>
  <c r="H175" i="19"/>
  <c r="I196" i="19"/>
  <c r="J172" i="19"/>
  <c r="I199" i="19"/>
  <c r="F188" i="19"/>
  <c r="D176" i="19"/>
  <c r="E176" i="19" s="1"/>
  <c r="G167" i="19"/>
  <c r="G162" i="19"/>
  <c r="F151" i="19"/>
  <c r="K141" i="19"/>
  <c r="F120" i="19"/>
  <c r="K107" i="19"/>
  <c r="J42" i="19"/>
  <c r="C24" i="19"/>
  <c r="K77" i="19"/>
  <c r="H63" i="19"/>
  <c r="D45" i="19"/>
  <c r="E45" i="19" s="1"/>
  <c r="I28" i="19"/>
  <c r="I132" i="19"/>
  <c r="I106" i="19"/>
  <c r="G90" i="19"/>
  <c r="D68" i="19"/>
  <c r="E68" i="19" s="1"/>
  <c r="I50" i="19"/>
  <c r="H9" i="19"/>
  <c r="I5" i="19"/>
  <c r="H123" i="19"/>
  <c r="I101" i="19"/>
  <c r="K63" i="19"/>
  <c r="C29" i="19"/>
  <c r="H12" i="19"/>
  <c r="C61" i="19"/>
  <c r="G62" i="19"/>
  <c r="F195" i="19"/>
  <c r="C93" i="19"/>
  <c r="G165" i="19"/>
  <c r="H38" i="19"/>
  <c r="D218" i="19"/>
  <c r="E218" i="19" s="1"/>
  <c r="H204" i="19"/>
  <c r="H27" i="19"/>
  <c r="F144" i="19"/>
  <c r="D62" i="19"/>
  <c r="E62" i="19" s="1"/>
  <c r="K202" i="19"/>
  <c r="I122" i="19"/>
  <c r="C198" i="19"/>
  <c r="D89" i="19"/>
  <c r="E89" i="19" s="1"/>
  <c r="F67" i="19"/>
  <c r="J169" i="19"/>
  <c r="J232" i="19"/>
  <c r="J196" i="19"/>
  <c r="J57" i="19"/>
  <c r="D116" i="19"/>
  <c r="E116" i="19" s="1"/>
  <c r="F102" i="19"/>
  <c r="J212" i="19"/>
  <c r="J206" i="19"/>
  <c r="K70" i="19"/>
  <c r="F225" i="19"/>
  <c r="K78" i="19"/>
  <c r="J114" i="19"/>
  <c r="H217" i="19"/>
  <c r="H201" i="19"/>
  <c r="G79" i="19"/>
  <c r="C227" i="19"/>
  <c r="J65" i="19"/>
  <c r="C230" i="19"/>
  <c r="F239" i="19"/>
  <c r="H229" i="19"/>
  <c r="I223" i="19"/>
  <c r="I226" i="19"/>
  <c r="G208" i="19"/>
  <c r="H207" i="19"/>
  <c r="H208" i="19"/>
  <c r="C164" i="19"/>
  <c r="F108" i="19"/>
  <c r="C86" i="19"/>
  <c r="I189" i="19"/>
  <c r="J149" i="19"/>
  <c r="H37" i="19"/>
  <c r="J34" i="19"/>
  <c r="H13" i="19"/>
  <c r="H184" i="19"/>
  <c r="G164" i="19"/>
  <c r="I150" i="19"/>
  <c r="J125" i="19"/>
  <c r="H112" i="19"/>
  <c r="K55" i="19"/>
  <c r="F149" i="19"/>
  <c r="I108" i="19"/>
  <c r="C83" i="19"/>
  <c r="K60" i="19"/>
  <c r="F18" i="19"/>
  <c r="H10" i="19"/>
  <c r="C138" i="19"/>
  <c r="G17" i="19"/>
  <c r="C15" i="19"/>
  <c r="C156" i="19"/>
  <c r="G7" i="19"/>
  <c r="C147" i="19"/>
  <c r="K124" i="19"/>
  <c r="K135" i="19"/>
  <c r="F44" i="19"/>
  <c r="D21" i="19"/>
  <c r="E21" i="19" s="1"/>
  <c r="D172" i="19"/>
  <c r="E172" i="19" s="1"/>
  <c r="I191" i="19"/>
  <c r="I166" i="19"/>
  <c r="F142" i="19"/>
  <c r="J120" i="19"/>
  <c r="D88" i="19"/>
  <c r="E88" i="19" s="1"/>
  <c r="H41" i="19"/>
  <c r="H36" i="19"/>
  <c r="D31" i="19"/>
  <c r="E31" i="19" s="1"/>
  <c r="D25" i="19"/>
  <c r="E25" i="19" s="1"/>
  <c r="K20" i="19"/>
  <c r="F8" i="19"/>
  <c r="F103" i="19"/>
  <c r="I194" i="19"/>
  <c r="G125" i="19"/>
  <c r="D73" i="19"/>
  <c r="E73" i="19" s="1"/>
  <c r="C160" i="19"/>
  <c r="F146" i="19"/>
  <c r="G194" i="19"/>
  <c r="J124" i="19"/>
  <c r="D42" i="19"/>
  <c r="E42" i="19" s="1"/>
  <c r="H192" i="19"/>
  <c r="K172" i="19"/>
  <c r="D185" i="19"/>
  <c r="E185" i="19" s="1"/>
  <c r="J171" i="19"/>
  <c r="F197" i="19"/>
  <c r="H187" i="19"/>
  <c r="G174" i="19"/>
  <c r="F167" i="19"/>
  <c r="H162" i="19"/>
  <c r="D150" i="19"/>
  <c r="E150" i="19" s="1"/>
  <c r="J117" i="19"/>
  <c r="F107" i="19"/>
  <c r="J94" i="19"/>
  <c r="C85" i="19"/>
  <c r="F39" i="19"/>
  <c r="K24" i="19"/>
  <c r="G45" i="19"/>
  <c r="J28" i="19"/>
  <c r="C131" i="19"/>
  <c r="J101" i="19"/>
  <c r="H90" i="19"/>
  <c r="C26" i="19"/>
  <c r="C9" i="19"/>
  <c r="I140" i="19"/>
  <c r="I119" i="19"/>
  <c r="C99" i="19"/>
  <c r="C47" i="19"/>
  <c r="K29" i="19"/>
  <c r="I12" i="19"/>
  <c r="K61" i="19"/>
  <c r="I61" i="19"/>
  <c r="G187" i="19"/>
  <c r="K236" i="19"/>
  <c r="H165" i="19"/>
  <c r="K218" i="19"/>
  <c r="C27" i="19"/>
  <c r="G144" i="19"/>
  <c r="C62" i="19"/>
  <c r="G186" i="19"/>
  <c r="G198" i="19"/>
  <c r="C48" i="19"/>
  <c r="J67" i="19"/>
  <c r="C153" i="19"/>
  <c r="C49" i="19"/>
  <c r="C232" i="19"/>
  <c r="F183" i="19"/>
  <c r="J111" i="19"/>
  <c r="C220" i="19"/>
  <c r="G206" i="19"/>
  <c r="J127" i="19"/>
  <c r="I65" i="19"/>
  <c r="D225" i="19"/>
  <c r="E225" i="19" s="1"/>
  <c r="J63" i="19"/>
  <c r="I87" i="19"/>
  <c r="D213" i="19"/>
  <c r="E213" i="19" s="1"/>
  <c r="I157" i="19"/>
  <c r="K92" i="19"/>
  <c r="D54" i="19"/>
  <c r="E54" i="19" s="1"/>
  <c r="F229" i="19"/>
  <c r="K242" i="19"/>
  <c r="H233" i="19"/>
  <c r="H223" i="19"/>
  <c r="H226" i="19"/>
  <c r="G213" i="19"/>
  <c r="H216" i="19"/>
  <c r="F219" i="19"/>
  <c r="D164" i="19"/>
  <c r="E164" i="19" s="1"/>
  <c r="I181" i="19"/>
  <c r="I69" i="19"/>
  <c r="C239" i="19"/>
  <c r="D75" i="19"/>
  <c r="E75" i="19" s="1"/>
  <c r="H153" i="19"/>
  <c r="C38" i="19"/>
  <c r="D171" i="19"/>
  <c r="E171" i="19" s="1"/>
  <c r="D27" i="19"/>
  <c r="E27" i="19" s="1"/>
  <c r="G137" i="19"/>
  <c r="H209" i="19"/>
  <c r="F186" i="19"/>
  <c r="H139" i="19"/>
  <c r="J198" i="19"/>
  <c r="I178" i="19"/>
  <c r="H210" i="19"/>
  <c r="F43" i="19"/>
  <c r="H159" i="19"/>
  <c r="H47" i="19"/>
  <c r="K111" i="19"/>
  <c r="I82" i="19"/>
  <c r="F220" i="19"/>
  <c r="C238" i="19"/>
  <c r="F96" i="19"/>
  <c r="G60" i="19"/>
  <c r="J58" i="19"/>
  <c r="J87" i="19"/>
  <c r="F231" i="19"/>
  <c r="H148" i="19"/>
  <c r="I72" i="19"/>
  <c r="F215" i="19"/>
  <c r="H239" i="19"/>
  <c r="J237" i="19"/>
  <c r="G233" i="19"/>
  <c r="G223" i="19"/>
  <c r="F223" i="19"/>
  <c r="J217" i="19"/>
  <c r="H213" i="19"/>
  <c r="C219" i="19"/>
  <c r="H124" i="19"/>
  <c r="J155" i="19"/>
  <c r="D86" i="19"/>
  <c r="E86" i="19" s="1"/>
  <c r="I164" i="19"/>
  <c r="G116" i="19"/>
  <c r="F37" i="19"/>
  <c r="C32" i="19"/>
  <c r="J13" i="19"/>
  <c r="G193" i="19"/>
  <c r="I180" i="19"/>
  <c r="C171" i="19"/>
  <c r="J159" i="19"/>
  <c r="J147" i="19"/>
  <c r="D117" i="19"/>
  <c r="E117" i="19" s="1"/>
  <c r="J104" i="19"/>
  <c r="G4" i="19"/>
  <c r="I134" i="19"/>
  <c r="D83" i="19"/>
  <c r="E83" i="19" s="1"/>
  <c r="C65" i="19"/>
  <c r="D60" i="19"/>
  <c r="E60" i="19" s="1"/>
  <c r="K18" i="19"/>
  <c r="C155" i="19"/>
  <c r="H54" i="19"/>
  <c r="C17" i="19"/>
  <c r="G15" i="19"/>
  <c r="D104" i="19"/>
  <c r="E104" i="19" s="1"/>
  <c r="H7" i="19"/>
  <c r="K109" i="19"/>
  <c r="K133" i="19"/>
  <c r="H44" i="19"/>
  <c r="H21" i="19"/>
  <c r="F201" i="19"/>
  <c r="H188" i="19"/>
  <c r="F155" i="19"/>
  <c r="H141" i="19"/>
  <c r="J116" i="19"/>
  <c r="C88" i="19"/>
  <c r="D41" i="19"/>
  <c r="E41" i="19" s="1"/>
  <c r="J36" i="19"/>
  <c r="H31" i="19"/>
  <c r="F20" i="19"/>
  <c r="H15" i="19"/>
  <c r="F130" i="19"/>
  <c r="I103" i="19"/>
  <c r="K176" i="19"/>
  <c r="F150" i="19"/>
  <c r="K115" i="19"/>
  <c r="F73" i="19"/>
  <c r="F159" i="19"/>
  <c r="J138" i="19"/>
  <c r="G185" i="19"/>
  <c r="J103" i="19"/>
  <c r="C42" i="19"/>
  <c r="I160" i="19"/>
  <c r="H183" i="19"/>
  <c r="G205" i="19"/>
  <c r="I195" i="19"/>
  <c r="G183" i="19"/>
  <c r="I172" i="19"/>
  <c r="D159" i="19"/>
  <c r="E159" i="19" s="1"/>
  <c r="G147" i="19"/>
  <c r="G134" i="19"/>
  <c r="D115" i="19"/>
  <c r="E115" i="19" s="1"/>
  <c r="H107" i="19"/>
  <c r="K94" i="19"/>
  <c r="J82" i="19"/>
  <c r="D39" i="19"/>
  <c r="E39" i="19" s="1"/>
  <c r="F24" i="19"/>
  <c r="C123" i="19"/>
  <c r="G71" i="19"/>
  <c r="C56" i="19"/>
  <c r="I45" i="19"/>
  <c r="J16" i="19"/>
  <c r="I128" i="19"/>
  <c r="J93" i="19"/>
  <c r="J72" i="19"/>
  <c r="D64" i="19"/>
  <c r="E64" i="19" s="1"/>
  <c r="C40" i="19"/>
  <c r="F23" i="19"/>
  <c r="C5" i="19"/>
  <c r="K139" i="19"/>
  <c r="J118" i="19"/>
  <c r="D99" i="19"/>
  <c r="E99" i="19" s="1"/>
  <c r="F47" i="19"/>
  <c r="G29" i="19"/>
  <c r="C53" i="19"/>
  <c r="I53" i="19"/>
  <c r="H53" i="19"/>
  <c r="F76" i="19"/>
  <c r="K164" i="19"/>
  <c r="G150" i="19"/>
  <c r="G115" i="19"/>
  <c r="H73" i="19"/>
  <c r="D152" i="19"/>
  <c r="E152" i="19" s="1"/>
  <c r="F82" i="19"/>
  <c r="I184" i="19"/>
  <c r="F98" i="19"/>
  <c r="F42" i="19"/>
  <c r="J187" i="19"/>
  <c r="I159" i="19"/>
  <c r="C177" i="19"/>
  <c r="I204" i="19"/>
  <c r="K194" i="19"/>
  <c r="C181" i="19"/>
  <c r="I171" i="19"/>
  <c r="C163" i="19"/>
  <c r="D158" i="19"/>
  <c r="E158" i="19" s="1"/>
  <c r="G146" i="19"/>
  <c r="D133" i="19"/>
  <c r="E133" i="19" s="1"/>
  <c r="J112" i="19"/>
  <c r="C104" i="19"/>
  <c r="H94" i="19"/>
  <c r="G80" i="19"/>
  <c r="G39" i="19"/>
  <c r="G24" i="19"/>
  <c r="K123" i="19"/>
  <c r="H71" i="19"/>
  <c r="D56" i="19"/>
  <c r="E56" i="19" s="1"/>
  <c r="F33" i="19"/>
  <c r="C16" i="19"/>
  <c r="I123" i="19"/>
  <c r="C91" i="19"/>
  <c r="F72" i="19"/>
  <c r="F64" i="19"/>
  <c r="K40" i="19"/>
  <c r="C23" i="19"/>
  <c r="K5" i="19"/>
  <c r="I136" i="19"/>
  <c r="I114" i="19"/>
  <c r="I95" i="19"/>
  <c r="G33" i="19"/>
  <c r="J69" i="19"/>
  <c r="F75" i="19"/>
  <c r="K153" i="19"/>
  <c r="I38" i="19"/>
  <c r="C113" i="19"/>
  <c r="H168" i="19"/>
  <c r="H150" i="19"/>
  <c r="I137" i="19"/>
  <c r="C209" i="19"/>
  <c r="D136" i="19"/>
  <c r="E136" i="19" s="1"/>
  <c r="K210" i="19"/>
  <c r="G113" i="19"/>
  <c r="H43" i="19"/>
  <c r="G127" i="19"/>
  <c r="I47" i="19"/>
  <c r="K28" i="19"/>
  <c r="H68" i="19"/>
  <c r="K220" i="19"/>
  <c r="J238" i="19"/>
  <c r="C180" i="19"/>
  <c r="D234" i="19"/>
  <c r="E234" i="19" s="1"/>
  <c r="G18" i="19"/>
  <c r="J83" i="19"/>
  <c r="D231" i="19"/>
  <c r="E231" i="19" s="1"/>
  <c r="H140" i="19"/>
  <c r="D72" i="19"/>
  <c r="E72" i="19" s="1"/>
  <c r="H224" i="19"/>
  <c r="F207" i="19"/>
  <c r="F244" i="19"/>
  <c r="G244" i="19"/>
  <c r="C233" i="19"/>
  <c r="J224" i="19"/>
  <c r="K226" i="19"/>
  <c r="H218" i="19"/>
  <c r="D216" i="19"/>
  <c r="E216" i="19" s="1"/>
  <c r="F124" i="19"/>
  <c r="J154" i="19"/>
  <c r="F80" i="19"/>
  <c r="K160" i="19"/>
  <c r="D96" i="19"/>
  <c r="E96" i="19" s="1"/>
  <c r="J37" i="19"/>
  <c r="D32" i="19"/>
  <c r="E32" i="19" s="1"/>
  <c r="G202" i="19"/>
  <c r="I192" i="19"/>
  <c r="K171" i="19"/>
  <c r="I156" i="19"/>
  <c r="J146" i="19"/>
  <c r="F117" i="19"/>
  <c r="I76" i="19"/>
  <c r="H4" i="19"/>
  <c r="I133" i="19"/>
  <c r="J102" i="19"/>
  <c r="F83" i="19"/>
  <c r="D65" i="19"/>
  <c r="E65" i="19" s="1"/>
  <c r="I60" i="19"/>
  <c r="D10" i="19"/>
  <c r="E10" i="19" s="1"/>
  <c r="K155" i="19"/>
  <c r="F54" i="19"/>
  <c r="D17" i="19"/>
  <c r="E17" i="19" s="1"/>
  <c r="J15" i="19"/>
  <c r="F104" i="19"/>
  <c r="I7" i="19"/>
  <c r="D147" i="19"/>
  <c r="E147" i="19" s="1"/>
  <c r="C109" i="19"/>
  <c r="D120" i="19"/>
  <c r="E120" i="19" s="1"/>
  <c r="I44" i="19"/>
  <c r="I21" i="19"/>
  <c r="H200" i="19"/>
  <c r="F180" i="19"/>
  <c r="C154" i="19"/>
  <c r="I135" i="19"/>
  <c r="K112" i="19"/>
  <c r="G88" i="19"/>
  <c r="I41" i="19"/>
  <c r="I31" i="19"/>
  <c r="G20" i="19"/>
  <c r="G53" i="19"/>
  <c r="C146" i="19"/>
  <c r="F172" i="19"/>
  <c r="C105" i="19"/>
  <c r="K234" i="19"/>
  <c r="K132" i="19"/>
  <c r="H235" i="19"/>
  <c r="F213" i="19"/>
  <c r="I154" i="19"/>
  <c r="F32" i="19"/>
  <c r="F171" i="19"/>
  <c r="C117" i="19"/>
  <c r="J4" i="19"/>
  <c r="K83" i="19"/>
  <c r="C60" i="19"/>
  <c r="D155" i="19"/>
  <c r="E155" i="19" s="1"/>
  <c r="D15" i="19"/>
  <c r="E15" i="19" s="1"/>
  <c r="I202" i="19"/>
  <c r="K103" i="19"/>
  <c r="G21" i="19"/>
  <c r="K117" i="19"/>
  <c r="K41" i="19"/>
  <c r="K25" i="19"/>
  <c r="J158" i="19"/>
  <c r="H82" i="19"/>
  <c r="K42" i="19"/>
  <c r="H205" i="19"/>
  <c r="D193" i="19"/>
  <c r="E193" i="19" s="1"/>
  <c r="D168" i="19"/>
  <c r="E168" i="19" s="1"/>
  <c r="C149" i="19"/>
  <c r="I116" i="19"/>
  <c r="I94" i="19"/>
  <c r="K39" i="19"/>
  <c r="G95" i="19"/>
  <c r="G47" i="19"/>
  <c r="K131" i="19"/>
  <c r="F68" i="19"/>
  <c r="F40" i="19"/>
  <c r="C139" i="19"/>
  <c r="K90" i="19"/>
  <c r="J12" i="19"/>
  <c r="H58" i="19"/>
  <c r="G82" i="19"/>
  <c r="I93" i="19"/>
  <c r="J23" i="19"/>
  <c r="J53" i="19"/>
  <c r="J137" i="19"/>
  <c r="K178" i="19"/>
  <c r="C119" i="19"/>
  <c r="D173" i="19"/>
  <c r="E173" i="19" s="1"/>
  <c r="J109" i="19"/>
  <c r="J207" i="19"/>
  <c r="F233" i="19"/>
  <c r="J134" i="19"/>
  <c r="K146" i="19"/>
  <c r="C13" i="19"/>
  <c r="G181" i="19"/>
  <c r="F170" i="19"/>
  <c r="J115" i="19"/>
  <c r="I146" i="19"/>
  <c r="G83" i="19"/>
  <c r="J60" i="19"/>
  <c r="F154" i="19"/>
  <c r="K15" i="19"/>
  <c r="J164" i="19"/>
  <c r="F202" i="19"/>
  <c r="F156" i="19"/>
  <c r="I109" i="19"/>
  <c r="I36" i="19"/>
  <c r="H20" i="19"/>
  <c r="K130" i="19"/>
  <c r="H194" i="19"/>
  <c r="I193" i="19"/>
  <c r="G201" i="19"/>
  <c r="F184" i="19"/>
  <c r="F192" i="19"/>
  <c r="H167" i="19"/>
  <c r="G143" i="19"/>
  <c r="H109" i="19"/>
  <c r="F85" i="19"/>
  <c r="H95" i="19"/>
  <c r="C45" i="19"/>
  <c r="I111" i="19"/>
  <c r="G132" i="19"/>
  <c r="D47" i="19"/>
  <c r="E47" i="19" s="1"/>
  <c r="K53" i="19"/>
  <c r="I49" i="19"/>
  <c r="F21" i="19"/>
  <c r="G241" i="19"/>
  <c r="G215" i="19"/>
  <c r="I80" i="19"/>
  <c r="G176" i="19"/>
  <c r="H154" i="19"/>
  <c r="D103" i="19"/>
  <c r="E103" i="19" s="1"/>
  <c r="I54" i="19"/>
  <c r="D76" i="19"/>
  <c r="E76" i="19" s="1"/>
  <c r="K104" i="19"/>
  <c r="J170" i="19"/>
  <c r="F163" i="19"/>
  <c r="I24" i="19"/>
  <c r="K91" i="19"/>
  <c r="H111" i="19"/>
  <c r="I11" i="19"/>
  <c r="K34" i="19"/>
  <c r="J242" i="19"/>
  <c r="J219" i="19"/>
  <c r="G149" i="19"/>
  <c r="F65" i="19"/>
  <c r="H17" i="19"/>
  <c r="J126" i="19"/>
  <c r="G141" i="19"/>
  <c r="J8" i="19"/>
  <c r="K152" i="19"/>
  <c r="F63" i="19"/>
  <c r="D9" i="19"/>
  <c r="E9" i="19" s="1"/>
  <c r="H29" i="19"/>
  <c r="K14" i="19"/>
  <c r="J234" i="19"/>
  <c r="H215" i="19"/>
  <c r="K159" i="19"/>
  <c r="K191" i="19"/>
  <c r="K134" i="19"/>
  <c r="I10" i="19"/>
  <c r="C39" i="19"/>
  <c r="J56" i="19"/>
  <c r="G5" i="19"/>
  <c r="H113" i="19"/>
  <c r="F101" i="19"/>
  <c r="G136" i="19"/>
  <c r="C174" i="19"/>
  <c r="J68" i="19"/>
  <c r="D118" i="19"/>
  <c r="E118" i="19" s="1"/>
  <c r="C89" i="19"/>
  <c r="C6" i="19"/>
  <c r="J228" i="19"/>
  <c r="F216" i="19"/>
  <c r="H96" i="19"/>
  <c r="F13" i="19"/>
  <c r="J160" i="19"/>
  <c r="D112" i="19"/>
  <c r="E112" i="19" s="1"/>
  <c r="H130" i="19"/>
  <c r="H83" i="19"/>
  <c r="D18" i="19"/>
  <c r="E18" i="19" s="1"/>
  <c r="D138" i="19"/>
  <c r="E138" i="19" s="1"/>
  <c r="H156" i="19"/>
  <c r="K147" i="19"/>
  <c r="C135" i="19"/>
  <c r="F193" i="19"/>
  <c r="H151" i="19"/>
  <c r="G108" i="19"/>
  <c r="I20" i="19"/>
  <c r="C130" i="19"/>
  <c r="J150" i="19"/>
  <c r="G177" i="19"/>
  <c r="F177" i="19"/>
  <c r="G189" i="19"/>
  <c r="G175" i="19"/>
  <c r="C185" i="19"/>
  <c r="C143" i="19"/>
  <c r="C108" i="19"/>
  <c r="D24" i="19"/>
  <c r="E24" i="19" s="1"/>
  <c r="H45" i="19"/>
  <c r="J64" i="19"/>
  <c r="F26" i="19"/>
  <c r="I131" i="19"/>
  <c r="H33" i="19"/>
  <c r="H87" i="19"/>
  <c r="I15" i="19"/>
  <c r="J18" i="19"/>
  <c r="I149" i="19"/>
  <c r="F181" i="19"/>
  <c r="K177" i="19"/>
  <c r="H135" i="19"/>
  <c r="G28" i="19"/>
  <c r="G50" i="19"/>
  <c r="D29" i="19"/>
  <c r="E29" i="19" s="1"/>
  <c r="G104" i="19"/>
  <c r="J195" i="19"/>
  <c r="G31" i="19"/>
  <c r="C115" i="19"/>
  <c r="H180" i="19"/>
  <c r="H126" i="19"/>
  <c r="J73" i="19"/>
  <c r="D91" i="19"/>
  <c r="E91" i="19" s="1"/>
  <c r="I110" i="19"/>
  <c r="C172" i="19"/>
  <c r="K138" i="19"/>
  <c r="H102" i="19"/>
  <c r="D109" i="19"/>
  <c r="E109" i="19" s="1"/>
  <c r="H133" i="19"/>
  <c r="G25" i="19"/>
  <c r="K7" i="19"/>
  <c r="G72" i="19"/>
  <c r="F12" i="19"/>
  <c r="G153" i="19"/>
  <c r="I113" i="19"/>
  <c r="F205" i="19"/>
  <c r="K136" i="19"/>
  <c r="H66" i="19"/>
  <c r="H61" i="19"/>
  <c r="D242" i="19"/>
  <c r="E242" i="19" s="1"/>
  <c r="H222" i="19"/>
  <c r="D208" i="19"/>
  <c r="E208" i="19" s="1"/>
  <c r="K86" i="19"/>
  <c r="I96" i="19"/>
  <c r="I201" i="19"/>
  <c r="J179" i="19"/>
  <c r="H155" i="19"/>
  <c r="J108" i="19"/>
  <c r="I125" i="19"/>
  <c r="G54" i="19"/>
  <c r="G120" i="19"/>
  <c r="D202" i="19"/>
  <c r="E202" i="19" s="1"/>
  <c r="H147" i="19"/>
  <c r="F88" i="19"/>
  <c r="C36" i="19"/>
  <c r="K17" i="19"/>
  <c r="H103" i="19"/>
  <c r="H149" i="19"/>
  <c r="G159" i="19"/>
  <c r="H176" i="19"/>
  <c r="H174" i="19"/>
  <c r="G179" i="19"/>
  <c r="K163" i="19"/>
  <c r="G107" i="19"/>
  <c r="D85" i="19"/>
  <c r="E85" i="19" s="1"/>
  <c r="H24" i="19"/>
  <c r="D77" i="19"/>
  <c r="E77" i="19" s="1"/>
  <c r="F28" i="19"/>
  <c r="J95" i="19"/>
  <c r="D50" i="19"/>
  <c r="E50" i="19" s="1"/>
  <c r="D23" i="19"/>
  <c r="E23" i="19" s="1"/>
  <c r="C33" i="19"/>
  <c r="H79" i="19"/>
  <c r="J48" i="19"/>
  <c r="F121" i="19"/>
  <c r="F100" i="19"/>
  <c r="I205" i="19"/>
  <c r="J49" i="19"/>
  <c r="D61" i="19"/>
  <c r="E61" i="19" s="1"/>
  <c r="C226" i="19"/>
  <c r="I37" i="19"/>
  <c r="C200" i="19"/>
  <c r="D55" i="19"/>
  <c r="E55" i="19" s="1"/>
  <c r="K65" i="19"/>
  <c r="K154" i="19"/>
  <c r="H120" i="19"/>
  <c r="H88" i="19"/>
  <c r="D36" i="19"/>
  <c r="E36" i="19" s="1"/>
  <c r="I71" i="19"/>
  <c r="G23" i="19"/>
  <c r="I58" i="19"/>
  <c r="I121" i="19"/>
  <c r="I200" i="19"/>
  <c r="D224" i="19"/>
  <c r="E224" i="19" s="1"/>
  <c r="H211" i="19"/>
  <c r="J80" i="19"/>
  <c r="F55" i="19"/>
  <c r="G44" i="19"/>
  <c r="H80" i="19"/>
  <c r="G76" i="19"/>
  <c r="G98" i="19"/>
  <c r="G160" i="19"/>
  <c r="J98" i="19"/>
  <c r="I70" i="19"/>
  <c r="K175" i="19"/>
  <c r="C128" i="19"/>
  <c r="K173" i="19"/>
  <c r="I4" i="19"/>
  <c r="I17" i="19"/>
  <c r="K44" i="19"/>
  <c r="J41" i="19"/>
  <c r="I8" i="19"/>
  <c r="F158" i="19"/>
  <c r="G170" i="19"/>
  <c r="C94" i="19"/>
  <c r="D16" i="19"/>
  <c r="E16" i="19" s="1"/>
  <c r="D40" i="19"/>
  <c r="E40" i="19" s="1"/>
  <c r="K69" i="19"/>
  <c r="H14" i="19"/>
  <c r="H163" i="19"/>
  <c r="J175" i="19"/>
  <c r="H16" i="19"/>
  <c r="K222" i="19"/>
  <c r="D189" i="19"/>
  <c r="E189" i="19" s="1"/>
  <c r="C35" i="19"/>
  <c r="C228" i="19"/>
  <c r="K239" i="19"/>
  <c r="I177" i="19"/>
  <c r="H181" i="19"/>
  <c r="F34" i="19"/>
  <c r="F194" i="19"/>
  <c r="H138" i="19"/>
  <c r="F4" i="19"/>
  <c r="C102" i="19"/>
  <c r="H65" i="19"/>
  <c r="C10" i="19"/>
  <c r="F17" i="19"/>
  <c r="F7" i="19"/>
  <c r="J44" i="19"/>
  <c r="F189" i="19"/>
  <c r="H134" i="19"/>
  <c r="C41" i="19"/>
  <c r="J31" i="19"/>
  <c r="C8" i="19"/>
  <c r="C176" i="19"/>
  <c r="H115" i="19"/>
  <c r="D146" i="19"/>
  <c r="E146" i="19" s="1"/>
  <c r="F164" i="19"/>
  <c r="J203" i="19"/>
  <c r="H173" i="19"/>
  <c r="C125" i="19"/>
  <c r="K16" i="19"/>
  <c r="J40" i="19"/>
  <c r="D5" i="19"/>
  <c r="E5" i="19" s="1"/>
  <c r="K99" i="19"/>
  <c r="I29" i="19"/>
  <c r="C69" i="19"/>
  <c r="H179" i="19"/>
  <c r="I115" i="19"/>
  <c r="H196" i="19"/>
  <c r="C2" i="18"/>
  <c r="B8" i="18"/>
  <c r="B6" i="18"/>
  <c r="A2" i="18"/>
  <c r="C2" i="19"/>
  <c r="F2" i="19"/>
  <c r="D2" i="19"/>
  <c r="E2" i="19" s="1"/>
  <c r="J2" i="19"/>
  <c r="K2" i="19"/>
  <c r="I2" i="19"/>
  <c r="G2" i="19"/>
  <c r="H2" i="19"/>
  <c r="A4" i="18"/>
  <c r="AP3" i="1"/>
  <c r="BF3" i="1"/>
  <c r="BG3" i="1" s="1"/>
  <c r="BV2" i="18"/>
  <c r="AJ2" i="18"/>
  <c r="BU2" i="18"/>
  <c r="G2" i="18"/>
  <c r="BT2" i="18"/>
  <c r="BS2" i="18"/>
  <c r="F2" i="18"/>
  <c r="AH2" i="18"/>
  <c r="AI2" i="18"/>
  <c r="S2" i="18"/>
  <c r="D2" i="18"/>
  <c r="Y2" i="18"/>
  <c r="R2" i="18"/>
  <c r="Q2" i="18"/>
  <c r="I2" i="18"/>
  <c r="E2" i="18"/>
  <c r="E13" i="14"/>
  <c r="C4" i="14"/>
  <c r="C5" i="14"/>
  <c r="E28" i="14"/>
  <c r="G15" i="14"/>
  <c r="G7" i="14"/>
  <c r="A9" i="14"/>
  <c r="G16" i="14"/>
  <c r="E27" i="14"/>
  <c r="G13" i="14"/>
  <c r="E21" i="14"/>
  <c r="C20" i="14"/>
  <c r="G8" i="14"/>
  <c r="E36" i="14"/>
  <c r="A6" i="14" s="1"/>
  <c r="G9" i="14"/>
  <c r="A16" i="14"/>
  <c r="AX3" i="1"/>
  <c r="AW3" i="1"/>
  <c r="AX2" i="1"/>
  <c r="AW2" i="1"/>
  <c r="AM2" i="1"/>
  <c r="AM3" i="1"/>
  <c r="AU3" i="1"/>
  <c r="AI3" i="1"/>
  <c r="AA3" i="1" s="1"/>
  <c r="BF2" i="1" s="1"/>
  <c r="BG2" i="1" s="1"/>
  <c r="AJ3" i="1"/>
  <c r="AH3" i="1"/>
  <c r="AU2" i="1"/>
  <c r="AH2" i="1"/>
  <c r="AA2" i="1"/>
  <c r="E6" i="14" l="1"/>
  <c r="E10" i="14"/>
  <c r="E5" i="14"/>
  <c r="E8" i="14"/>
  <c r="AL2" i="18"/>
  <c r="AE2" i="18"/>
  <c r="J2" i="18"/>
  <c r="K2" i="18"/>
  <c r="L2" i="18"/>
  <c r="P2" i="18"/>
  <c r="AG2" i="18"/>
  <c r="O2" i="18"/>
  <c r="N2" i="18"/>
  <c r="BD3" i="1"/>
  <c r="AO3" i="1"/>
  <c r="E16" i="14"/>
  <c r="C10" i="14"/>
  <c r="C8" i="14"/>
  <c r="C21" i="14"/>
  <c r="E33" i="14"/>
  <c r="C17" i="14"/>
  <c r="C16" i="14"/>
  <c r="C19" i="14"/>
  <c r="C12" i="14"/>
  <c r="E17" i="14"/>
  <c r="M2" i="18" l="1"/>
  <c r="AF2" i="18"/>
  <c r="AM2" i="18"/>
  <c r="AN39" i="1"/>
  <c r="Z2" i="18"/>
  <c r="BF39" i="1" l="1"/>
  <c r="BG39" i="1" s="1"/>
  <c r="AP39" i="1"/>
  <c r="BD39" i="1" s="1"/>
  <c r="AR39" i="1"/>
  <c r="X2" i="18"/>
  <c r="BM2" i="18"/>
  <c r="A14" i="14"/>
  <c r="C67" i="14" s="1"/>
  <c r="V2" i="18"/>
  <c r="BP2" i="18"/>
  <c r="BF2" i="18"/>
  <c r="BD2" i="18"/>
  <c r="BQ2" i="18"/>
  <c r="AW2" i="18"/>
  <c r="BA2" i="18"/>
  <c r="BO2" i="18"/>
  <c r="AP2" i="18"/>
  <c r="AV2" i="18"/>
  <c r="AX2" i="18"/>
  <c r="AT2" i="18"/>
  <c r="BK2" i="18"/>
  <c r="AS2" i="18"/>
  <c r="AZ2" i="18"/>
  <c r="BB2" i="18"/>
  <c r="AA2" i="18"/>
  <c r="BE2" i="18"/>
  <c r="BG2" i="18"/>
  <c r="AD2" i="18"/>
  <c r="AU2" i="18"/>
  <c r="AB2" i="18"/>
  <c r="BC2" i="18"/>
  <c r="BJ2" i="18"/>
  <c r="AR2" i="18"/>
  <c r="BL2" i="18"/>
  <c r="AO2" i="18"/>
  <c r="AQ2" i="18"/>
  <c r="AY2" i="18"/>
  <c r="BR2" i="18"/>
  <c r="BH2" i="18"/>
  <c r="BI2" i="18"/>
  <c r="BN2" i="18"/>
  <c r="W2" i="18"/>
  <c r="C71" i="14" l="1"/>
  <c r="C25" i="14"/>
  <c r="C39" i="14"/>
  <c r="C24" i="14"/>
  <c r="C45" i="14"/>
  <c r="C94" i="14"/>
  <c r="C51" i="14"/>
  <c r="C84" i="14"/>
  <c r="C35" i="14"/>
  <c r="C43" i="14"/>
  <c r="C37" i="14"/>
  <c r="AN2" i="18"/>
  <c r="C26" i="14"/>
  <c r="C63" i="14"/>
  <c r="C61" i="14"/>
  <c r="C53" i="14"/>
  <c r="C80" i="14"/>
  <c r="C88" i="14"/>
  <c r="C41" i="14"/>
  <c r="C31" i="14"/>
  <c r="C96" i="14"/>
  <c r="C59" i="14"/>
  <c r="C82" i="14"/>
  <c r="C78" i="14"/>
  <c r="C49" i="14"/>
  <c r="C30" i="14"/>
  <c r="C76" i="14"/>
  <c r="C86" i="14"/>
  <c r="C47" i="14"/>
  <c r="C65" i="14"/>
  <c r="C69" i="14"/>
  <c r="C92" i="14"/>
  <c r="C90" i="14"/>
  <c r="C98" i="14"/>
  <c r="AC2" i="18"/>
  <c r="G14" i="14"/>
  <c r="T2" i="18"/>
  <c r="AK2" i="18"/>
  <c r="G17" i="14" l="1"/>
  <c r="U2" i="18"/>
</calcChain>
</file>

<file path=xl/sharedStrings.xml><?xml version="1.0" encoding="utf-8"?>
<sst xmlns="http://schemas.openxmlformats.org/spreadsheetml/2006/main" count="18667" uniqueCount="4316">
  <si>
    <t>Nome</t>
  </si>
  <si>
    <t>UC</t>
  </si>
  <si>
    <t>Classe</t>
  </si>
  <si>
    <t>Rua</t>
  </si>
  <si>
    <t>Num</t>
  </si>
  <si>
    <t>CEP</t>
  </si>
  <si>
    <t>Bairro</t>
  </si>
  <si>
    <t xml:space="preserve">Cidade </t>
  </si>
  <si>
    <t>Email</t>
  </si>
  <si>
    <t>Tel</t>
  </si>
  <si>
    <t>Cell</t>
  </si>
  <si>
    <t>CPF</t>
  </si>
  <si>
    <t>Carga Inst.</t>
  </si>
  <si>
    <t>Tensão de Atendimento</t>
  </si>
  <si>
    <t>Tipo de Conexão</t>
  </si>
  <si>
    <t>Ramal</t>
  </si>
  <si>
    <t>Remoto</t>
  </si>
  <si>
    <t>DJ</t>
  </si>
  <si>
    <t>Demada</t>
  </si>
  <si>
    <t>Fuso</t>
  </si>
  <si>
    <t>Longitude</t>
  </si>
  <si>
    <t>Latitude</t>
  </si>
  <si>
    <t>Ligação</t>
  </si>
  <si>
    <t>Previsão</t>
  </si>
  <si>
    <t>Ano</t>
  </si>
  <si>
    <t>Zona</t>
  </si>
  <si>
    <t>Pot. Ger.</t>
  </si>
  <si>
    <t>Cabos p/ Fase</t>
  </si>
  <si>
    <t>Fase</t>
  </si>
  <si>
    <t>Neutro</t>
  </si>
  <si>
    <t>Terra</t>
  </si>
  <si>
    <t>Num. Placas</t>
  </si>
  <si>
    <t>Modelo</t>
  </si>
  <si>
    <t>Pot. Placa</t>
  </si>
  <si>
    <t>Area Placa</t>
  </si>
  <si>
    <t>Num. Inversor</t>
  </si>
  <si>
    <t>Modelo Inv.</t>
  </si>
  <si>
    <t xml:space="preserve">Status </t>
  </si>
  <si>
    <t>Mini ou Micro?</t>
  </si>
  <si>
    <t>Trafo acoplado?</t>
  </si>
  <si>
    <t>Atendido por Trafo?</t>
  </si>
  <si>
    <t>Linha Placa Marca</t>
  </si>
  <si>
    <t>Linha Placa Modelo</t>
  </si>
  <si>
    <t>Linha Inv Marca</t>
  </si>
  <si>
    <t>Linha Inv Modelo</t>
  </si>
  <si>
    <t>COMERCIAL</t>
  </si>
  <si>
    <t>CENTRO</t>
  </si>
  <si>
    <t>30</t>
  </si>
  <si>
    <t>127/220</t>
  </si>
  <si>
    <t>TRIFASICO</t>
  </si>
  <si>
    <t>AEREO</t>
  </si>
  <si>
    <t>NAO</t>
  </si>
  <si>
    <t>0</t>
  </si>
  <si>
    <t>21K</t>
  </si>
  <si>
    <t>Baixa</t>
  </si>
  <si>
    <t>2021</t>
  </si>
  <si>
    <t>URBANO</t>
  </si>
  <si>
    <t>1</t>
  </si>
  <si>
    <t>25</t>
  </si>
  <si>
    <t>Projetando</t>
  </si>
  <si>
    <t>Carga. Inst. (kW)</t>
  </si>
  <si>
    <t>Modelo Placas</t>
  </si>
  <si>
    <t>Potência Inv.</t>
  </si>
  <si>
    <t>END</t>
  </si>
  <si>
    <t>PERC</t>
  </si>
  <si>
    <t>Fabricante</t>
  </si>
  <si>
    <t>tensão de circuito aberto</t>
  </si>
  <si>
    <t>Current at Maximum Power (Impp)</t>
  </si>
  <si>
    <t>Short Circuit Current (Isc)</t>
  </si>
  <si>
    <t>Voltage at Maximum Power (Vmpp)</t>
  </si>
  <si>
    <t>Panel Efficiency</t>
  </si>
  <si>
    <t>Power Tolerance (Positive)</t>
  </si>
  <si>
    <t>Tipo</t>
  </si>
  <si>
    <t>Marca Linha</t>
  </si>
  <si>
    <t>Marca Modelo</t>
  </si>
  <si>
    <t>DAH SOLAR</t>
  </si>
  <si>
    <t>47.2V</t>
  </si>
  <si>
    <t>9.38A</t>
  </si>
  <si>
    <t>9.78A</t>
  </si>
  <si>
    <t>38.4V</t>
  </si>
  <si>
    <t>17.87%</t>
  </si>
  <si>
    <t>POLICRISTALINA</t>
  </si>
  <si>
    <t>47.4V</t>
  </si>
  <si>
    <t>9.46A</t>
  </si>
  <si>
    <t>9.86A</t>
  </si>
  <si>
    <t>38.6V</t>
  </si>
  <si>
    <t>18.12%</t>
  </si>
  <si>
    <t>47.6V</t>
  </si>
  <si>
    <t>9.54A</t>
  </si>
  <si>
    <t>9.93A</t>
  </si>
  <si>
    <t>38.8V</t>
  </si>
  <si>
    <t>18.37%</t>
  </si>
  <si>
    <t>47.8V</t>
  </si>
  <si>
    <t>9.62A</t>
  </si>
  <si>
    <t>10.01A</t>
  </si>
  <si>
    <t>39.0V</t>
  </si>
  <si>
    <t>18.62</t>
  </si>
  <si>
    <t>48.8 V</t>
  </si>
  <si>
    <t>9.33 A</t>
  </si>
  <si>
    <t>9.68 A</t>
  </si>
  <si>
    <t>40.2 V</t>
  </si>
  <si>
    <t>18.91 %</t>
  </si>
  <si>
    <t>MONOCRISTALINA</t>
  </si>
  <si>
    <t>49 V</t>
  </si>
  <si>
    <t>9.39 A</t>
  </si>
  <si>
    <t>9.76 A</t>
  </si>
  <si>
    <t>40.5 V</t>
  </si>
  <si>
    <t>19.16 %</t>
  </si>
  <si>
    <t>49.2 V</t>
  </si>
  <si>
    <t>9.44 A</t>
  </si>
  <si>
    <t>9.89 A</t>
  </si>
  <si>
    <t>40.8 V</t>
  </si>
  <si>
    <t>19.42 %</t>
  </si>
  <si>
    <t>51.3V</t>
  </si>
  <si>
    <t>9.45A</t>
  </si>
  <si>
    <t>9.87A</t>
  </si>
  <si>
    <t>41.8V</t>
  </si>
  <si>
    <t>18.15%</t>
  </si>
  <si>
    <t>0 ~ +5W</t>
  </si>
  <si>
    <t>51.6V</t>
  </si>
  <si>
    <t>9.53A</t>
  </si>
  <si>
    <t>9.95A</t>
  </si>
  <si>
    <t>42.0V</t>
  </si>
  <si>
    <t>18.38%</t>
  </si>
  <si>
    <t xml:space="preserve">51.5V </t>
  </si>
  <si>
    <t>9.42A</t>
  </si>
  <si>
    <t xml:space="preserve">9.93A </t>
  </si>
  <si>
    <t xml:space="preserve">43.0V </t>
  </si>
  <si>
    <t>20.13%</t>
  </si>
  <si>
    <t>49.8V</t>
  </si>
  <si>
    <t>10.21A</t>
  </si>
  <si>
    <t>42.1V</t>
  </si>
  <si>
    <t>20.11%</t>
  </si>
  <si>
    <t>49.4 V</t>
  </si>
  <si>
    <t>9.52 A</t>
  </si>
  <si>
    <t>9.98 A</t>
  </si>
  <si>
    <t>41 V</t>
  </si>
  <si>
    <t>19.67 %</t>
  </si>
  <si>
    <t>48.70V</t>
  </si>
  <si>
    <t>10.36A</t>
  </si>
  <si>
    <t>11.23A</t>
  </si>
  <si>
    <t>41.51V</t>
  </si>
  <si>
    <t>19.78%</t>
  </si>
  <si>
    <t>48.85V</t>
  </si>
  <si>
    <t>10.44A</t>
  </si>
  <si>
    <t>11.26A</t>
  </si>
  <si>
    <t>41.66V</t>
  </si>
  <si>
    <t>20.01%</t>
  </si>
  <si>
    <t>49.00V</t>
  </si>
  <si>
    <t>10.52A</t>
  </si>
  <si>
    <t>11.29A</t>
  </si>
  <si>
    <t>41.81V</t>
  </si>
  <si>
    <t>20.24%</t>
  </si>
  <si>
    <t>49.15V</t>
  </si>
  <si>
    <t>10.61A</t>
  </si>
  <si>
    <t>11.32A</t>
  </si>
  <si>
    <t>41.96V</t>
  </si>
  <si>
    <t>20.47%</t>
  </si>
  <si>
    <t>49.30V</t>
  </si>
  <si>
    <t>10.69A</t>
  </si>
  <si>
    <t>11.35A</t>
  </si>
  <si>
    <t>42.11V</t>
  </si>
  <si>
    <t>20.70%</t>
  </si>
  <si>
    <t>49.45V</t>
  </si>
  <si>
    <t>10.77A</t>
  </si>
  <si>
    <t>11.38A</t>
  </si>
  <si>
    <t>42.26V</t>
  </si>
  <si>
    <t>20.93%</t>
  </si>
  <si>
    <t>49.60V</t>
  </si>
  <si>
    <t>10.85A</t>
  </si>
  <si>
    <t>11.41A</t>
  </si>
  <si>
    <t>42.41V</t>
  </si>
  <si>
    <t>21.16%</t>
  </si>
  <si>
    <t>AMERISOLAR</t>
  </si>
  <si>
    <t>48.4V</t>
  </si>
  <si>
    <t>9.55 A</t>
  </si>
  <si>
    <t>9.99 A</t>
  </si>
  <si>
    <t>39.4 V</t>
  </si>
  <si>
    <t>19.58 %</t>
  </si>
  <si>
    <t>45,84V</t>
  </si>
  <si>
    <t>9,09A</t>
  </si>
  <si>
    <t>9,57A</t>
  </si>
  <si>
    <t>37,42V</t>
  </si>
  <si>
    <t>0 ~+3%</t>
  </si>
  <si>
    <t>0,+4.99</t>
  </si>
  <si>
    <t>17.14</t>
  </si>
  <si>
    <t>46.2</t>
  </si>
  <si>
    <t>9.20</t>
  </si>
  <si>
    <t>8.89</t>
  </si>
  <si>
    <t>37.7</t>
  </si>
  <si>
    <t>BYD</t>
  </si>
  <si>
    <t>0-5W</t>
  </si>
  <si>
    <t>48.64V</t>
  </si>
  <si>
    <t>9,65A</t>
  </si>
  <si>
    <t xml:space="preserve">10.15A </t>
  </si>
  <si>
    <t>40.42V</t>
  </si>
  <si>
    <t>49.21V</t>
  </si>
  <si>
    <t>9.79A</t>
  </si>
  <si>
    <t xml:space="preserve">10.29A </t>
  </si>
  <si>
    <t>40.87V</t>
  </si>
  <si>
    <t>47.7V</t>
  </si>
  <si>
    <t>10.76A</t>
  </si>
  <si>
    <t>11.37A</t>
  </si>
  <si>
    <t>39.5V</t>
  </si>
  <si>
    <t>19.24%</t>
  </si>
  <si>
    <t>47.9V</t>
  </si>
  <si>
    <t>10.84A</t>
  </si>
  <si>
    <t>11.42A</t>
  </si>
  <si>
    <t>39.7V</t>
  </si>
  <si>
    <t>19.46%</t>
  </si>
  <si>
    <t>48.1V</t>
  </si>
  <si>
    <t>10.91A</t>
  </si>
  <si>
    <t>11.47A</t>
  </si>
  <si>
    <t>39.9V</t>
  </si>
  <si>
    <t>19.69%</t>
  </si>
  <si>
    <t>48.3V</t>
  </si>
  <si>
    <t>10.98A</t>
  </si>
  <si>
    <t>11.53A</t>
  </si>
  <si>
    <t>40.1V</t>
  </si>
  <si>
    <t>19.92%</t>
  </si>
  <si>
    <t>48.5V</t>
  </si>
  <si>
    <t>11.05A</t>
  </si>
  <si>
    <t>11.59A</t>
  </si>
  <si>
    <t>40.3V</t>
  </si>
  <si>
    <t>20.14%</t>
  </si>
  <si>
    <t>48.7V</t>
  </si>
  <si>
    <t>11.12A</t>
  </si>
  <si>
    <t>11.65A</t>
  </si>
  <si>
    <t>40.5V</t>
  </si>
  <si>
    <t>20.37%</t>
  </si>
  <si>
    <t>45.5V</t>
  </si>
  <si>
    <t>8.69A</t>
  </si>
  <si>
    <t>9.20A</t>
  </si>
  <si>
    <t>38.0V</t>
  </si>
  <si>
    <t>16.63%</t>
  </si>
  <si>
    <t>45.7V</t>
  </si>
  <si>
    <t>8.77A</t>
  </si>
  <si>
    <t>9.28A</t>
  </si>
  <si>
    <t>38.2V</t>
  </si>
  <si>
    <t>16.89%</t>
  </si>
  <si>
    <t>45.9V</t>
  </si>
  <si>
    <t>8.86A</t>
  </si>
  <si>
    <t>9.36A</t>
  </si>
  <si>
    <t>17.14%</t>
  </si>
  <si>
    <t>46.1V</t>
  </si>
  <si>
    <t>8.94A</t>
  </si>
  <si>
    <t>9.44A</t>
  </si>
  <si>
    <t>17.39%</t>
  </si>
  <si>
    <t>53.70V</t>
  </si>
  <si>
    <t>13.17A</t>
  </si>
  <si>
    <t>13.94A</t>
  </si>
  <si>
    <t>44.80V</t>
  </si>
  <si>
    <t>21.30%</t>
  </si>
  <si>
    <t>Modelos Inversor</t>
  </si>
  <si>
    <t xml:space="preserve">Potência Nominal </t>
  </si>
  <si>
    <t>Pot</t>
  </si>
  <si>
    <t>Potencia maxima CA</t>
  </si>
  <si>
    <t>Corrente Nominal de Saida</t>
  </si>
  <si>
    <t>Tensão de Conexao</t>
  </si>
  <si>
    <t>Frequencia</t>
  </si>
  <si>
    <t>Distorção Harmonica</t>
  </si>
  <si>
    <t>Fator de Potencia</t>
  </si>
  <si>
    <t>Registro Imetro</t>
  </si>
  <si>
    <t xml:space="preserve">Max. corrente de alimentação: </t>
  </si>
  <si>
    <t xml:space="preserve">Max. Isc por arranjo:  </t>
  </si>
  <si>
    <t xml:space="preserve">Min. tensão de entrada (Udc min):      </t>
  </si>
  <si>
    <t xml:space="preserve">Tensão de partida (Udc start):     </t>
  </si>
  <si>
    <t xml:space="preserve">Tensão nominal (Udc,r):              </t>
  </si>
  <si>
    <t xml:space="preserve">Max. tensão de entrada (Udc max):    </t>
  </si>
  <si>
    <t xml:space="preserve">Gradiente de tensão do rastreador MPP:  </t>
  </si>
  <si>
    <t xml:space="preserve">Num. de rastr. do Ponto de máx. Potência: </t>
  </si>
  <si>
    <t xml:space="preserve">Numero de conexões CC: </t>
  </si>
  <si>
    <t xml:space="preserve">Max. potência do gerador fotovoltáico: </t>
  </si>
  <si>
    <t>Dimensões (altura x largura x prof.)</t>
  </si>
  <si>
    <t>Peso</t>
  </si>
  <si>
    <t>Grau de Proteção</t>
  </si>
  <si>
    <t>Classe de proteção</t>
  </si>
  <si>
    <t>Consumo noturno</t>
  </si>
  <si>
    <t>Topologia do Inversor</t>
  </si>
  <si>
    <t>Controle de temperatura</t>
  </si>
  <si>
    <t>Gradiente de temperatura ambiente</t>
  </si>
  <si>
    <t>Umidade relativa do ar</t>
  </si>
  <si>
    <t>Bitola dos Terminais CC</t>
  </si>
  <si>
    <t>Conexão com a Rede</t>
  </si>
  <si>
    <t>Bitola dos Terminais CA</t>
  </si>
  <si>
    <t>Linha Modelo</t>
  </si>
  <si>
    <t>Linha Marca</t>
  </si>
  <si>
    <t>GROWATT</t>
  </si>
  <si>
    <t>8000W</t>
  </si>
  <si>
    <t>8</t>
  </si>
  <si>
    <t>8000VA</t>
  </si>
  <si>
    <t>36.4A</t>
  </si>
  <si>
    <t>220V/(180V-280V)</t>
  </si>
  <si>
    <t xml:space="preserve">       50,60Hz</t>
  </si>
  <si>
    <t>&lt;3%</t>
  </si>
  <si>
    <t>1 (ajustável +/- 0,8)</t>
  </si>
  <si>
    <t>009256/2019</t>
  </si>
  <si>
    <t>25A/12.5A</t>
  </si>
  <si>
    <t>32A/16A</t>
  </si>
  <si>
    <t>80V</t>
  </si>
  <si>
    <t>100V</t>
  </si>
  <si>
    <t>360V</t>
  </si>
  <si>
    <t>550V</t>
  </si>
  <si>
    <t>80V-550V</t>
  </si>
  <si>
    <t>2+1</t>
  </si>
  <si>
    <t>10,5 kWp</t>
  </si>
  <si>
    <t>419x355x185mm</t>
  </si>
  <si>
    <t>16,8 kg</t>
  </si>
  <si>
    <t>IP 65</t>
  </si>
  <si>
    <t>&lt;0,5 W</t>
  </si>
  <si>
    <t>Sem Transformador</t>
  </si>
  <si>
    <t>Ventilação Natural</t>
  </si>
  <si>
    <t>-25°C ± 60°C</t>
  </si>
  <si>
    <t>0 a 100 %</t>
  </si>
  <si>
    <t>2 polos CA FF+T</t>
  </si>
  <si>
    <t>2</t>
  </si>
  <si>
    <t>6000W</t>
  </si>
  <si>
    <t>6</t>
  </si>
  <si>
    <t>6000VA</t>
  </si>
  <si>
    <t>27.2A</t>
  </si>
  <si>
    <t>230V(160V-300V)</t>
  </si>
  <si>
    <t>50Hz/60Hz,±5Hz</t>
  </si>
  <si>
    <t>006602/2019</t>
  </si>
  <si>
    <t>12.5A/12.5A</t>
  </si>
  <si>
    <t>16A/16A</t>
  </si>
  <si>
    <t>1+1</t>
  </si>
  <si>
    <t>8,1 kWp</t>
  </si>
  <si>
    <t>375x350x160mm</t>
  </si>
  <si>
    <t>10,8 kg</t>
  </si>
  <si>
    <t>&lt;1 W</t>
  </si>
  <si>
    <t>2,5-16,0 mm²</t>
  </si>
  <si>
    <t>5000W</t>
  </si>
  <si>
    <t>5</t>
  </si>
  <si>
    <t>5000VA</t>
  </si>
  <si>
    <t>22.7A</t>
  </si>
  <si>
    <t>006596/2019</t>
  </si>
  <si>
    <t>7,0  kWp</t>
  </si>
  <si>
    <t>4600W</t>
  </si>
  <si>
    <t>4,6</t>
  </si>
  <si>
    <t>4600VA</t>
  </si>
  <si>
    <t>20.9A</t>
  </si>
  <si>
    <t>6,44  kWp</t>
  </si>
  <si>
    <t>4200W</t>
  </si>
  <si>
    <t>4,2</t>
  </si>
  <si>
    <t>4200VA</t>
  </si>
  <si>
    <t>19A</t>
  </si>
  <si>
    <t>5,88 kWp</t>
  </si>
  <si>
    <t>3600W</t>
  </si>
  <si>
    <t>3,6</t>
  </si>
  <si>
    <t>3600VA</t>
  </si>
  <si>
    <t>16A</t>
  </si>
  <si>
    <t>5,04 kWp</t>
  </si>
  <si>
    <t>3000W</t>
  </si>
  <si>
    <t>3</t>
  </si>
  <si>
    <t>3000VA</t>
  </si>
  <si>
    <t>13.6A</t>
  </si>
  <si>
    <t>006599/2019</t>
  </si>
  <si>
    <t>500V</t>
  </si>
  <si>
    <t>80V-500V</t>
  </si>
  <si>
    <t>4,2 kWp</t>
  </si>
  <si>
    <t>60</t>
  </si>
  <si>
    <t>2500W</t>
  </si>
  <si>
    <t>2,5</t>
  </si>
  <si>
    <t>2500VA</t>
  </si>
  <si>
    <t>11.3A</t>
  </si>
  <si>
    <t>006600/2019</t>
  </si>
  <si>
    <t>3,5 kWp</t>
  </si>
  <si>
    <t>15000W</t>
  </si>
  <si>
    <t>15</t>
  </si>
  <si>
    <t>16600VA</t>
  </si>
  <si>
    <t>24.2A</t>
  </si>
  <si>
    <t>220V/380V</t>
  </si>
  <si>
    <t>25A/25A</t>
  </si>
  <si>
    <t>32A/32A</t>
  </si>
  <si>
    <t>160V</t>
  </si>
  <si>
    <t>250V</t>
  </si>
  <si>
    <t>580V</t>
  </si>
  <si>
    <t>1100V</t>
  </si>
  <si>
    <t>160V-1000V</t>
  </si>
  <si>
    <t>2/2</t>
  </si>
  <si>
    <t>22,5 kWp</t>
  </si>
  <si>
    <t>525x395x222mm</t>
  </si>
  <si>
    <t>23 kg</t>
  </si>
  <si>
    <t>-25°C + 60°C</t>
  </si>
  <si>
    <t>MC4</t>
  </si>
  <si>
    <t>17000W</t>
  </si>
  <si>
    <t>17</t>
  </si>
  <si>
    <t>18800VA</t>
  </si>
  <si>
    <t>27.4A</t>
  </si>
  <si>
    <t>25,5 kWp</t>
  </si>
  <si>
    <t>20000W</t>
  </si>
  <si>
    <t>20</t>
  </si>
  <si>
    <t>22000VA</t>
  </si>
  <si>
    <t>31.9A</t>
  </si>
  <si>
    <t>30 kWp</t>
  </si>
  <si>
    <t>22000W</t>
  </si>
  <si>
    <t>22</t>
  </si>
  <si>
    <t>24400VA</t>
  </si>
  <si>
    <t>35.5A</t>
  </si>
  <si>
    <t>33 kWp</t>
  </si>
  <si>
    <t>25000W</t>
  </si>
  <si>
    <t>27700VA</t>
  </si>
  <si>
    <t>40.2A</t>
  </si>
  <si>
    <t>25A/37.5A</t>
  </si>
  <si>
    <t>32A/48A</t>
  </si>
  <si>
    <t>2/3</t>
  </si>
  <si>
    <t>37,5 kWp</t>
  </si>
  <si>
    <t>50000W</t>
  </si>
  <si>
    <t>50</t>
  </si>
  <si>
    <t>55000VA</t>
  </si>
  <si>
    <t>80.5A</t>
  </si>
  <si>
    <t>50Hz/60Hz</t>
  </si>
  <si>
    <t>50A/37.5A/37.5A</t>
  </si>
  <si>
    <t>55A/48A/48A</t>
  </si>
  <si>
    <t>200V</t>
  </si>
  <si>
    <t>600V</t>
  </si>
  <si>
    <t>850V</t>
  </si>
  <si>
    <t>200V-1000V</t>
  </si>
  <si>
    <t>4/3/3</t>
  </si>
  <si>
    <t>75000kWp</t>
  </si>
  <si>
    <t>680x508/281mm</t>
  </si>
  <si>
    <t>52kg</t>
  </si>
  <si>
    <t>Arrefecimento inteligente</t>
  </si>
  <si>
    <t>66.9A</t>
  </si>
  <si>
    <t>277V/480V</t>
  </si>
  <si>
    <t>700V</t>
  </si>
  <si>
    <t>60000W</t>
  </si>
  <si>
    <t>66600VA</t>
  </si>
  <si>
    <t>96.6A</t>
  </si>
  <si>
    <t>50A/50A/50A</t>
  </si>
  <si>
    <t>55A/55A/55A</t>
  </si>
  <si>
    <t>4/4/4</t>
  </si>
  <si>
    <t>90000kWp</t>
  </si>
  <si>
    <t>80.2A</t>
  </si>
  <si>
    <t>99000kWp</t>
  </si>
  <si>
    <t>70000W</t>
  </si>
  <si>
    <t>70</t>
  </si>
  <si>
    <t>77700VA</t>
  </si>
  <si>
    <t>93.6A</t>
  </si>
  <si>
    <t>105000kWp</t>
  </si>
  <si>
    <t>40.0A</t>
  </si>
  <si>
    <t>220/380V</t>
  </si>
  <si>
    <t>26A/26A/26A</t>
  </si>
  <si>
    <t>32A/32A/32A</t>
  </si>
  <si>
    <t>180V</t>
  </si>
  <si>
    <t>1000V</t>
  </si>
  <si>
    <t>180V-1000V</t>
  </si>
  <si>
    <t>2/2/2</t>
  </si>
  <si>
    <t>37500kWp</t>
  </si>
  <si>
    <t>580x435x230mm</t>
  </si>
  <si>
    <t>29.5kg</t>
  </si>
  <si>
    <t>IP 66</t>
  </si>
  <si>
    <t>30000W</t>
  </si>
  <si>
    <t>33300VA</t>
  </si>
  <si>
    <t>50.5A</t>
  </si>
  <si>
    <t>45000kWp</t>
  </si>
  <si>
    <t>33000W</t>
  </si>
  <si>
    <t>33</t>
  </si>
  <si>
    <t>36600VA</t>
  </si>
  <si>
    <t>55.5A</t>
  </si>
  <si>
    <t>49500kWp</t>
  </si>
  <si>
    <t>36000W</t>
  </si>
  <si>
    <t>36</t>
  </si>
  <si>
    <t>39600VA</t>
  </si>
  <si>
    <t>60.0A</t>
  </si>
  <si>
    <t>26A/26A/26A/26A</t>
  </si>
  <si>
    <t>32A/32A/32A/32A</t>
  </si>
  <si>
    <t>4</t>
  </si>
  <si>
    <t>2/2/2/2</t>
  </si>
  <si>
    <t>54000kWp</t>
  </si>
  <si>
    <t>30.5kg</t>
  </si>
  <si>
    <t>40000W</t>
  </si>
  <si>
    <t>40</t>
  </si>
  <si>
    <t>44000VA</t>
  </si>
  <si>
    <t>66.6A</t>
  </si>
  <si>
    <t>60000kWp</t>
  </si>
  <si>
    <t>RENOVIGI</t>
  </si>
  <si>
    <t>500W</t>
  </si>
  <si>
    <t>0,56</t>
  </si>
  <si>
    <t>560VA</t>
  </si>
  <si>
    <t>2.17A</t>
  </si>
  <si>
    <t>220V</t>
  </si>
  <si>
    <t>60Hz</t>
  </si>
  <si>
    <t>0,99</t>
  </si>
  <si>
    <t>003978/2019</t>
  </si>
  <si>
    <t>9.5A/9.5A</t>
  </si>
  <si>
    <t>15A/15A</t>
  </si>
  <si>
    <t>18V</t>
  </si>
  <si>
    <t>24V</t>
  </si>
  <si>
    <t>54V</t>
  </si>
  <si>
    <t>8V～54V</t>
  </si>
  <si>
    <t>0,74 kWp</t>
  </si>
  <si>
    <t>248/238/27.5 mm</t>
  </si>
  <si>
    <t>2.4 Kg</t>
  </si>
  <si>
    <t>IP67</t>
  </si>
  <si>
    <t>120mW</t>
  </si>
  <si>
    <t>-40°C  -  65 °C</t>
  </si>
  <si>
    <t>0,5</t>
  </si>
  <si>
    <t>500VA</t>
  </si>
  <si>
    <t>003548/2017</t>
  </si>
  <si>
    <t>DEYE</t>
  </si>
  <si>
    <t>5500W</t>
  </si>
  <si>
    <t>22A</t>
  </si>
  <si>
    <t>230V(180V-300V)</t>
  </si>
  <si>
    <t>50/60Hz</t>
  </si>
  <si>
    <t>&gt;0.99</t>
  </si>
  <si>
    <t>10A/10A</t>
  </si>
  <si>
    <t>120V</t>
  </si>
  <si>
    <t>230V</t>
  </si>
  <si>
    <t>100V-500V</t>
  </si>
  <si>
    <t>330x310x172mm</t>
  </si>
  <si>
    <t>11 Kg</t>
  </si>
  <si>
    <t>Refrigeração Inteligente</t>
  </si>
  <si>
    <t>SOLIS</t>
  </si>
  <si>
    <t>66000VA</t>
  </si>
  <si>
    <t>86.5A</t>
  </si>
  <si>
    <t>400V</t>
  </si>
  <si>
    <t>28.5A/28.5A/28.5A/28.5A</t>
  </si>
  <si>
    <t>44.5A/44.5A/44.5A/44.5A</t>
  </si>
  <si>
    <t>3/3/3/3</t>
  </si>
  <si>
    <t>630x700x357mm</t>
  </si>
  <si>
    <t>63 Kg</t>
  </si>
  <si>
    <t>Ventilação Natural + Ventuinha</t>
  </si>
  <si>
    <t>SAJ</t>
  </si>
  <si>
    <t>33000VA</t>
  </si>
  <si>
    <t>45.5A</t>
  </si>
  <si>
    <t>22A/22A/22A</t>
  </si>
  <si>
    <t>600</t>
  </si>
  <si>
    <t>180V-900V</t>
  </si>
  <si>
    <t>40 kWp</t>
  </si>
  <si>
    <t>700x530x260mm</t>
  </si>
  <si>
    <t>48 Kg</t>
  </si>
  <si>
    <t>IP65</t>
  </si>
  <si>
    <t xml:space="preserve"> </t>
  </si>
  <si>
    <t>&lt;0.6 W</t>
  </si>
  <si>
    <t>Ventuinha</t>
  </si>
  <si>
    <t>60000VA</t>
  </si>
  <si>
    <t>87.7A</t>
  </si>
  <si>
    <t>44A/44A/44A</t>
  </si>
  <si>
    <t>300V</t>
  </si>
  <si>
    <t>280V-900V</t>
  </si>
  <si>
    <t>78,00 kWp</t>
  </si>
  <si>
    <t>800x550x280mm</t>
  </si>
  <si>
    <t>68 Kg</t>
  </si>
  <si>
    <t>FRONIUS</t>
  </si>
  <si>
    <t>12500W</t>
  </si>
  <si>
    <t>12500VA</t>
  </si>
  <si>
    <t>18A</t>
  </si>
  <si>
    <t>&lt; 2,00 %</t>
  </si>
  <si>
    <t>0 - 1 ind. / cap.</t>
  </si>
  <si>
    <t>27.0 A / 16.5 A</t>
  </si>
  <si>
    <t>200 V</t>
  </si>
  <si>
    <t>600 V</t>
  </si>
  <si>
    <t>1000 V</t>
  </si>
  <si>
    <t>200 - 800 V</t>
  </si>
  <si>
    <t>3+3</t>
  </si>
  <si>
    <t xml:space="preserve">18.8 kWp </t>
  </si>
  <si>
    <t>725 x 510 x 225 mm</t>
  </si>
  <si>
    <t>76.7 lbs. / 34.8 kg</t>
  </si>
  <si>
    <t xml:space="preserve"> &lt; 1 W</t>
  </si>
  <si>
    <t>Refrigeração de ar controlado</t>
  </si>
  <si>
    <t>-25°C - +60°C</t>
  </si>
  <si>
    <t>0 % - 100 %</t>
  </si>
  <si>
    <t>2,5 mm ² - 16 mm ²</t>
  </si>
  <si>
    <t>15000VA</t>
  </si>
  <si>
    <t>21,7A</t>
  </si>
  <si>
    <t>&lt; 1,50 %</t>
  </si>
  <si>
    <t>33.0 A / 27.0 A</t>
  </si>
  <si>
    <t>49.5 A / 40.5 A</t>
  </si>
  <si>
    <t>22.5 kWp</t>
  </si>
  <si>
    <t>78.3 lbs. / 35.5 kg</t>
  </si>
  <si>
    <t>17500W</t>
  </si>
  <si>
    <t>17500VA</t>
  </si>
  <si>
    <t>25,3A</t>
  </si>
  <si>
    <t>26.3 kWp</t>
  </si>
  <si>
    <t>95.7 lbs. / 43.4 kg</t>
  </si>
  <si>
    <t>20000VA</t>
  </si>
  <si>
    <t>28,9A</t>
  </si>
  <si>
    <t>&lt; 1,30 %</t>
  </si>
  <si>
    <t>Municipios</t>
  </si>
  <si>
    <t>Estados</t>
  </si>
  <si>
    <t>Campo Grande</t>
  </si>
  <si>
    <t>MS</t>
  </si>
  <si>
    <t>Dourados</t>
  </si>
  <si>
    <t>Três Lagoas</t>
  </si>
  <si>
    <t>Corumbá</t>
  </si>
  <si>
    <t>Ponta Porã</t>
  </si>
  <si>
    <t>Sidrolândia</t>
  </si>
  <si>
    <t>Naviraí</t>
  </si>
  <si>
    <t>Nova Andradina</t>
  </si>
  <si>
    <t>Aquidauana</t>
  </si>
  <si>
    <t>Maracaju</t>
  </si>
  <si>
    <t>MT</t>
  </si>
  <si>
    <t>Paranaíba</t>
  </si>
  <si>
    <t>Amambai</t>
  </si>
  <si>
    <t>MG</t>
  </si>
  <si>
    <t>Rio Brilhante</t>
  </si>
  <si>
    <t>Coxim</t>
  </si>
  <si>
    <t>PB</t>
  </si>
  <si>
    <t>Caarapó</t>
  </si>
  <si>
    <t>PR</t>
  </si>
  <si>
    <t>Miranda</t>
  </si>
  <si>
    <t>São Gabriel do Oeste</t>
  </si>
  <si>
    <t>Jardim</t>
  </si>
  <si>
    <t>RJ</t>
  </si>
  <si>
    <t>Aparecida do Taboado</t>
  </si>
  <si>
    <t>Chapadão do Sul</t>
  </si>
  <si>
    <t>Anastácio</t>
  </si>
  <si>
    <t>RO</t>
  </si>
  <si>
    <t>Itaporã</t>
  </si>
  <si>
    <t>Ribas do Rio Pardo</t>
  </si>
  <si>
    <t>Bela Vista</t>
  </si>
  <si>
    <t>SP</t>
  </si>
  <si>
    <t>Ladário</t>
  </si>
  <si>
    <t>SE</t>
  </si>
  <si>
    <t>Bataguassu</t>
  </si>
  <si>
    <t>TO</t>
  </si>
  <si>
    <t>Ivinhema</t>
  </si>
  <si>
    <t>Nova Alvorada do Sul</t>
  </si>
  <si>
    <t>Terenos</t>
  </si>
  <si>
    <t>Bonito</t>
  </si>
  <si>
    <t>Cassilândia</t>
  </si>
  <si>
    <t>Itaquiraí</t>
  </si>
  <si>
    <t>Costa Rica</t>
  </si>
  <si>
    <t>Rio Verde de Mato Grosso</t>
  </si>
  <si>
    <t>Sonora</t>
  </si>
  <si>
    <t>Fátima do Sul</t>
  </si>
  <si>
    <t>Mundo Novo</t>
  </si>
  <si>
    <t>Porto Murtinho</t>
  </si>
  <si>
    <t>Iguatemi</t>
  </si>
  <si>
    <t>Água Clara</t>
  </si>
  <si>
    <t>Coronel Sapucaia</t>
  </si>
  <si>
    <t>Paranhos</t>
  </si>
  <si>
    <t>Nioaque</t>
  </si>
  <si>
    <t>Camapuã</t>
  </si>
  <si>
    <t>Deodápolis</t>
  </si>
  <si>
    <t>Eldorado</t>
  </si>
  <si>
    <t>Aral Moreira</t>
  </si>
  <si>
    <t>Brasilândia</t>
  </si>
  <si>
    <t>Tacuru</t>
  </si>
  <si>
    <t>Dois Irmãos do Buriti</t>
  </si>
  <si>
    <t>Batayporã</t>
  </si>
  <si>
    <t>Angélica</t>
  </si>
  <si>
    <t>Sete Quedas</t>
  </si>
  <si>
    <t>Glória de Dourados</t>
  </si>
  <si>
    <t>Guia Lopes da Laguna</t>
  </si>
  <si>
    <t>Japorã</t>
  </si>
  <si>
    <t>Anaurilândia</t>
  </si>
  <si>
    <t>Antônio João</t>
  </si>
  <si>
    <t>Santa Rita do Pardo</t>
  </si>
  <si>
    <t>Bodoquena</t>
  </si>
  <si>
    <t>Pedro Gomes</t>
  </si>
  <si>
    <t>Inocência</t>
  </si>
  <si>
    <t>Laguna Carapã</t>
  </si>
  <si>
    <t>Bandeirantes</t>
  </si>
  <si>
    <t>Jaraguari</t>
  </si>
  <si>
    <t>Juti</t>
  </si>
  <si>
    <t>Selvíria</t>
  </si>
  <si>
    <t>Caracol</t>
  </si>
  <si>
    <t>Vicentina</t>
  </si>
  <si>
    <t>Corguinho</t>
  </si>
  <si>
    <t>Douradina</t>
  </si>
  <si>
    <t>Paraíso das Águas</t>
  </si>
  <si>
    <t>Alcinópolis</t>
  </si>
  <si>
    <t>Rochedo</t>
  </si>
  <si>
    <t>Rio Negro</t>
  </si>
  <si>
    <t>Jateí</t>
  </si>
  <si>
    <t>Novo Horizonte do Sul</t>
  </si>
  <si>
    <t>Taquarussu</t>
  </si>
  <si>
    <t>Figueirão</t>
  </si>
  <si>
    <t>transformador</t>
  </si>
  <si>
    <t>bitola cabos</t>
  </si>
  <si>
    <t>disjuntores</t>
  </si>
  <si>
    <t>Indice Cidade</t>
  </si>
  <si>
    <t>CANADIAN_SOLAR</t>
  </si>
  <si>
    <t>KSTAR_NEW_ENERGY</t>
  </si>
  <si>
    <t>SMA_SOLAR_TECHNOLOGY</t>
  </si>
  <si>
    <t>WEG</t>
  </si>
  <si>
    <t>REFUSOL</t>
  </si>
  <si>
    <t>SUNGROW</t>
  </si>
  <si>
    <t>APSYSTEMS</t>
  </si>
  <si>
    <t>ECOSOLYS</t>
  </si>
  <si>
    <t>SOLAREDGE</t>
  </si>
  <si>
    <t>OMNIKSOL</t>
  </si>
  <si>
    <t>HUAWEI</t>
  </si>
  <si>
    <t>PHB</t>
  </si>
  <si>
    <t>SOFAR</t>
  </si>
  <si>
    <t>NEP</t>
  </si>
  <si>
    <t>NHS_SOLAR</t>
  </si>
  <si>
    <t>SOLAR_ENERGY</t>
  </si>
  <si>
    <t>HOYMILES</t>
  </si>
  <si>
    <t>ELGIN_S.A.</t>
  </si>
  <si>
    <t>BeB_POWER</t>
  </si>
  <si>
    <t>SERRANA_SISTEMAS_DE_ENERGIA</t>
  </si>
  <si>
    <t>GOODWE</t>
  </si>
  <si>
    <t>CPS</t>
  </si>
  <si>
    <t>INGETEAM_S.A</t>
  </si>
  <si>
    <t>VICTRON</t>
  </si>
  <si>
    <t>INTELBRAS</t>
  </si>
  <si>
    <t>NINGBO_GINLONG</t>
  </si>
  <si>
    <t>EAST</t>
  </si>
  <si>
    <t>DELTA</t>
  </si>
  <si>
    <t>INVT</t>
  </si>
  <si>
    <t>RENAC_POWER_TECHNOLOGY</t>
  </si>
  <si>
    <t>CHINT_POWER</t>
  </si>
  <si>
    <t>BEDIN_SOLAR</t>
  </si>
  <si>
    <t>KOMECO</t>
  </si>
  <si>
    <t>MINASOL</t>
  </si>
  <si>
    <t>HELTE</t>
  </si>
  <si>
    <t>OUTRO_PAINEL</t>
  </si>
  <si>
    <t>ELCO</t>
  </si>
  <si>
    <t>AE_SOLAR</t>
  </si>
  <si>
    <t>SUNTECH</t>
  </si>
  <si>
    <t>HELIUS</t>
  </si>
  <si>
    <t>BEDIN_SOLAR_PAINEIS</t>
  </si>
  <si>
    <t>ZNSHINE_SOLAR</t>
  </si>
  <si>
    <t>YINGLI</t>
  </si>
  <si>
    <t>VIGESTSOLAR</t>
  </si>
  <si>
    <t>UP_SOLAR</t>
  </si>
  <si>
    <t>ULICA_SOLAR</t>
  </si>
  <si>
    <t>TRINA_SOLAR</t>
  </si>
  <si>
    <t>TALESUN</t>
  </si>
  <si>
    <t>SUNLIGHT</t>
  </si>
  <si>
    <t>SUNERGY_SOLAR</t>
  </si>
  <si>
    <t>SOPRANO</t>
  </si>
  <si>
    <t>SERAPHIM</t>
  </si>
  <si>
    <t>RISEN</t>
  </si>
  <si>
    <t>RESUN</t>
  </si>
  <si>
    <t>RENOVIGI_PAINEIS</t>
  </si>
  <si>
    <t>RENESOLA</t>
  </si>
  <si>
    <t>QCELLS</t>
  </si>
  <si>
    <t>PHOTO_SOLAR</t>
  </si>
  <si>
    <t>PERLIGHT_SOLAR</t>
  </si>
  <si>
    <t>OPUS_SOLAR</t>
  </si>
  <si>
    <t>OPEN_RENEWABLES</t>
  </si>
  <si>
    <t>LUXEN</t>
  </si>
  <si>
    <t>LONGI_SOLAR</t>
  </si>
  <si>
    <t>KVA_SISTEMAS_DE_ENERGIA</t>
  </si>
  <si>
    <t>JINKO_SOLAR</t>
  </si>
  <si>
    <t>GLOBO</t>
  </si>
  <si>
    <t>GCL</t>
  </si>
  <si>
    <t>ASTROHALO</t>
  </si>
  <si>
    <t>ASTRONERGY</t>
  </si>
  <si>
    <t>AXITEC</t>
  </si>
  <si>
    <t>BALFAR_SOLAR</t>
  </si>
  <si>
    <t>CSUN</t>
  </si>
  <si>
    <t>ELGIN_S.A._PAINEIS</t>
  </si>
  <si>
    <t>SIM</t>
  </si>
  <si>
    <t>RESIDENCIAL</t>
  </si>
  <si>
    <t>MONOFASICO</t>
  </si>
  <si>
    <t>BIFASICO</t>
  </si>
  <si>
    <t>SUBTERRANEO</t>
  </si>
  <si>
    <t>22K</t>
  </si>
  <si>
    <t>Alta</t>
  </si>
  <si>
    <t>RURAL</t>
  </si>
  <si>
    <t>INDUSTRIAL</t>
  </si>
  <si>
    <t>115/230</t>
  </si>
  <si>
    <t>PODER PUBLICO</t>
  </si>
  <si>
    <t>127/254</t>
  </si>
  <si>
    <t xml:space="preserve">SERVIÇO PUBLICO </t>
  </si>
  <si>
    <t>220/380</t>
  </si>
  <si>
    <t>2022</t>
  </si>
  <si>
    <t>2023</t>
  </si>
  <si>
    <t>AC</t>
  </si>
  <si>
    <t>PAINEIS SOLARES</t>
  </si>
  <si>
    <t>AUSTA</t>
  </si>
  <si>
    <t>BELENERGY_PAINEIS</t>
  </si>
  <si>
    <t>BEYONDSUN</t>
  </si>
  <si>
    <t xml:space="preserve">BISTAR </t>
  </si>
  <si>
    <t>BLADE_SOLAR</t>
  </si>
  <si>
    <t>BST</t>
  </si>
  <si>
    <t>CANADIAN_SOLAR_PAINEIS</t>
  </si>
  <si>
    <t>DAH_SOLAR</t>
  </si>
  <si>
    <t>EMPALUX_PAINEIS</t>
  </si>
  <si>
    <t>ERA_SOLAR</t>
  </si>
  <si>
    <t>EXIOM</t>
  </si>
  <si>
    <t>HERSHEY</t>
  </si>
  <si>
    <t>HONOR SOLAR</t>
  </si>
  <si>
    <t>HT_SAAE</t>
  </si>
  <si>
    <t>JÁ_SOLAR</t>
  </si>
  <si>
    <t>JAYU_SOLAR</t>
  </si>
  <si>
    <t>JETION_SOLAR</t>
  </si>
  <si>
    <t>KOMECO_PAINEIS</t>
  </si>
  <si>
    <t>LEAPTON SOLAR</t>
  </si>
  <si>
    <t>LUCKSOLAR</t>
  </si>
  <si>
    <t>NEXEN</t>
  </si>
  <si>
    <t>ODEX_SOLAR_PAINEIS</t>
  </si>
  <si>
    <t>OSDA</t>
  </si>
  <si>
    <t>PHONO_SOLAR</t>
  </si>
  <si>
    <t>QSOLAR</t>
  </si>
  <si>
    <t>RAY_TECH</t>
  </si>
  <si>
    <t>SENSOTEC</t>
  </si>
  <si>
    <t xml:space="preserve">SHINEFAR  SOLAR </t>
  </si>
  <si>
    <t>SINOSOLA</t>
  </si>
  <si>
    <t>SIRIUS</t>
  </si>
  <si>
    <t>SOLPAC</t>
  </si>
  <si>
    <t>SOLUXTEC</t>
  </si>
  <si>
    <t>SUNKET</t>
  </si>
  <si>
    <t>SUNEDISON</t>
  </si>
  <si>
    <t>SUNOVA_SOLAR</t>
  </si>
  <si>
    <t>TSUN</t>
  </si>
  <si>
    <t>VSUN</t>
  </si>
  <si>
    <t>405 - AE350M6-72</t>
  </si>
  <si>
    <t>46 - AS-6P 300W</t>
  </si>
  <si>
    <t>166 - CHSM6612P</t>
  </si>
  <si>
    <t>161 - ASTROHALO 340</t>
  </si>
  <si>
    <t>1022 - AU-440W-36MH</t>
  </si>
  <si>
    <t>125 - AC-325P/156-72S</t>
  </si>
  <si>
    <t>107 - BS72P-330W</t>
  </si>
  <si>
    <t>479 - ESPMC 335</t>
  </si>
  <si>
    <t>396 - MFVOS-PO-72-330W</t>
  </si>
  <si>
    <t>736 - TSP335-72H</t>
  </si>
  <si>
    <t>938 - TP6L72M - 440W</t>
  </si>
  <si>
    <t>569 - SRP-400-BMA</t>
  </si>
  <si>
    <t>684 - BST-6M-380W</t>
  </si>
  <si>
    <t>11 - 310P6D-36</t>
  </si>
  <si>
    <t>1 - CS6U-330P</t>
  </si>
  <si>
    <t xml:space="preserve">291 - CSUN 340-72P </t>
  </si>
  <si>
    <t>58 - DHP72 315</t>
  </si>
  <si>
    <t>614 - ELCO HR-260P</t>
  </si>
  <si>
    <t>139 - 320W</t>
  </si>
  <si>
    <t>524 - ODA330W-36-P</t>
  </si>
  <si>
    <t>436 - ESPMC335</t>
  </si>
  <si>
    <t>888 -  EX435-450M(B)-144(HC)(166)(9BB)</t>
  </si>
  <si>
    <t>5 - 310</t>
  </si>
  <si>
    <t>190 - GRB330P</t>
  </si>
  <si>
    <t>338 - HMF72PH- 335A</t>
  </si>
  <si>
    <t>1014 - HS-72HB-450W</t>
  </si>
  <si>
    <t>1149 - HY-M10/144H 550W</t>
  </si>
  <si>
    <t>563 - HT72-156M-C 405W</t>
  </si>
  <si>
    <t>211 - EMS 330P</t>
  </si>
  <si>
    <t>26 - JAP6-72-305/4BB-1</t>
  </si>
  <si>
    <t>745 - JY410M6-FS-9</t>
  </si>
  <si>
    <t>425 - JT400SGH</t>
  </si>
  <si>
    <t>18 - JKM245P</t>
  </si>
  <si>
    <t>167 - CORAL 270 P-60</t>
  </si>
  <si>
    <t>461 - KOFV FR 340 AR</t>
  </si>
  <si>
    <t>873 - LP158*158-M-72-H/MH</t>
  </si>
  <si>
    <t>223 - LR6-720PH-400M</t>
  </si>
  <si>
    <t>380 - LS-P72 330</t>
  </si>
  <si>
    <t>111 - LUXPOWER LNSF-330P</t>
  </si>
  <si>
    <t>1101 - NXN-540/545W-144M</t>
  </si>
  <si>
    <t>698 - PS330W72CP</t>
  </si>
  <si>
    <t>93 - 265-PM60</t>
  </si>
  <si>
    <t>208 - OP340W-72P</t>
  </si>
  <si>
    <t>379 - ODA380-36M</t>
  </si>
  <si>
    <t>180 - CORAL 325 P-72</t>
  </si>
  <si>
    <t>579 - PS405M1-24/TH</t>
  </si>
  <si>
    <t>247 - PS380M-24/TH</t>
  </si>
  <si>
    <t>41 - 315</t>
  </si>
  <si>
    <t>926 - QS545-144HM8</t>
  </si>
  <si>
    <t>449 - SP72-335</t>
  </si>
  <si>
    <t>239 - JC330M-24/ABM</t>
  </si>
  <si>
    <t>140 - RM60-6-270P</t>
  </si>
  <si>
    <t>100 - RS6C 245P</t>
  </si>
  <si>
    <t>66 - RSM72-6-320P</t>
  </si>
  <si>
    <t>499 - ST240P(60)</t>
  </si>
  <si>
    <t>129 - SRP-325-6PA</t>
  </si>
  <si>
    <t>927 - SF-M3/144 - 400W</t>
  </si>
  <si>
    <t>189 - SA275</t>
  </si>
  <si>
    <t>651 - NHLD144-400/M</t>
  </si>
  <si>
    <t>539 - GS 465 HALF-CELL</t>
  </si>
  <si>
    <t>774 - POWERSLATE 265W</t>
  </si>
  <si>
    <t>1148 - SKT550M10</t>
  </si>
  <si>
    <t>226 - SL330TU-36P</t>
  </si>
  <si>
    <t>776 - MEMC-P290AMC</t>
  </si>
  <si>
    <t>144 - SUN330-72P</t>
  </si>
  <si>
    <t>35 - SL-250W</t>
  </si>
  <si>
    <t>302 - SS-340-72P</t>
  </si>
  <si>
    <t>384 - STP380S-72/VFH</t>
  </si>
  <si>
    <t>54 - 260 TP660P</t>
  </si>
  <si>
    <t>160 - TSM-335-PE14A</t>
  </si>
  <si>
    <t>1140 - TP7F72M(H)-550</t>
  </si>
  <si>
    <t>142 - UL-330P-72</t>
  </si>
  <si>
    <t>235 - UP-M335P</t>
  </si>
  <si>
    <t>253 - VG-P245W</t>
  </si>
  <si>
    <t>1129 - VSUN545-144BMH-DG</t>
  </si>
  <si>
    <t>188 - 375</t>
  </si>
  <si>
    <t>10 - YL270P-29B</t>
  </si>
  <si>
    <t>165 - ZXP6-72-320/P</t>
  </si>
  <si>
    <t>778 - OUTRO</t>
  </si>
  <si>
    <t>411 - SGM6-350</t>
  </si>
  <si>
    <t>47 - AS-6P 305W</t>
  </si>
  <si>
    <t>270 - CHSM6612P 340W</t>
  </si>
  <si>
    <t>163 - ASTROHALO 335</t>
  </si>
  <si>
    <t>231 - AC-350M/72S</t>
  </si>
  <si>
    <t>237 - BS72M-370W</t>
  </si>
  <si>
    <t>504 - ESPMC 370</t>
  </si>
  <si>
    <t>462 - MFVSU-PO-72-330W</t>
  </si>
  <si>
    <t>744 - TSHM335-120L</t>
  </si>
  <si>
    <t>1133 - TP7F72M(H)-550</t>
  </si>
  <si>
    <t>622 - SRP-400-BMA-HV</t>
  </si>
  <si>
    <t>714 - BST340-72P</t>
  </si>
  <si>
    <t>12 - 315P6D-36</t>
  </si>
  <si>
    <t>2 - CS6U-320P</t>
  </si>
  <si>
    <t xml:space="preserve">292 - CSUN 335-72P </t>
  </si>
  <si>
    <t>59 - DHP72 320</t>
  </si>
  <si>
    <t>212 - DHP340W</t>
  </si>
  <si>
    <t>643 - MF00450</t>
  </si>
  <si>
    <t>495 - ESPMC370</t>
  </si>
  <si>
    <t>1105 - EX545M(B)-144(HC)(182*91BF)</t>
  </si>
  <si>
    <t>6 - 315</t>
  </si>
  <si>
    <t>743 - GBR320P</t>
  </si>
  <si>
    <t>581 - HMF144M-410W</t>
  </si>
  <si>
    <t>1150 - HY-M10/144H 530W</t>
  </si>
  <si>
    <t>592 - HT72-166M-450W</t>
  </si>
  <si>
    <t>382 - EMSZ 345P DG</t>
  </si>
  <si>
    <t>27 - JAP6-72-310/4BB-1</t>
  </si>
  <si>
    <t>448 - JT335PAG</t>
  </si>
  <si>
    <t>19 - JKM250P</t>
  </si>
  <si>
    <t>168 - CORAL 325 P-72</t>
  </si>
  <si>
    <t>463 - KOFV FR 400 MP</t>
  </si>
  <si>
    <t>921 -  LP210*210-M-60-MH 590W</t>
  </si>
  <si>
    <t>246 - LR6-72HPH-385M</t>
  </si>
  <si>
    <t>112 - LUXPOWER LNSF-325P</t>
  </si>
  <si>
    <t>94 - OPEN 250-PM60</t>
  </si>
  <si>
    <t>413 - ODA330-30-PH</t>
  </si>
  <si>
    <t>234 - PLM-325P-72</t>
  </si>
  <si>
    <t>618 - PS405M1-24/TH</t>
  </si>
  <si>
    <t>663 - PS405M1-24/TH</t>
  </si>
  <si>
    <t>42 - 320</t>
  </si>
  <si>
    <t>656 - BDPMJ72H(S)-440</t>
  </si>
  <si>
    <t>329 - JC340M-ABC</t>
  </si>
  <si>
    <t>219 - RSM144-6-340P</t>
  </si>
  <si>
    <t>101 - RS6C 250P</t>
  </si>
  <si>
    <t>67 - RSM72-6-325P</t>
  </si>
  <si>
    <t>130 - SRP-330-6PA</t>
  </si>
  <si>
    <t>971 - SF-M15/144-400W</t>
  </si>
  <si>
    <t>355 - SA330-72P</t>
  </si>
  <si>
    <t xml:space="preserve">996 - SIRIUS-PM5-78SA </t>
  </si>
  <si>
    <t>598 - GS-530 HALF-CELL</t>
  </si>
  <si>
    <t>251 - SL320TU-36P</t>
  </si>
  <si>
    <t>162 - ASTROHALO 330</t>
  </si>
  <si>
    <t>36 - SL-255W</t>
  </si>
  <si>
    <t>312 - SS-330-72P</t>
  </si>
  <si>
    <t>388 - STP330-24</t>
  </si>
  <si>
    <t>55 - 265 TP660P</t>
  </si>
  <si>
    <t>170 - TSM-PE14A 320</t>
  </si>
  <si>
    <t>143 - UL-335P-72</t>
  </si>
  <si>
    <t>222 - WEG 340 WATTS</t>
  </si>
  <si>
    <t>209 - YL330P 330 WP</t>
  </si>
  <si>
    <t>191 - ZXP6-72-330-P</t>
  </si>
  <si>
    <t>484 - AE370M6-72H</t>
  </si>
  <si>
    <t>48 - AS-6P 310W</t>
  </si>
  <si>
    <t>164 - ASTROHALO 345</t>
  </si>
  <si>
    <t>628 - AC-380MH/144S</t>
  </si>
  <si>
    <t>547 - BS72M - 380W</t>
  </si>
  <si>
    <t>589 - ESPSC 390W</t>
  </si>
  <si>
    <t>507 - MFVSU-PO-72-340W</t>
  </si>
  <si>
    <t>1077 - TSHM535-144HV</t>
  </si>
  <si>
    <t>734 - BST-6M-HCB-400W</t>
  </si>
  <si>
    <t>13 - 320P6D-36</t>
  </si>
  <si>
    <t>3 - CS6U-325P</t>
  </si>
  <si>
    <t xml:space="preserve">293 - CSUN 330-72P </t>
  </si>
  <si>
    <t>60 - DHP72 325</t>
  </si>
  <si>
    <t>213 - ELGIM 330W</t>
  </si>
  <si>
    <t>762 - YH450W-36MH</t>
  </si>
  <si>
    <t>514 - ESPSC370</t>
  </si>
  <si>
    <t>7 - P6/72H 320</t>
  </si>
  <si>
    <t>686 - HMF144M 400W</t>
  </si>
  <si>
    <t>1151 - HY-M10/144H 535W</t>
  </si>
  <si>
    <t>632 - HT72-156P-330W</t>
  </si>
  <si>
    <t>424 - EMSC 330P</t>
  </si>
  <si>
    <t>28 - JAP6-72-315/4BB-1</t>
  </si>
  <si>
    <t>517 - JT380SAH</t>
  </si>
  <si>
    <t>20 - JKM255P</t>
  </si>
  <si>
    <t>1071 - KOFV FR 445 MP-HC</t>
  </si>
  <si>
    <t>944 - LP182*182-M-78-MH</t>
  </si>
  <si>
    <t>326 - LR4-72HBD-430M</t>
  </si>
  <si>
    <t>113 - LUXPOWER LNSF-320P</t>
  </si>
  <si>
    <t>95 - OPEN 255-PM60</t>
  </si>
  <si>
    <t>423 - ODA340-30-M</t>
  </si>
  <si>
    <t>662 - PS405M1-24/TH</t>
  </si>
  <si>
    <t>706 -  PS400M1-24/TH</t>
  </si>
  <si>
    <t>43 - 325</t>
  </si>
  <si>
    <t>763 - BPDMJ72H(S)-440</t>
  </si>
  <si>
    <t>465 - JC370S-24-ABW</t>
  </si>
  <si>
    <t>258 - CS3U-340P</t>
  </si>
  <si>
    <t>102 - RS6C 255P</t>
  </si>
  <si>
    <t>68 - RSM72-6-330P</t>
  </si>
  <si>
    <t>131 - SRP-335-6PA</t>
  </si>
  <si>
    <t>1122 - SF-M16/ 144 450-465W</t>
  </si>
  <si>
    <t>359 - SA330-72P</t>
  </si>
  <si>
    <t>752 - ZXM7-SPLDD144-530/M</t>
  </si>
  <si>
    <t>297 - SL370TU-36MD</t>
  </si>
  <si>
    <t>192 - SUN 60P 265W</t>
  </si>
  <si>
    <t>37 - SL-260W</t>
  </si>
  <si>
    <t>315 - SS-340-72 P</t>
  </si>
  <si>
    <t>451 - STP385 S-24/VFH</t>
  </si>
  <si>
    <t>56 - TP660P 270</t>
  </si>
  <si>
    <t>171 - TSM-PE14A 325</t>
  </si>
  <si>
    <t>175 - UL-270P-60</t>
  </si>
  <si>
    <t>316 - YL330PD-35B</t>
  </si>
  <si>
    <t>261 - ZXM6-TLD72 370W</t>
  </si>
  <si>
    <t>649 - AE395M-72H</t>
  </si>
  <si>
    <t>49 - AS-6P 315</t>
  </si>
  <si>
    <t>182 - CHSM6612P-340</t>
  </si>
  <si>
    <t>702 - AC-250P/156-60S</t>
  </si>
  <si>
    <t>611 - BS72P-335W</t>
  </si>
  <si>
    <t>770 - ESPMC 330W</t>
  </si>
  <si>
    <t>509 - MFVOS-PO-72-340W</t>
  </si>
  <si>
    <t>1057 - TSBHM535-144HVG</t>
  </si>
  <si>
    <t>1104 - BST340-72P</t>
  </si>
  <si>
    <t>14 - 325P6D-36</t>
  </si>
  <si>
    <t>4 - CS6U-315P</t>
  </si>
  <si>
    <t xml:space="preserve">294 - CSUN 325-72P </t>
  </si>
  <si>
    <t>61 - DHP72 330</t>
  </si>
  <si>
    <t>331 - ELGIN - 370W</t>
  </si>
  <si>
    <t>990 - LF350P6-72</t>
  </si>
  <si>
    <t>644 - ESPSC390</t>
  </si>
  <si>
    <t>8 - P6/72H 325</t>
  </si>
  <si>
    <t>719 - HMF72P-335A</t>
  </si>
  <si>
    <t>1152 - HY-M10/144H 540W</t>
  </si>
  <si>
    <t>864 - HT66-18X - 505W</t>
  </si>
  <si>
    <t>428 - EMSZ 420M</t>
  </si>
  <si>
    <t>29 - JAP6-72-320/4BB-1</t>
  </si>
  <si>
    <t>21 - JKM260P</t>
  </si>
  <si>
    <t>959 - LP182*182-M-72-MH-540WP</t>
  </si>
  <si>
    <t>347 -  LR4-72HPH-435M</t>
  </si>
  <si>
    <t>114 - LUXPOWER LNSF-315P</t>
  </si>
  <si>
    <t>96 - OPEN 260-PM60</t>
  </si>
  <si>
    <t>432 - ODA340-36-P</t>
  </si>
  <si>
    <t>667 - PS400M1-24TH</t>
  </si>
  <si>
    <t>792 - PS405M1H-24/TH</t>
  </si>
  <si>
    <t>44 - 330</t>
  </si>
  <si>
    <t>809 - RAYTEC 445W</t>
  </si>
  <si>
    <t>328 - CS3U-360P</t>
  </si>
  <si>
    <t>103 - RS6C 260P</t>
  </si>
  <si>
    <t>69 - RSM72-6-335P</t>
  </si>
  <si>
    <t>132 - SRP-340-6PA</t>
  </si>
  <si>
    <t>1125 - SFM16/144465</t>
  </si>
  <si>
    <t>995 - SAT450-144M</t>
  </si>
  <si>
    <t>442 - SL370TU-36DHV</t>
  </si>
  <si>
    <t>210 - 370WP</t>
  </si>
  <si>
    <t>38 - SL-265W</t>
  </si>
  <si>
    <t>368 - SS-370-72M</t>
  </si>
  <si>
    <t>476 - STP385S - 72/VFH</t>
  </si>
  <si>
    <t>57 - 275 TP660P</t>
  </si>
  <si>
    <t>172 - TSM-PE14A 330</t>
  </si>
  <si>
    <t>274 - UL-380M-72</t>
  </si>
  <si>
    <t>401 - YL-150P-17B</t>
  </si>
  <si>
    <t>266 - ZXM6-72-375/M</t>
  </si>
  <si>
    <t>997 - AE460HM6L-60</t>
  </si>
  <si>
    <t>50 - AS-6P 320W</t>
  </si>
  <si>
    <t>184 - CHSM72M-HC-375</t>
  </si>
  <si>
    <t>945 - AC-440MH-144V</t>
  </si>
  <si>
    <t>779 - BS72M-400</t>
  </si>
  <si>
    <t>777 - ESPMC 540</t>
  </si>
  <si>
    <t>518 - MFVOS-MO-144-400W</t>
  </si>
  <si>
    <t>15 - 330P6D-36</t>
  </si>
  <si>
    <t>23 - CS3U-335P</t>
  </si>
  <si>
    <t xml:space="preserve">295 - CSUN 320-72P </t>
  </si>
  <si>
    <t>183 - DHM72 360W</t>
  </si>
  <si>
    <t>371 - ELGIN-380</t>
  </si>
  <si>
    <t>981 - MF00350- 350W</t>
  </si>
  <si>
    <t>790 - ESPMC 335</t>
  </si>
  <si>
    <t>9 - P6/72H 330</t>
  </si>
  <si>
    <t>904 - HMF144M 465HL</t>
  </si>
  <si>
    <t>1153 - HY-M10/144H 545W</t>
  </si>
  <si>
    <t>1135 - HT66-18X - 500W</t>
  </si>
  <si>
    <t>475 - EMSZ-425M HC</t>
  </si>
  <si>
    <t>30 - JAP6-72-325/4BB-1</t>
  </si>
  <si>
    <t>22 - JKM265P</t>
  </si>
  <si>
    <t>1026 - LP166-M-72-MH-450W</t>
  </si>
  <si>
    <t>421 - LR4-72HBD-435M</t>
  </si>
  <si>
    <t>115 - LUXPOWER LNSF-335M</t>
  </si>
  <si>
    <t>97 - OPEN 265-PM60</t>
  </si>
  <si>
    <t>501 - ODA380-36-M</t>
  </si>
  <si>
    <t>680 - PS400M1-24/TH</t>
  </si>
  <si>
    <t>794 - PS450M4H-24/TH</t>
  </si>
  <si>
    <t>45 - 335</t>
  </si>
  <si>
    <t>818 - DMJ72H(S)-450</t>
  </si>
  <si>
    <t>414 - RENO-335P</t>
  </si>
  <si>
    <t>104 - RS6C 265P</t>
  </si>
  <si>
    <t>70 - RSM72-6-340P</t>
  </si>
  <si>
    <t>227 - SRP-315-6MB</t>
  </si>
  <si>
    <t>1060 - SF-M16/144 - 450W</t>
  </si>
  <si>
    <t>482 - SL370TU-36MDHV</t>
  </si>
  <si>
    <t>287 - SUN 275-60P</t>
  </si>
  <si>
    <t>39 - SL-270W</t>
  </si>
  <si>
    <t>430 - SS-380-72M</t>
  </si>
  <si>
    <t>532 - STP530S - C72</t>
  </si>
  <si>
    <t>62 - TP672P 315</t>
  </si>
  <si>
    <t>173 - TSM-PE14A 335</t>
  </si>
  <si>
    <t>301 - UL3409-72 (340W)</t>
  </si>
  <si>
    <t>468 - YL240P-29B</t>
  </si>
  <si>
    <t>362 - ZXM6-72-350/M</t>
  </si>
  <si>
    <t>980 - AE505HM6L-66</t>
  </si>
  <si>
    <t>51 - AS-6P 325W</t>
  </si>
  <si>
    <t>203 - CHSM6612M/HV 340W</t>
  </si>
  <si>
    <t>1006 - BS72M-545W</t>
  </si>
  <si>
    <t>855 - ESPMC545</t>
  </si>
  <si>
    <t>756 - MFVOS-MO-144-410W</t>
  </si>
  <si>
    <t>16 - 335P6D-36</t>
  </si>
  <si>
    <t>24 - CS3U-340P</t>
  </si>
  <si>
    <t>919 - CSP18-72H540W</t>
  </si>
  <si>
    <t>187 - 360</t>
  </si>
  <si>
    <t>372 - ELGIN 340W</t>
  </si>
  <si>
    <t>979 - LF500M8-78H</t>
  </si>
  <si>
    <t>813 - ESPHSC440</t>
  </si>
  <si>
    <t>81 - P6/72H 335</t>
  </si>
  <si>
    <t>523 - EMSZ-430M HC</t>
  </si>
  <si>
    <t>88 - JAM6-72-340</t>
  </si>
  <si>
    <t>71 - JKM305PP</t>
  </si>
  <si>
    <t>1032 - LP182*182-M-60-MH-460W</t>
  </si>
  <si>
    <t>452 - LR6-72OPH-400M</t>
  </si>
  <si>
    <t>116 - LUXPOWER LNSF-340M</t>
  </si>
  <si>
    <t>98 - OPEN 270-PM60</t>
  </si>
  <si>
    <t>535 - ODA400-36-M</t>
  </si>
  <si>
    <t>683 - PS405M1H-24/TH</t>
  </si>
  <si>
    <t>824 - PS450M4H-24/TH</t>
  </si>
  <si>
    <t>110 - Q PRIME L-G5.2-335</t>
  </si>
  <si>
    <t>850 - DMJ72H(S)-445</t>
  </si>
  <si>
    <t>469 - RSM156-6-440M</t>
  </si>
  <si>
    <t>105 - RS6C 270P</t>
  </si>
  <si>
    <t>120 - RSM72-6-360M</t>
  </si>
  <si>
    <t>543 - SRP-400-BMA-HV</t>
  </si>
  <si>
    <t>1064 - SF-M16 - 144 - 465W</t>
  </si>
  <si>
    <t>772 - JY410M6-FS-9</t>
  </si>
  <si>
    <t>310 - SUN370-72M</t>
  </si>
  <si>
    <t>40 - SL-275W</t>
  </si>
  <si>
    <t>447 - SS-410-72MD</t>
  </si>
  <si>
    <t>836 - STP6-330/72-A</t>
  </si>
  <si>
    <t>63 - TP672P 320</t>
  </si>
  <si>
    <t>202 - TSM-DE15M 400</t>
  </si>
  <si>
    <t>308 - UL340P-72</t>
  </si>
  <si>
    <t>497 - YL250P-29B</t>
  </si>
  <si>
    <t>365 - ZXP6-LD72-350P</t>
  </si>
  <si>
    <t>958 - AE460HM6L-60</t>
  </si>
  <si>
    <t>52 - AS-6P 330W</t>
  </si>
  <si>
    <t>224 - 365W</t>
  </si>
  <si>
    <t>929 - BS545-36V-MH</t>
  </si>
  <si>
    <t>833 - MFOS-PO-72-340W</t>
  </si>
  <si>
    <t>17 - 340P6D-36</t>
  </si>
  <si>
    <t>25 - CS3U-345P</t>
  </si>
  <si>
    <t>206 - DHM72 330</t>
  </si>
  <si>
    <t>515 - ELGIN 400 W</t>
  </si>
  <si>
    <t>915 -  MF00500-500W</t>
  </si>
  <si>
    <t>816 - ESPSC-335M</t>
  </si>
  <si>
    <t>82 - P6/72H 340</t>
  </si>
  <si>
    <t>544 - EMSZ 335P DG</t>
  </si>
  <si>
    <t>89 - JAM6-72-345</t>
  </si>
  <si>
    <t>72 - JKM310PP</t>
  </si>
  <si>
    <t>1103 - LP210*210-M-66-MH-665W</t>
  </si>
  <si>
    <t>505 - LR4-72HPH_440M</t>
  </si>
  <si>
    <t>117 - LUXPOWER LNSF-345M</t>
  </si>
  <si>
    <t>198 - 265-PM60</t>
  </si>
  <si>
    <t>540 - ODA 330-36-P</t>
  </si>
  <si>
    <t>687 - PS400M1H-24/TH</t>
  </si>
  <si>
    <t>123 - Q.PEAK L-G5.0.G 365</t>
  </si>
  <si>
    <t>937 - BPDM72H-450WEF</t>
  </si>
  <si>
    <t>562 - CS3W-410P</t>
  </si>
  <si>
    <t>106 - RS6C 275P</t>
  </si>
  <si>
    <t>121 - RSM60-6-270P</t>
  </si>
  <si>
    <t>582 - SRP-400-BMA</t>
  </si>
  <si>
    <t>1072 - SF-M18 - 550W</t>
  </si>
  <si>
    <t>860 - SL340T-36P</t>
  </si>
  <si>
    <t>409 - SUN 72 P-35 F - 340W</t>
  </si>
  <si>
    <t>503 - SS-400-72M</t>
  </si>
  <si>
    <t>64 - TP672P 325</t>
  </si>
  <si>
    <t>218 - TRINA SOLAR 330W</t>
  </si>
  <si>
    <t>376 - UL-340P-144</t>
  </si>
  <si>
    <t>533 - YL330P-35B</t>
  </si>
  <si>
    <t>395 - ZXM6-72-370/M</t>
  </si>
  <si>
    <t>928 -  HM6L-60-460W</t>
  </si>
  <si>
    <t>53 - AS-6P 325W</t>
  </si>
  <si>
    <t>229 - CHSM72M-HC-380</t>
  </si>
  <si>
    <t>894 - BS545-36V-MH</t>
  </si>
  <si>
    <t>922 - MFVOS-MO-144-545W</t>
  </si>
  <si>
    <t>122 - 370M6K-36</t>
  </si>
  <si>
    <t>31 - CS3U-345P</t>
  </si>
  <si>
    <t>233 - 335WP</t>
  </si>
  <si>
    <t>998 - ELGIN 450W</t>
  </si>
  <si>
    <t>1078 - LF605M12-60</t>
  </si>
  <si>
    <t>823 - ESPHSC-450W</t>
  </si>
  <si>
    <t>176 - P6/72H 365</t>
  </si>
  <si>
    <t>720 - EMSJ-445M HC</t>
  </si>
  <si>
    <t>90 - JAM6-72-350</t>
  </si>
  <si>
    <t>73 - JKM315PP</t>
  </si>
  <si>
    <t>521 - LR6-72OPH-405M</t>
  </si>
  <si>
    <t>118 - LUXPOWER LNSF-345M</t>
  </si>
  <si>
    <t>528 - OPEN 310W-HM60</t>
  </si>
  <si>
    <t>597 - ODA-340-30-M</t>
  </si>
  <si>
    <t>690 - PS400M1H-24/TH</t>
  </si>
  <si>
    <t>178 - POWER L-G5 365W</t>
  </si>
  <si>
    <t>874 - DMJ72H(S)-440</t>
  </si>
  <si>
    <t>625 - RSM72-6-330P</t>
  </si>
  <si>
    <t>322 - RS6S 340P</t>
  </si>
  <si>
    <t>155 - RSM72-6-370M</t>
  </si>
  <si>
    <t>672 - SRP-335-BMB</t>
  </si>
  <si>
    <t>1093 - SF-316/144 465W</t>
  </si>
  <si>
    <t>437 - SUN 72P-35F 330W</t>
  </si>
  <si>
    <t>510 - SS-405-72MD</t>
  </si>
  <si>
    <t>65 - TP672P 330</t>
  </si>
  <si>
    <t>228 - TSM-DE15H(II) 390W</t>
  </si>
  <si>
    <t>496 - UL-410M-144HV</t>
  </si>
  <si>
    <t>764 - YL335P-35B</t>
  </si>
  <si>
    <t>415 - ZXP6-LD72-345/P</t>
  </si>
  <si>
    <t>1108 - AE-HM6L-72-460W</t>
  </si>
  <si>
    <t>127 - AS-6P 340W</t>
  </si>
  <si>
    <t>238 - CHSM6612P-330</t>
  </si>
  <si>
    <t>1164 - BS550M-144</t>
  </si>
  <si>
    <t>909 - MFVZN-PO-144-345W</t>
  </si>
  <si>
    <t>154 - 335PHK-36</t>
  </si>
  <si>
    <t>32 - CS3U-350P</t>
  </si>
  <si>
    <t>268 - DHP72-335W</t>
  </si>
  <si>
    <t>964 - ELGIN- 335W</t>
  </si>
  <si>
    <t>1033 - MF 00605</t>
  </si>
  <si>
    <t>976 - ESPHSC 540M</t>
  </si>
  <si>
    <t>199 - P6/60 270</t>
  </si>
  <si>
    <t>726 - EMSJ 340P</t>
  </si>
  <si>
    <t>91 - JAM6-72-355</t>
  </si>
  <si>
    <t>74 - JKM320PP</t>
  </si>
  <si>
    <t>619 - LR4-72HPH-450M</t>
  </si>
  <si>
    <t>119 - LUXPOWER LNSF-350M</t>
  </si>
  <si>
    <t>608 - ODA400-36-MH</t>
  </si>
  <si>
    <t>696 - PS400M1H-24/TH</t>
  </si>
  <si>
    <t>250 - Q.POWER LG-5 330</t>
  </si>
  <si>
    <t>645 - RENO-330P</t>
  </si>
  <si>
    <t>398 - RS6I-M-410</t>
  </si>
  <si>
    <t>194 - RSM144-6-360M</t>
  </si>
  <si>
    <t>713 - SRP-335-BPA</t>
  </si>
  <si>
    <t>1098 - SF-PL/72 340W</t>
  </si>
  <si>
    <t>572 - SUN 72M-HF 410W</t>
  </si>
  <si>
    <t>516 - SS-405-72PD</t>
  </si>
  <si>
    <t>333 - TP672P-340</t>
  </si>
  <si>
    <t>236 - TSM-PE15H</t>
  </si>
  <si>
    <t>573 - UL-450M-144HV</t>
  </si>
  <si>
    <t>865 - YL255P-29B - 255 W</t>
  </si>
  <si>
    <t>431 - ZXP6-72 335/P</t>
  </si>
  <si>
    <t>1091 - AE - 510W</t>
  </si>
  <si>
    <t>196 - AS-6M PERC 375W</t>
  </si>
  <si>
    <t>273 - CHSM6612M</t>
  </si>
  <si>
    <t>1066 - BS545-36V-MH - 545W</t>
  </si>
  <si>
    <t>893 - MFVOS-MO-144-410W</t>
  </si>
  <si>
    <t>156 - 330PHK-36</t>
  </si>
  <si>
    <t>33 - CS3U-355P</t>
  </si>
  <si>
    <t>277 - DAH SOLAR DS330W</t>
  </si>
  <si>
    <t>1132 - ELG545-M72HLP</t>
  </si>
  <si>
    <t>934 - ESPSHC-450M</t>
  </si>
  <si>
    <t xml:space="preserve">201 - GCL-P6/72H 375W </t>
  </si>
  <si>
    <t>805 -  EMSC 415M HC</t>
  </si>
  <si>
    <t>92 - JAM6-72-360</t>
  </si>
  <si>
    <t>75 - JKM325PP</t>
  </si>
  <si>
    <t>678 - LR4-72HBD-440M</t>
  </si>
  <si>
    <t>299 - LNSF-390M</t>
  </si>
  <si>
    <t>647 - ODA-400W39M</t>
  </si>
  <si>
    <t>697 - PS400M1H-24/TH</t>
  </si>
  <si>
    <t>260 - Q.POWER L-G5 335W</t>
  </si>
  <si>
    <t>691 - CS3W-415P</t>
  </si>
  <si>
    <t>485 - RS6I-M - 410W</t>
  </si>
  <si>
    <t>204 - RSM144-6-340P</t>
  </si>
  <si>
    <t>747 - SRP-335-BPA-HV</t>
  </si>
  <si>
    <t>583 - SUN415-72M-HF</t>
  </si>
  <si>
    <t>615 - SS-440-72MD</t>
  </si>
  <si>
    <t>342 - TPM672M - 375</t>
  </si>
  <si>
    <t>249 - TSM-PE15H 345</t>
  </si>
  <si>
    <t>591 - UL-450M-144</t>
  </si>
  <si>
    <t>441 - ZXM6-NHLDD144-400/M</t>
  </si>
  <si>
    <t>1088 -  AE-HM6L-72-505W</t>
  </si>
  <si>
    <t>319 - AS-6M PERC 340W</t>
  </si>
  <si>
    <t>349 - CHSM72M-HC 395</t>
  </si>
  <si>
    <t>1156 - MFVZN-MO-120-460W</t>
  </si>
  <si>
    <t>157 - 325P6K-36</t>
  </si>
  <si>
    <t>34 - CS3U-360P</t>
  </si>
  <si>
    <t>278 - DHP72 330W</t>
  </si>
  <si>
    <t>1128 - 545-M72HLP</t>
  </si>
  <si>
    <t>897 - BS545-36V-MH</t>
  </si>
  <si>
    <t>216 - P6/72H370</t>
  </si>
  <si>
    <t>973 - EMST-340P HC</t>
  </si>
  <si>
    <t>128 - JAP72S03-335/SC</t>
  </si>
  <si>
    <t>76 - JKM330PP-72</t>
  </si>
  <si>
    <t>708 - LR6-72OPH-385M</t>
  </si>
  <si>
    <t>397 - LNSF-330P</t>
  </si>
  <si>
    <t>648 - ODA-400W39M</t>
  </si>
  <si>
    <t>701 - PS400M1H-24/TH</t>
  </si>
  <si>
    <t>267 - Q-PEAK L-G5</t>
  </si>
  <si>
    <t>993 - RSM144-7-445M</t>
  </si>
  <si>
    <t>753 - RS6S-330P</t>
  </si>
  <si>
    <t>214 - RISEN 345W</t>
  </si>
  <si>
    <t>765 - SRP-330-6PA</t>
  </si>
  <si>
    <t>652 - SUN340-72P</t>
  </si>
  <si>
    <t>616 - SS-450-72M</t>
  </si>
  <si>
    <t>367 - TP672M-375W</t>
  </si>
  <si>
    <t>259 - TSM-DE15M (II) 400W</t>
  </si>
  <si>
    <t>635 - UL-410M-144</t>
  </si>
  <si>
    <t>460 - ZXM6-HLD144-400/M</t>
  </si>
  <si>
    <t>1073 - AE460MD-120</t>
  </si>
  <si>
    <t>434 - AS-6M 365</t>
  </si>
  <si>
    <t>406 - CHSM6612 - 375W</t>
  </si>
  <si>
    <t>1065 - MFVSU-MO-144-410W</t>
  </si>
  <si>
    <t>181 - PHK-36-SÉRIE-4BB-345</t>
  </si>
  <si>
    <t>77 - CS3U-365MS</t>
  </si>
  <si>
    <t>281 - HCP72X9 355W</t>
  </si>
  <si>
    <t>1119 - HALF CELL 450W</t>
  </si>
  <si>
    <t>896 - 894 - BS545-36V-MH</t>
  </si>
  <si>
    <t>244 - P6/72 345W</t>
  </si>
  <si>
    <t>966 - EMSL-590M HC</t>
  </si>
  <si>
    <t>133 - JAM72S01-355</t>
  </si>
  <si>
    <t>108 - JKM335PP</t>
  </si>
  <si>
    <t>718 - LR6-720PH-380M</t>
  </si>
  <si>
    <t xml:space="preserve">646 - LNSU-410M </t>
  </si>
  <si>
    <t>704 - ODA400-36-M</t>
  </si>
  <si>
    <t>716 - PS405M1H-24/TH</t>
  </si>
  <si>
    <t>286 - Q.PLUS DUO L-G5.2</t>
  </si>
  <si>
    <t>924 - ZXM6-NH144/430W</t>
  </si>
  <si>
    <t>986 - RS7IM- 435M</t>
  </si>
  <si>
    <t>220 - RSM144-6-375M</t>
  </si>
  <si>
    <t>768 - SRP-335-6PA-HV</t>
  </si>
  <si>
    <t>655 - SUN 72M-HF 410W</t>
  </si>
  <si>
    <t>640 - SS-450-72MD</t>
  </si>
  <si>
    <t>513 - TP6H72M(H) - 400</t>
  </si>
  <si>
    <t>262 - TSM-PE15H 340W</t>
  </si>
  <si>
    <t>699 - UL-415M-144HV</t>
  </si>
  <si>
    <t>474 -  ZXM6-NHLDD144-435/M</t>
  </si>
  <si>
    <t>1038 - AE395HM6-72</t>
  </si>
  <si>
    <t>467 - AS-6M PERC 370W</t>
  </si>
  <si>
    <t>429 - CHSM6612P 345W</t>
  </si>
  <si>
    <t>1034 - MFVOS-MO-120-460W</t>
  </si>
  <si>
    <t>197 - 335P6K-36</t>
  </si>
  <si>
    <t>78 - CS3U-370MS</t>
  </si>
  <si>
    <t xml:space="preserve">327 - HCP72X9-405W </t>
  </si>
  <si>
    <t>1079 - ERA-72HC 545M</t>
  </si>
  <si>
    <t>387 - GCL-M6/72H-375</t>
  </si>
  <si>
    <t>910 - EMSH 335P</t>
  </si>
  <si>
    <t>134 - JAM72S01-360</t>
  </si>
  <si>
    <t>109 - JKM340PP-72H</t>
  </si>
  <si>
    <t>730 - LR5-72HBD-530M</t>
  </si>
  <si>
    <t>846 - LNSU-450M</t>
  </si>
  <si>
    <t>723 - ODA410-36-M</t>
  </si>
  <si>
    <t>754 - PS450M4H-24/TH</t>
  </si>
  <si>
    <t>313 - Q.PEAK DUO L-G5. 2 375</t>
  </si>
  <si>
    <t>1157 - JAM72S30-545/MR</t>
  </si>
  <si>
    <t>1123 - RS8I-550M</t>
  </si>
  <si>
    <t>230 - RSM72-6-340M</t>
  </si>
  <si>
    <t>970 - SRP-330-6MB-BG</t>
  </si>
  <si>
    <t>679 - SUN 72M-H6-450</t>
  </si>
  <si>
    <t>760 - SS-400-72PDH</t>
  </si>
  <si>
    <t>534 - TP6H72P-350W</t>
  </si>
  <si>
    <t>264 - TSM-DE15M (II) 400</t>
  </si>
  <si>
    <t>780 - UL-440M-144</t>
  </si>
  <si>
    <t>489 - ZXP6 72-340/P</t>
  </si>
  <si>
    <t>1029 - AE 410HM6L-72</t>
  </si>
  <si>
    <t>529 - AS-6M-HC 400W</t>
  </si>
  <si>
    <t>480 -  CHSM6612P/HV-345</t>
  </si>
  <si>
    <t>1013 - MFVZN-MO-144-410W</t>
  </si>
  <si>
    <t>217 - 330P6C-36</t>
  </si>
  <si>
    <t>79 - CS3U-375MS</t>
  </si>
  <si>
    <t xml:space="preserve">354 - HCP72X9-360W </t>
  </si>
  <si>
    <t>1050 - ESPMC-545W</t>
  </si>
  <si>
    <t>410 - GCL-M3/72 375W</t>
  </si>
  <si>
    <t>1063 - EMSB-535M HC</t>
  </si>
  <si>
    <t>135 - JAM72S01-365</t>
  </si>
  <si>
    <t>195 - JKM365M-72</t>
  </si>
  <si>
    <t>731 - LR4-72HPH-430M</t>
  </si>
  <si>
    <t>989 - LNVT-505M</t>
  </si>
  <si>
    <t>759 - ODA410-36-MH</t>
  </si>
  <si>
    <t>795 - PS450M4H-24/TH</t>
  </si>
  <si>
    <t>318 - Q.PLUS DUO L-G5.2 375W</t>
  </si>
  <si>
    <t>1081 - JAM72S30-540/MR</t>
  </si>
  <si>
    <t>1114 - RS8I-M 535W</t>
  </si>
  <si>
    <t>263 - RSM72-6-345M</t>
  </si>
  <si>
    <t>1154 - SRP-330-6MB-BG</t>
  </si>
  <si>
    <t>787 - SUN440-78M-HFD</t>
  </si>
  <si>
    <t>859 - SS-360-72M</t>
  </si>
  <si>
    <t>561 - TP6F72M 400W</t>
  </si>
  <si>
    <t>269 - TSM-330 PD14</t>
  </si>
  <si>
    <t>838 - UL - 440H-144HV</t>
  </si>
  <si>
    <t>525 - ZXM6-72-380/M</t>
  </si>
  <si>
    <t>553 - AS-6M-375W</t>
  </si>
  <si>
    <t>586 - CHSM72M(DG)/F-BH-415W</t>
  </si>
  <si>
    <t>1010 - MFVOS MO-144-545W</t>
  </si>
  <si>
    <t>221 - 335P6C-36</t>
  </si>
  <si>
    <t>80 - CS3U-380MS</t>
  </si>
  <si>
    <t>358 - HCP72X9 365W</t>
  </si>
  <si>
    <t>1041 - ESPHSC 545M</t>
  </si>
  <si>
    <t>454 - GCL P3/72 345W</t>
  </si>
  <si>
    <t>1040 - ESPMC-545W</t>
  </si>
  <si>
    <t>136 - JAM72S01-370</t>
  </si>
  <si>
    <t>205 - JKM390M-72-V</t>
  </si>
  <si>
    <t>775 - LR4-72HBD-445</t>
  </si>
  <si>
    <t>871 -  LNSU-405M</t>
  </si>
  <si>
    <t>810 - ODA450-36-MH</t>
  </si>
  <si>
    <t>825 - PS450M4H-24/TH</t>
  </si>
  <si>
    <t>325 - Q.PEAK DUO L-G5.2 395</t>
  </si>
  <si>
    <t>1058 - RS6S-M - 390W</t>
  </si>
  <si>
    <t>276 - RSM72-6-375M</t>
  </si>
  <si>
    <t>1118 - SRP-330-BPA</t>
  </si>
  <si>
    <t>1155 - SUN 72M-H8-540W</t>
  </si>
  <si>
    <t>960 - SS-550-72MDH - 550W</t>
  </si>
  <si>
    <t>584 - TP6H72M-375W</t>
  </si>
  <si>
    <t>272 - TSM-DE15H(II) - 395W</t>
  </si>
  <si>
    <t>851 - UL-415M-144</t>
  </si>
  <si>
    <t>550 - SIRIUS-NHLD144-425/M</t>
  </si>
  <si>
    <t>570 - AS-6M 380W</t>
  </si>
  <si>
    <t>593 - CHSM72M-HC 415 W</t>
  </si>
  <si>
    <t>241 - 325P6K-36</t>
  </si>
  <si>
    <t>83 - CS6K-260P</t>
  </si>
  <si>
    <t>364 - DHP72X-340W</t>
  </si>
  <si>
    <t>545 - GCL-M3/72H - 400W</t>
  </si>
  <si>
    <t>137 - JAM72S01-370</t>
  </si>
  <si>
    <t>215 - JKM335PP-72H-V</t>
  </si>
  <si>
    <t>863 - LR4-72HPH-445M</t>
  </si>
  <si>
    <t>1159 - LNVU-550M</t>
  </si>
  <si>
    <t>861 - ODA450-36M</t>
  </si>
  <si>
    <t>842 - PS440M4-24/TH</t>
  </si>
  <si>
    <t xml:space="preserve">336 - Q.PEAK L-G5.0.G </t>
  </si>
  <si>
    <t>1046 - RS8I-M HC 535W</t>
  </si>
  <si>
    <t>290 - RSM144-6-345P</t>
  </si>
  <si>
    <t>1110 - SRP-335-6PA-HV</t>
  </si>
  <si>
    <t>1131 - SUN540-72M-H8</t>
  </si>
  <si>
    <t>952 - SS-440-72MTF</t>
  </si>
  <si>
    <t>653 - TP6H72M-400W</t>
  </si>
  <si>
    <t>275 - TSM 340 -PE14A</t>
  </si>
  <si>
    <t>858 - UL-440M-144 HV</t>
  </si>
  <si>
    <t>560 - ZXP6-LD72-330/P</t>
  </si>
  <si>
    <t>610 - AS-6M-HC PERC - 380W</t>
  </si>
  <si>
    <t>601 - CHSM72M(DG)F-BH 410</t>
  </si>
  <si>
    <t>243 - 330P6K-36</t>
  </si>
  <si>
    <t>84 - CS6K-265P</t>
  </si>
  <si>
    <t>389 - HCM72X9-405W</t>
  </si>
  <si>
    <t>568 - GCL-P6/72H - 345W</t>
  </si>
  <si>
    <t>138 - JAM72S01-375</t>
  </si>
  <si>
    <t>254 - JKM270PP</t>
  </si>
  <si>
    <t>988 -  LR5-72HBD545W</t>
  </si>
  <si>
    <t>1134 - LNEX-505M</t>
  </si>
  <si>
    <t>992 - ODA-550-36V-MH</t>
  </si>
  <si>
    <t>843 - PS450M4H-24/TH</t>
  </si>
  <si>
    <t>341 - Q. PEAK L-G5.0.G 365W</t>
  </si>
  <si>
    <t>1004 - RS8I-545M</t>
  </si>
  <si>
    <t>330 - RSM144-6-385M</t>
  </si>
  <si>
    <t>1116 - SUN535-72M-H8</t>
  </si>
  <si>
    <t>1070 - SS-505-66MTF</t>
  </si>
  <si>
    <t>669 - TD672M-375W</t>
  </si>
  <si>
    <t>279 - TSM-DE14H.08(345)</t>
  </si>
  <si>
    <t>968 - UL-505M-132HV</t>
  </si>
  <si>
    <t>621 - ZXM6-NHLD144-435/M</t>
  </si>
  <si>
    <t>685 - AS-6M-HCB 400W</t>
  </si>
  <si>
    <t>602 - CHSM72M(DG)F-BH 390</t>
  </si>
  <si>
    <t>245 - PHK-36-SÉRIE-5BB - 335</t>
  </si>
  <si>
    <t>85 - CS6K-270P</t>
  </si>
  <si>
    <t>390 - DHM72-335</t>
  </si>
  <si>
    <t>642 -  GCL-P3/72H345</t>
  </si>
  <si>
    <t>141 - JAP72S01-330</t>
  </si>
  <si>
    <t>255 - JKM330M</t>
  </si>
  <si>
    <t>892 - LR4-72HBD-450M</t>
  </si>
  <si>
    <t>908 - ODA545-36V-MH</t>
  </si>
  <si>
    <t>844 - PS450M4H-24/TH</t>
  </si>
  <si>
    <t>346 - Q.PEAK L-G5.0.G</t>
  </si>
  <si>
    <t>385 - RSM144-6-400M</t>
  </si>
  <si>
    <t>1042 - SS-550-72MTF</t>
  </si>
  <si>
    <t>732 - TP6H72M(H)-405</t>
  </si>
  <si>
    <t>282 - TSM-400 DE15H(II)</t>
  </si>
  <si>
    <t>880 - UL-440M-144 HV -  440WP</t>
  </si>
  <si>
    <t>627 - ZXP6-TLD72-330/P</t>
  </si>
  <si>
    <t>703 - AS-6M-HC 400W</t>
  </si>
  <si>
    <t>722 - CHSM72M-HC-410W</t>
  </si>
  <si>
    <t>248 - 325PHK-36</t>
  </si>
  <si>
    <t>86 - CS6K-250P</t>
  </si>
  <si>
    <t>404 - DHP72-310W</t>
  </si>
  <si>
    <t>676 - GCL-M3/72H-405W</t>
  </si>
  <si>
    <t>158 - JAP6(K)-72-330</t>
  </si>
  <si>
    <t>265 - CHEETAH 72M-V</t>
  </si>
  <si>
    <t>884 - LR4-72HBS-450M</t>
  </si>
  <si>
    <t>906 - ODA545-36-MH</t>
  </si>
  <si>
    <t>999 - PS450M1-24/TH</t>
  </si>
  <si>
    <t>350 - Q.PEAK DUO L-G7.3 400W</t>
  </si>
  <si>
    <t>394 - RSM72-6-345P</t>
  </si>
  <si>
    <t>1017 - SS-545-72MTF</t>
  </si>
  <si>
    <t>972 - TS450M12-45H - 450</t>
  </si>
  <si>
    <t>285 - TSM-DE14H(II)-345</t>
  </si>
  <si>
    <t>1121 - UL550M-144HV</t>
  </si>
  <si>
    <t>682 - ZXM6-NHLDD144-410M</t>
  </si>
  <si>
    <t>738 - AS-6M144-HC 440 W</t>
  </si>
  <si>
    <t>797 - CPS SCA3KTL-S/EU</t>
  </si>
  <si>
    <t>252 - 335-P6C-36</t>
  </si>
  <si>
    <t>87 - CS6K-275P</t>
  </si>
  <si>
    <t>435 - HCM60X9-335W</t>
  </si>
  <si>
    <t>749 - GCL-P6/72 330</t>
  </si>
  <si>
    <t>232 - JAP72S01-335/SC</t>
  </si>
  <si>
    <t>298 - JKM335PP-72</t>
  </si>
  <si>
    <t>1162 - LR5-72HPH-550M</t>
  </si>
  <si>
    <t>887 - ODA450-36V-MH</t>
  </si>
  <si>
    <t>1160 - PS540M6-24/TH</t>
  </si>
  <si>
    <t>370 - Q.PEAK DUO L-G7.3 400W</t>
  </si>
  <si>
    <t>407 - RSM156-6-440M</t>
  </si>
  <si>
    <t>965 - TP7F72M(H) - 550</t>
  </si>
  <si>
    <t>289 - TSM-DE 14A(II) 345W</t>
  </si>
  <si>
    <t>1061 - UL-505M-144HV</t>
  </si>
  <si>
    <t>689 - ZXP6-LD72-335P</t>
  </si>
  <si>
    <t>748 - AS-6P - 335W</t>
  </si>
  <si>
    <t>256 - 275P6C-30</t>
  </si>
  <si>
    <t>124 - HIKU CS3W 395</t>
  </si>
  <si>
    <t>453 - HCM78X9-445W</t>
  </si>
  <si>
    <t xml:space="preserve">240 - JAM72S01-340/PR </t>
  </si>
  <si>
    <t>323 - JKM400M-72H</t>
  </si>
  <si>
    <t>1100 -  LR4-72HPH 460M</t>
  </si>
  <si>
    <t>1130 - ODA460-30V-MH</t>
  </si>
  <si>
    <t>1097 - PS530M6H-24/TH</t>
  </si>
  <si>
    <t>377 - Q.PEAK DUO L-G7.2-400W</t>
  </si>
  <si>
    <t>418 - RSM36-6-150P</t>
  </si>
  <si>
    <t>918 - TP6L72M-450W</t>
  </si>
  <si>
    <t>300 - TSM-DE15H(II) 400W</t>
  </si>
  <si>
    <t>693 - ZXP6-T72-330</t>
  </si>
  <si>
    <t>786 - AS-6M144-HC - 445W</t>
  </si>
  <si>
    <t>257 - 340PHK-36</t>
  </si>
  <si>
    <t>126 - CS3U-370P</t>
  </si>
  <si>
    <t>456 - HCP78X9-400</t>
  </si>
  <si>
    <t>288 - JAM72S10-405/PR</t>
  </si>
  <si>
    <t>343 - JKM400M-72HL-V</t>
  </si>
  <si>
    <t>1080 - LR5-72HPH-540M</t>
  </si>
  <si>
    <t>1124 - ODA535-36V-MH</t>
  </si>
  <si>
    <t>1056 - PS535M6-H-24/TH</t>
  </si>
  <si>
    <t>391 - MONO PERC 400</t>
  </si>
  <si>
    <t>445 - RSM150-8-500M</t>
  </si>
  <si>
    <t>1165 - TP6H72M(H)-550</t>
  </si>
  <si>
    <t>304 - TSM-345PE14H</t>
  </si>
  <si>
    <t>711 - ZXM6-NH144-425/M</t>
  </si>
  <si>
    <t>802 - AS-6M 400</t>
  </si>
  <si>
    <t>317 - 320P6C-36</t>
  </si>
  <si>
    <t>145 - 290MS</t>
  </si>
  <si>
    <t>473 - HCP72X9-370W</t>
  </si>
  <si>
    <t>311 - JAP72S01-335W</t>
  </si>
  <si>
    <t>345 - JKM400M-72H-V</t>
  </si>
  <si>
    <t>1052 - LR5-72HBD 535W</t>
  </si>
  <si>
    <t>1111 - ODA400-36-MH</t>
  </si>
  <si>
    <t>1036 - PS535M6H-24/TH</t>
  </si>
  <si>
    <t>402 - Q.PEAK DUO L-G7.3 395</t>
  </si>
  <si>
    <t>446 - RSM144-6-335P</t>
  </si>
  <si>
    <t>1117 - TP6L72M(H)-440</t>
  </si>
  <si>
    <t>305 - TSM-340 DE06M.08</t>
  </si>
  <si>
    <t>717 - ZXM6-NHLD144-405/M</t>
  </si>
  <si>
    <t>840 - AS-6M BHC-445W</t>
  </si>
  <si>
    <t>334 - 340-P6K-36 340W</t>
  </si>
  <si>
    <t>146 - 295MS</t>
  </si>
  <si>
    <t>481 - HCM72X9 - 400W</t>
  </si>
  <si>
    <t>335 - JAP72S03-335W</t>
  </si>
  <si>
    <t>375 - JKM335PP-J4</t>
  </si>
  <si>
    <t>1039 - LR5-66HBD-500W</t>
  </si>
  <si>
    <t>1109 - ODA550-36-M</t>
  </si>
  <si>
    <t>1067 - PS535M6H-24TH</t>
  </si>
  <si>
    <t>549 - Q.PEAK DUO L-G7.2</t>
  </si>
  <si>
    <t>450 - RSM144-6-355P</t>
  </si>
  <si>
    <t>1113 - TP7F72M 535W</t>
  </si>
  <si>
    <t>306 - TSM-DE14A(II) 340W</t>
  </si>
  <si>
    <t>746 - ZXM6-NH144-430/M</t>
  </si>
  <si>
    <t>845 - AS-6M-BHC-450W</t>
  </si>
  <si>
    <t>459 - BYD 390-MBK-36</t>
  </si>
  <si>
    <t>147 - 300MS</t>
  </si>
  <si>
    <t>490 - HCP78X9 410W</t>
  </si>
  <si>
    <t>337 - JAP72S03-335/SC</t>
  </si>
  <si>
    <t>393 - JKM390M-72HL-V</t>
  </si>
  <si>
    <t>1037 - LR5-72HPH-540M</t>
  </si>
  <si>
    <t>1031 - ODA-460-36-MH</t>
  </si>
  <si>
    <t>564 - Q.PEAK DUO L-G7.2 - 395</t>
  </si>
  <si>
    <t>466 - RSM144-6-405M</t>
  </si>
  <si>
    <t>1092 - TD7G72M 550W</t>
  </si>
  <si>
    <t>309 - TSM-PE15H-350W</t>
  </si>
  <si>
    <t>755 - ZXM6-NH132-405</t>
  </si>
  <si>
    <t>862 - AS - 6M144BHC-450</t>
  </si>
  <si>
    <t>483 - BYD390-M7K-36-5B</t>
  </si>
  <si>
    <t>148 - CS3W-395P</t>
  </si>
  <si>
    <t>508 - HCM72X9-410W</t>
  </si>
  <si>
    <t>366 - JAP72S03 325</t>
  </si>
  <si>
    <t>416 - JKM335PP-72-V</t>
  </si>
  <si>
    <t>1016 - LR5-72HPH-545M</t>
  </si>
  <si>
    <t>606 - Q.PEAK DUO L-G8-425W</t>
  </si>
  <si>
    <t>477 - RSM144-6-410M</t>
  </si>
  <si>
    <t>1062 - TD6G72M 400W</t>
  </si>
  <si>
    <t>314 - TSM-DE06M.08(II) 340W</t>
  </si>
  <si>
    <t>769 -  ZXM6-NH144-405/M</t>
  </si>
  <si>
    <t>975 - AS-7M144-HC-545W</t>
  </si>
  <si>
    <t>491 - BYD335-P6K-36-5B</t>
  </si>
  <si>
    <t>149 - CS3W-400P</t>
  </si>
  <si>
    <t>538 - HCM78X9 - 440W</t>
  </si>
  <si>
    <t>378 - JAM78S10-440W</t>
  </si>
  <si>
    <t>439 - JKM390M-72H</t>
  </si>
  <si>
    <t>1106 - LR5-72HPH-540M</t>
  </si>
  <si>
    <t>638 - Q.PEAK L-G5 375W</t>
  </si>
  <si>
    <t>522 - RSM156-6-410M</t>
  </si>
  <si>
    <t>320 - TSM-PE14H 345W</t>
  </si>
  <si>
    <t>800 - ZXP6 72-335/P</t>
  </si>
  <si>
    <t>954 - AS-6M-HC 410W</t>
  </si>
  <si>
    <t>493 - P6K-36-SÉRIE-5BB</t>
  </si>
  <si>
    <t>150 - CS3W-405P</t>
  </si>
  <si>
    <t>554 - DHM72-365</t>
  </si>
  <si>
    <t>392 - JAM72S09-390/PR-390W</t>
  </si>
  <si>
    <t>440 - JKM400M-72-V</t>
  </si>
  <si>
    <t>1049 - LR5-72HBD-545M</t>
  </si>
  <si>
    <t>639 - Q.PLUS DUO L-G5.2-375W</t>
  </si>
  <si>
    <t>526 - RSM156-6-440M</t>
  </si>
  <si>
    <t xml:space="preserve">321 - TSM-340 DE06M.08(II) </t>
  </si>
  <si>
    <t>826 - ZXP6-LD72-340/P</t>
  </si>
  <si>
    <t>936 - AS-6M144-HC-450</t>
  </si>
  <si>
    <t>577 - 400MIK-36</t>
  </si>
  <si>
    <t>151 - CS3W-410P</t>
  </si>
  <si>
    <t>588 - HCP78X9 360W</t>
  </si>
  <si>
    <t>399 - JAP72S10-335/SC</t>
  </si>
  <si>
    <t>478 - JKM400M-72H-V</t>
  </si>
  <si>
    <t>1005 - LR4-72HPH-450M</t>
  </si>
  <si>
    <t>740 - Q.PEAK DUO L-G6 425</t>
  </si>
  <si>
    <t>566 - RSM144-6-400MDG</t>
  </si>
  <si>
    <t>324 - TSM-DEG15M.20(II).395W</t>
  </si>
  <si>
    <t>963 - ZXM7-SPLD144-545/M</t>
  </si>
  <si>
    <t>914 - AS-7M144-HC-550WP</t>
  </si>
  <si>
    <t>587 - 335P6CK-36</t>
  </si>
  <si>
    <t>152 - CS3U-410P</t>
  </si>
  <si>
    <t>623 - HCP78X9-405W</t>
  </si>
  <si>
    <t>417 - JAP72S09 330/SC</t>
  </si>
  <si>
    <t>500 -  JKM 390M-72H-V</t>
  </si>
  <si>
    <t>751 - Q.PEAK DUO L-G8 430W</t>
  </si>
  <si>
    <t>571 - RSM144-6 - 410MDG</t>
  </si>
  <si>
    <t>348 - TSM-DE15H(II)</t>
  </si>
  <si>
    <t>943 - ZXM6-NHLD144 - 440/M</t>
  </si>
  <si>
    <t>866 - AS-6P/345W</t>
  </si>
  <si>
    <t>600 - 270P6C-30</t>
  </si>
  <si>
    <t>153 - CS3W-415P</t>
  </si>
  <si>
    <t xml:space="preserve">641 - HCM72X9-405W </t>
  </si>
  <si>
    <t>470 - JAM72S10-405/MR</t>
  </si>
  <si>
    <t>520 - JKM340PP-72</t>
  </si>
  <si>
    <t>789 - Q.PEAK DUO L-G6 410W</t>
  </si>
  <si>
    <t>574 - RSM144-6-415M</t>
  </si>
  <si>
    <t>352 - TSM-DE15H(II) - 405W</t>
  </si>
  <si>
    <t>933 - ZXM6-NH144-410M</t>
  </si>
  <si>
    <t>626 - PHK-36-SERIE-4BB - 335</t>
  </si>
  <si>
    <t xml:space="preserve">159 - CS6U-335P </t>
  </si>
  <si>
    <t>664 - HCM72X9-415W</t>
  </si>
  <si>
    <t>471 - JAM72S09-385/PR</t>
  </si>
  <si>
    <t>527 - JKM410M-72H-V</t>
  </si>
  <si>
    <t>793 - Q.PEAK DUO L-G8 430W</t>
  </si>
  <si>
    <t>575 - RSM144-6-380M</t>
  </si>
  <si>
    <t>357 - TSM-DE14H(II) - 375W</t>
  </si>
  <si>
    <t>923 - ZXM6-NH144-440W</t>
  </si>
  <si>
    <t>629 - 400M7K-36</t>
  </si>
  <si>
    <t>169 - CS3U-330P</t>
  </si>
  <si>
    <t>675 - HCP72X9-380W</t>
  </si>
  <si>
    <t>494 - JAM78S10-440/MR</t>
  </si>
  <si>
    <t>531 - JKM340PP-72-V</t>
  </si>
  <si>
    <t>932 - Q.PEAK DUO L-G.3 425W</t>
  </si>
  <si>
    <t>585 - RSM150-8-500M</t>
  </si>
  <si>
    <t>363 - TSM-PE15H 345</t>
  </si>
  <si>
    <t>900 - ZXM6-NH144-440/M</t>
  </si>
  <si>
    <t>710 - BYD340PIK-36</t>
  </si>
  <si>
    <t>174 - CS6U -340M</t>
  </si>
  <si>
    <t>705 - HCP78X9-415W</t>
  </si>
  <si>
    <t>551 - JAM72S10-400/PR</t>
  </si>
  <si>
    <t>541 - JKM340PP-72H-V</t>
  </si>
  <si>
    <t>868 - Q.PEAK DUO L-G6 430W</t>
  </si>
  <si>
    <t>631 - RSM144-7-440BMDG</t>
  </si>
  <si>
    <t>369 - TSM-PE15H 350W</t>
  </si>
  <si>
    <t>898 - ZXM7-SPLD144</t>
  </si>
  <si>
    <t>735 - BYD400-MIK-36-5B</t>
  </si>
  <si>
    <t>177 - CS6X-325P</t>
  </si>
  <si>
    <t>715 - HCP72X9-375W</t>
  </si>
  <si>
    <t>576 - JAM72S10-400/MR</t>
  </si>
  <si>
    <t>556 - JKM440M-6TL4-V</t>
  </si>
  <si>
    <t>636 - RSM144-6-440W</t>
  </si>
  <si>
    <t>373 - TSM-DE-15M(II)-405W</t>
  </si>
  <si>
    <t>1020 - ZXM7SPLD144-545/M</t>
  </si>
  <si>
    <t>785 - 340P6K-36</t>
  </si>
  <si>
    <t>179 - CS3W 390 WP</t>
  </si>
  <si>
    <t>728 - DHM-72L9 445W</t>
  </si>
  <si>
    <t>595 - JAM72S20-450/MR</t>
  </si>
  <si>
    <t>578 - JKM435M-6TL4</t>
  </si>
  <si>
    <t>660 - RSM 156-6-445 M</t>
  </si>
  <si>
    <t>381 - TSM - 270PD05</t>
  </si>
  <si>
    <t>1002 - ZXM6-NH144-415/M</t>
  </si>
  <si>
    <t>808 - BYD400-M7K-36-5B</t>
  </si>
  <si>
    <t>185 - CS6U-335M</t>
  </si>
  <si>
    <t>739 - DHM-72L9 - 440W</t>
  </si>
  <si>
    <t>596 - JAM72S10-395/PR</t>
  </si>
  <si>
    <t>580 - JKM440M-6TL4</t>
  </si>
  <si>
    <t>668 - RSM150-8-500M</t>
  </si>
  <si>
    <t>386 - TSM-PEG15H.20-345W</t>
  </si>
  <si>
    <t>820 -  BYD340-P6K-36-5B.</t>
  </si>
  <si>
    <t>193 - CS3U-370P</t>
  </si>
  <si>
    <t>767 - DHM-72L9 - 440W</t>
  </si>
  <si>
    <t>605 -  JAM72D10-400/MB</t>
  </si>
  <si>
    <t>590 - JKM440M-78H-V</t>
  </si>
  <si>
    <t>694 - RSM156-6-450M</t>
  </si>
  <si>
    <t>403 - TSM-DE15M(II)-405W</t>
  </si>
  <si>
    <t>827 - BYD400MIK-36</t>
  </si>
  <si>
    <t>200 - CS31 385MB</t>
  </si>
  <si>
    <t>781 - DHM-72L9/BF-450W</t>
  </si>
  <si>
    <t>617 - JAM72S03-395/PR</t>
  </si>
  <si>
    <t xml:space="preserve">594 - JKM340M-60H </t>
  </si>
  <si>
    <t>721 - RSM156-6-415M</t>
  </si>
  <si>
    <t>419 - TSM-DEG15MC(II) 400W</t>
  </si>
  <si>
    <t>985 - PIK-36-SERIES-5BB - 340W</t>
  </si>
  <si>
    <t>207 - CS3U-385MS</t>
  </si>
  <si>
    <t>782 - DHM-72X10 - 530</t>
  </si>
  <si>
    <t>634 - JAM72S30-535/MR</t>
  </si>
  <si>
    <t>609 - JKM335M-60-V</t>
  </si>
  <si>
    <t>761 - RSM156-6-450M</t>
  </si>
  <si>
    <t>426 - TSM-DEG14.40(II)-365W</t>
  </si>
  <si>
    <t>939 - M7K-36-SÉRIE-5BB - 390</t>
  </si>
  <si>
    <t>225 - CS6P - 255P</t>
  </si>
  <si>
    <t>832 - DHM-72X10-540W</t>
  </si>
  <si>
    <t>654 - JAM78S10-445/MR</t>
  </si>
  <si>
    <t>613 - JKM465M-7RL3</t>
  </si>
  <si>
    <t>784 - RSM144-6-450M</t>
  </si>
  <si>
    <t>427 - TSM-DEG15H.20(II)-405W</t>
  </si>
  <si>
    <t>935 - 340P6C-36</t>
  </si>
  <si>
    <t>242 - CS3U-355P</t>
  </si>
  <si>
    <t>835 - HCM78X9-445</t>
  </si>
  <si>
    <t>658 - JAP72S03-330/SC</t>
  </si>
  <si>
    <t>620 - JKM410M-72H-MBB-BDVP</t>
  </si>
  <si>
    <t>811 - RSM156-6-430M-455M</t>
  </si>
  <si>
    <t>443 - TSM-PD14 330W</t>
  </si>
  <si>
    <t>930 - BYD340-PIK-36</t>
  </si>
  <si>
    <t>271 - CS3U-365P</t>
  </si>
  <si>
    <t>841 - DHM-72-10- 545W</t>
  </si>
  <si>
    <t>666 - JAM 72S03-390/PR</t>
  </si>
  <si>
    <t>657 - JKM400M-72H-MBB-BDVP</t>
  </si>
  <si>
    <t>837 - RSM144-7-445M</t>
  </si>
  <si>
    <t>487 - TSM-DD-14A(II)-345</t>
  </si>
  <si>
    <t>899 - BYD400M7K-36</t>
  </si>
  <si>
    <t>280 - KUMAX CS3U-330P</t>
  </si>
  <si>
    <t>847 - DHM-72L9-450W</t>
  </si>
  <si>
    <t>671 - JAM72S30-535/MR</t>
  </si>
  <si>
    <t>659 - JKM410M-72H-MBB-BDVP</t>
  </si>
  <si>
    <t>849 - RISEN120-8-590M</t>
  </si>
  <si>
    <t>488 - TSM-345PE15H</t>
  </si>
  <si>
    <t>1143 - BYD370MIK-33</t>
  </si>
  <si>
    <t>283 - CS3U-390</t>
  </si>
  <si>
    <t>857 - DHM-60X10 445W</t>
  </si>
  <si>
    <t>673 - JAM72S09-390/PR</t>
  </si>
  <si>
    <t>661 - JKM440M-78H</t>
  </si>
  <si>
    <t>969 - RSM156-6-445M</t>
  </si>
  <si>
    <t>492 - TSM-440DE17M(II)</t>
  </si>
  <si>
    <t>1142 - 345PHK - 36</t>
  </si>
  <si>
    <t>284 - CS3U 360MS</t>
  </si>
  <si>
    <t>987 - DHM-72X10/DG - 545W</t>
  </si>
  <si>
    <t>692 - JAM72S20-440-MR</t>
  </si>
  <si>
    <t>670 - JKM405M-72H-V</t>
  </si>
  <si>
    <t>879 - RSM150-8-490M</t>
  </si>
  <si>
    <t>502 - TSM-DE15MII-410W</t>
  </si>
  <si>
    <t>1136 - 370-MBK-36</t>
  </si>
  <si>
    <t>296 - CS3U 390MS</t>
  </si>
  <si>
    <t>974 - DHM-60L9-360W</t>
  </si>
  <si>
    <t>700 - JAM72S20-455/MR/1000V</t>
  </si>
  <si>
    <t>674 - JKM410M-72H-V</t>
  </si>
  <si>
    <t>878 - RSM15-8-490M</t>
  </si>
  <si>
    <t>506 - TSM-DE15M(II) - 410W</t>
  </si>
  <si>
    <t>1023 - BYD 360-MBK-36</t>
  </si>
  <si>
    <t>303 - HIKU CS3W-410P</t>
  </si>
  <si>
    <t>948 - DHM-72L9/BF-545W</t>
  </si>
  <si>
    <t>709 - JAM72S03 400/PR</t>
  </si>
  <si>
    <t>677 - JKM440M-6TL4-V</t>
  </si>
  <si>
    <t>869 - RSM144-7-445W</t>
  </si>
  <si>
    <t>511 - TSM-PD05 270</t>
  </si>
  <si>
    <t>1021 - BYD445MIK-39</t>
  </si>
  <si>
    <t>307 - HIKU CS3W-400P</t>
  </si>
  <si>
    <t>942 - DHT-M72X10/BF-545</t>
  </si>
  <si>
    <t>733 - JAP72S01-325/SC</t>
  </si>
  <si>
    <t>695 - JKM410M-72H</t>
  </si>
  <si>
    <t>1163 - RSM-156-6-445M</t>
  </si>
  <si>
    <t>512 - TSM-DEG15H.20(II)-400W</t>
  </si>
  <si>
    <t>332 - CS6U-350P</t>
  </si>
  <si>
    <t>931 - DHM-60X10-445W</t>
  </si>
  <si>
    <t>771 - JAM78S10-450/MR</t>
  </si>
  <si>
    <t>725 - JKM340M-72-V</t>
  </si>
  <si>
    <t>1139 - RSM40-8-405</t>
  </si>
  <si>
    <t>530 - TSM-DEG15M.20(II)-405W</t>
  </si>
  <si>
    <t>339 - CS3W 435P</t>
  </si>
  <si>
    <t>912 - DHM-72L9/BF-450W</t>
  </si>
  <si>
    <t>807 - JAM72S30 535W</t>
  </si>
  <si>
    <t>742 - JKM465M-7RL3-V</t>
  </si>
  <si>
    <t>1095 - RSM 120-8-585BMDG</t>
  </si>
  <si>
    <t>536 - TSM-PE14H  335</t>
  </si>
  <si>
    <t>340 - CS3W 430P</t>
  </si>
  <si>
    <t>903 - FSM-60X10 - 445W</t>
  </si>
  <si>
    <t>830 - JAM72S10-395/MR</t>
  </si>
  <si>
    <t>750 - JKM380M-72-V</t>
  </si>
  <si>
    <t>1090 - RSM144-7-450W</t>
  </si>
  <si>
    <t>537 - TSM-DEG15MC.20(II)-410W</t>
  </si>
  <si>
    <t>344 - CS3U-375P</t>
  </si>
  <si>
    <t>895 - DHT-M72X10</t>
  </si>
  <si>
    <t>853 - JAM72S30- 540/MR</t>
  </si>
  <si>
    <t>766 - JKM535M-72HL4-V</t>
  </si>
  <si>
    <t>1055 - RSM-120-8-590BMDG</t>
  </si>
  <si>
    <t>542 - TSM-DEG15M.20(II) - 410W</t>
  </si>
  <si>
    <t>351 - CS3W 425P</t>
  </si>
  <si>
    <t>889 - DHM-72L9-BF/440</t>
  </si>
  <si>
    <t>854 - JAM72S10- 410/PR</t>
  </si>
  <si>
    <t>783 - JKM440M-60HL4-V</t>
  </si>
  <si>
    <t>1044 - RSM144-6-400M</t>
  </si>
  <si>
    <t>548 - TSM-DE17M(II) 435W</t>
  </si>
  <si>
    <t>353 - CS6K-310MS</t>
  </si>
  <si>
    <t>886 - DHM-72X10-545W</t>
  </si>
  <si>
    <t>984 - JAM72S30-545/MR</t>
  </si>
  <si>
    <t>791 - CHEETAH HC 72M 390W</t>
  </si>
  <si>
    <t>1043 - RSN144-6-400M</t>
  </si>
  <si>
    <t>557 - TSM-DEG15MC.20(II) - 400W</t>
  </si>
  <si>
    <t>356 - CS6U-335P</t>
  </si>
  <si>
    <t>883 - DHM-72X10/BF 545W</t>
  </si>
  <si>
    <t>957 - JAM78S10-455/MR</t>
  </si>
  <si>
    <t>799 - JKM440M-6HL4-V</t>
  </si>
  <si>
    <t>1024 - RS8I-545M</t>
  </si>
  <si>
    <t>565 - TSM-440DE15M(II)</t>
  </si>
  <si>
    <t>360 - CS6P 265P</t>
  </si>
  <si>
    <t>882 - FSM-60X10 - 450W</t>
  </si>
  <si>
    <t>956 - JAM72S30-540/MR</t>
  </si>
  <si>
    <t>804 - JKM435M-6TL4-V</t>
  </si>
  <si>
    <t>1018 - RSM120-8-590M</t>
  </si>
  <si>
    <t>599 - TSM-DE14A(II) 350</t>
  </si>
  <si>
    <t>361 - CS3U-385MS</t>
  </si>
  <si>
    <t>875 - HCM-78X9 - 450W</t>
  </si>
  <si>
    <t>920 - JAM72D30-540MB</t>
  </si>
  <si>
    <t>806 - JKM525M-7TL4-V</t>
  </si>
  <si>
    <t>1007 - RISEN120-8-590M</t>
  </si>
  <si>
    <t>633 - TSM-DE17M(II) - 450W</t>
  </si>
  <si>
    <t>374 - CS3W-420P</t>
  </si>
  <si>
    <t>872 - DHM72L9 530W</t>
  </si>
  <si>
    <t>916 - JAN72S30-550-MR</t>
  </si>
  <si>
    <t>817 - JKM450M-60HL4-V</t>
  </si>
  <si>
    <t>1001 - RSM144-7-450M</t>
  </si>
  <si>
    <t>665 - RSM150-8-500M</t>
  </si>
  <si>
    <t>383 - CS6U-325M</t>
  </si>
  <si>
    <t>1158 - FSM-60X10 460W</t>
  </si>
  <si>
    <t>913 - JAM72-D30-540W</t>
  </si>
  <si>
    <t>819 - JKM450M-6TL4-V</t>
  </si>
  <si>
    <t>681 - TSM-DE15H(II)-410W</t>
  </si>
  <si>
    <t>400 - CS3W-445MS</t>
  </si>
  <si>
    <t>1144 - AE460HM6L-60</t>
  </si>
  <si>
    <t>877 - JAM66S30-500/MR</t>
  </si>
  <si>
    <t>822 - JKM460M-7RL3V</t>
  </si>
  <si>
    <t>707 - TSM-DE08(II)</t>
  </si>
  <si>
    <t>408 - CS3W-445MB-AG</t>
  </si>
  <si>
    <t>1112 - DHM-72X10 550W</t>
  </si>
  <si>
    <t>1161 - JAM72S30-530/MR</t>
  </si>
  <si>
    <t>828 - JKM530M-72HL4-V</t>
  </si>
  <si>
    <t>712 - TSM-DE08M(II)-375W</t>
  </si>
  <si>
    <t>412 - CS3W-385P</t>
  </si>
  <si>
    <t>1096 - DHM-72X10 535</t>
  </si>
  <si>
    <t>1054 - JAM72S20-455/MR</t>
  </si>
  <si>
    <t>829 - JKM450M-7RL3</t>
  </si>
  <si>
    <t>724 - TSM-DE17M(II)-455</t>
  </si>
  <si>
    <t>420 - CS3W-390P</t>
  </si>
  <si>
    <t>1089 - DHT-M60X10-460W</t>
  </si>
  <si>
    <t>831 - JKM525M-72HL4-TV</t>
  </si>
  <si>
    <t>729 - TSM-DE15M(II) - 415W</t>
  </si>
  <si>
    <t>422 - CS3W-435MS</t>
  </si>
  <si>
    <t>1074 - DHM-60X10 440W</t>
  </si>
  <si>
    <t>983 - JKM530M-7TL4-V</t>
  </si>
  <si>
    <t>737 - TSM-DEG15MC.20(II) - 405W</t>
  </si>
  <si>
    <t>433 - CS1U-420MS</t>
  </si>
  <si>
    <t>1053 - DHP72X-340W</t>
  </si>
  <si>
    <t>982 - JKM525M-72HL4-TV</t>
  </si>
  <si>
    <t>741 - TSM-DEG17M.20(II)-455W</t>
  </si>
  <si>
    <t>438 - CS3W-425PB-AG</t>
  </si>
  <si>
    <t>1048 - DHT-M60X10 460W</t>
  </si>
  <si>
    <t>978 - JKM445M-60HL4-V</t>
  </si>
  <si>
    <t>773 - TSM-DE14A(II) STD MONO-350W</t>
  </si>
  <si>
    <t>444 - CS1U-405MS</t>
  </si>
  <si>
    <t>1027 - DHM-72X10/BF 540W</t>
  </si>
  <si>
    <t>967 - JKM540M-7TL4-V</t>
  </si>
  <si>
    <t>788 - TSM-375DE08M(II)</t>
  </si>
  <si>
    <t>455 - CS3U 335P-AG</t>
  </si>
  <si>
    <t>1025 - DHM-72L9 - 450W</t>
  </si>
  <si>
    <t>955 - JKM-535M-72HL4-TV</t>
  </si>
  <si>
    <t xml:space="preserve">796 - TSM-DE17M(II)-445 </t>
  </si>
  <si>
    <t>457 - CS3W-420P</t>
  </si>
  <si>
    <t>1019 - DHM-72L9/BF 460W</t>
  </si>
  <si>
    <t>917 - JKM530M-72HL4-TV</t>
  </si>
  <si>
    <t>798 - TSM-DE18M(II)-495W</t>
  </si>
  <si>
    <t>458 - CS3U-365-AG</t>
  </si>
  <si>
    <t>1015 - FSM-60X10 - 440W</t>
  </si>
  <si>
    <t>907 - JKM455M-7RL3-V</t>
  </si>
  <si>
    <t>801 - TSM-DEG17MC.20(II)-450WP</t>
  </si>
  <si>
    <t>464 - CS3W-440MS</t>
  </si>
  <si>
    <t>1012 - DHM-72X10/BF 550W</t>
  </si>
  <si>
    <t>905 - JKM455M -60HL4-V</t>
  </si>
  <si>
    <t>803 - TSM-DE18M - 500W</t>
  </si>
  <si>
    <t>486 - CS3W-450MS</t>
  </si>
  <si>
    <t>902 - JKM460M-60HL4-V</t>
  </si>
  <si>
    <t>814 - TSM-DE09-390-450W</t>
  </si>
  <si>
    <t xml:space="preserve">498 - CS6K-280P </t>
  </si>
  <si>
    <t>901 - JKM445M-7RL3-V</t>
  </si>
  <si>
    <t>839 - TSM-DE08M(II)</t>
  </si>
  <si>
    <t>519 - CS3U 365P-AG</t>
  </si>
  <si>
    <t>891 - JKM-460M-7RL3</t>
  </si>
  <si>
    <t>852 - TSM-DE18M(II) 500W</t>
  </si>
  <si>
    <t>546 - CS3K-315</t>
  </si>
  <si>
    <t>885 - JKM450M-6HL4</t>
  </si>
  <si>
    <t>994 - TSM-DD08M.08(II) 375W</t>
  </si>
  <si>
    <t>552 - CS3W-425MS</t>
  </si>
  <si>
    <t>876 - JKM450M-60HL4-V</t>
  </si>
  <si>
    <t>977 - TSM-415DE15M(II) - 415W</t>
  </si>
  <si>
    <t>555 - CS3K-310MS</t>
  </si>
  <si>
    <t>870 - JKM460M-6HL4-V - 460 W</t>
  </si>
  <si>
    <t>951 - TSM-400DE09W</t>
  </si>
  <si>
    <t>558 - CS3W-365P</t>
  </si>
  <si>
    <t>867 - JKM525M-7TL4-BDVP</t>
  </si>
  <si>
    <t>950 - TSM-DE09-400</t>
  </si>
  <si>
    <t>559 - CS3U-360P-AG</t>
  </si>
  <si>
    <t>1146 - JKM545M-72HL4</t>
  </si>
  <si>
    <t>946 - TSM-DEG19C20-540W</t>
  </si>
  <si>
    <t>567 - CS3L-365P</t>
  </si>
  <si>
    <t>1126 - JKM340M-72HL4-TV</t>
  </si>
  <si>
    <t>890 - TSM-DE14A (II) - 375W</t>
  </si>
  <si>
    <t>603 - CS3W-415PB-AG</t>
  </si>
  <si>
    <t>1120 - JKM540M-60HL4-V</t>
  </si>
  <si>
    <t>1145 - TSM-DEG19C.20 540W</t>
  </si>
  <si>
    <t>604 - CS3W-435PB-AG</t>
  </si>
  <si>
    <t>1115 - JKM540M-72HL4-TV</t>
  </si>
  <si>
    <t>1137 - TSM-DE06M.08(II) 330</t>
  </si>
  <si>
    <t>607 - CS3W-440P</t>
  </si>
  <si>
    <t>1099 - JKM430M-78H-V</t>
  </si>
  <si>
    <t>1102 - TSM-DE14H.08(II) 395W</t>
  </si>
  <si>
    <t>612 - CS3W-430PB-AG</t>
  </si>
  <si>
    <t>1094 - DHM-72-10- 545W</t>
  </si>
  <si>
    <t>1087 - TSM-DE18M(II) 505W</t>
  </si>
  <si>
    <t>624 - HIKU CS3W 415P</t>
  </si>
  <si>
    <t>1059 - JKM540M-72HL4-V</t>
  </si>
  <si>
    <t>1086 - TSM-DE18M(II) 500W</t>
  </si>
  <si>
    <t>630 - CS3L-360MS</t>
  </si>
  <si>
    <t>1051 - JKM550M-72HL4-V</t>
  </si>
  <si>
    <t>1085 - TSM-DE18M(II) 495W</t>
  </si>
  <si>
    <t>637 - CS3U-325P-FG</t>
  </si>
  <si>
    <t>1084 - TSM-DE18M(II) 490W</t>
  </si>
  <si>
    <t xml:space="preserve">650 - CS3W-425PB-AG </t>
  </si>
  <si>
    <t>1083 - TSM-DE18M(II) 485W</t>
  </si>
  <si>
    <t>688 -  CS6K-280P-FG</t>
  </si>
  <si>
    <t>1082 - TSM-DE18M(II) 510W</t>
  </si>
  <si>
    <t>727 - CS3L-335P</t>
  </si>
  <si>
    <t>1076 - TSM-DE14H(II) 395W</t>
  </si>
  <si>
    <t>757 - CS3W-455MS</t>
  </si>
  <si>
    <t>1069 - TSM-400DE09</t>
  </si>
  <si>
    <t>758 - CS3Y 485MS</t>
  </si>
  <si>
    <t>1028 - TSM-510DE18M(II)</t>
  </si>
  <si>
    <t>812 - CS3Y-490MS</t>
  </si>
  <si>
    <t>1008 - TSM-395DE09</t>
  </si>
  <si>
    <t>815 - CS7L-585MB-AG</t>
  </si>
  <si>
    <t>1003 - TSM-505DE18M(II)</t>
  </si>
  <si>
    <t>821 - CS3Y-480MS</t>
  </si>
  <si>
    <t>1000 - TSM-DE18M(II) 510W</t>
  </si>
  <si>
    <t>834 - CS6W-535MS</t>
  </si>
  <si>
    <t>856 - CS3U-360P</t>
  </si>
  <si>
    <t>991 - KUMAX CS3U-360P</t>
  </si>
  <si>
    <t>962 - HIKU CS3W-420W</t>
  </si>
  <si>
    <t>961 - CS1U- 410MS</t>
  </si>
  <si>
    <t>953 - HIKU-CS3W- 455MS</t>
  </si>
  <si>
    <t>949 - CS3W-400PB-AG</t>
  </si>
  <si>
    <t>947 - CS6Y-590MS</t>
  </si>
  <si>
    <t>941 - CS6W-540MS</t>
  </si>
  <si>
    <t>940 - HIKU 455WP</t>
  </si>
  <si>
    <t xml:space="preserve">925 - CS3U-380MB-AG </t>
  </si>
  <si>
    <t>911 - CS3W-450W</t>
  </si>
  <si>
    <t>881 - CS1U-420MS</t>
  </si>
  <si>
    <t>1147 - CS3W-415F</t>
  </si>
  <si>
    <t>1141 - CS6W HIKU 545W</t>
  </si>
  <si>
    <t>1138 - CS6W-535MB-AG</t>
  </si>
  <si>
    <t>1107 - CS6P-270P</t>
  </si>
  <si>
    <t>1075 - HIKU6 MONO CS6W 530MS - 530WP</t>
  </si>
  <si>
    <t>1068 - CS7N-645MB-AG</t>
  </si>
  <si>
    <t>1047 - CS7N-650-MB-AG</t>
  </si>
  <si>
    <t>1045 - CS6W-540MB-AG</t>
  </si>
  <si>
    <t>1035 - HIKU6 MONO CS6W</t>
  </si>
  <si>
    <t>1030 - HIKU CS3W-450MS</t>
  </si>
  <si>
    <t>1011 - CS6W-530</t>
  </si>
  <si>
    <t>1009 - CS3U-450MS</t>
  </si>
  <si>
    <t>INVERSORES</t>
  </si>
  <si>
    <t>FABRICANTE</t>
  </si>
  <si>
    <t xml:space="preserve">SAIDA </t>
  </si>
  <si>
    <t>ABB_LTDA</t>
  </si>
  <si>
    <t>BELENERGY</t>
  </si>
  <si>
    <t>ELSYS</t>
  </si>
  <si>
    <t>EMPALUX</t>
  </si>
  <si>
    <t>FOXESS</t>
  </si>
  <si>
    <t>HOPEWIND</t>
  </si>
  <si>
    <t>HYPPONTECH</t>
  </si>
  <si>
    <t>KEHUA_TECH</t>
  </si>
  <si>
    <t>LIVOLTEK_POWER</t>
  </si>
  <si>
    <t>MOSO</t>
  </si>
  <si>
    <t>ODEX_SOLAR</t>
  </si>
  <si>
    <t>SENERGY</t>
  </si>
  <si>
    <t>SOLAX_POWER</t>
  </si>
  <si>
    <t>SUNWAYS</t>
  </si>
  <si>
    <t>SYNERGY</t>
  </si>
  <si>
    <t>OUTRO_INVERSOR</t>
  </si>
  <si>
    <t>11 - ABB LTDA</t>
  </si>
  <si>
    <t>Fabricante - FORM</t>
  </si>
  <si>
    <t>Modelo - FORM</t>
  </si>
  <si>
    <t>23 - PVI-10.0-TL-OUTD</t>
  </si>
  <si>
    <t>70 - YC500A</t>
  </si>
  <si>
    <t>176 - SF1600TL</t>
  </si>
  <si>
    <t>550 - BS-75K-G01</t>
  </si>
  <si>
    <t>924 - BEL-45K-G-LV</t>
  </si>
  <si>
    <t>32 - CSI-30KTL-GI-FL</t>
  </si>
  <si>
    <t>501 - CPS SCA 6KTL-SM</t>
  </si>
  <si>
    <t>227 - SCA36KTL-DO/US-480</t>
  </si>
  <si>
    <t>329 - M125HV</t>
  </si>
  <si>
    <t>479 - SUN-5K-G</t>
  </si>
  <si>
    <t>314 - EA3KSI</t>
  </si>
  <si>
    <t>72 - ECOS 1000</t>
  </si>
  <si>
    <t>181 - ST20000TL</t>
  </si>
  <si>
    <t>885 - ESM-8000</t>
  </si>
  <si>
    <t>578 - NAC8K-DS</t>
  </si>
  <si>
    <t>1 - PRIMO 3.0-1</t>
  </si>
  <si>
    <t>855 - F6000</t>
  </si>
  <si>
    <t>213 - GW50K-MT</t>
  </si>
  <si>
    <t>2 - 5500MTL-S (5KW)</t>
  </si>
  <si>
    <t>644 - SOFAR 7,5KTLM</t>
  </si>
  <si>
    <t>841 - HOPESUN 8KTL</t>
  </si>
  <si>
    <t>166 - MI-500</t>
  </si>
  <si>
    <t>84 - SUN2000-8KTL</t>
  </si>
  <si>
    <t>918 - HPK-3000</t>
  </si>
  <si>
    <t>235 - INGECON SUN 3PLAY TL M 100TL PRO 380</t>
  </si>
  <si>
    <t>288 - EGT 12046X</t>
  </si>
  <si>
    <t>357 - BG17KTR</t>
  </si>
  <si>
    <t>683 - SPI3000 B2</t>
  </si>
  <si>
    <t>565 - KOMECO 5KW</t>
  </si>
  <si>
    <t>8 - KSG-20K</t>
  </si>
  <si>
    <t>752 - GT1-5K-D</t>
  </si>
  <si>
    <t>586 - HPS-3000D</t>
  </si>
  <si>
    <t>260 - SF5KTN</t>
  </si>
  <si>
    <t>121 - BDM-300X2</t>
  </si>
  <si>
    <t>141 - 1K5-GSM1</t>
  </si>
  <si>
    <t>311 - SOLIS-3920K-4G</t>
  </si>
  <si>
    <t>700 - PS3KSI</t>
  </si>
  <si>
    <t>81 - 3K-TL2</t>
  </si>
  <si>
    <t>88 - PHB1500-NS</t>
  </si>
  <si>
    <t>60 - 020K</t>
  </si>
  <si>
    <t>433 - NAC3K-SS</t>
  </si>
  <si>
    <t>145 - SF5KTN</t>
  </si>
  <si>
    <t>109 - SUNUNO PLUS 1K</t>
  </si>
  <si>
    <t>775 - SE3KTL-S1</t>
  </si>
  <si>
    <t>202 - TOURIGA 3000 26 Z</t>
  </si>
  <si>
    <t>9 - SUNNY BOY 3.0</t>
  </si>
  <si>
    <t>96 - 3KTLM-G2</t>
  </si>
  <si>
    <t>157 - SE-TL4KA</t>
  </si>
  <si>
    <t>75 - SE12.5K</t>
  </si>
  <si>
    <t>770 - X1-5.0-TD</t>
  </si>
  <si>
    <t>187 - SOLIS - 1P5K - 4G</t>
  </si>
  <si>
    <t>65 - SG4K-D</t>
  </si>
  <si>
    <t xml:space="preserve">929 - STS-6KTL </t>
  </si>
  <si>
    <t xml:space="preserve">892 - SE 75K </t>
  </si>
  <si>
    <t>264 - QUATTRO 3.000</t>
  </si>
  <si>
    <t>15 - SIW500H - ST013</t>
  </si>
  <si>
    <t>734 - OUTRO</t>
  </si>
  <si>
    <t>15 - APSYSTEMS</t>
  </si>
  <si>
    <t>24 - PVI-12.5-TL-OUTD</t>
  </si>
  <si>
    <t>123 - YC600</t>
  </si>
  <si>
    <t>177 - SF2200TL</t>
  </si>
  <si>
    <t>571 - BS-15K-G03</t>
  </si>
  <si>
    <t>888 - BEL1600G3-US-220</t>
  </si>
  <si>
    <t>93 - CSI-40KTL-GI-FL</t>
  </si>
  <si>
    <t>502 - CPS SCA 2,5KTL-S</t>
  </si>
  <si>
    <t xml:space="preserve">231 - SCA50KTL-DO </t>
  </si>
  <si>
    <t>490 - SUN-8K-G</t>
  </si>
  <si>
    <t>425 - EA7KSI</t>
  </si>
  <si>
    <t>73 - ECOS 2000</t>
  </si>
  <si>
    <t>182 - 50 KW</t>
  </si>
  <si>
    <t>870 - ESM-6500</t>
  </si>
  <si>
    <t>607 - NAC3K-SS</t>
  </si>
  <si>
    <t>22 - ECO 25.0.3</t>
  </si>
  <si>
    <t>779 - S3000</t>
  </si>
  <si>
    <t>221 - GW12KN-DT</t>
  </si>
  <si>
    <t>3 - 5000MTL-S</t>
  </si>
  <si>
    <t>646 - SOFAR 5KTLM-G2</t>
  </si>
  <si>
    <t>190 - MI-1200</t>
  </si>
  <si>
    <t>85 - SUN2000-12KTL</t>
  </si>
  <si>
    <t>846 - HPS-6500</t>
  </si>
  <si>
    <t xml:space="preserve">257 - 3PLAY 55TL </t>
  </si>
  <si>
    <t>305 - EGT 12033X</t>
  </si>
  <si>
    <t>374 - MG3KTL</t>
  </si>
  <si>
    <t>685 - SPI6000-B2</t>
  </si>
  <si>
    <t>566 - KOMECO 32KW</t>
  </si>
  <si>
    <t>56 - KSG-12K-LV</t>
  </si>
  <si>
    <t>758 - GT1 - 3K-S</t>
  </si>
  <si>
    <t>206 - 600W</t>
  </si>
  <si>
    <t>142 - 3K-GSM1</t>
  </si>
  <si>
    <t>335 - SOLIS-1P5K-4G</t>
  </si>
  <si>
    <t>701 - PS5KSI</t>
  </si>
  <si>
    <t>82 - 4K-TL2</t>
  </si>
  <si>
    <t>89 - PHB3000-NS</t>
  </si>
  <si>
    <t>61 - 017K</t>
  </si>
  <si>
    <t>447 - NAC5K-DS</t>
  </si>
  <si>
    <t>153 - RENO 500</t>
  </si>
  <si>
    <t>110 - SUNUNO PLUS 1.5K</t>
  </si>
  <si>
    <t>10 - SUNNY BOY 3.6</t>
  </si>
  <si>
    <t>97 - 3.6KTLM-G2</t>
  </si>
  <si>
    <t>158 - SE-TL4KB</t>
  </si>
  <si>
    <t>76 - SE15K</t>
  </si>
  <si>
    <t>200 - 3000 - 4G</t>
  </si>
  <si>
    <t>66 - SG5K-D</t>
  </si>
  <si>
    <t>16 - SIW500H - ST018</t>
  </si>
  <si>
    <t>46 - B&amp;B POWER</t>
  </si>
  <si>
    <t>33 - UNO-DM-1.2-TL-PLUS</t>
  </si>
  <si>
    <t>124 - YC1000</t>
  </si>
  <si>
    <t>178 - SF3000TL</t>
  </si>
  <si>
    <t>576 - BS-5K-G</t>
  </si>
  <si>
    <t>879 - MINVDBE-MO-220V-2KW</t>
  </si>
  <si>
    <t>94 - CSI-50KTL-GI</t>
  </si>
  <si>
    <t>541 - CPS SCA17KTL-T/EU</t>
  </si>
  <si>
    <t>232 - SCA20KTL-DO</t>
  </si>
  <si>
    <t>498 - SUN-3K-G</t>
  </si>
  <si>
    <t>464 - EA16KTSI</t>
  </si>
  <si>
    <t>74 - ECOS 5000</t>
  </si>
  <si>
    <t>253 - 5 KW</t>
  </si>
  <si>
    <t>831 - ESM-3000</t>
  </si>
  <si>
    <t>608 - NAC5K-DS</t>
  </si>
  <si>
    <t>25 - PRIMO 3.5-1</t>
  </si>
  <si>
    <t>224 - GW25K-DT</t>
  </si>
  <si>
    <t>4 - 4200MTL-S</t>
  </si>
  <si>
    <t>661 - SOFAR 6KTM-G2</t>
  </si>
  <si>
    <t>375 - MI-700</t>
  </si>
  <si>
    <t>86 - SUN2000-17KTL</t>
  </si>
  <si>
    <t>845 - HPS-8000</t>
  </si>
  <si>
    <t>336 - 100TL 3PLAY PRO</t>
  </si>
  <si>
    <t>407 - EGT 6000 PRO</t>
  </si>
  <si>
    <t>385 - IMARS MG 5KTL</t>
  </si>
  <si>
    <t>690 - SPI15K</t>
  </si>
  <si>
    <t>572 - KOFV IN 12KW 220V - AR</t>
  </si>
  <si>
    <t>119 - KSG-DM 15KW</t>
  </si>
  <si>
    <t>768 - GT1-6K-D</t>
  </si>
  <si>
    <t>143 - 5K-GDM1</t>
  </si>
  <si>
    <t>340 - SOLIS-1P7K-4G</t>
  </si>
  <si>
    <t>83 - 5K-TL2</t>
  </si>
  <si>
    <t>90 - PHB5000D-NS</t>
  </si>
  <si>
    <t>62 - 013K</t>
  </si>
  <si>
    <t>465 - NAC8K-DS</t>
  </si>
  <si>
    <t>159 - RENO 3000HD</t>
  </si>
  <si>
    <t>111 - SUNUNO PLUS 2K</t>
  </si>
  <si>
    <t>11 - SUNNY BOY 4.0</t>
  </si>
  <si>
    <t>98 - 4KTLM-G2</t>
  </si>
  <si>
    <t>162 - SE-3TL25K</t>
  </si>
  <si>
    <t>77 - SE16K</t>
  </si>
  <si>
    <t>220 - SOLIS - 1P4K - 4G</t>
  </si>
  <si>
    <t>67 - SG6K-D</t>
  </si>
  <si>
    <t>17 - SIW500H - ST022</t>
  </si>
  <si>
    <t>91 - BEDIN SOLAR</t>
  </si>
  <si>
    <t>34 - UNO-DM-2.0-TL-PLUS-SB</t>
  </si>
  <si>
    <t>258 - QS1 1200W</t>
  </si>
  <si>
    <t>222 - SF5KTN B&amp;B POWER</t>
  </si>
  <si>
    <t>582 - BS-3K-G</t>
  </si>
  <si>
    <t>876 - BEL2000G3-US-220</t>
  </si>
  <si>
    <t>103 - CSI-5K-MTL</t>
  </si>
  <si>
    <t xml:space="preserve">570 - CPS SCA5KTL-SM </t>
  </si>
  <si>
    <t>236 - SCA50KTL-DO/EU/400</t>
  </si>
  <si>
    <t>500 - SUN1300G</t>
  </si>
  <si>
    <t>604 - EA5KSI</t>
  </si>
  <si>
    <t>191 - ECOS 2000 PLUS</t>
  </si>
  <si>
    <t>273 - 75 KW</t>
  </si>
  <si>
    <t>699 - NAC25K-DT</t>
  </si>
  <si>
    <t>26 - PRIMO 3.6-1</t>
  </si>
  <si>
    <t>233 - GW5000D-NS</t>
  </si>
  <si>
    <t>5 - 3600MTL-S</t>
  </si>
  <si>
    <t>666 - SOFAR 4KTLM-G2</t>
  </si>
  <si>
    <t>486 - MI-1500</t>
  </si>
  <si>
    <t>87 - SUN2000-20KTL</t>
  </si>
  <si>
    <t>837 - HPS-5000</t>
  </si>
  <si>
    <t>337 - INGECON SUN 3PLAY TL M 100TL PRO 440VCA</t>
  </si>
  <si>
    <t>415 - EGT 2500 PRO</t>
  </si>
  <si>
    <t>414 - BG40KTR</t>
  </si>
  <si>
    <t>919 - SPI75K-B</t>
  </si>
  <si>
    <t>663 - KOFV IN 3KW-AR</t>
  </si>
  <si>
    <t>125 - KSG-3K-SM</t>
  </si>
  <si>
    <t>923 - GT1-8K-D</t>
  </si>
  <si>
    <t>309 - 15K - GDT1</t>
  </si>
  <si>
    <t>107 - M600</t>
  </si>
  <si>
    <t>126 - PHB60K-MT</t>
  </si>
  <si>
    <t>63 - 010K</t>
  </si>
  <si>
    <t>574 - NAC 33K-DT</t>
  </si>
  <si>
    <t>189 - RENO-4K PLUS</t>
  </si>
  <si>
    <t>112 - SUNUNO PLUS 2.5K</t>
  </si>
  <si>
    <t>12 - SUNNY BOY 5.0</t>
  </si>
  <si>
    <t>99 - 4.6KTLM-G2</t>
  </si>
  <si>
    <t>234 - SE-TL5K</t>
  </si>
  <si>
    <t>78 - SE17K</t>
  </si>
  <si>
    <t>276 - SOLIS - 1P7K - 4G</t>
  </si>
  <si>
    <t>68 - SG3K-S</t>
  </si>
  <si>
    <t>18 - SIW500H - ST030</t>
  </si>
  <si>
    <t>131 - BELENERGY</t>
  </si>
  <si>
    <t>35 - UNO-DM-3.3-TL-PLUS</t>
  </si>
  <si>
    <t>369 - QS1-2-220</t>
  </si>
  <si>
    <t>312 - SF3KTN</t>
  </si>
  <si>
    <t>593 - BS-25K-G02</t>
  </si>
  <si>
    <t>875 - INVSBE-MO-220V-4KW</t>
  </si>
  <si>
    <t>104 - CSI-3K-MTL</t>
  </si>
  <si>
    <t>579 - CPS SCA 15KTL-T/EU</t>
  </si>
  <si>
    <t>352 - SCA5KTL-SM</t>
  </si>
  <si>
    <t>542 - SUN-15K-G02</t>
  </si>
  <si>
    <t>192 - ECOS 3000</t>
  </si>
  <si>
    <t>281 - ELGIN600W</t>
  </si>
  <si>
    <t>743 - NAC 80K</t>
  </si>
  <si>
    <t>27 - PRIMO 4.0-1</t>
  </si>
  <si>
    <t>247 - GW20K-DT</t>
  </si>
  <si>
    <t>6 - 3000MTL-S</t>
  </si>
  <si>
    <t>670 - SOFAR 3KTLM-G2</t>
  </si>
  <si>
    <t>660 - MI-1200T</t>
  </si>
  <si>
    <t>197 - SUN2000-33KTL</t>
  </si>
  <si>
    <t>511 - INGECONSUN 3 TL M</t>
  </si>
  <si>
    <t xml:space="preserve">416 - EGT 3212X </t>
  </si>
  <si>
    <t>851 - IMARS MG6KTL- 2M</t>
  </si>
  <si>
    <t>881 - SPI40K-B</t>
  </si>
  <si>
    <t>767 - KOFV IN 20KW - AR</t>
  </si>
  <si>
    <t>134 - KSG-32K-LV</t>
  </si>
  <si>
    <t>914 - GT1-10K-D</t>
  </si>
  <si>
    <t>163 - 13K-TL3</t>
  </si>
  <si>
    <t>127 - PHB14K-DT</t>
  </si>
  <si>
    <t>64 - 008K</t>
  </si>
  <si>
    <t>584 - NAC25K-DT</t>
  </si>
  <si>
    <t>195 - B&amp;B POWER/SF5000TL</t>
  </si>
  <si>
    <t>113 - SUNUNO PLUS 3K</t>
  </si>
  <si>
    <t>13 - SUNNY BOY 1.5</t>
  </si>
  <si>
    <t>100 - 5KTLM-G2</t>
  </si>
  <si>
    <t>300 - 30KW</t>
  </si>
  <si>
    <t>79 - SE25K</t>
  </si>
  <si>
    <t>294 - SOLIS 15KW</t>
  </si>
  <si>
    <t>69 - SG2K-S</t>
  </si>
  <si>
    <t>19 - SIW500H - ST036</t>
  </si>
  <si>
    <t>2 - CANADIAN SOLAR</t>
  </si>
  <si>
    <t>36 - UNO-DM-4.0-TL-PLUS</t>
  </si>
  <si>
    <t>485 - YC1000-3</t>
  </si>
  <si>
    <t>598 - BS-8K-G</t>
  </si>
  <si>
    <t>862 - INVSBE-MO-220V-10KW</t>
  </si>
  <si>
    <t>105 - CSI-1.5K-TL</t>
  </si>
  <si>
    <t>580 - CPS SCA30KTL-T/EU</t>
  </si>
  <si>
    <t>789 - CPS SCH125KTL-DO</t>
  </si>
  <si>
    <t>559 - SUN-12K-G03</t>
  </si>
  <si>
    <t>308 - ES GT-05K</t>
  </si>
  <si>
    <t>286 - SF30000TL</t>
  </si>
  <si>
    <t>903 - R1-10K5-DS</t>
  </si>
  <si>
    <t>28 - PRIMO 4.6-1</t>
  </si>
  <si>
    <t>268 - GW3000</t>
  </si>
  <si>
    <t>7 - 2500MTL-S</t>
  </si>
  <si>
    <t>692 - SOFAR 11KTL-LV</t>
  </si>
  <si>
    <t>724 - HM-1500</t>
  </si>
  <si>
    <t>226 - SUN2000-36KTL</t>
  </si>
  <si>
    <t>611 - INGECON SUN 3PLAY 160TL</t>
  </si>
  <si>
    <t>419 - EGT 8000 PRO</t>
  </si>
  <si>
    <t>146 - KSG-30K</t>
  </si>
  <si>
    <t>164 - 10K-TL3</t>
  </si>
  <si>
    <t>128 - PHB25K-DT</t>
  </si>
  <si>
    <t>91 - 40K</t>
  </si>
  <si>
    <t>736 - NAC20K-DT</t>
  </si>
  <si>
    <t>243 - RENO 30K-LV</t>
  </si>
  <si>
    <t>114 - SUNUNO PLUS 3K-M</t>
  </si>
  <si>
    <t>14 - SUNNY BOY 2.5</t>
  </si>
  <si>
    <t>101 - 6KTLM-G2</t>
  </si>
  <si>
    <t>318 - SE-TL3KA</t>
  </si>
  <si>
    <t>80 - SE27.6K</t>
  </si>
  <si>
    <t>303 - SOLIS-60K-4G</t>
  </si>
  <si>
    <t>132 - SG10KTL-M</t>
  </si>
  <si>
    <t>20 - SIW500H - ST040</t>
  </si>
  <si>
    <t>88 - CHINT POWER</t>
  </si>
  <si>
    <t>37 - UNO-DM-4.6-TL-PLUS</t>
  </si>
  <si>
    <t>526 - YC600-BR</t>
  </si>
  <si>
    <t>934 - BS-20K-G02</t>
  </si>
  <si>
    <t>859 - BEL-15K-G-LV</t>
  </si>
  <si>
    <t>106 - CSI-3K-TL</t>
  </si>
  <si>
    <t>581 - CPS SCA30KTL-T/EU</t>
  </si>
  <si>
    <t>562 - SUN-20K-G02</t>
  </si>
  <si>
    <t>313 - ECOSOLYS GT 12</t>
  </si>
  <si>
    <t>289 - 340-P6C-36</t>
  </si>
  <si>
    <t>867 - SUN2000G3-US-220</t>
  </si>
  <si>
    <t>29 - PRIMO 5.0-1</t>
  </si>
  <si>
    <t>282 - 60K-MT</t>
  </si>
  <si>
    <t>108 - 1500S</t>
  </si>
  <si>
    <t>745 - SOFAR 50000TL</t>
  </si>
  <si>
    <t>902 - HMS-2000-4T</t>
  </si>
  <si>
    <t>230 - SIW 500H - ST018</t>
  </si>
  <si>
    <t>694 - INGECON SUN 33TLM</t>
  </si>
  <si>
    <t>436 - EGT 10500 PRO</t>
  </si>
  <si>
    <t>147 - KSG-36K</t>
  </si>
  <si>
    <t>266 - 50K-TL3-H</t>
  </si>
  <si>
    <t>129 - PHB20K-DT</t>
  </si>
  <si>
    <t>92 - 46K-MV</t>
  </si>
  <si>
    <t>748 - NAC15K-DT</t>
  </si>
  <si>
    <t>244 - RENO 20K-LV</t>
  </si>
  <si>
    <t>115 - SUNUNO PLUS 4K-M</t>
  </si>
  <si>
    <t>117 - SUNNY TRIPOWER 60</t>
  </si>
  <si>
    <t>102 - 7.5KTLM</t>
  </si>
  <si>
    <t>330 - SE3TL 30K</t>
  </si>
  <si>
    <t xml:space="preserve">320 - SE75K    </t>
  </si>
  <si>
    <t>306 - SOLIS 3P15K-4G</t>
  </si>
  <si>
    <t>133 - SG12KTL-M</t>
  </si>
  <si>
    <t>21 - SIW500H - ST050</t>
  </si>
  <si>
    <t>54 - CPS</t>
  </si>
  <si>
    <t>38 - UNO-DM-5.0-TL-PLUS</t>
  </si>
  <si>
    <t>553 - QS1A</t>
  </si>
  <si>
    <t>905 - BS-4K-G</t>
  </si>
  <si>
    <t>857 - BEL-25K-G-LV</t>
  </si>
  <si>
    <t>196 - CSI-25KTL-GI-FL</t>
  </si>
  <si>
    <t>589 - CPS SCA50KTL-DO/EU-400</t>
  </si>
  <si>
    <t>569 - SUN-40K-G</t>
  </si>
  <si>
    <t>322 - ES GT-60K</t>
  </si>
  <si>
    <t>290 - ELGIN1300</t>
  </si>
  <si>
    <t>30 - PRIMO 6.0-1</t>
  </si>
  <si>
    <t>285 - 70KHV-MT</t>
  </si>
  <si>
    <t>152 - MAX 50KTL3 LV</t>
  </si>
  <si>
    <t>860 - HMS-1800-4T</t>
  </si>
  <si>
    <t>246 - SUN2000-60KTL-MO</t>
  </si>
  <si>
    <t>871 - INGECON SUN 3 PLAY 160 TL STD</t>
  </si>
  <si>
    <t>437 - EGT 3000 LITE</t>
  </si>
  <si>
    <t>148 - KSG-50K</t>
  </si>
  <si>
    <t>188 - PHB35K-MT</t>
  </si>
  <si>
    <t>154 - REFUSOL 22,000W</t>
  </si>
  <si>
    <t>765 - NAC60K</t>
  </si>
  <si>
    <t>250 - 5K PLUS</t>
  </si>
  <si>
    <t>116 - SUNUNO PLUS 5K-M</t>
  </si>
  <si>
    <t>150 - SUNNY TRIPOWER 20000TL</t>
  </si>
  <si>
    <t>122 - 33000TL</t>
  </si>
  <si>
    <t>711 - SE-TL 2K</t>
  </si>
  <si>
    <t>400 - SE27.6K - 15.2KW</t>
  </si>
  <si>
    <t>307 - SOLIS-50K</t>
  </si>
  <si>
    <t>144 - SG-36KTL-M</t>
  </si>
  <si>
    <t>39 - SIW300 M015</t>
  </si>
  <si>
    <t>76 - DELTA</t>
  </si>
  <si>
    <t>57 - TRIO-TM-50.0-400</t>
  </si>
  <si>
    <t>671 - MI-1500W</t>
  </si>
  <si>
    <t>785 - BS 20K-G</t>
  </si>
  <si>
    <t>844 - NVDBE-MO-220V-5KW</t>
  </si>
  <si>
    <t>208 - CSI-7KTL1P-GI-FL</t>
  </si>
  <si>
    <t>625 - CPS SCA6KTL-SM/EU</t>
  </si>
  <si>
    <t>577 - SUN600G2-US-220</t>
  </si>
  <si>
    <t>345 - ES GT-12K</t>
  </si>
  <si>
    <t>297 - ELGIN 3 KW</t>
  </si>
  <si>
    <t>31 - PRIMO 8.2-1</t>
  </si>
  <si>
    <t>298 - GW80K-MT</t>
  </si>
  <si>
    <t>155 - GS 3000-S</t>
  </si>
  <si>
    <t>248 - SIW 300 ST50</t>
  </si>
  <si>
    <t>774 - INGECON SUN 3PLAY-160TL PRO</t>
  </si>
  <si>
    <t>467 - EGT 4600 PRO</t>
  </si>
  <si>
    <t>149 - KSG-60K</t>
  </si>
  <si>
    <t>386 - PHB20K-MT</t>
  </si>
  <si>
    <t>198 - 20 K 865P020.000</t>
  </si>
  <si>
    <t>932 - R3-15K-DT</t>
  </si>
  <si>
    <t>255 - RENO-60K</t>
  </si>
  <si>
    <t>167 - SUNTRIO-TL15K</t>
  </si>
  <si>
    <t>183 - SUNNY TRIPOWER CORE1 STP 50-40</t>
  </si>
  <si>
    <t>130 - 11KTL-X</t>
  </si>
  <si>
    <t>418 - SE27,6K - 26,4KW</t>
  </si>
  <si>
    <t>310 - 3P17K-4G</t>
  </si>
  <si>
    <t>171 - SG20KTL-M</t>
  </si>
  <si>
    <t>40 - SIW300 M025</t>
  </si>
  <si>
    <t>86 - DEYE</t>
  </si>
  <si>
    <t>58 - TRIO-TM-60.0-480</t>
  </si>
  <si>
    <t>702 - YC500I</t>
  </si>
  <si>
    <t>784 - BS-12K-G03</t>
  </si>
  <si>
    <t>834 - BEL-5K-G 5,0KW</t>
  </si>
  <si>
    <t>209 - CSI-8KTL1P-GI-FL</t>
  </si>
  <si>
    <t>635 - CPS SCA3.6KTL-S/EU</t>
  </si>
  <si>
    <t>595 - SUN-75K-G</t>
  </si>
  <si>
    <t>365 - ES GT-30K</t>
  </si>
  <si>
    <t>370 - SUN-5K-G</t>
  </si>
  <si>
    <t>42 - SYMO 17.5-3-M</t>
  </si>
  <si>
    <t>339 - GW15KN-DT</t>
  </si>
  <si>
    <t>156 - GS 1500-S</t>
  </si>
  <si>
    <t>249 - SIW 300 ST020</t>
  </si>
  <si>
    <t>488 - EGT 22000 MAX</t>
  </si>
  <si>
    <t>161 - KSG-5K-DM</t>
  </si>
  <si>
    <t xml:space="preserve">404 - PHB36K-MT </t>
  </si>
  <si>
    <t>216 - REFUONE 3K-2T</t>
  </si>
  <si>
    <t>899 - NAC8K-DS</t>
  </si>
  <si>
    <t>274 - SF3KTN</t>
  </si>
  <si>
    <t>168 - SUNTRIO-TL 12K</t>
  </si>
  <si>
    <t>211 - SB4.0-1AV-40</t>
  </si>
  <si>
    <t>131 - 12KTL-X</t>
  </si>
  <si>
    <t>435 - SE17K - 9,9KW</t>
  </si>
  <si>
    <t>315 - SOLIS-25K</t>
  </si>
  <si>
    <t>172 - SG15KTL-M</t>
  </si>
  <si>
    <t>41 - SIW300 M050</t>
  </si>
  <si>
    <t>71 - EAST</t>
  </si>
  <si>
    <t>59 - TRIO-27.6-TL-OUTD</t>
  </si>
  <si>
    <t>735 - QS1A-1500</t>
  </si>
  <si>
    <t>833 - BEL-3K-G</t>
  </si>
  <si>
    <t>210 - CSI-9KTL1P-GI-FL</t>
  </si>
  <si>
    <t>733 - CPS SCH125KTL-DO</t>
  </si>
  <si>
    <t>596 - SUN-12K-G02-LV</t>
  </si>
  <si>
    <t>413 - ES GT-16K</t>
  </si>
  <si>
    <t>379 - SUN-30K-G</t>
  </si>
  <si>
    <t>43 - SYMO 20.0-3-M</t>
  </si>
  <si>
    <t>360 - GW17K-DT</t>
  </si>
  <si>
    <t>174 - 20000</t>
  </si>
  <si>
    <t>252 - SIW 300 ST30</t>
  </si>
  <si>
    <t>499 - EGT 20000 MAX</t>
  </si>
  <si>
    <t>491 - PHB75K-MT</t>
  </si>
  <si>
    <t>223 - REFUONE 5K-2T</t>
  </si>
  <si>
    <t>897 - R1-8K-DS</t>
  </si>
  <si>
    <t>275 - RENO-10K</t>
  </si>
  <si>
    <t>169 - SUNTRIO-TL 17K</t>
  </si>
  <si>
    <t>212 - SB3.0-1AV-40</t>
  </si>
  <si>
    <t>137 - 60000TL</t>
  </si>
  <si>
    <t>444 - SE75K-127/220</t>
  </si>
  <si>
    <t>321 - 1P8K-4G</t>
  </si>
  <si>
    <t>194 - SG60KTL</t>
  </si>
  <si>
    <t>71 - SUN2000-33KTL</t>
  </si>
  <si>
    <t>17 - ECOSOLYS</t>
  </si>
  <si>
    <t>120 - PVI-6000-TL-OUTD</t>
  </si>
  <si>
    <t>882 - DS3D</t>
  </si>
  <si>
    <t>832 - BEL-4K-G</t>
  </si>
  <si>
    <t>261 - CSI-15KTL-GI-FL</t>
  </si>
  <si>
    <t>750 - CPS SCA3KTL-S/EU</t>
  </si>
  <si>
    <t>599 -  SUN-20K-G</t>
  </si>
  <si>
    <t>420 - ES GT-10K-220</t>
  </si>
  <si>
    <t>401 - SUN-50K-G</t>
  </si>
  <si>
    <t>44 - SYMO 15.0-3-M</t>
  </si>
  <si>
    <t>361 - GW36K-MT</t>
  </si>
  <si>
    <t>184 - 33000TL3-S</t>
  </si>
  <si>
    <t>259 - SIW 300 ST040</t>
  </si>
  <si>
    <t>537 - EGT 3600 PRO</t>
  </si>
  <si>
    <t>523 - PHB 8500-MS</t>
  </si>
  <si>
    <t>228 - 801P002300 3KW</t>
  </si>
  <si>
    <t>884 - R1-3K3-SS</t>
  </si>
  <si>
    <t>277 - RENO 50K</t>
  </si>
  <si>
    <t>170 - SUNTRIO-TL 20K</t>
  </si>
  <si>
    <t>214 - SHP75-10 75KW</t>
  </si>
  <si>
    <t>138 - 50000TL</t>
  </si>
  <si>
    <t>453 - SE3680H</t>
  </si>
  <si>
    <t>323 - SOLIS 3P20K-4G</t>
  </si>
  <si>
    <t>201 - SG8K3-D</t>
  </si>
  <si>
    <t>118 - SIW300H M020</t>
  </si>
  <si>
    <t>42 - ELGIN S.A.</t>
  </si>
  <si>
    <t>160 - TRIO-TM-20.0-400</t>
  </si>
  <si>
    <t>829 - BEL-8K-G 8,0KW</t>
  </si>
  <si>
    <t>317 - CSI-5KTL1P-GI-FL</t>
  </si>
  <si>
    <t>769 - CPS SCA3KTL-S/EU</t>
  </si>
  <si>
    <t>606 - SUN-4K-G</t>
  </si>
  <si>
    <t>469 - ES GT-15K</t>
  </si>
  <si>
    <t>423 - SUN-75K-G</t>
  </si>
  <si>
    <t>45 - SYMO 12.5-3-M</t>
  </si>
  <si>
    <t>387 - GW10K-MS</t>
  </si>
  <si>
    <t>185 - 40000TL3-S</t>
  </si>
  <si>
    <t>270 - SUN 2000 13KTL</t>
  </si>
  <si>
    <t>621 - EGT 9000 PRO</t>
  </si>
  <si>
    <t>538 - PHB780-XS</t>
  </si>
  <si>
    <t>229 - 842P0400.10</t>
  </si>
  <si>
    <t>856 - R1-10K5-DS</t>
  </si>
  <si>
    <t>326 - RENO-560</t>
  </si>
  <si>
    <t>265 - SUNTRIO PLUS 50K</t>
  </si>
  <si>
    <t>215 - SB5.0-1AV-40</t>
  </si>
  <si>
    <t>139 - 70000TL</t>
  </si>
  <si>
    <t>454 - SE6000H</t>
  </si>
  <si>
    <t>333 - 3P12K-4G</t>
  </si>
  <si>
    <t>283 - SG50CX</t>
  </si>
  <si>
    <t>135 - SIW300H M030</t>
  </si>
  <si>
    <t>133 - ELSYS</t>
  </si>
  <si>
    <t>205 - UNO-DM-6.0-TL-PLUS</t>
  </si>
  <si>
    <t>824 - INVDBE-MO-220V-3KW</t>
  </si>
  <si>
    <t>354 - CSI-3KTL1P-GI-FL</t>
  </si>
  <si>
    <t>612 - SUN-5K-SG01LP1-US</t>
  </si>
  <si>
    <t>632 - ES GT-12K-220</t>
  </si>
  <si>
    <t>441 - SUN - 20K - G</t>
  </si>
  <si>
    <t>46 - SYMO 10.0-3-M</t>
  </si>
  <si>
    <t>393 - GW3000-NS</t>
  </si>
  <si>
    <t>199 - MAX 60KTL3 MV</t>
  </si>
  <si>
    <t>291 - SUN 2000L-5KTL</t>
  </si>
  <si>
    <t>627 - EGT 2000 LITE</t>
  </si>
  <si>
    <t>549 - PHB85K-MT</t>
  </si>
  <si>
    <t>237 - 7K-2T</t>
  </si>
  <si>
    <t>840 - NAC6K-DS</t>
  </si>
  <si>
    <t>341 - RENO 8K-PLUS</t>
  </si>
  <si>
    <t>271 - SUNTRIO PLUS 33K</t>
  </si>
  <si>
    <t>240 - SUNNY TRIPOWER 50</t>
  </si>
  <si>
    <t>165 - 30000TL</t>
  </si>
  <si>
    <t>463 - SE9200H</t>
  </si>
  <si>
    <t>390 - SOLIS-3P5K-4G</t>
  </si>
  <si>
    <t>292 - SG110CX</t>
  </si>
  <si>
    <t>136 - SW300H M040</t>
  </si>
  <si>
    <t>96 - EMPALUX</t>
  </si>
  <si>
    <t>241 - PVS-60-TL-SX2</t>
  </si>
  <si>
    <t>821 - BEL-10K-G</t>
  </si>
  <si>
    <t>383 - CSI-10KTL1P-GI-FL</t>
  </si>
  <si>
    <t>617 - SUN-5K SG01/03LP1-EU</t>
  </si>
  <si>
    <t>643 - ES GT-20K-V2</t>
  </si>
  <si>
    <t>552 - SUN-3K-G</t>
  </si>
  <si>
    <t>47 - SYMO 8.2-3-M</t>
  </si>
  <si>
    <t>396 - GW12KLV-DT</t>
  </si>
  <si>
    <t>204 - 30000 TL3-S</t>
  </si>
  <si>
    <t>293 - SUN 2000L-3KTL</t>
  </si>
  <si>
    <t>638 - EGT 1600 LITE</t>
  </si>
  <si>
    <t>564 - PHB50K-MT</t>
  </si>
  <si>
    <t>239 - 11K</t>
  </si>
  <si>
    <t>830 - NAC50K</t>
  </si>
  <si>
    <t>342 - RENO-3K PLUS</t>
  </si>
  <si>
    <t>278 - SUNTRIO PLUS 25K</t>
  </si>
  <si>
    <t>256 - 15000 TL</t>
  </si>
  <si>
    <t>175 - 15000TL</t>
  </si>
  <si>
    <t>480 - SE27.6K - 220V</t>
  </si>
  <si>
    <t>397 - SOLIS-MINI-3000-4G</t>
  </si>
  <si>
    <t>344 - SG50KTL-M</t>
  </si>
  <si>
    <t>186 - SIW300H M050</t>
  </si>
  <si>
    <t>1 - FRONIUS</t>
  </si>
  <si>
    <t>245 - PVS-100-TL</t>
  </si>
  <si>
    <t>434 - CSI-4KTL1P-GI-FL</t>
  </si>
  <si>
    <t>619 - SUN-60K-G</t>
  </si>
  <si>
    <t>605 -  SUN-30K-G02-LV</t>
  </si>
  <si>
    <t>48 - SYMO 7.0-3-M</t>
  </si>
  <si>
    <t xml:space="preserve">403 - GW3000D-NS </t>
  </si>
  <si>
    <t>219 - 22000 TL3 SL</t>
  </si>
  <si>
    <t>304 - SUN2000-100KTL-H1</t>
  </si>
  <si>
    <t>731 - EGT 1500 MAX 220V</t>
  </si>
  <si>
    <t>567 - PHB1500-XS</t>
  </si>
  <si>
    <t>242 - REFUONE 7K- 2T</t>
  </si>
  <si>
    <t>343 - RENO-8K</t>
  </si>
  <si>
    <t>287 - SANTORI TL40 PLUS</t>
  </si>
  <si>
    <t>263 - SB2.5-1VL-40</t>
  </si>
  <si>
    <t>179 - 20000 TL</t>
  </si>
  <si>
    <t>509 - SE20.1K</t>
  </si>
  <si>
    <t>402 - 1P9K-4G</t>
  </si>
  <si>
    <t>348 - SG3K-D</t>
  </si>
  <si>
    <t>217 - SIW500H ST060</t>
  </si>
  <si>
    <t>125 - FOXESS</t>
  </si>
  <si>
    <t>251 - PVS-120-TL-SX2</t>
  </si>
  <si>
    <t>462 - CSI-20KTL-GI-FL</t>
  </si>
  <si>
    <t>628 - SUN-30K-G-LV</t>
  </si>
  <si>
    <t>613 - SUN-8K-G</t>
  </si>
  <si>
    <t>49 - SYMO 6.0-3-M</t>
  </si>
  <si>
    <t>405 - GW10KLV-DT</t>
  </si>
  <si>
    <t>238 - 15000 TL3-SL</t>
  </si>
  <si>
    <t>319 - SUN2000-40KTL</t>
  </si>
  <si>
    <t>747 - EGT-1200 MICRO</t>
  </si>
  <si>
    <t>573 - PHB12KN-DT</t>
  </si>
  <si>
    <t>254 - 801P005200 5KW</t>
  </si>
  <si>
    <t xml:space="preserve">384 - RENO-5K-PLUS </t>
  </si>
  <si>
    <t>302 - SUNUNO PLUS 6K-M</t>
  </si>
  <si>
    <t>269 - SUNNY BOY 6KW</t>
  </si>
  <si>
    <t>180 - 3000 TL</t>
  </si>
  <si>
    <t>543 - SE75K - 43,5 - 127/220</t>
  </si>
  <si>
    <t>408 - SOLIS-20K-LV</t>
  </si>
  <si>
    <t>371 - SG250HX 1500V</t>
  </si>
  <si>
    <t>218 - SIW500H ST017</t>
  </si>
  <si>
    <t>53 - GOODWE</t>
  </si>
  <si>
    <t>262 - TRIO-50.0-TL-OUTD</t>
  </si>
  <si>
    <t>468 - CSI-30KTL-GI-L</t>
  </si>
  <si>
    <t>629 - SUN1300G</t>
  </si>
  <si>
    <t>720 - SUN-15K-G02-LV</t>
  </si>
  <si>
    <t>50 - SYMO 5.0-3-M</t>
  </si>
  <si>
    <t>409 - GW15KLV-DT</t>
  </si>
  <si>
    <t>267 - 2000-S</t>
  </si>
  <si>
    <t>347 - SUN2000-15KTL</t>
  </si>
  <si>
    <t>772 - EGT 15000 MAX 220V</t>
  </si>
  <si>
    <t>590 - PHB15K-MT</t>
  </si>
  <si>
    <t>301 - 801P003200 3KW</t>
  </si>
  <si>
    <t>424 - RENO-15K</t>
  </si>
  <si>
    <t>316 - SAJ SUNTRIO PLUS 40K</t>
  </si>
  <si>
    <t>299 - SUNNY TRIPOWER 25000TL</t>
  </si>
  <si>
    <t>207 - 25000TL</t>
  </si>
  <si>
    <t>555 - SE 20,1K</t>
  </si>
  <si>
    <t>430 - SOLIS-MINI-2000-4G</t>
  </si>
  <si>
    <t>406 - SG125HV</t>
  </si>
  <si>
    <t>338 - SIW500H ST020</t>
  </si>
  <si>
    <t>3 - GROWATT</t>
  </si>
  <si>
    <t>382 - TRIO-20.0-TL-OUTD</t>
  </si>
  <si>
    <t>470 - CSI-60KTL-GI-H</t>
  </si>
  <si>
    <t>630 - SUN-25K-G02</t>
  </si>
  <si>
    <t>740 - ELGIN-2000W</t>
  </si>
  <si>
    <t>51 - SYMO 4.5-3-M</t>
  </si>
  <si>
    <t>431 -  GW50KLV-MT</t>
  </si>
  <si>
    <t>272 - MAX 80KTL3 MV</t>
  </si>
  <si>
    <t>350 - SUN2000L-4KTL</t>
  </si>
  <si>
    <t>921 - EGT 1200 MICRO</t>
  </si>
  <si>
    <t>654 - PHB6000D-NS</t>
  </si>
  <si>
    <t>325 - 23K</t>
  </si>
  <si>
    <t>478 - RENO560-LV</t>
  </si>
  <si>
    <t>332 - SUNTRIO PLUS 20K</t>
  </si>
  <si>
    <t xml:space="preserve">324 - SUNNY HIGHPOWER PEAK1 </t>
  </si>
  <si>
    <t>296 - 20000TL-G2</t>
  </si>
  <si>
    <t>626 - SE75K - 45,6KW</t>
  </si>
  <si>
    <t>442 - SOLIS-1P10K-4G</t>
  </si>
  <si>
    <t>448 - SG33CX</t>
  </si>
  <si>
    <t>353 - SIW500H-ST012</t>
  </si>
  <si>
    <t>105 - HELTE</t>
  </si>
  <si>
    <t>388 - UNO-DM-4.0-TL-PLUS-SB</t>
  </si>
  <si>
    <t>489 - CSI-3.0KTL1P-GI-FL</t>
  </si>
  <si>
    <t>637 - SUN-33K-G</t>
  </si>
  <si>
    <t>847 - ELGIN30KW</t>
  </si>
  <si>
    <t>52 - SYMO 3.7-3-M</t>
  </si>
  <si>
    <t>432 - GW30KLV-MT</t>
  </si>
  <si>
    <t>279 - 50000TL3-S</t>
  </si>
  <si>
    <t>484 - SUN2000-30KTL</t>
  </si>
  <si>
    <t>895 - EGT 10000 PRO G2 10KW</t>
  </si>
  <si>
    <t>707 - PHB21KT-DT</t>
  </si>
  <si>
    <t>334 - REFUONE 1,6K-1T</t>
  </si>
  <si>
    <t xml:space="preserve">515 - RENO-75K-NG </t>
  </si>
  <si>
    <t xml:space="preserve">372 - SUNTRIO PLUS 12K </t>
  </si>
  <si>
    <t>456 - SB4.0.1AV-41</t>
  </si>
  <si>
    <t>327 - 30000TL-G2</t>
  </si>
  <si>
    <t>771 - SE33.3K</t>
  </si>
  <si>
    <t>451 - SOLIS-30K</t>
  </si>
  <si>
    <t>449 - SG40CX</t>
  </si>
  <si>
    <t>378 - SIW500H-ST015</t>
  </si>
  <si>
    <t>136 - HOPEWIND</t>
  </si>
  <si>
    <t>389 - UNO-DM-6.0-TL-PLUS-SB-G</t>
  </si>
  <si>
    <t>587 - CSI-25KTL-GI-L</t>
  </si>
  <si>
    <t>639 - SUN-40K-G-LV 40KW</t>
  </si>
  <si>
    <t>53 - SYMO 3.0-3-M</t>
  </si>
  <si>
    <t>482 - GW3000-XS</t>
  </si>
  <si>
    <t>280 - 25000-TL3</t>
  </si>
  <si>
    <t>507 - SUN2000-20KTL-M0</t>
  </si>
  <si>
    <t>894 - EGT 40000 MAX</t>
  </si>
  <si>
    <t>898 - PHB3000N-XS</t>
  </si>
  <si>
    <t>346 - 11K 865P020.000</t>
  </si>
  <si>
    <t>522 - RENO-20K</t>
  </si>
  <si>
    <t>466 - SUNTRIO PLUS 17KVA</t>
  </si>
  <si>
    <t>457 - SUNNY BOY 6.0</t>
  </si>
  <si>
    <t>328 - 33000TL-G2</t>
  </si>
  <si>
    <t>494 - 1P8K-4G</t>
  </si>
  <si>
    <t>616 - SG25CX-SA</t>
  </si>
  <si>
    <t>455 - SIW500H - ST040</t>
  </si>
  <si>
    <t>41 - HOYMILES</t>
  </si>
  <si>
    <t>392 - UNO-DM-4.6-TL-PLUS-SB</t>
  </si>
  <si>
    <t>592 - CSL-20KTL-GI-LFL</t>
  </si>
  <si>
    <t>645 -  SUN-50K-G-LV</t>
  </si>
  <si>
    <t>54 - SYMO 4.5-3-S</t>
  </si>
  <si>
    <t>514 - GW8500-MS</t>
  </si>
  <si>
    <t>284 - MAX 70KTL3 LV</t>
  </si>
  <si>
    <t>527 - SUN2000-12KTL-MO</t>
  </si>
  <si>
    <t>883 - EGT-600 MICRO</t>
  </si>
  <si>
    <t>858 - PHB 35KS-MT</t>
  </si>
  <si>
    <t>356 - 801P007200 7,5KW</t>
  </si>
  <si>
    <t>609 - RENO-40K-NG</t>
  </si>
  <si>
    <t>473 - SUNUNO PLUS 6K-M</t>
  </si>
  <si>
    <t>458 - SUNNY TRIPOWER CORE 1 STP 50-40</t>
  </si>
  <si>
    <t>377 - 25000TL-G2</t>
  </si>
  <si>
    <t>575 - SOLIS-1P8K-4G</t>
  </si>
  <si>
    <t>773 - SG75CX</t>
  </si>
  <si>
    <t>518 - SIW200-M085</t>
  </si>
  <si>
    <t>24 - HUAWEI</t>
  </si>
  <si>
    <t>395 - UNO-DM-5.0-TL-PLUS-SB</t>
  </si>
  <si>
    <t>657 - CSI-3K-S22002-E</t>
  </si>
  <si>
    <t>655 - SUN-20K-G02-LV</t>
  </si>
  <si>
    <t>55 - SYMO 3.0-3-S</t>
  </si>
  <si>
    <t>528 - GW35KLV-MT</t>
  </si>
  <si>
    <t>295 - 12000TL3-S</t>
  </si>
  <si>
    <t>531 - SUN2000-33KTL-A</t>
  </si>
  <si>
    <t>825 - PHB5000T-DS</t>
  </si>
  <si>
    <t>362 - REFUSOL 20K</t>
  </si>
  <si>
    <t>624 - RENO 4K PLUS</t>
  </si>
  <si>
    <t>474 - SUNUNO PLUS 60K-M</t>
  </si>
  <si>
    <t>519 - SB6.0-1AV-41</t>
  </si>
  <si>
    <t>438 - SOFAR 5KTLM-G2</t>
  </si>
  <si>
    <t>614 - SOLIS-15K-LV</t>
  </si>
  <si>
    <t>877 - SG20RT</t>
  </si>
  <si>
    <t>597 - SIW200-M100</t>
  </si>
  <si>
    <t>135 - HYPONTECH</t>
  </si>
  <si>
    <t>421 - PVS-50-TL</t>
  </si>
  <si>
    <t>673 - CSI-5KTL1P-FL</t>
  </si>
  <si>
    <t>659 - SUN-50K-G</t>
  </si>
  <si>
    <t>95 - ECO 27.0-3-S</t>
  </si>
  <si>
    <t>539 - GW25K-MT</t>
  </si>
  <si>
    <t>331 - 20000TL3-SL</t>
  </si>
  <si>
    <t>556 - SUN2000-15KTL-M0</t>
  </si>
  <si>
    <t>819 - PHB6000-MS</t>
  </si>
  <si>
    <t>366 - 840P040.010</t>
  </si>
  <si>
    <t>722 - RENO1300</t>
  </si>
  <si>
    <t>529 - SUNTRIO PLUS 15K</t>
  </si>
  <si>
    <t>665 - SB5.0-1AV-41</t>
  </si>
  <si>
    <t>446 - 3000TL</t>
  </si>
  <si>
    <t>615 - SOLIS-30K-LV</t>
  </si>
  <si>
    <t>852 - SG15RT</t>
  </si>
  <si>
    <t>622 - SIW300H M060 L1</t>
  </si>
  <si>
    <t>55 - INGETEAM S.A</t>
  </si>
  <si>
    <t>483 - UNO DM 5K-TL-PLUS-B</t>
  </si>
  <si>
    <t>680 - CSI-15K-T400GL1-E</t>
  </si>
  <si>
    <t>668 - SUN-7.5K-G</t>
  </si>
  <si>
    <t>151 - SYMO 12.0-3</t>
  </si>
  <si>
    <t>546 - GW75K-MT</t>
  </si>
  <si>
    <t>349 - MIN 5000TL-X</t>
  </si>
  <si>
    <t>557 - SUN2000L-2KTL</t>
  </si>
  <si>
    <t>373 - 865P020.000 11K</t>
  </si>
  <si>
    <t>915 - RENO-7.7K</t>
  </si>
  <si>
    <t>545 - R5-8K-S2</t>
  </si>
  <si>
    <t>487 - 50000TL-G2</t>
  </si>
  <si>
    <t>642 - SOLIS-75K-5G</t>
  </si>
  <si>
    <t>631 - SIW300H - M050 L1 - 5KW</t>
  </si>
  <si>
    <t>67 - INTELBRAS</t>
  </si>
  <si>
    <t>558 - PRO-33.0-TL-OUTD</t>
  </si>
  <si>
    <t>697 - CSI-7KTL1P-GI-FL - 7,7KW</t>
  </si>
  <si>
    <t>669 - SUN-3.6K-G</t>
  </si>
  <si>
    <t>173 - FRONIUS SYMO 10.0-3 208/240</t>
  </si>
  <si>
    <t>548 - GW15KLV-MT</t>
  </si>
  <si>
    <t>351 - 17000TL3-S</t>
  </si>
  <si>
    <t>583 - SUN2000-60KTL-HV-D1-001</t>
  </si>
  <si>
    <t>380 - REFUSOL 008K-020K</t>
  </si>
  <si>
    <t>889 - RENO 30K-NG</t>
  </si>
  <si>
    <t>623 - R5-3K-S2</t>
  </si>
  <si>
    <t>493 - 1600-TL-G3</t>
  </si>
  <si>
    <t>693 - SOLIS-30K-5G</t>
  </si>
  <si>
    <t>633 - SIW300H M020 L1</t>
  </si>
  <si>
    <t>77 - INVT</t>
  </si>
  <si>
    <t>677 - PVS-50-TL-SX</t>
  </si>
  <si>
    <t>708 - CSI-5K-S22002-E</t>
  </si>
  <si>
    <t>674 - SUN-30K-G</t>
  </si>
  <si>
    <t>193 - ECO 25.0.3-S</t>
  </si>
  <si>
    <t>560 - GW20KLV-MT</t>
  </si>
  <si>
    <t>358 - 40000 TL3-NS</t>
  </si>
  <si>
    <t>585 - SUN2000-4KTL-L1</t>
  </si>
  <si>
    <t>381 - REFUONE 5K-2T</t>
  </si>
  <si>
    <t>641 - R5-5K-S2</t>
  </si>
  <si>
    <t>497 - 13500TL-LV</t>
  </si>
  <si>
    <t>696 - SOLIS-25K-LV</t>
  </si>
  <si>
    <t>636 - SIW500H-ST100HV</t>
  </si>
  <si>
    <t>109 - KEHUA TECH</t>
  </si>
  <si>
    <t>679 - PVI-3.0-TL-OUTD</t>
  </si>
  <si>
    <t>712 - CSI-5K-S22002-ED</t>
  </si>
  <si>
    <t>675 - SUN-10K-G02</t>
  </si>
  <si>
    <t>225 - SYMO 15.0-1</t>
  </si>
  <si>
    <t>588 - GW60K-MT</t>
  </si>
  <si>
    <t>364 - MAX 75KTL3 LV</t>
  </si>
  <si>
    <t>709 - SUN2000-40KTL</t>
  </si>
  <si>
    <t>391 - 008K-020K</t>
  </si>
  <si>
    <t>647 - R5-7K-S2</t>
  </si>
  <si>
    <t>508 - 27500 TL-LV</t>
  </si>
  <si>
    <t>717 - 1P7K-5G</t>
  </si>
  <si>
    <t>640 - SIW300H M040 L1 (SUN2000L-4KTL-L1)</t>
  </si>
  <si>
    <t>94 - KOMECO</t>
  </si>
  <si>
    <t>691 - TRIO-27.6-TL-OUTD-S2X-400/JP</t>
  </si>
  <si>
    <t>713 - CSI-20K-T400GL01-E</t>
  </si>
  <si>
    <t>676 - SUN-3.6K-G</t>
  </si>
  <si>
    <t>355 - FRONIUS SYMO 15.0-3 208/240</t>
  </si>
  <si>
    <t>603 - GW15KLV-MT</t>
  </si>
  <si>
    <t>367 - 8000MTL-S</t>
  </si>
  <si>
    <t>798 - SUN2000-30KTL-M3</t>
  </si>
  <si>
    <t>394 - REFUSOL 40K</t>
  </si>
  <si>
    <t>651 - R5-4K-S2</t>
  </si>
  <si>
    <t>516 - SOFAR 3300TL-G3</t>
  </si>
  <si>
    <t>739 - SOLIS-25K-5G</t>
  </si>
  <si>
    <t>682 - SIW300H M030 L1 (SUN2000L-3KTL L1)</t>
  </si>
  <si>
    <t>6 - KSTAR NEW ENERGY</t>
  </si>
  <si>
    <t>848 - PVS-175-TL</t>
  </si>
  <si>
    <t>715 - CSI-7K-S22002-ED</t>
  </si>
  <si>
    <t>681 - SUN-10K-G03</t>
  </si>
  <si>
    <t>359 - 12.0-3 208/240</t>
  </si>
  <si>
    <t>610 - GW1500-NS</t>
  </si>
  <si>
    <t>368 - MIN 6000TL-X</t>
  </si>
  <si>
    <t>815 - SUN2000-215KTL-H0</t>
  </si>
  <si>
    <t>398 - 33K-2T</t>
  </si>
  <si>
    <t>652 - R5-6K-S2</t>
  </si>
  <si>
    <t>535 - 1600TL-G3</t>
  </si>
  <si>
    <t>741 - SOLIS-1P9K-4G</t>
  </si>
  <si>
    <t>753 - SIW200F M030</t>
  </si>
  <si>
    <t>121 - LIVOLTEK POWER</t>
  </si>
  <si>
    <t>718 - CSI-3K-S22002-ED</t>
  </si>
  <si>
    <t>687 - SUN-15K-G02-LV</t>
  </si>
  <si>
    <t xml:space="preserve">363 - FRONIUS SYMO 12.0-3 208-240 </t>
  </si>
  <si>
    <t>648 - GW30K-MT</t>
  </si>
  <si>
    <t>410 - 5000TL-X</t>
  </si>
  <si>
    <t>913 - SUN2000-15KTL-M2</t>
  </si>
  <si>
    <t xml:space="preserve">399 - 25K-2T </t>
  </si>
  <si>
    <t>672 - R5-2K-S1</t>
  </si>
  <si>
    <t>536 - 33000TL-LV</t>
  </si>
  <si>
    <t>744 - SOLIS-1P7.7K-5G</t>
  </si>
  <si>
    <t>756 - SIW200F M060</t>
  </si>
  <si>
    <t>98 - MINASOL</t>
  </si>
  <si>
    <t>911 - CSI-15KT400GL01-E</t>
  </si>
  <si>
    <t>695 - SUN-1300G-US-220</t>
  </si>
  <si>
    <t>376 - FRONIUS SYMO BR 10.0-3</t>
  </si>
  <si>
    <t>656 - GW35KLV-MT</t>
  </si>
  <si>
    <t xml:space="preserve">411 - MIN 6000TL-X </t>
  </si>
  <si>
    <t>910 - SUN2000-20KTL-M3</t>
  </si>
  <si>
    <t>427 - 850P025-13K</t>
  </si>
  <si>
    <t>688 - RS-3K-S1</t>
  </si>
  <si>
    <t>540 - SOFAR 11000TL-LV</t>
  </si>
  <si>
    <t>746 - SOLIS--1P6K-4G</t>
  </si>
  <si>
    <t>936 - SIW500H-ST015-M2</t>
  </si>
  <si>
    <t>61 - MOSO</t>
  </si>
  <si>
    <t>806 - CSI-25K-T400GL02-E</t>
  </si>
  <si>
    <t>698 - SUN-3.6K-SG03LP1-EU</t>
  </si>
  <si>
    <t>412 - ECO 27-3-S</t>
  </si>
  <si>
    <t>664 - GW12K-DT</t>
  </si>
  <si>
    <t>417 - MAC 60 KTL3-X LV</t>
  </si>
  <si>
    <t>893 - SUN2000-12KTL-M2</t>
  </si>
  <si>
    <t>428 - 50K-3T (26KW)</t>
  </si>
  <si>
    <t>757 - R5-10K-T2</t>
  </si>
  <si>
    <t>544 - 16500TL-LV</t>
  </si>
  <si>
    <t>749 - SOLIS-40K-HV-5G</t>
  </si>
  <si>
    <t>930 - SIW500H ST012 M2</t>
  </si>
  <si>
    <t>29 - NEP</t>
  </si>
  <si>
    <t>803 - CSI-9K-S22002-ED</t>
  </si>
  <si>
    <t>706 - SUN-15K-G03</t>
  </si>
  <si>
    <t xml:space="preserve">475 - SYMO 10.0-3 </t>
  </si>
  <si>
    <t>667 - GW12KLV-MT</t>
  </si>
  <si>
    <t>422 - GROWATT 11000TL3-S</t>
  </si>
  <si>
    <t>880 - SUN2000-100KTL-M1</t>
  </si>
  <si>
    <t>429 - 50K-3T</t>
  </si>
  <si>
    <t>762 - R5-15K-T2</t>
  </si>
  <si>
    <t>554 - 3300TL-G3</t>
  </si>
  <si>
    <t>920 - SOLIS-60K-LV-5G</t>
  </si>
  <si>
    <t>925 - SIW400-ST075</t>
  </si>
  <si>
    <t>33 - NHS SOLAR</t>
  </si>
  <si>
    <t>802 - CSI-30K-T400GL02-E</t>
  </si>
  <si>
    <t>714 - SUN1600G3-US-220</t>
  </si>
  <si>
    <t>492 - ECO 27.0-3</t>
  </si>
  <si>
    <t>703 - GW35KLV-MT</t>
  </si>
  <si>
    <t>426 - GROWATT 3000-S</t>
  </si>
  <si>
    <t>445 - 25K-2T (13KW)</t>
  </si>
  <si>
    <t>766 - SUNTRIO PLUS 25K-LV</t>
  </si>
  <si>
    <t>568 - 18000TL-LV</t>
  </si>
  <si>
    <t>909 - S5-GC15K-LV</t>
  </si>
  <si>
    <t>922 - SIW400G T025</t>
  </si>
  <si>
    <t>70 - NINGBO GINLONG</t>
  </si>
  <si>
    <t>777 - CSI-5KTL1P-FL</t>
  </si>
  <si>
    <t>719 - SUN2000G</t>
  </si>
  <si>
    <t>653 - FRONIUS AGILO 75.0-3</t>
  </si>
  <si>
    <t>710 - GW60KN-MT</t>
  </si>
  <si>
    <t>439 - GROWATT-20000-TL3-S</t>
  </si>
  <si>
    <t>452 - 33K-2T (18KW)</t>
  </si>
  <si>
    <t>794 - R5-20K-T2</t>
  </si>
  <si>
    <t>591 - 8,8KTL-X</t>
  </si>
  <si>
    <t>908 - S6-GR1P4K</t>
  </si>
  <si>
    <t>912 - SIW500H ST020 M2</t>
  </si>
  <si>
    <t>111 - ODEX SOLAR</t>
  </si>
  <si>
    <t>723 - SUN2000G3-US-220</t>
  </si>
  <si>
    <t>658 - SYMO 15.0-3 208</t>
  </si>
  <si>
    <t>728 - GW1500-XS</t>
  </si>
  <si>
    <t>440 - MID 20KTL3-X</t>
  </si>
  <si>
    <t>460 - 867P013.010-13K</t>
  </si>
  <si>
    <t>729 - 15000TL-G2</t>
  </si>
  <si>
    <t>887 - S6-GR1P5K</t>
  </si>
  <si>
    <t>907 - SIW400G - T025 WEG</t>
  </si>
  <si>
    <t>20 - OMNIKSOL</t>
  </si>
  <si>
    <t>725 - SUN-35K-G</t>
  </si>
  <si>
    <t>704 - FRONIUS SYMO 15.0-3 48/240</t>
  </si>
  <si>
    <t>931 - GW8500-MS</t>
  </si>
  <si>
    <t>443 - GROWATT 80000TL3-S</t>
  </si>
  <si>
    <t>461 - 25K-2T (13.5KW)</t>
  </si>
  <si>
    <t>730 - SOFAR 75KTL</t>
  </si>
  <si>
    <t>874 - SOLIS-15K-LV 5G</t>
  </si>
  <si>
    <t>901 - SIW200G M070</t>
  </si>
  <si>
    <t>26 - PHB</t>
  </si>
  <si>
    <t>738 - SUN-20K-G02-LV</t>
  </si>
  <si>
    <t>727 - SYMO BR 15.0-3</t>
  </si>
  <si>
    <t>916 - GW100K-HT</t>
  </si>
  <si>
    <t>450 - GW8500-MS</t>
  </si>
  <si>
    <t>476 - REFUSOL 33K-2T</t>
  </si>
  <si>
    <t>737 - SOFAR 7,5KTLM</t>
  </si>
  <si>
    <t>861 - SOLIS-50K-LV-5G</t>
  </si>
  <si>
    <t>900 - SIW200G-M050 WO</t>
  </si>
  <si>
    <t>13 - REFUSOL</t>
  </si>
  <si>
    <t>754 - SUN-6K-G</t>
  </si>
  <si>
    <t>732 - IG PLUS 50 V-1</t>
  </si>
  <si>
    <t>891 - GW225K-HT</t>
  </si>
  <si>
    <t>459 - 10500MTLP-S</t>
  </si>
  <si>
    <t>477 - 801P1K6100</t>
  </si>
  <si>
    <t>763 - SOFAR 100KTL</t>
  </si>
  <si>
    <t>820 - SOLIS-20K-LV</t>
  </si>
  <si>
    <t>886 - SIW300 M040 L1 (HUAWEI SUN2000-4KTL L1)</t>
  </si>
  <si>
    <t>81 - RENAC  POWER TECHNOLOGY</t>
  </si>
  <si>
    <t>755 - SUN 10K-G</t>
  </si>
  <si>
    <t>853 - GW5000T-DS</t>
  </si>
  <si>
    <t>471 - GW60K-MT</t>
  </si>
  <si>
    <t>505 - 25K-2T(25KW-380V)</t>
  </si>
  <si>
    <t>927 - 4KTLM-G3 4KW</t>
  </si>
  <si>
    <t>814 -  SOLIS-40K-5G</t>
  </si>
  <si>
    <t xml:space="preserve">873 - SIW200G M070 WO </t>
  </si>
  <si>
    <t>35 - RENOVIGI</t>
  </si>
  <si>
    <t>761 - SUN-1300G-US-220</t>
  </si>
  <si>
    <t>826 - GW-73KLV-HT</t>
  </si>
  <si>
    <t>472 - GW36K-MT</t>
  </si>
  <si>
    <t>533 - REFUSOL 50K-3T</t>
  </si>
  <si>
    <t>788 - SOFAR 6KTM-G2</t>
  </si>
  <si>
    <t>809 - SOLIS-25K</t>
  </si>
  <si>
    <t>869 - SIW 200 M030</t>
  </si>
  <si>
    <t>28 - SAJ</t>
  </si>
  <si>
    <t>933 - SUN-25K-G02-LV</t>
  </si>
  <si>
    <t>823 - GW3KB-XS</t>
  </si>
  <si>
    <t>481 - MAX80KTL3-LV</t>
  </si>
  <si>
    <t>534 - REFUONE 1,6K-1T</t>
  </si>
  <si>
    <t>778 - SOFAR13500TL-LV</t>
  </si>
  <si>
    <t>804 - SOLIS-110K-5G</t>
  </si>
  <si>
    <t>868 - SIW200G M030 WO</t>
  </si>
  <si>
    <t>123 - SENERGY</t>
  </si>
  <si>
    <t>917 - SUN2000 G3-EU-230</t>
  </si>
  <si>
    <t xml:space="preserve">818 - GW6KBD-NS </t>
  </si>
  <si>
    <t>495 - 15000TL3-S</t>
  </si>
  <si>
    <t>547 - 50K-3T (27,5KW)</t>
  </si>
  <si>
    <t>793 - SOLIS-50K-G</t>
  </si>
  <si>
    <t>865 - SIW200  M100 (GW 10K -MS)</t>
  </si>
  <si>
    <t>52 - SERRANA SISTEMAS DE ENERGIA</t>
  </si>
  <si>
    <t>890 - SUN-35KG02</t>
  </si>
  <si>
    <t>816 - GW5KBD-NS</t>
  </si>
  <si>
    <t>496 - 8000 MTL-S</t>
  </si>
  <si>
    <t>594 - 33K-2T (17,1KW)</t>
  </si>
  <si>
    <t>792 - SOLIS-33K-5G</t>
  </si>
  <si>
    <t>863 - SIW500H-ST040 - M3</t>
  </si>
  <si>
    <t>7 - SMA SOLAR TECHNOLOGY</t>
  </si>
  <si>
    <t>864 - SUN-30K-G02-LV</t>
  </si>
  <si>
    <t>791 - GW50KLV-MT</t>
  </si>
  <si>
    <t>503 - MIC 2000TL-X</t>
  </si>
  <si>
    <t>602 - REFUSOL 40K (22KW)</t>
  </si>
  <si>
    <t>790 - SOLIS - 1P6K - 4G</t>
  </si>
  <si>
    <t>854 - SIW200G - M060 WO</t>
  </si>
  <si>
    <t>27 - SOFAR</t>
  </si>
  <si>
    <t>849 - SUN-8K-SG01LP1-EU</t>
  </si>
  <si>
    <t>504 - MIC 2500TL-X</t>
  </si>
  <si>
    <t>618 - REFUSOL 40K (22KW - 220V)</t>
  </si>
  <si>
    <t>781 - SOLIS-1P7K-5G</t>
  </si>
  <si>
    <t>850 - SIW200 M050</t>
  </si>
  <si>
    <t>38 - SOLAR ENERGY</t>
  </si>
  <si>
    <t>843 - SUN-80K-G</t>
  </si>
  <si>
    <t>506 - MIC 3000TL-X</t>
  </si>
  <si>
    <t>684 - 25K-2T 850P025200</t>
  </si>
  <si>
    <t>836 - SIW200G M050 W0</t>
  </si>
  <si>
    <t>19 - SOLAREDGE</t>
  </si>
  <si>
    <t>811 - SUN1300G3-US-220</t>
  </si>
  <si>
    <t>510 - MAX 60KTL3 LV</t>
  </si>
  <si>
    <t>686 - RUFUONE 3.3K-1T</t>
  </si>
  <si>
    <t>812 - SIW200F-M046</t>
  </si>
  <si>
    <t>122 - SOLAX  POWER</t>
  </si>
  <si>
    <t>801 - SUN-25K-G</t>
  </si>
  <si>
    <t>512 - MAX 80KTL3 LV</t>
  </si>
  <si>
    <t>721 - REFUSOL 33K-2T</t>
  </si>
  <si>
    <t>805 - SIW200F-M050</t>
  </si>
  <si>
    <t>47 - SOLIS</t>
  </si>
  <si>
    <t>799 - SUN-12K-G03</t>
  </si>
  <si>
    <t>513 - MIN 3000TL-X</t>
  </si>
  <si>
    <t>800 - SIW200F-M036</t>
  </si>
  <si>
    <t>14 - SUNGROW</t>
  </si>
  <si>
    <t>782 - SUN-40 K-G02-LV</t>
  </si>
  <si>
    <t>517 - MAC 60KTL3-X LV</t>
  </si>
  <si>
    <t>797 - SIW500H-ST100-M1</t>
  </si>
  <si>
    <t>144 - SUNWAYS</t>
  </si>
  <si>
    <t>780 - SUM-50K-G02-LV</t>
  </si>
  <si>
    <t>520 - 3000-S</t>
  </si>
  <si>
    <t>776 - SIW400 ? ST075</t>
  </si>
  <si>
    <t>140 - SYNERGY</t>
  </si>
  <si>
    <t xml:space="preserve">521 - MID 25KTL3-X </t>
  </si>
  <si>
    <t>63 - VICTRON</t>
  </si>
  <si>
    <t>524 - MIC1000TL-X</t>
  </si>
  <si>
    <t>8 - WEG</t>
  </si>
  <si>
    <t>525 - 7000MTL-S</t>
  </si>
  <si>
    <t>119 - PROJETOS_PARTICULARES</t>
  </si>
  <si>
    <t>530 - 22000 TL3-SL</t>
  </si>
  <si>
    <t>532 - MIN 2500TL-X</t>
  </si>
  <si>
    <t>551 - 8000MTL-S (8KW)**</t>
  </si>
  <si>
    <t>561 - 8000TL3-S</t>
  </si>
  <si>
    <t>563 - MID 15 KTL3-X</t>
  </si>
  <si>
    <t>600 - GROWATT 25000TL3-S</t>
  </si>
  <si>
    <t>601 - MIC 1500 TL-X</t>
  </si>
  <si>
    <t>ULTIMO FABRICANTE</t>
  </si>
  <si>
    <t>620 - MIN 4200TL-X</t>
  </si>
  <si>
    <t>ULTIMO MODULO</t>
  </si>
  <si>
    <t>634 - 25000 TL3-S</t>
  </si>
  <si>
    <t xml:space="preserve">ATUALIZADO EM </t>
  </si>
  <si>
    <t xml:space="preserve">649 - 9000MTLP-S </t>
  </si>
  <si>
    <t>650 - MID 33KTL3-X</t>
  </si>
  <si>
    <t>662 - 8000MTLP-S</t>
  </si>
  <si>
    <t>678 - 3000-S</t>
  </si>
  <si>
    <t>689 - GROWATT 6000TL-X</t>
  </si>
  <si>
    <t>705 - MIN10000TL-X</t>
  </si>
  <si>
    <t>716 - MID 17KTL3-X</t>
  </si>
  <si>
    <t>726 - MAC 50KTL3-X LV</t>
  </si>
  <si>
    <t>742 - MIN7000TL-X(E)</t>
  </si>
  <si>
    <t>751 - MAC 25KTL3-XL</t>
  </si>
  <si>
    <t>759 - MID 25KTL3-XL</t>
  </si>
  <si>
    <t>760 - MAC 36KTL3-XL</t>
  </si>
  <si>
    <t>764 - MIN8000TL-X(E)</t>
  </si>
  <si>
    <t>935 - MID 20KTL3-XL</t>
  </si>
  <si>
    <t>928 - MIN 10000TL-X</t>
  </si>
  <si>
    <t>926 - MAC 36KTL3-XL</t>
  </si>
  <si>
    <t>906 - MID 20KTL3-XL</t>
  </si>
  <si>
    <t>896 - GW3KB-XS</t>
  </si>
  <si>
    <t>878 - MID 36KTL3-X</t>
  </si>
  <si>
    <t>872 - MAC 30KTL3-XL</t>
  </si>
  <si>
    <t>866 - GW5KBD-NS</t>
  </si>
  <si>
    <t>842 - GW5KBD-NS</t>
  </si>
  <si>
    <t>839 - MAC 15KTL-XL</t>
  </si>
  <si>
    <t>835 - MID40KTL3-X</t>
  </si>
  <si>
    <t>828 - 3000TL3-S</t>
  </si>
  <si>
    <t>822 - MAC 22KTL3-XL</t>
  </si>
  <si>
    <t>817 - MID 15 KTL3-X</t>
  </si>
  <si>
    <t>813 - MIN7000TL-X(E)</t>
  </si>
  <si>
    <t>810 - GW3000-XS</t>
  </si>
  <si>
    <t>808 - MIN8000TL-X(E)</t>
  </si>
  <si>
    <t>796 - MAC 30KTL3-XL.</t>
  </si>
  <si>
    <t>795 - MID 30KTL3-X.</t>
  </si>
  <si>
    <t>764 - MIN8000TL-X</t>
  </si>
  <si>
    <t>João Pessoa</t>
  </si>
  <si>
    <t>Cuiabá</t>
  </si>
  <si>
    <t>Palmas</t>
  </si>
  <si>
    <t>Além Paraíba</t>
  </si>
  <si>
    <t>Adamantina</t>
  </si>
  <si>
    <t>Aracaju</t>
  </si>
  <si>
    <t>Porto Velho</t>
  </si>
  <si>
    <t>Rio Branco</t>
  </si>
  <si>
    <t>Bom Jardim</t>
  </si>
  <si>
    <t>Guarapuava</t>
  </si>
  <si>
    <t>Água Branca</t>
  </si>
  <si>
    <t>Acorizal</t>
  </si>
  <si>
    <t>Abreulândia</t>
  </si>
  <si>
    <t>Alto Jequitibá</t>
  </si>
  <si>
    <t>Adolfo</t>
  </si>
  <si>
    <t>Amparo de São Francisco</t>
  </si>
  <si>
    <t>Alta Floresta Dóeste</t>
  </si>
  <si>
    <t>Acrelândia</t>
  </si>
  <si>
    <t>Carmo</t>
  </si>
  <si>
    <t>Aguiar</t>
  </si>
  <si>
    <t>Água Boa</t>
  </si>
  <si>
    <t>Aguiarnópolis</t>
  </si>
  <si>
    <t>Antônio Prado de Minas</t>
  </si>
  <si>
    <t>Alfredo Marcondes</t>
  </si>
  <si>
    <t>Aquidabã</t>
  </si>
  <si>
    <t>Alto Alegre Dos Parecis</t>
  </si>
  <si>
    <t>Assis Brasil</t>
  </si>
  <si>
    <t>Duas Barras</t>
  </si>
  <si>
    <t>Alagoa Grande</t>
  </si>
  <si>
    <t>Alta Floresta</t>
  </si>
  <si>
    <t>Aliança do Tocantins</t>
  </si>
  <si>
    <t>Amambaí</t>
  </si>
  <si>
    <t>Araponga</t>
  </si>
  <si>
    <t>Alvares Machado</t>
  </si>
  <si>
    <t>Areia Branca</t>
  </si>
  <si>
    <t>Alto Paraíso</t>
  </si>
  <si>
    <t>Brasiléia</t>
  </si>
  <si>
    <t>Nova Friburgo</t>
  </si>
  <si>
    <t>Alagoa Nova</t>
  </si>
  <si>
    <t>Alto Araguaia</t>
  </si>
  <si>
    <t>Almas</t>
  </si>
  <si>
    <t>Argirita</t>
  </si>
  <si>
    <t>Arco Iris</t>
  </si>
  <si>
    <t>Barra Dos Coqueiros</t>
  </si>
  <si>
    <t>Alvorada Dóeste</t>
  </si>
  <si>
    <t>Bujari</t>
  </si>
  <si>
    <t>Sapucaia</t>
  </si>
  <si>
    <t>Alagoinha</t>
  </si>
  <si>
    <t>Alto Boa Vista</t>
  </si>
  <si>
    <t>Alvorada</t>
  </si>
  <si>
    <t>Astolfo Dutra</t>
  </si>
  <si>
    <t>Assis</t>
  </si>
  <si>
    <t>Brejo Grande</t>
  </si>
  <si>
    <t>Ariquemes</t>
  </si>
  <si>
    <t>Capixaba</t>
  </si>
  <si>
    <t>Sumidouro</t>
  </si>
  <si>
    <t>Alcantil</t>
  </si>
  <si>
    <t>Alto Garças</t>
  </si>
  <si>
    <t>Ananás</t>
  </si>
  <si>
    <t>Barão de Monte Alto</t>
  </si>
  <si>
    <t>Bastos</t>
  </si>
  <si>
    <t>Campo do Brito</t>
  </si>
  <si>
    <t>Buritis</t>
  </si>
  <si>
    <t>Cruzeiro do Sul</t>
  </si>
  <si>
    <t>Algodão de Jandaíra</t>
  </si>
  <si>
    <t>Alto Paraguai</t>
  </si>
  <si>
    <t>Angico</t>
  </si>
  <si>
    <t>Bueno Brandão</t>
  </si>
  <si>
    <t>Bora</t>
  </si>
  <si>
    <t>Canhoba</t>
  </si>
  <si>
    <t>Cabixi</t>
  </si>
  <si>
    <t>Epitaciolândia</t>
  </si>
  <si>
    <t>Alhandra</t>
  </si>
  <si>
    <t>Alto Taquari</t>
  </si>
  <si>
    <t>Aparecida do Rio Negro</t>
  </si>
  <si>
    <t>Cajuri</t>
  </si>
  <si>
    <t>Borborema</t>
  </si>
  <si>
    <t>Canindé de São Francisco</t>
  </si>
  <si>
    <t>Cacaulândia</t>
  </si>
  <si>
    <t>Feijó</t>
  </si>
  <si>
    <t>Amparo</t>
  </si>
  <si>
    <t>Apiacás</t>
  </si>
  <si>
    <t>Aragominas</t>
  </si>
  <si>
    <t>Camanducaia</t>
  </si>
  <si>
    <t>Braganca Paulista</t>
  </si>
  <si>
    <t>Capela</t>
  </si>
  <si>
    <t>Cacoal</t>
  </si>
  <si>
    <t>Jordão</t>
  </si>
  <si>
    <t>Araguaiana</t>
  </si>
  <si>
    <t>Araguacema</t>
  </si>
  <si>
    <t>Cambuí</t>
  </si>
  <si>
    <t>Caiabu</t>
  </si>
  <si>
    <t>Carira</t>
  </si>
  <si>
    <t>Campo Novo de Rondônia</t>
  </si>
  <si>
    <t>Mâncio Lima</t>
  </si>
  <si>
    <t>Aparecida</t>
  </si>
  <si>
    <t>Araguainha</t>
  </si>
  <si>
    <t>Araguaçu</t>
  </si>
  <si>
    <t>Canaã</t>
  </si>
  <si>
    <t>Caiua</t>
  </si>
  <si>
    <t>Carmópolis</t>
  </si>
  <si>
    <t>Candeias do Jamari</t>
  </si>
  <si>
    <t>Manoel Urbano</t>
  </si>
  <si>
    <t>Araçagi</t>
  </si>
  <si>
    <t>Araputanga</t>
  </si>
  <si>
    <t>Araguaína</t>
  </si>
  <si>
    <t>Caputira</t>
  </si>
  <si>
    <t>Candido Mota</t>
  </si>
  <si>
    <t>Cedro de São João</t>
  </si>
  <si>
    <t>Castanheiras</t>
  </si>
  <si>
    <t>Marechal Thaumaturgo</t>
  </si>
  <si>
    <t>Arara</t>
  </si>
  <si>
    <t>Arenápolis</t>
  </si>
  <si>
    <t>Araguanã</t>
  </si>
  <si>
    <t>Cataguases</t>
  </si>
  <si>
    <t>Catanduva</t>
  </si>
  <si>
    <t>Cumbe</t>
  </si>
  <si>
    <t>Cerejeiras</t>
  </si>
  <si>
    <t>Plácido de Castro</t>
  </si>
  <si>
    <t>Araruna</t>
  </si>
  <si>
    <t>Aripuanã</t>
  </si>
  <si>
    <t>Araguatins</t>
  </si>
  <si>
    <t>Coimbra</t>
  </si>
  <si>
    <t>Catigua</t>
  </si>
  <si>
    <t>Divina Pastora</t>
  </si>
  <si>
    <t>Chupinguaia</t>
  </si>
  <si>
    <t>Porto Acre</t>
  </si>
  <si>
    <t>Areia</t>
  </si>
  <si>
    <t>Barão de Melgaço</t>
  </si>
  <si>
    <t>Arapoema</t>
  </si>
  <si>
    <t>Córrego do Bom Jesus</t>
  </si>
  <si>
    <t>Cruzalia</t>
  </si>
  <si>
    <t>Estância</t>
  </si>
  <si>
    <t>Colorado do Oeste</t>
  </si>
  <si>
    <t>Porto Walter</t>
  </si>
  <si>
    <t>Areia de Baraúnas</t>
  </si>
  <si>
    <t>Barra do Bugres</t>
  </si>
  <si>
    <t>Arraias</t>
  </si>
  <si>
    <t>Descoberto</t>
  </si>
  <si>
    <t>Echapora</t>
  </si>
  <si>
    <t>Feira Nova</t>
  </si>
  <si>
    <t>Corumbiara</t>
  </si>
  <si>
    <t>Rodrigues Alves</t>
  </si>
  <si>
    <t>Areial</t>
  </si>
  <si>
    <t>Barra do Garças</t>
  </si>
  <si>
    <t>Augustinópolis</t>
  </si>
  <si>
    <t>Divinésia</t>
  </si>
  <si>
    <t>Elisiario</t>
  </si>
  <si>
    <t>Frei Paulo</t>
  </si>
  <si>
    <t>Costa Marques</t>
  </si>
  <si>
    <t>Santa Rosa do Purus</t>
  </si>
  <si>
    <t>Aroeiras</t>
  </si>
  <si>
    <t>Bom Jesus do Araguaia</t>
  </si>
  <si>
    <t>Aurora do Tocantins</t>
  </si>
  <si>
    <t>Dona Eusébia</t>
  </si>
  <si>
    <t>Emilianopolis</t>
  </si>
  <si>
    <t>Gararu</t>
  </si>
  <si>
    <t>Cujubim</t>
  </si>
  <si>
    <t>Sena Madureira</t>
  </si>
  <si>
    <t>Assunção</t>
  </si>
  <si>
    <t>Brasnorte</t>
  </si>
  <si>
    <t>Axixá do Tocantins</t>
  </si>
  <si>
    <t>Durandé</t>
  </si>
  <si>
    <t>Florinea</t>
  </si>
  <si>
    <t>General Maynard</t>
  </si>
  <si>
    <t>Espigão Dóeste</t>
  </si>
  <si>
    <t>Senador Guiomard</t>
  </si>
  <si>
    <t>Baía da Traição</t>
  </si>
  <si>
    <t>Cáceres</t>
  </si>
  <si>
    <t>Babaçulândia</t>
  </si>
  <si>
    <t>Ervália</t>
  </si>
  <si>
    <t>Iacri</t>
  </si>
  <si>
    <t>Gracho Cardoso</t>
  </si>
  <si>
    <t>Governador Jorge Teixeira</t>
  </si>
  <si>
    <t>Tarauacá</t>
  </si>
  <si>
    <t>Bananeiras</t>
  </si>
  <si>
    <t>Campinápolis</t>
  </si>
  <si>
    <t>Bandeirantes do Tocantins</t>
  </si>
  <si>
    <t>Estiva</t>
  </si>
  <si>
    <t>Ibirarema</t>
  </si>
  <si>
    <t>Ilha Das Flores</t>
  </si>
  <si>
    <t>Guajará-mirim</t>
  </si>
  <si>
    <t>Xapuri</t>
  </si>
  <si>
    <t>Baraúna</t>
  </si>
  <si>
    <t>Campo Novo do Parecis</t>
  </si>
  <si>
    <t>Barra do Ouro</t>
  </si>
  <si>
    <t>Eugenópolis</t>
  </si>
  <si>
    <t>Iepe</t>
  </si>
  <si>
    <t>Itabaiana</t>
  </si>
  <si>
    <t>Itapuã do Oeste</t>
  </si>
  <si>
    <t>Barra de Santa Rosa</t>
  </si>
  <si>
    <t>Campo Verde</t>
  </si>
  <si>
    <t>Barrolândia</t>
  </si>
  <si>
    <t>Extrema</t>
  </si>
  <si>
    <t>Indiana</t>
  </si>
  <si>
    <t>Itabaianinha</t>
  </si>
  <si>
    <t>Jaru</t>
  </si>
  <si>
    <t>Barra de Santana</t>
  </si>
  <si>
    <t>Campos de Júlio</t>
  </si>
  <si>
    <t>Bernardo Sayão</t>
  </si>
  <si>
    <t>Guarani</t>
  </si>
  <si>
    <t>Inubia Paulista</t>
  </si>
  <si>
    <t>Itabi</t>
  </si>
  <si>
    <t>Ji-paraná</t>
  </si>
  <si>
    <t>Barra de São Miguel</t>
  </si>
  <si>
    <t>Canabrava do Norte</t>
  </si>
  <si>
    <t>Bom Jesus do Tocantins</t>
  </si>
  <si>
    <t>Guidoval</t>
  </si>
  <si>
    <t>Irapua</t>
  </si>
  <si>
    <t>Itaporanga Dájuda</t>
  </si>
  <si>
    <t>Machadinho Dóeste</t>
  </si>
  <si>
    <t>Bayeux</t>
  </si>
  <si>
    <t>Canarana</t>
  </si>
  <si>
    <t>Brasilândia do Tocantins</t>
  </si>
  <si>
    <t>Guiricema</t>
  </si>
  <si>
    <t>Itajobi</t>
  </si>
  <si>
    <t>Japaratuba</t>
  </si>
  <si>
    <t>Ministro Andreazza</t>
  </si>
  <si>
    <t>Belém</t>
  </si>
  <si>
    <t>Carlinda</t>
  </si>
  <si>
    <t>Brejinho de Nazaré</t>
  </si>
  <si>
    <t>Itamarati de Minas</t>
  </si>
  <si>
    <t>Joanopolis</t>
  </si>
  <si>
    <t>Japoatã</t>
  </si>
  <si>
    <t>Mirante da Serra</t>
  </si>
  <si>
    <t>Belém do Brejo do Cruz</t>
  </si>
  <si>
    <t>Castanheira</t>
  </si>
  <si>
    <t>Buriti do Tocantins</t>
  </si>
  <si>
    <t>Itapeva</t>
  </si>
  <si>
    <t>Joao Ramalho</t>
  </si>
  <si>
    <t>Lagarto</t>
  </si>
  <si>
    <t>Monte Negro</t>
  </si>
  <si>
    <t>Bernardino Batista</t>
  </si>
  <si>
    <t>Chapada Dos Guimarães</t>
  </si>
  <si>
    <t>Cachoeirinha</t>
  </si>
  <si>
    <t>Laranjal</t>
  </si>
  <si>
    <t>Lucelia</t>
  </si>
  <si>
    <t>Laranjeiras</t>
  </si>
  <si>
    <t>Nova Brasilândia Dóeste</t>
  </si>
  <si>
    <t>Boa Ventura</t>
  </si>
  <si>
    <t>Cláudia</t>
  </si>
  <si>
    <t>Campos Lindos</t>
  </si>
  <si>
    <t>Leopoldina</t>
  </si>
  <si>
    <t>Lutecia</t>
  </si>
  <si>
    <t>Macambira</t>
  </si>
  <si>
    <t>Nova Mamoré</t>
  </si>
  <si>
    <t>Boa Vista</t>
  </si>
  <si>
    <t>Cocalinho</t>
  </si>
  <si>
    <t>Cariri do Tocantins</t>
  </si>
  <si>
    <t>Luisburgo</t>
  </si>
  <si>
    <t>Maracai</t>
  </si>
  <si>
    <t>Malhada Dos Bois</t>
  </si>
  <si>
    <t>Nova União</t>
  </si>
  <si>
    <t>Bom Jesus</t>
  </si>
  <si>
    <t>Colíder</t>
  </si>
  <si>
    <t>Carmolândia</t>
  </si>
  <si>
    <t>Manhuaçu</t>
  </si>
  <si>
    <t>Marapoama</t>
  </si>
  <si>
    <t>Malhador</t>
  </si>
  <si>
    <t>Novo Horizonte do Oeste</t>
  </si>
  <si>
    <t>Bom Sucesso</t>
  </si>
  <si>
    <t>Colniza</t>
  </si>
  <si>
    <t>Carrasco Bonito</t>
  </si>
  <si>
    <t>Manhumirim</t>
  </si>
  <si>
    <t>Martinopolis</t>
  </si>
  <si>
    <t>Maruim</t>
  </si>
  <si>
    <t>Ouro Preto do Oeste</t>
  </si>
  <si>
    <t>Bonito de Santa fé</t>
  </si>
  <si>
    <t>Comodoro</t>
  </si>
  <si>
    <t>Caseara</t>
  </si>
  <si>
    <t>Martins Soares</t>
  </si>
  <si>
    <t>Mendonca</t>
  </si>
  <si>
    <t>Moita Bonita</t>
  </si>
  <si>
    <t>Parecis</t>
  </si>
  <si>
    <t>Boqueirão</t>
  </si>
  <si>
    <t>Confresa</t>
  </si>
  <si>
    <t>Centenário</t>
  </si>
  <si>
    <t>Matipó</t>
  </si>
  <si>
    <t>Monte Alegre Do Sul</t>
  </si>
  <si>
    <t>Monte Alegre de Sergipe</t>
  </si>
  <si>
    <t>Pimenta Bueno</t>
  </si>
  <si>
    <t>Boquim</t>
  </si>
  <si>
    <t>Conquista Dóeste</t>
  </si>
  <si>
    <t>Chapada da Natividade</t>
  </si>
  <si>
    <t>Mercês</t>
  </si>
  <si>
    <t>Nantes</t>
  </si>
  <si>
    <t>Muribeca</t>
  </si>
  <si>
    <t>Pimenteiras do Oeste</t>
  </si>
  <si>
    <t>Cotriguaçu</t>
  </si>
  <si>
    <t>Chapada de Areia</t>
  </si>
  <si>
    <t>Miradouro</t>
  </si>
  <si>
    <t>Nova Alianca</t>
  </si>
  <si>
    <t>Neópolis</t>
  </si>
  <si>
    <t>Presidente Médici</t>
  </si>
  <si>
    <t>Brejo do Cruz</t>
  </si>
  <si>
    <t>Curvelândia</t>
  </si>
  <si>
    <t>Colinas do Tocantins</t>
  </si>
  <si>
    <t>Miraí</t>
  </si>
  <si>
    <t>Novais</t>
  </si>
  <si>
    <t>Nossa Senhora Aparecida</t>
  </si>
  <si>
    <t>Primavera de Rondônia</t>
  </si>
  <si>
    <t>Brejo Dos Santos</t>
  </si>
  <si>
    <t>Denise</t>
  </si>
  <si>
    <t>Colméia</t>
  </si>
  <si>
    <t>Munhoz</t>
  </si>
  <si>
    <t>Novo Horizonte</t>
  </si>
  <si>
    <t>Nossa Senhora da Glória</t>
  </si>
  <si>
    <t>Rio Crespo</t>
  </si>
  <si>
    <t>Diamantino</t>
  </si>
  <si>
    <t>Combinado</t>
  </si>
  <si>
    <t>Muriaé</t>
  </si>
  <si>
    <t>Oscar Bressane</t>
  </si>
  <si>
    <t>Nossa Senhora Das Dores</t>
  </si>
  <si>
    <t>Rolim de Moura</t>
  </si>
  <si>
    <t>Caaporã</t>
  </si>
  <si>
    <t>Dom Aquino</t>
  </si>
  <si>
    <t>Conceição do Tocantins</t>
  </si>
  <si>
    <t>Palma</t>
  </si>
  <si>
    <t>Osvaldo Cruz</t>
  </si>
  <si>
    <t>Nossa Senhora de Lourdes</t>
  </si>
  <si>
    <t>Santa Luzia Dóeste</t>
  </si>
  <si>
    <t>Cabaceiras</t>
  </si>
  <si>
    <t>Feliz Natal</t>
  </si>
  <si>
    <t>Couto de Magalhães</t>
  </si>
  <si>
    <t>Patrocínio do Muriaé</t>
  </si>
  <si>
    <t>Palmital</t>
  </si>
  <si>
    <t>Nossa Senhora do Socorro</t>
  </si>
  <si>
    <t>São Felipe Dóeste</t>
  </si>
  <si>
    <t>Cabedelo</t>
  </si>
  <si>
    <t>Figueirópolis Dóeste</t>
  </si>
  <si>
    <t>Cristalândia</t>
  </si>
  <si>
    <t>Paula Cândido</t>
  </si>
  <si>
    <t>Paraguacu Paulista</t>
  </si>
  <si>
    <t>Pacatuba</t>
  </si>
  <si>
    <t>São Francisco do Guaporé</t>
  </si>
  <si>
    <t>Cachoeira Dos Índios</t>
  </si>
  <si>
    <t>Gaúcha do Norte</t>
  </si>
  <si>
    <t>Crixás do Tocantins</t>
  </si>
  <si>
    <t>Pedra do Anta</t>
  </si>
  <si>
    <t>Parapua</t>
  </si>
  <si>
    <t>Pedra Mole</t>
  </si>
  <si>
    <t>São Miguel do Guaporé</t>
  </si>
  <si>
    <t>Cacimba de Areia</t>
  </si>
  <si>
    <t>General Carneiro</t>
  </si>
  <si>
    <t>Darcinópolis</t>
  </si>
  <si>
    <t>Pedra Dourada</t>
  </si>
  <si>
    <t>Pedra Bela</t>
  </si>
  <si>
    <t>Pedrinhas</t>
  </si>
  <si>
    <t>Seringueiras</t>
  </si>
  <si>
    <t>Cacimba de Dentro</t>
  </si>
  <si>
    <t>Glória Dóeste</t>
  </si>
  <si>
    <t>Dianópolis</t>
  </si>
  <si>
    <t>Pirapetinga</t>
  </si>
  <si>
    <t>Pedrinhas Paulista</t>
  </si>
  <si>
    <t>Pinhão</t>
  </si>
  <si>
    <t>Teixeirópolis</t>
  </si>
  <si>
    <t>Cacimbas</t>
  </si>
  <si>
    <t>Guarantã do Norte</t>
  </si>
  <si>
    <t>Divinópolis do Tocantins</t>
  </si>
  <si>
    <t>Piraúba</t>
  </si>
  <si>
    <t>Pindorama</t>
  </si>
  <si>
    <t>Pirambu</t>
  </si>
  <si>
    <t>Theobroma</t>
  </si>
  <si>
    <t>Caiçara</t>
  </si>
  <si>
    <t>Guiratinga</t>
  </si>
  <si>
    <t>Dois Irmãos do Tocantins</t>
  </si>
  <si>
    <t>Recreio</t>
  </si>
  <si>
    <t>Pinhalzinho</t>
  </si>
  <si>
    <t>Poço Redondo</t>
  </si>
  <si>
    <t>Urupá</t>
  </si>
  <si>
    <t>Cajazeiras</t>
  </si>
  <si>
    <t>Indiavaí</t>
  </si>
  <si>
    <t>Dueré</t>
  </si>
  <si>
    <t>Reduto</t>
  </si>
  <si>
    <t>Piquerobi</t>
  </si>
  <si>
    <t>Poço Verde</t>
  </si>
  <si>
    <t>Vale do Anari</t>
  </si>
  <si>
    <t>Cajazeirinhas</t>
  </si>
  <si>
    <t>Ipiranga do Norte</t>
  </si>
  <si>
    <t>Esperantina</t>
  </si>
  <si>
    <t>Rio Novo</t>
  </si>
  <si>
    <t>Platina</t>
  </si>
  <si>
    <t>Porto da Folha</t>
  </si>
  <si>
    <t>Vale do Paraíso</t>
  </si>
  <si>
    <t>Caldas Brandão</t>
  </si>
  <si>
    <t>Itanhangá</t>
  </si>
  <si>
    <t>Fátima</t>
  </si>
  <si>
    <t>Rio Pomba</t>
  </si>
  <si>
    <t>Pracinha</t>
  </si>
  <si>
    <t>Propriá</t>
  </si>
  <si>
    <t>Vilhena</t>
  </si>
  <si>
    <t>Camalaú</t>
  </si>
  <si>
    <t>Itaúba</t>
  </si>
  <si>
    <t>Figueirópolis</t>
  </si>
  <si>
    <t>Rochedo de Minas</t>
  </si>
  <si>
    <t>Presidente Epitacio</t>
  </si>
  <si>
    <t>Riachuelo</t>
  </si>
  <si>
    <t>Campina Grande</t>
  </si>
  <si>
    <t>Itiquira</t>
  </si>
  <si>
    <t>Filadélfia</t>
  </si>
  <si>
    <t>Rodeiro</t>
  </si>
  <si>
    <t>Presidente Prudente</t>
  </si>
  <si>
    <t>Ribeirópolis</t>
  </si>
  <si>
    <t>Capim</t>
  </si>
  <si>
    <t>Jaciara</t>
  </si>
  <si>
    <t>Formoso do Araguaia</t>
  </si>
  <si>
    <t>Rosário da Limeira</t>
  </si>
  <si>
    <t>Presidente Venceslau</t>
  </si>
  <si>
    <t>Rosário do Catete</t>
  </si>
  <si>
    <t>Caraúbas</t>
  </si>
  <si>
    <t>Jangada</t>
  </si>
  <si>
    <t>Fortaleza do Tabocão</t>
  </si>
  <si>
    <t>Santa Margarida</t>
  </si>
  <si>
    <t>Quata</t>
  </si>
  <si>
    <t>Salgado</t>
  </si>
  <si>
    <t>Carrapateira</t>
  </si>
  <si>
    <t>Jauru</t>
  </si>
  <si>
    <t>Goianorte</t>
  </si>
  <si>
    <t>Santana de Cataguases</t>
  </si>
  <si>
    <t>Rancharia</t>
  </si>
  <si>
    <t>Santa Luzia do Itanhy</t>
  </si>
  <si>
    <t>Casserengue</t>
  </si>
  <si>
    <t>Juara</t>
  </si>
  <si>
    <t>Goiatins</t>
  </si>
  <si>
    <t>Santana do Manhuaçu</t>
  </si>
  <si>
    <t>Regente Feijo</t>
  </si>
  <si>
    <t>Santa Rosa de Lima</t>
  </si>
  <si>
    <t>Catingueira</t>
  </si>
  <si>
    <t>Juína</t>
  </si>
  <si>
    <t>Guaraí</t>
  </si>
  <si>
    <t>Santo Antônio do Aventureiro</t>
  </si>
  <si>
    <t>Ribeirao Do Sul</t>
  </si>
  <si>
    <t>Santana do São Francisco</t>
  </si>
  <si>
    <t>Catolé do Rocha</t>
  </si>
  <si>
    <t>Juruena</t>
  </si>
  <si>
    <t>Gurupi</t>
  </si>
  <si>
    <t>São Geraldo</t>
  </si>
  <si>
    <t>Ribeirao Dos Indios</t>
  </si>
  <si>
    <t>Santo Amaro Das Brotas</t>
  </si>
  <si>
    <t>Caturité</t>
  </si>
  <si>
    <t>Juscimeira</t>
  </si>
  <si>
    <t>Ipueiras</t>
  </si>
  <si>
    <t>São João do Manhuaçu</t>
  </si>
  <si>
    <t>Rinopolis</t>
  </si>
  <si>
    <t>São Cristóvão</t>
  </si>
  <si>
    <t>Lambari Dóeste</t>
  </si>
  <si>
    <t>Itacajá</t>
  </si>
  <si>
    <t>São João Nepomuceno</t>
  </si>
  <si>
    <t>Sagres</t>
  </si>
  <si>
    <t>São Domingos</t>
  </si>
  <si>
    <t>Conceição</t>
  </si>
  <si>
    <t>Lucas do Rio Verde</t>
  </si>
  <si>
    <t>Itaguatins</t>
  </si>
  <si>
    <t>São Miguel do Anta</t>
  </si>
  <si>
    <t>Sales</t>
  </si>
  <si>
    <t>São Francisco</t>
  </si>
  <si>
    <t>Condado</t>
  </si>
  <si>
    <t>Luciára</t>
  </si>
  <si>
    <t>Itapiratins</t>
  </si>
  <si>
    <t>São Sebastião da Vargem Alegre</t>
  </si>
  <si>
    <t>Salmourao</t>
  </si>
  <si>
    <t>São Miguel do Aleixo</t>
  </si>
  <si>
    <t>Conde</t>
  </si>
  <si>
    <t>Marcelândia</t>
  </si>
  <si>
    <t>Itaporã do Tocantins</t>
  </si>
  <si>
    <t>Senador Amaral</t>
  </si>
  <si>
    <t>Salto Grande</t>
  </si>
  <si>
    <t>Simão Dias</t>
  </si>
  <si>
    <t>Congo</t>
  </si>
  <si>
    <t>Matupá</t>
  </si>
  <si>
    <t>Jaú do Tocantins</t>
  </si>
  <si>
    <t>Senador Cortes</t>
  </si>
  <si>
    <t>Santo Anastacio</t>
  </si>
  <si>
    <t>Siriri</t>
  </si>
  <si>
    <t>Coremas</t>
  </si>
  <si>
    <t>Mirassol Dóeste</t>
  </si>
  <si>
    <t>Juarina</t>
  </si>
  <si>
    <t>Senador Firmino</t>
  </si>
  <si>
    <t>Santo Expedito</t>
  </si>
  <si>
    <t>Telha</t>
  </si>
  <si>
    <t>Coxixola</t>
  </si>
  <si>
    <t>Nobres</t>
  </si>
  <si>
    <t>Lagoa da Confusão</t>
  </si>
  <si>
    <t>Sericita</t>
  </si>
  <si>
    <t>Tabapua</t>
  </si>
  <si>
    <t>Cristinápolis</t>
  </si>
  <si>
    <t>Nortelândia</t>
  </si>
  <si>
    <t>Lagoa do Tocantins</t>
  </si>
  <si>
    <t>Silveirânia</t>
  </si>
  <si>
    <t>Taruma</t>
  </si>
  <si>
    <t>Cruz do Espírito Santo</t>
  </si>
  <si>
    <t>Nossa Senhora do Livramento</t>
  </si>
  <si>
    <t>Lajeado</t>
  </si>
  <si>
    <t>Simonésia</t>
  </si>
  <si>
    <t>Tuiuti</t>
  </si>
  <si>
    <t>Cubati</t>
  </si>
  <si>
    <t>Nova Bandeirantes</t>
  </si>
  <si>
    <t>Lavandeira</t>
  </si>
  <si>
    <t>Tabuleiro</t>
  </si>
  <si>
    <t>Tupa</t>
  </si>
  <si>
    <t>Cuité</t>
  </si>
  <si>
    <t>Nova Brasilândia</t>
  </si>
  <si>
    <t>Lizarda</t>
  </si>
  <si>
    <t>Tocantins</t>
  </si>
  <si>
    <t>Urupes</t>
  </si>
  <si>
    <t>Cuité de Mamanguape</t>
  </si>
  <si>
    <t>Nova Canaã do Norte</t>
  </si>
  <si>
    <t>Luzinópolis</t>
  </si>
  <si>
    <t>Toledo</t>
  </si>
  <si>
    <t>Cuitegi</t>
  </si>
  <si>
    <t>Nova Guarita</t>
  </si>
  <si>
    <t>Marianópolis do Tocantins</t>
  </si>
  <si>
    <t>Ubá</t>
  </si>
  <si>
    <t>Curral de Cima</t>
  </si>
  <si>
    <t>Nova Lacerda</t>
  </si>
  <si>
    <t>Mateiros</t>
  </si>
  <si>
    <t>Viçosa</t>
  </si>
  <si>
    <t>Curral Velho</t>
  </si>
  <si>
    <t>Nova Marilândia</t>
  </si>
  <si>
    <t>Maurilândia do Tocantins</t>
  </si>
  <si>
    <t>Vieiras</t>
  </si>
  <si>
    <t>Damião</t>
  </si>
  <si>
    <t>Nova Maringá</t>
  </si>
  <si>
    <t>Miracema do Tocantins</t>
  </si>
  <si>
    <t>Visconde do Rio Branco</t>
  </si>
  <si>
    <t>Desterro</t>
  </si>
  <si>
    <t>Nova Monte Verde</t>
  </si>
  <si>
    <t>Miranorte</t>
  </si>
  <si>
    <t>Diamante</t>
  </si>
  <si>
    <t>Nova Mutum</t>
  </si>
  <si>
    <t>Monte do Carmo</t>
  </si>
  <si>
    <t>Dona Inês</t>
  </si>
  <si>
    <t>Nova Nazaré</t>
  </si>
  <si>
    <t>Monte Santo do Tocantins</t>
  </si>
  <si>
    <t>Duas Estradas</t>
  </si>
  <si>
    <t>Nova Olímpia</t>
  </si>
  <si>
    <t>Muricilândia</t>
  </si>
  <si>
    <t>Emas</t>
  </si>
  <si>
    <t>Nova Santa Helena</t>
  </si>
  <si>
    <t>Natividade</t>
  </si>
  <si>
    <t>Esperança</t>
  </si>
  <si>
    <t>Nova Ubiratã</t>
  </si>
  <si>
    <t>Nazaré</t>
  </si>
  <si>
    <t>Fagundes</t>
  </si>
  <si>
    <t>Nova Xavantina</t>
  </si>
  <si>
    <t>Nova Olinda</t>
  </si>
  <si>
    <t>Frei Martinho</t>
  </si>
  <si>
    <t>Novo Horizonte do Norte</t>
  </si>
  <si>
    <t>Nova Rosalândia</t>
  </si>
  <si>
    <t>Gado Bravo</t>
  </si>
  <si>
    <t>Novo Mundo</t>
  </si>
  <si>
    <t>Novo Acordo</t>
  </si>
  <si>
    <t>Guarabira</t>
  </si>
  <si>
    <t>Novo Santo Antônio</t>
  </si>
  <si>
    <t>Novo Alegre</t>
  </si>
  <si>
    <t>Gurinhém</t>
  </si>
  <si>
    <t>Novo São Joaquim</t>
  </si>
  <si>
    <t>Novo Jardim</t>
  </si>
  <si>
    <t>Gurjão</t>
  </si>
  <si>
    <t>Paranaíta</t>
  </si>
  <si>
    <t>Oliveira de Fátima</t>
  </si>
  <si>
    <t>Ibiara</t>
  </si>
  <si>
    <t>Paranatinga</t>
  </si>
  <si>
    <t>Palmeirante</t>
  </si>
  <si>
    <t>Igaracy</t>
  </si>
  <si>
    <t>Pedra Preta</t>
  </si>
  <si>
    <t>Palmeiras do Tocantins</t>
  </si>
  <si>
    <t>Peixoto de Azevedo</t>
  </si>
  <si>
    <t>Palmeirópolis</t>
  </si>
  <si>
    <t>Imaculada</t>
  </si>
  <si>
    <t>Planalto da Serra</t>
  </si>
  <si>
    <t>Paraíso do Tocantins</t>
  </si>
  <si>
    <t>Ingá</t>
  </si>
  <si>
    <t>Poconé</t>
  </si>
  <si>
    <t>Paranã</t>
  </si>
  <si>
    <t>Pontal do Araguaia</t>
  </si>
  <si>
    <t>Pau Dárco</t>
  </si>
  <si>
    <t>Itaporanga</t>
  </si>
  <si>
    <t>Ponte Branca</t>
  </si>
  <si>
    <t>Pedro Afonso</t>
  </si>
  <si>
    <t>Itapororoca</t>
  </si>
  <si>
    <t>Pontes e Lacerda</t>
  </si>
  <si>
    <t>Peixe</t>
  </si>
  <si>
    <t>Itatuba</t>
  </si>
  <si>
    <t>Porto Alegre do Norte</t>
  </si>
  <si>
    <t>Pequizeiro</t>
  </si>
  <si>
    <t>Jacaraú</t>
  </si>
  <si>
    <t>Porto Dos Gaúchos</t>
  </si>
  <si>
    <t>Pindorama do Tocantins</t>
  </si>
  <si>
    <t>Jericó</t>
  </si>
  <si>
    <t>Porto Esperidião</t>
  </si>
  <si>
    <t>Piraquê</t>
  </si>
  <si>
    <t>Joca Claudino</t>
  </si>
  <si>
    <t>Porto Estrela</t>
  </si>
  <si>
    <t>Pium</t>
  </si>
  <si>
    <t>Juarez Távora</t>
  </si>
  <si>
    <t>Poxoréo</t>
  </si>
  <si>
    <t>Ponte Alta do Bom Jesus</t>
  </si>
  <si>
    <t>Juazeirinho</t>
  </si>
  <si>
    <t>Primavera do Leste</t>
  </si>
  <si>
    <t>Ponte Alta do Tocantins</t>
  </si>
  <si>
    <t>Junco do Seridó</t>
  </si>
  <si>
    <t>Querência</t>
  </si>
  <si>
    <t>Porto Alegre do Tocantins</t>
  </si>
  <si>
    <t>Juripiranga</t>
  </si>
  <si>
    <t>Reserva do Cabaçal</t>
  </si>
  <si>
    <t>Porto Nacional</t>
  </si>
  <si>
    <t>Juru</t>
  </si>
  <si>
    <t>Ribeirão Cascalheira</t>
  </si>
  <si>
    <t>Praia Norte</t>
  </si>
  <si>
    <t>Lagoa</t>
  </si>
  <si>
    <t>Ribeirãozinho</t>
  </si>
  <si>
    <t>Presidente Kennedy</t>
  </si>
  <si>
    <t>Lagoa de Dentro</t>
  </si>
  <si>
    <t>Pugmil</t>
  </si>
  <si>
    <t>Lagoa Seca</t>
  </si>
  <si>
    <t>Rondolândia</t>
  </si>
  <si>
    <t>Recursolândia</t>
  </si>
  <si>
    <t>Lastro</t>
  </si>
  <si>
    <t>Rondonópolis</t>
  </si>
  <si>
    <t>Riachinho</t>
  </si>
  <si>
    <t>Livramento</t>
  </si>
  <si>
    <t>Rosário Oeste</t>
  </si>
  <si>
    <t>Rio da Conceição</t>
  </si>
  <si>
    <t>Logradouro</t>
  </si>
  <si>
    <t>Salto do Céu</t>
  </si>
  <si>
    <t>Rio Dos Bois</t>
  </si>
  <si>
    <t>Lucena</t>
  </si>
  <si>
    <t>Santa Carmem</t>
  </si>
  <si>
    <t>Rio Sono</t>
  </si>
  <si>
    <t>Mãe Dá´gua</t>
  </si>
  <si>
    <t>Santa Cruz do Xingu</t>
  </si>
  <si>
    <t>Sampaio</t>
  </si>
  <si>
    <t>Malta</t>
  </si>
  <si>
    <t>Santa Rita do Trivelato</t>
  </si>
  <si>
    <t>Sandolândia</t>
  </si>
  <si>
    <t>Mamanguape</t>
  </si>
  <si>
    <t>Santa Terezinha</t>
  </si>
  <si>
    <t>Santa fé do Araguaia</t>
  </si>
  <si>
    <t>Manaíra</t>
  </si>
  <si>
    <t>Santo Afonso</t>
  </si>
  <si>
    <t>Santa Maria do Tocantins</t>
  </si>
  <si>
    <t>Marcação</t>
  </si>
  <si>
    <t>Santo Antônio do Leste</t>
  </si>
  <si>
    <t>Santa Rita do Tocantins</t>
  </si>
  <si>
    <t>Mari</t>
  </si>
  <si>
    <t>Santo Antônio do Leverger</t>
  </si>
  <si>
    <t>Santa Rosa do Tocantins</t>
  </si>
  <si>
    <t>Marizópolis</t>
  </si>
  <si>
    <t>São Félix do Araguaia</t>
  </si>
  <si>
    <t>Santa Tereza do Tocantins</t>
  </si>
  <si>
    <t>Massaranduba</t>
  </si>
  <si>
    <t>São José do Povo</t>
  </si>
  <si>
    <t>Santa Terezinha do Tocantins</t>
  </si>
  <si>
    <t>Mataraca</t>
  </si>
  <si>
    <t>São José do Rio Claro</t>
  </si>
  <si>
    <t>São Bento do Tocantins</t>
  </si>
  <si>
    <t>Matinhas</t>
  </si>
  <si>
    <t>São José do Xingu</t>
  </si>
  <si>
    <t>São Félix do Tocantins</t>
  </si>
  <si>
    <t>Mato Grosso</t>
  </si>
  <si>
    <t>São José Dos Quatro Marcos</t>
  </si>
  <si>
    <t>São Miguel do Tocantins</t>
  </si>
  <si>
    <t>Maturéia</t>
  </si>
  <si>
    <t>São Pedro da Cipa</t>
  </si>
  <si>
    <t>São Salvador do Tocantins</t>
  </si>
  <si>
    <t>Mogeiro</t>
  </si>
  <si>
    <t>Sapezal</t>
  </si>
  <si>
    <t>São Sebastião do Tocantins</t>
  </si>
  <si>
    <t>Montadas</t>
  </si>
  <si>
    <t>Serra Nova Dourada</t>
  </si>
  <si>
    <t>São Valério da Natividade</t>
  </si>
  <si>
    <t>Sinop</t>
  </si>
  <si>
    <t>Silvanópolis</t>
  </si>
  <si>
    <t>Monte Horebe</t>
  </si>
  <si>
    <t>Sorriso</t>
  </si>
  <si>
    <t>Sítio Novo do Tocantins</t>
  </si>
  <si>
    <t>Monteiro</t>
  </si>
  <si>
    <t>Tabaporã</t>
  </si>
  <si>
    <t>Sucupira</t>
  </si>
  <si>
    <t>Mulungu</t>
  </si>
  <si>
    <t>Tangará da Serra</t>
  </si>
  <si>
    <t>Taguatinga</t>
  </si>
  <si>
    <t>Natuba</t>
  </si>
  <si>
    <t>Tapurah</t>
  </si>
  <si>
    <t>Taipas do Tocantins</t>
  </si>
  <si>
    <t>Nazarezinho</t>
  </si>
  <si>
    <t>Terra Nova do Norte</t>
  </si>
  <si>
    <t>Talismã</t>
  </si>
  <si>
    <t>Nova Floresta</t>
  </si>
  <si>
    <t>Tesouro</t>
  </si>
  <si>
    <t>Tocantínia</t>
  </si>
  <si>
    <t>Torixoréu</t>
  </si>
  <si>
    <t>Tocantinópolis</t>
  </si>
  <si>
    <t>Nova Palmeira</t>
  </si>
  <si>
    <t>União do Sul</t>
  </si>
  <si>
    <t>Tupirama</t>
  </si>
  <si>
    <t>Olho Dá´gua</t>
  </si>
  <si>
    <t>Vale de São Domingos</t>
  </si>
  <si>
    <t>Tupiratins</t>
  </si>
  <si>
    <t>Olivedos</t>
  </si>
  <si>
    <t>Várzea Grande</t>
  </si>
  <si>
    <t>Wanderlândia</t>
  </si>
  <si>
    <t>Orobo</t>
  </si>
  <si>
    <t>Vera</t>
  </si>
  <si>
    <t>Xambioá</t>
  </si>
  <si>
    <t>Ouro Velho</t>
  </si>
  <si>
    <t>Vila Bela da Santíssima Trindade</t>
  </si>
  <si>
    <t>Parari</t>
  </si>
  <si>
    <t>Vila Rica</t>
  </si>
  <si>
    <t>Passagem</t>
  </si>
  <si>
    <t>Patos</t>
  </si>
  <si>
    <t>Paulista</t>
  </si>
  <si>
    <t>Pedra Branca</t>
  </si>
  <si>
    <t>Pedra Lavrada</t>
  </si>
  <si>
    <t>Pedras de Fogo</t>
  </si>
  <si>
    <t>Pedro Régis</t>
  </si>
  <si>
    <t>Piancó</t>
  </si>
  <si>
    <t>Picuí</t>
  </si>
  <si>
    <t>Pilar</t>
  </si>
  <si>
    <t>Pilões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</si>
  <si>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</si>
  <si>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</si>
  <si>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</si>
  <si>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</si>
  <si>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</si>
  <si>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</si>
  <si>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</si>
  <si>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</si>
  <si>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</si>
  <si>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</si>
  <si>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</si>
  <si>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</si>
  <si>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</si>
  <si>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Riachão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</si>
  <si>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</si>
  <si>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</si>
  <si>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</si>
  <si>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</si>
  <si>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</si>
  <si>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</si>
  <si>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</si>
  <si>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</si>
  <si>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 Cruz</t>
  </si>
  <si>
    <t>Santa Helena</t>
  </si>
  <si>
    <t>Santa Inês</t>
  </si>
  <si>
    <t>Santa Luzia</t>
  </si>
  <si>
    <t>Santa Teresinha</t>
  </si>
  <si>
    <t>Santana de Mangueira</t>
  </si>
  <si>
    <t>Santana Dos Garrotes</t>
  </si>
  <si>
    <t>Santo André</t>
  </si>
  <si>
    <t>São Bentinho</t>
  </si>
  <si>
    <t>São Bento</t>
  </si>
  <si>
    <t>São Domingos de Pombal</t>
  </si>
  <si>
    <t>São Domingos do Cariri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</si>
  <si>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</si>
  <si>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</si>
  <si>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</si>
  <si>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</si>
  <si>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</si>
  <si>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</si>
  <si>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</si>
  <si>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</si>
  <si>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</si>
  <si>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</si>
  <si>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</si>
  <si>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</si>
  <si>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</si>
  <si>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</si>
  <si>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</si>
  <si>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</si>
  <si>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</si>
  <si>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Sapé</t>
  </si>
  <si>
    <t>Sao vicente do 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</si>
  <si>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</si>
  <si>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</si>
  <si>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</si>
  <si>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</si>
  <si>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</si>
  <si>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</si>
  <si>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</si>
  <si>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</si>
  <si>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</si>
  <si>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</si>
  <si>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</si>
  <si>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</si>
  <si>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Taperoá</t>
  </si>
  <si>
    <t>Tavares</t>
  </si>
  <si>
    <t>Teixeira</t>
  </si>
  <si>
    <t>Tenório</t>
  </si>
  <si>
    <t>Triunfo</t>
  </si>
  <si>
    <t>Uiraúna</t>
  </si>
  <si>
    <t>Umbaúba</t>
  </si>
  <si>
    <t>Umbuzeiro</t>
  </si>
  <si>
    <t>Várzea</t>
  </si>
  <si>
    <t>Vieirópolis</t>
  </si>
  <si>
    <t>Vista Serrana</t>
  </si>
  <si>
    <t>Zabelê</t>
  </si>
  <si>
    <t>Tensão</t>
  </si>
  <si>
    <t>7,96/13,8kV</t>
  </si>
  <si>
    <t>12,7/22,0kV</t>
  </si>
  <si>
    <t>19,9/34,5kV</t>
  </si>
  <si>
    <t>18K</t>
  </si>
  <si>
    <t>19K</t>
  </si>
  <si>
    <t>20K</t>
  </si>
  <si>
    <t>23K</t>
  </si>
  <si>
    <t>24K</t>
  </si>
  <si>
    <t>25K</t>
  </si>
  <si>
    <t>Indice Tensão</t>
  </si>
  <si>
    <t>Indice Fuso</t>
  </si>
  <si>
    <t>Transformador Acoplado?</t>
  </si>
  <si>
    <t>Indice Trafo Acoplado</t>
  </si>
  <si>
    <t>Indice Trafo Atendimento</t>
  </si>
  <si>
    <t>172</t>
  </si>
  <si>
    <t>CAMPO GRANDE</t>
  </si>
  <si>
    <t>10</t>
  </si>
  <si>
    <t>45.5</t>
  </si>
  <si>
    <t>37.1</t>
  </si>
  <si>
    <t>8.63</t>
  </si>
  <si>
    <t>16.5</t>
  </si>
  <si>
    <t>0,+5</t>
  </si>
  <si>
    <t>45.8</t>
  </si>
  <si>
    <t>8.83</t>
  </si>
  <si>
    <t>9.28</t>
  </si>
  <si>
    <t>9.15</t>
  </si>
  <si>
    <t>37.4</t>
  </si>
  <si>
    <t>17.0</t>
  </si>
  <si>
    <t>0/+5</t>
  </si>
  <si>
    <t>20.00</t>
  </si>
  <si>
    <t>50.31V</t>
  </si>
  <si>
    <t>42.13V</t>
  </si>
  <si>
    <t>9.47A</t>
  </si>
  <si>
    <t>8.79A</t>
  </si>
  <si>
    <t>50.0V</t>
  </si>
  <si>
    <t>42.2V</t>
  </si>
  <si>
    <t>13.72A</t>
  </si>
  <si>
    <t>12.91A</t>
  </si>
  <si>
    <t>21.09%</t>
  </si>
  <si>
    <t>41.1</t>
  </si>
  <si>
    <t>33.8</t>
  </si>
  <si>
    <t>10.14</t>
  </si>
  <si>
    <t>9.77</t>
  </si>
  <si>
    <t>19.37</t>
  </si>
  <si>
    <t>39.2</t>
  </si>
  <si>
    <t>8.94</t>
  </si>
  <si>
    <t>46.6</t>
  </si>
  <si>
    <t>9.51</t>
  </si>
  <si>
    <t>17.64</t>
  </si>
  <si>
    <t>38.2</t>
  </si>
  <si>
    <t>46.3</t>
  </si>
  <si>
    <t>9.04</t>
  </si>
  <si>
    <t>9.55</t>
  </si>
  <si>
    <t>17.4</t>
  </si>
  <si>
    <t>10000W</t>
  </si>
  <si>
    <t>10000VA</t>
  </si>
  <si>
    <t>60V</t>
  </si>
  <si>
    <t>60-550V</t>
  </si>
  <si>
    <t>1/1/2</t>
  </si>
  <si>
    <t>15000Wp</t>
  </si>
  <si>
    <t>425x387x180mm</t>
  </si>
  <si>
    <t xml:space="preserve">18.2kg </t>
  </si>
  <si>
    <t>IP66</t>
  </si>
  <si>
    <t>Marca Inv.</t>
  </si>
  <si>
    <t>Pot Inv.</t>
  </si>
  <si>
    <t>Marca Placa</t>
  </si>
  <si>
    <t>DJ CC</t>
  </si>
  <si>
    <t>DJ CA</t>
  </si>
  <si>
    <t>Fases</t>
  </si>
  <si>
    <t>Cliente</t>
  </si>
  <si>
    <t>Módulos Fotovoltaicos - laço 1 -  paineis</t>
  </si>
  <si>
    <t>POLI HALF CELL 1500V</t>
  </si>
  <si>
    <t>Placas</t>
  </si>
  <si>
    <t>Módulos Fotovoltaicos</t>
  </si>
  <si>
    <t>Nº Inversores</t>
  </si>
  <si>
    <t>Inversor</t>
  </si>
  <si>
    <t>TRANSFORMADOR</t>
  </si>
  <si>
    <t>Módulos por String</t>
  </si>
  <si>
    <t>41.3 V</t>
  </si>
  <si>
    <t>11.02 A</t>
  </si>
  <si>
    <t>11.66 A</t>
  </si>
  <si>
    <t>49.3 V</t>
  </si>
  <si>
    <t>20.6%</t>
  </si>
  <si>
    <t>Bifasico</t>
  </si>
  <si>
    <t>Trifasico</t>
  </si>
  <si>
    <t>Cabo FV</t>
  </si>
  <si>
    <t>13.5A/13.5A/27A</t>
  </si>
  <si>
    <t>16.9A/16.9A/33.8A</t>
  </si>
  <si>
    <t>49,4 V</t>
  </si>
  <si>
    <t>11,26 A</t>
  </si>
  <si>
    <t>10,67 A</t>
  </si>
  <si>
    <t>40,8 V</t>
  </si>
  <si>
    <t>46,0 V</t>
  </si>
  <si>
    <t>9,35 A</t>
  </si>
  <si>
    <t>8,91 A</t>
  </si>
  <si>
    <t>376 V</t>
  </si>
  <si>
    <t>750000W</t>
  </si>
  <si>
    <t>36,8 V</t>
  </si>
  <si>
    <t>45,3 V</t>
  </si>
  <si>
    <t>9,26 A</t>
  </si>
  <si>
    <t>8,69 A</t>
  </si>
  <si>
    <t>39.6 V</t>
  </si>
  <si>
    <t>47.0 V</t>
  </si>
  <si>
    <t>9.67 A</t>
  </si>
  <si>
    <t>9.10 A</t>
  </si>
  <si>
    <t>18.15</t>
  </si>
  <si>
    <t>83300VA</t>
  </si>
  <si>
    <t>112,5A</t>
  </si>
  <si>
    <t>7/2 X25 A</t>
  </si>
  <si>
    <t>195</t>
  </si>
  <si>
    <t>195-1000V</t>
  </si>
  <si>
    <t>7</t>
  </si>
  <si>
    <t>7/2</t>
  </si>
  <si>
    <t>112,5 kWp</t>
  </si>
  <si>
    <t>860X600X300 mm</t>
  </si>
  <si>
    <t>82Kg</t>
  </si>
  <si>
    <t>ARQUIVO</t>
  </si>
  <si>
    <t>NOME</t>
  </si>
  <si>
    <t>ENDEREÇO</t>
  </si>
  <si>
    <t>CIDADE</t>
  </si>
  <si>
    <t>NOME_PAINEL</t>
  </si>
  <si>
    <t>PAINEIS_1</t>
  </si>
  <si>
    <t>PAINEIS_2</t>
  </si>
  <si>
    <t>PAINEIS_3</t>
  </si>
  <si>
    <t>DADOS_PAINEIS_1</t>
  </si>
  <si>
    <t>DADOS_PAINEIS_2</t>
  </si>
  <si>
    <t>DADOS_PAINEIS_3</t>
  </si>
  <si>
    <t>CABO_RAMAL_1</t>
  </si>
  <si>
    <t>DJ_RAMAL</t>
  </si>
  <si>
    <t>CABO_RAMAL_2</t>
  </si>
  <si>
    <t>DJ_SOLAR_1</t>
  </si>
  <si>
    <t>CABO_SOLAR_1</t>
  </si>
  <si>
    <t>CARGA_INST</t>
  </si>
  <si>
    <t>INV_NOME</t>
  </si>
  <si>
    <t>INV_1</t>
  </si>
  <si>
    <t>INV_2</t>
  </si>
  <si>
    <t>INV_3</t>
  </si>
  <si>
    <t>GER_1</t>
  </si>
  <si>
    <t>GER_2</t>
  </si>
  <si>
    <t>GER_3</t>
  </si>
  <si>
    <t>GER_4</t>
  </si>
  <si>
    <t>GER_5</t>
  </si>
  <si>
    <t>DJ_3</t>
  </si>
  <si>
    <t>DJ_SOLAR_3</t>
  </si>
  <si>
    <t>MODELO_PLACA_1</t>
  </si>
  <si>
    <t>MODELO_PLACA_2</t>
  </si>
  <si>
    <t>LEG_INV</t>
  </si>
  <si>
    <t>REGISTRO_INMETRO</t>
  </si>
  <si>
    <t>ART</t>
  </si>
  <si>
    <t>DADOS_INV_1</t>
  </si>
  <si>
    <t>DADOS_INV_2</t>
  </si>
  <si>
    <t>DADOS_INV_3</t>
  </si>
  <si>
    <t>DADOS_INV_4</t>
  </si>
  <si>
    <t>DADOS_INV_5</t>
  </si>
  <si>
    <t>DADOS_INV_6</t>
  </si>
  <si>
    <t>DADOS_INV_7</t>
  </si>
  <si>
    <t>DADOS_INV_8</t>
  </si>
  <si>
    <t>DADOS_INV_10</t>
  </si>
  <si>
    <t>DADOS_INV_9</t>
  </si>
  <si>
    <t>DADOS_INV_11</t>
  </si>
  <si>
    <t>DADOS_INV_12</t>
  </si>
  <si>
    <t>DADOS_INV_13</t>
  </si>
  <si>
    <t>DADOS_INV_14</t>
  </si>
  <si>
    <t>DADOS_INV_15</t>
  </si>
  <si>
    <t>DADOS_INV_16</t>
  </si>
  <si>
    <t>DADOS_INV_17</t>
  </si>
  <si>
    <t>DADOS_INV_18</t>
  </si>
  <si>
    <t>DADOS_INV_19</t>
  </si>
  <si>
    <t>DADOS_INV_20</t>
  </si>
  <si>
    <t>DADOS_INV_21</t>
  </si>
  <si>
    <t>DADOS_INV_22</t>
  </si>
  <si>
    <t>DADOS_INV_23</t>
  </si>
  <si>
    <t>DADOS_INV_24</t>
  </si>
  <si>
    <t>DADOS_INV_25</t>
  </si>
  <si>
    <t>DADOS_INV_26</t>
  </si>
  <si>
    <t>DADOS_INV_27</t>
  </si>
  <si>
    <t>DADOS_INV_28</t>
  </si>
  <si>
    <t>DADOS_INV_29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</si>
  <si>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</si>
  <si>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</si>
  <si>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</si>
  <si>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</si>
  <si>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</si>
  <si>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</si>
  <si>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</si>
  <si>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</si>
  <si>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</si>
  <si>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</si>
  <si>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</si>
  <si>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</si>
  <si>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</si>
  <si>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TEXT_CARIMBO_PG</t>
  </si>
  <si>
    <t>DATA</t>
  </si>
  <si>
    <t>LAT</t>
  </si>
  <si>
    <t>LOG</t>
  </si>
  <si>
    <t>ZONA</t>
  </si>
  <si>
    <t>50.15 V</t>
  </si>
  <si>
    <t>13.81A</t>
  </si>
  <si>
    <t>13.00A</t>
  </si>
  <si>
    <t>42.5V</t>
  </si>
  <si>
    <t>21.20%</t>
  </si>
  <si>
    <t>COD_NOME_PAINEL</t>
  </si>
  <si>
    <t>COD_INV_NOME</t>
  </si>
  <si>
    <t>TRAFO</t>
  </si>
  <si>
    <t>DJ1_TRAFO</t>
  </si>
  <si>
    <t>DJ3_TRAFO</t>
  </si>
  <si>
    <t>Cabo FV TRAFO</t>
  </si>
  <si>
    <t>DJ FV TRAFO</t>
  </si>
  <si>
    <t>CABO_SOLAR_1_TRAFO</t>
  </si>
  <si>
    <t>127/220V</t>
  </si>
  <si>
    <t>52A/52A/52A</t>
  </si>
  <si>
    <t>32500kWp</t>
  </si>
  <si>
    <t>65,6A</t>
  </si>
  <si>
    <t>OBS</t>
  </si>
  <si>
    <t>31.7</t>
  </si>
  <si>
    <t>8.69</t>
  </si>
  <si>
    <t>38.7</t>
  </si>
  <si>
    <t>9.17</t>
  </si>
  <si>
    <t>16.8</t>
  </si>
  <si>
    <t>3300VA</t>
  </si>
  <si>
    <t>13.5A</t>
  </si>
  <si>
    <t>230V(180V-280V)</t>
  </si>
  <si>
    <t>007222/2018</t>
  </si>
  <si>
    <t>11A</t>
  </si>
  <si>
    <t>70Vcc</t>
  </si>
  <si>
    <t>90Vcc</t>
  </si>
  <si>
    <t>360Vcc</t>
  </si>
  <si>
    <t>90 - 580Vcc</t>
  </si>
  <si>
    <t>580Vcc</t>
  </si>
  <si>
    <t>3350Wp</t>
  </si>
  <si>
    <t>285x336x125 mm</t>
  </si>
  <si>
    <t>8.8kg</t>
  </si>
  <si>
    <t>2000W</t>
  </si>
  <si>
    <t>2000VA</t>
  </si>
  <si>
    <t>9.5A</t>
  </si>
  <si>
    <t>002822/2020</t>
  </si>
  <si>
    <t>13A</t>
  </si>
  <si>
    <t>50V</t>
  </si>
  <si>
    <t>50V-500V</t>
  </si>
  <si>
    <t xml:space="preserve">2800 WP </t>
  </si>
  <si>
    <t>274x254x138mm</t>
  </si>
  <si>
    <t>6.0kg</t>
  </si>
  <si>
    <t>001652/2018</t>
  </si>
  <si>
    <t>13.7A</t>
  </si>
  <si>
    <t>10A</t>
  </si>
  <si>
    <t>12A</t>
  </si>
  <si>
    <t>90V</t>
  </si>
  <si>
    <t>560V</t>
  </si>
  <si>
    <t>90V-560V</t>
  </si>
  <si>
    <t>300x370x125 mm</t>
  </si>
  <si>
    <t>8.5kg</t>
  </si>
  <si>
    <t>Resfriamento natural</t>
  </si>
  <si>
    <t>200-850V</t>
  </si>
  <si>
    <t>31kg</t>
  </si>
  <si>
    <t>C:\Users\Nilson Gasparin\Dropbox\MONTE CRISTO\AUTOMAÇÃO\CAD\TRIFASICOBIFASICO-2INV.dwg</t>
  </si>
  <si>
    <t>1000W</t>
  </si>
  <si>
    <t>1100VA</t>
  </si>
  <si>
    <t>7,87 A</t>
  </si>
  <si>
    <t>127(101,6/139,7)V</t>
  </si>
  <si>
    <t xml:space="preserve">57,5 ~ 62,0 Hz </t>
  </si>
  <si>
    <t>5,0%</t>
  </si>
  <si>
    <t xml:space="preserve"> &gt; 0,98</t>
  </si>
  <si>
    <t>001110/2021</t>
  </si>
  <si>
    <t>12 A</t>
  </si>
  <si>
    <t xml:space="preserve"> 12,5 A</t>
  </si>
  <si>
    <t>48 V</t>
  </si>
  <si>
    <t>250 V</t>
  </si>
  <si>
    <t>180 V</t>
  </si>
  <si>
    <t>48-250 V</t>
  </si>
  <si>
    <t>315x345x150 mm</t>
  </si>
  <si>
    <t xml:space="preserve"> 9,3 kg</t>
  </si>
  <si>
    <t>IP54</t>
  </si>
  <si>
    <t>0°C ~ 60°C</t>
  </si>
  <si>
    <t>13,6 A</t>
  </si>
  <si>
    <t>220 V</t>
  </si>
  <si>
    <t>57,5 ~ 62,0 Hz</t>
  </si>
  <si>
    <t>&lt;5,0%</t>
  </si>
  <si>
    <t>&gt; 0,98</t>
  </si>
  <si>
    <t>6591/2020</t>
  </si>
  <si>
    <t xml:space="preserve"> 11,5 A</t>
  </si>
  <si>
    <t>12,5 A</t>
  </si>
  <si>
    <t xml:space="preserve"> 48 V</t>
  </si>
  <si>
    <t xml:space="preserve"> 320 V</t>
  </si>
  <si>
    <t>480 V</t>
  </si>
  <si>
    <t>180~480 V</t>
  </si>
  <si>
    <t>315x485x150 mm</t>
  </si>
  <si>
    <t>13 kg</t>
  </si>
  <si>
    <t>91,16 A</t>
  </si>
  <si>
    <t>380(304/418)V</t>
  </si>
  <si>
    <t>3x11A/ 3x11A/ 3x11A/ 3x11 A</t>
  </si>
  <si>
    <t>3x14A/ 3x14A/ 3x14A/ 3x14A</t>
  </si>
  <si>
    <t xml:space="preserve"> 250 V</t>
  </si>
  <si>
    <t>620 V</t>
  </si>
  <si>
    <t>1100 V</t>
  </si>
  <si>
    <t>540~850 V</t>
  </si>
  <si>
    <t>855x555x272 mm</t>
  </si>
  <si>
    <t>67 kg</t>
  </si>
  <si>
    <t>Ventiladores</t>
  </si>
  <si>
    <t>5500VA</t>
  </si>
  <si>
    <t>22,73 A</t>
  </si>
  <si>
    <t>220(166~280 V)</t>
  </si>
  <si>
    <t>&lt;3,0%</t>
  </si>
  <si>
    <t>&gt; 0,99</t>
  </si>
  <si>
    <t>007096/2020</t>
  </si>
  <si>
    <t>70 V</t>
  </si>
  <si>
    <t>90 V</t>
  </si>
  <si>
    <t>11 A/ 11 A</t>
  </si>
  <si>
    <t>15 A / 15 A</t>
  </si>
  <si>
    <t>360 V</t>
  </si>
  <si>
    <t>240~520 V</t>
  </si>
  <si>
    <t>1/1</t>
  </si>
  <si>
    <t>335x426x125 mm</t>
  </si>
  <si>
    <t>12,8 kg</t>
  </si>
  <si>
    <t>8.44A</t>
  </si>
  <si>
    <t>9.03A</t>
  </si>
  <si>
    <t>31.4V</t>
  </si>
  <si>
    <t>16.19%</t>
  </si>
  <si>
    <t>0~+3%</t>
  </si>
  <si>
    <t>Cidade</t>
  </si>
  <si>
    <t>Conta</t>
  </si>
  <si>
    <t>Compensação?</t>
  </si>
  <si>
    <t>Compensação</t>
  </si>
  <si>
    <t>Disjuntor?</t>
  </si>
  <si>
    <t>Ramal de entrada?</t>
  </si>
  <si>
    <t>Info de Projeto?</t>
  </si>
  <si>
    <t>Tenho Documento?</t>
  </si>
  <si>
    <t>É CNPJ?</t>
  </si>
  <si>
    <t>Tem ART?</t>
  </si>
  <si>
    <t>94.5A</t>
  </si>
  <si>
    <t>58.3A</t>
  </si>
  <si>
    <t>46800 Wp</t>
  </si>
  <si>
    <t>45.9</t>
  </si>
  <si>
    <t>8.76</t>
  </si>
  <si>
    <t>9.27</t>
  </si>
  <si>
    <t>83.3 A</t>
  </si>
  <si>
    <t>220 V / 380 V</t>
  </si>
  <si>
    <t>75000W</t>
  </si>
  <si>
    <t>75000VA</t>
  </si>
  <si>
    <t>114A</t>
  </si>
  <si>
    <t>9*26A</t>
  </si>
  <si>
    <t>9*40A</t>
  </si>
  <si>
    <t>195V</t>
  </si>
  <si>
    <t>9</t>
  </si>
  <si>
    <t>9/18</t>
  </si>
  <si>
    <t>1050x567x314,5</t>
  </si>
  <si>
    <t>82kg</t>
  </si>
  <si>
    <t>52.1</t>
  </si>
  <si>
    <t>11.81</t>
  </si>
  <si>
    <t>43.2</t>
  </si>
  <si>
    <t>12.42</t>
  </si>
  <si>
    <t>21.2</t>
  </si>
  <si>
    <t>XXX - MID 15KTL3-XL</t>
  </si>
  <si>
    <t>43.7A</t>
  </si>
  <si>
    <t>8800VA</t>
  </si>
  <si>
    <t>001452/2020</t>
  </si>
  <si>
    <t>35A</t>
  </si>
  <si>
    <t>12+12</t>
  </si>
  <si>
    <t>100Vcc</t>
  </si>
  <si>
    <t>120Vcc</t>
  </si>
  <si>
    <t>500Vcc</t>
  </si>
  <si>
    <t>100 - 500Vcc</t>
  </si>
  <si>
    <t>1+2</t>
  </si>
  <si>
    <t>9600Wp</t>
  </si>
  <si>
    <t>330L×310A×172P</t>
  </si>
  <si>
    <t>11kg</t>
  </si>
  <si>
    <t>007268/2022</t>
  </si>
  <si>
    <t>14 A/14 A</t>
  </si>
  <si>
    <t>22 A/22 A</t>
  </si>
  <si>
    <t>330V</t>
  </si>
  <si>
    <t>90 Vcc ~ 520 Vcc</t>
  </si>
  <si>
    <t>7,5  kWp</t>
  </si>
  <si>
    <t>310x543x160 mm</t>
  </si>
  <si>
    <t>12 kg</t>
  </si>
  <si>
    <t>26.0A</t>
  </si>
  <si>
    <t>005101/2022</t>
  </si>
  <si>
    <t>13,5 A/13,5 A</t>
  </si>
  <si>
    <t>16,9 A/16,9 A</t>
  </si>
  <si>
    <t>100V-550V</t>
  </si>
  <si>
    <t>9,0 kWp</t>
  </si>
  <si>
    <t>360x420x125 mm</t>
  </si>
  <si>
    <t>11,5 kg</t>
  </si>
  <si>
    <t>34,7 A</t>
  </si>
  <si>
    <t>15 A/15 A</t>
  </si>
  <si>
    <t>19 A/19 A</t>
  </si>
  <si>
    <t>12,0 kWp</t>
  </si>
  <si>
    <t>435x370x175 mm</t>
  </si>
  <si>
    <t>15 kg</t>
  </si>
  <si>
    <t>12000W</t>
  </si>
  <si>
    <t>13200VA</t>
  </si>
  <si>
    <t>19,1 A</t>
  </si>
  <si>
    <t>380/400/415 Vca</t>
  </si>
  <si>
    <t>27 A/13,5 A</t>
  </si>
  <si>
    <t xml:space="preserve">33,8 A/16,9 A </t>
  </si>
  <si>
    <t>300 Vcc ~ 850 Vcc</t>
  </si>
  <si>
    <t>2/1</t>
  </si>
  <si>
    <t>18,0 kWp</t>
  </si>
  <si>
    <t>480x420x180 mm</t>
  </si>
  <si>
    <t>25 kg</t>
  </si>
  <si>
    <t>XXX - BYD-K-1P8K-2M</t>
  </si>
  <si>
    <t>XXX - BYD-S-1P5K-2M</t>
  </si>
  <si>
    <t>XXX - BYD-K-3P12K-2M</t>
  </si>
  <si>
    <t>XXX - BYD-K-1P6K-2M</t>
  </si>
  <si>
    <t>XXX - 450 MGK-36</t>
  </si>
  <si>
    <t>49.81</t>
  </si>
  <si>
    <t>11.72</t>
  </si>
  <si>
    <t>10.9</t>
  </si>
  <si>
    <t>41.79</t>
  </si>
  <si>
    <t>20.9</t>
  </si>
  <si>
    <t>=AA149*1,25/(0,22*RAIZ(ÍNDICE('Dados - Inversores'!AK:AK;CORRESP('1'!AL149;'Dados - Inversores'!C:C;0))))</t>
  </si>
  <si>
    <t>XXX - BYD-S-1P10K-3M</t>
  </si>
  <si>
    <t>45.9 A</t>
  </si>
  <si>
    <t>1+1+1</t>
  </si>
  <si>
    <t>17,0 kWp</t>
  </si>
  <si>
    <t>XXX - BYD-K-3P20K-2M</t>
  </si>
  <si>
    <t>29.0 A</t>
  </si>
  <si>
    <t>30 A/30 A</t>
  </si>
  <si>
    <t xml:space="preserve">37,5 A/37,5 A </t>
  </si>
  <si>
    <t>160 Vcc ~ 850 Vcc</t>
  </si>
  <si>
    <t>30,0 kWp</t>
  </si>
  <si>
    <t>17 kg</t>
  </si>
  <si>
    <t>38.3A</t>
  </si>
  <si>
    <t>001483/2021</t>
  </si>
  <si>
    <t>27A/13.5A</t>
  </si>
  <si>
    <t>33,8A/16,9A</t>
  </si>
  <si>
    <t>60V-550V</t>
  </si>
  <si>
    <t>11,2 kWp</t>
  </si>
  <si>
    <t>18,2 kg</t>
  </si>
  <si>
    <t>XXX - BYD-K-1P3K-2M</t>
  </si>
  <si>
    <t>13.0A</t>
  </si>
  <si>
    <t>4,5kWp</t>
  </si>
  <si>
    <t>XXX - BYD-S-3P75K-9M</t>
  </si>
  <si>
    <t>112,5 KWp</t>
  </si>
  <si>
    <t>46.69V</t>
  </si>
  <si>
    <t>9.23A</t>
  </si>
  <si>
    <t>36.98V</t>
  </si>
  <si>
    <t>1000VA</t>
  </si>
  <si>
    <t>4,8A</t>
  </si>
  <si>
    <t>002819/2020</t>
  </si>
  <si>
    <t>1,4KWp</t>
  </si>
  <si>
    <t>275x250x138mm</t>
  </si>
  <si>
    <t>6,0 kg</t>
  </si>
  <si>
    <t>XXX - BYD-S-3P30K-3M</t>
  </si>
  <si>
    <t>50.2A</t>
  </si>
  <si>
    <t>32 A/32 A</t>
  </si>
  <si>
    <t xml:space="preserve">40 A/40 A </t>
  </si>
  <si>
    <t>200 Vcc ~ 1000Vcc</t>
  </si>
  <si>
    <t>45,0 kWp</t>
  </si>
  <si>
    <t>647x629x252 mm</t>
  </si>
  <si>
    <t>37 kg</t>
  </si>
  <si>
    <t>XXX - BYD-K-3P15K-2M</t>
  </si>
  <si>
    <t>16500VA</t>
  </si>
  <si>
    <t>21.7A</t>
  </si>
  <si>
    <t>solicitar aumento de carga</t>
  </si>
  <si>
    <t>XXX - RENO-5K-HC</t>
  </si>
  <si>
    <t>001873/2019</t>
  </si>
  <si>
    <t>8,5  kWp</t>
  </si>
  <si>
    <t>XXX - MAC 70KTL3-X MV</t>
  </si>
  <si>
    <t>XXX - MAC 60KTL3-X MV</t>
  </si>
  <si>
    <t>XXX - MAC 50KTL3-X MV</t>
  </si>
  <si>
    <t>XXX - MID 22KTL3-X</t>
  </si>
  <si>
    <t>XXX - 3600TL-X</t>
  </si>
  <si>
    <t>XXX - 4600TL-X</t>
  </si>
  <si>
    <t>XXX - DHM72X-375</t>
  </si>
  <si>
    <t>XXX - DHM72X-376</t>
  </si>
  <si>
    <t>XXX - DHM72X-377</t>
  </si>
  <si>
    <t>XXX - DHM72X-378</t>
  </si>
  <si>
    <t>XXX - DHM72X-379</t>
  </si>
  <si>
    <t>XXX - DHM72X-380</t>
  </si>
  <si>
    <t>XXX - DHM72X-381</t>
  </si>
  <si>
    <t>XXX - DHM72X-382</t>
  </si>
  <si>
    <t>XXX - DHM72X-383</t>
  </si>
  <si>
    <t>2x95</t>
  </si>
  <si>
    <t>2x120</t>
  </si>
  <si>
    <t>2x150</t>
  </si>
  <si>
    <t>2x70</t>
  </si>
  <si>
    <t>HANERSUN</t>
  </si>
  <si>
    <t>42.53V</t>
  </si>
  <si>
    <t>50.10 V</t>
  </si>
  <si>
    <t>12.  091A</t>
  </si>
  <si>
    <t>XXX - BS560</t>
  </si>
  <si>
    <t>50.67 V</t>
  </si>
  <si>
    <t>12.95A</t>
  </si>
  <si>
    <t>14.13</t>
  </si>
  <si>
    <t>43.23V</t>
  </si>
  <si>
    <t>21.67%</t>
  </si>
  <si>
    <t>XXX - BS-10K</t>
  </si>
  <si>
    <t>BS-10K</t>
  </si>
  <si>
    <t>45.5 A</t>
  </si>
  <si>
    <t>007426/2021</t>
  </si>
  <si>
    <t>30 A/15 A</t>
  </si>
  <si>
    <t>70v</t>
  </si>
  <si>
    <t>90v</t>
  </si>
  <si>
    <t>70V-550V</t>
  </si>
  <si>
    <t>15,0 kWp</t>
  </si>
  <si>
    <t>450x400x170 mm</t>
  </si>
  <si>
    <t>16 kg</t>
  </si>
  <si>
    <t>002420/2020</t>
  </si>
  <si>
    <t>001299/2020</t>
  </si>
  <si>
    <t>001298/2020</t>
  </si>
  <si>
    <t>16 A/32 A</t>
  </si>
  <si>
    <t>13+26</t>
  </si>
  <si>
    <t>3,6 kWp</t>
  </si>
  <si>
    <t>6,5  kWp</t>
  </si>
  <si>
    <t>10,4 KWp</t>
  </si>
  <si>
    <t>330L×310A×115C</t>
  </si>
  <si>
    <t>330L×310A×172C</t>
  </si>
  <si>
    <t>6 kg</t>
  </si>
  <si>
    <t>11 kg</t>
  </si>
  <si>
    <t>XXX - GCL-M10/72H 545W</t>
  </si>
  <si>
    <t>49.98 V</t>
  </si>
  <si>
    <t>13.66 A</t>
  </si>
  <si>
    <t>12.87 A</t>
  </si>
  <si>
    <t>42.35 V</t>
  </si>
  <si>
    <t>21.30 %</t>
  </si>
  <si>
    <t>XXX - CP18-72H550W</t>
  </si>
  <si>
    <t>XXX - BS-6K220-G</t>
  </si>
  <si>
    <t>6600VA</t>
  </si>
  <si>
    <t>26.1</t>
  </si>
  <si>
    <t>007179/2021</t>
  </si>
  <si>
    <t>13 A/13 A</t>
  </si>
  <si>
    <t>7,8 kWp</t>
  </si>
  <si>
    <t>330x310x172 mm</t>
  </si>
  <si>
    <t>XXX - 540 MGK-36</t>
  </si>
  <si>
    <t>Nº de Placas</t>
  </si>
  <si>
    <t>LEGENDA - UTILIZADO EM VARIOS LOCAIS - INVERSOR</t>
  </si>
  <si>
    <t>LEGENDA - DATASHEET - INVERSOR</t>
  </si>
  <si>
    <t>DIAGRAMA UNIFILAR - PLACAS</t>
  </si>
  <si>
    <t xml:space="preserve"> INFORMAÇÕES - PLACAS</t>
  </si>
  <si>
    <t>INFORMAÇÕES - CROQUI DA LOCALIZAÇÃO</t>
  </si>
  <si>
    <t>DIAGRAMA TRIFILAR - STRING - PLACAS</t>
  </si>
  <si>
    <t>LEGENDA - UTILIZADO EM VARIOS LOCAIS - PLAA</t>
  </si>
  <si>
    <t>UTILIZADO EM VARIOS LOCAIS - CARGA INSTALADA</t>
  </si>
  <si>
    <t>UTILIZADO EM VARIOS LOCAIS - TRANSFORMADOR</t>
  </si>
  <si>
    <t>CARIMBO - DADOS CLIENTE/PROJETO</t>
  </si>
  <si>
    <t>COORDENADAS</t>
  </si>
  <si>
    <t>DISJUNTORES E CABOS</t>
  </si>
  <si>
    <t>=IF(O123="TRIFASICO";INDEX(Dados!G:G;MATCH('1'!AP123;Dados!E:E;0));IF(O123="BIFASICO";INDEX(Dados!F:F;MATCH('1'!AP123;Dados!E:E;0);)))</t>
  </si>
  <si>
    <t>Teste 1</t>
  </si>
  <si>
    <t>RUA Teste</t>
  </si>
  <si>
    <t>1320240000000</t>
  </si>
  <si>
    <t>Consumo (kWh)</t>
  </si>
  <si>
    <t>10/12345-7</t>
  </si>
  <si>
    <t>Rua Teste 2</t>
  </si>
  <si>
    <t>email@email.com.br</t>
  </si>
  <si>
    <t>67999999999</t>
  </si>
  <si>
    <t>234567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</si>
</sst>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4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76">
    <xf numFmtId="0" fontId="0" fillId="0" borderId="0" xfId="0"/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0" fontId="2" fillId="2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2" fillId="5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2" fillId="5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center" vertical="center"/>
    </xf>
    <xf numFmtId="0" fontId="0" fillId="6" borderId="0" xfId="0" applyNumberFormat="1" applyFill="1"/>
    <xf numFmtId="49" fontId="0" fillId="6" borderId="0" xfId="0" applyNumberFormat="1" applyFill="1"/>
    <xf numFmtId="10" fontId="0" fillId="0" borderId="0" xfId="0" applyNumberFormat="1"/>
    <xf numFmtId="0" fontId="0" fillId="9" borderId="0" xfId="0" applyFill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3" fillId="0" borderId="0" xfId="2" applyNumberFormat="1" applyAlignment="1">
      <alignment horizontal="center" vertical="center"/>
    </xf>
    <xf numFmtId="0" fontId="0" fillId="0" borderId="0" xfId="0" applyNumberFormat="1" applyFill="1"/>
    <xf numFmtId="0" fontId="0" fillId="7" borderId="0" xfId="0" applyNumberFormat="1" applyFill="1"/>
    <xf numFmtId="49" fontId="5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3" fontId="5" fillId="0" borderId="0" xfId="0" applyNumberFormat="1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0" fillId="8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6" fillId="2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0" fontId="9" fillId="0" borderId="0" xfId="0" applyNumberFormat="1" applyFont="1"/>
    <xf numFmtId="0" fontId="0" fillId="0" borderId="0" xfId="0" applyNumberFormat="1" applyAlignment="1">
      <alignment horizontal="center"/>
    </xf>
    <xf numFmtId="0" fontId="0" fillId="6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7" borderId="0" xfId="0" applyNumberFormat="1" applyFill="1" applyAlignment="1">
      <alignment horizontal="left" vertical="center"/>
    </xf>
    <xf numFmtId="0" fontId="0" fillId="0" borderId="0" xfId="0" applyFill="1" applyAlignment="1">
      <alignment horizontal="left"/>
    </xf>
    <xf numFmtId="0" fontId="11" fillId="10" borderId="0" xfId="0" applyNumberFormat="1" applyFont="1" applyFill="1" applyAlignment="1">
      <alignment horizontal="center" vertical="center"/>
    </xf>
    <xf numFmtId="0" fontId="0" fillId="4" borderId="0" xfId="0" applyNumberFormat="1" applyFill="1"/>
    <xf numFmtId="49" fontId="4" fillId="0" borderId="0" xfId="0" applyNumberFormat="1" applyFont="1" applyFill="1" applyAlignment="1">
      <alignment horizontal="center" vertical="center"/>
    </xf>
    <xf numFmtId="0" fontId="4" fillId="0" borderId="0" xfId="1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3" fontId="4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8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0" fillId="0" borderId="0" xfId="0" applyNumberFormat="1" applyFont="1" applyFill="1" applyAlignment="1">
      <alignment horizontal="center" vertic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7" fillId="0" borderId="0" xfId="0" applyFont="1" applyFill="1" applyAlignment="1">
      <alignment horizontal="center" vertical="center"/>
    </xf>
    <xf numFmtId="9" fontId="0" fillId="0" borderId="0" xfId="1" applyFont="1" applyFill="1" applyAlignment="1">
      <alignment horizontal="center"/>
    </xf>
    <xf numFmtId="0" fontId="0" fillId="0" borderId="0" xfId="1" applyNumberFormat="1" applyFont="1" applyFill="1" applyAlignment="1">
      <alignment horizontal="center"/>
    </xf>
    <xf numFmtId="0" fontId="0" fillId="0" borderId="0" xfId="0" applyFill="1" applyAlignment="1">
      <alignment horizontal="left" vertical="center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left" vertical="center"/>
    </xf>
    <xf numFmtId="49" fontId="3" fillId="0" borderId="0" xfId="2" applyNumberFormat="1" applyFill="1" applyAlignment="1">
      <alignment horizontal="center" vertical="center"/>
    </xf>
  </cellXfs>
  <cellStyles count="4">
    <cellStyle name="Hyperlink" xfId="2" builtinId="8"/>
    <cellStyle name="Moeda 2" xfId="3" xr:uid="{00000000-0005-0000-0000-000031000000}"/>
    <cellStyle name="Normal" xfId="0" builtinId="0"/>
    <cellStyle name="Percent" xfId="1" builtinId="5"/>
  </cellStyles>
  <dxfs count="6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lson%20Gasparin\Desktop\Monte%20Cristo\Automa&#231;&#227;o\Dados%20-%20Formulario%20de%20Solicita&#231;&#227;o%20de%20Acesso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lson%20Gasparin\Dropbox\MONTE%20CRISTO\automacoesV2\Dados%20-%20Clien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Legendas "/>
      <sheetName val="Infos necessarias"/>
      <sheetName val="CheckList"/>
      <sheetName val="Dados - Solicitação de acesso"/>
      <sheetName val="Dados - Placas"/>
      <sheetName val="Dados - Inversores"/>
      <sheetName val="Dados - Transformadores"/>
      <sheetName val="Calculadora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- Solicitação de acesso"/>
      <sheetName val="Dado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mail@email.com.br" TargetMode="External"/><Relationship Id="rId1" Type="http://schemas.openxmlformats.org/officeDocument/2006/relationships/hyperlink" Target="mailto:email@email.com.b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F7862-B30E-4B92-97E5-2CDBCA377D15}">
  <sheetPr codeName="Planilha1"/>
  <dimension ref="A1:BH1051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6" sqref="D26"/>
    </sheetView>
  </sheetViews>
  <sheetFormatPr defaultColWidth="9.1796875" defaultRowHeight="15.5" x14ac:dyDescent="0.35"/>
  <cols>
    <col min="1" max="1" width="59.26953125" style="35" bestFit="1" customWidth="1"/>
    <col min="2" max="2" width="8.81640625" style="35" bestFit="1" customWidth="1"/>
    <col min="3" max="3" width="12.26953125" style="35" bestFit="1" customWidth="1"/>
    <col min="4" max="4" width="33.54296875" style="35" bestFit="1" customWidth="1"/>
    <col min="5" max="5" width="5.7265625" style="35" bestFit="1" customWidth="1"/>
    <col min="6" max="6" width="10" style="35" bestFit="1" customWidth="1"/>
    <col min="7" max="7" width="31.453125" style="35" bestFit="1" customWidth="1"/>
    <col min="8" max="8" width="22.54296875" style="35" bestFit="1" customWidth="1"/>
    <col min="9" max="9" width="33.54296875" style="35" bestFit="1" customWidth="1"/>
    <col min="10" max="11" width="13.26953125" style="35" bestFit="1" customWidth="1"/>
    <col min="12" max="12" width="16.81640625" style="35" bestFit="1" customWidth="1"/>
    <col min="13" max="13" width="11.1796875" style="35" bestFit="1" customWidth="1"/>
    <col min="14" max="14" width="24.81640625" style="35" bestFit="1" customWidth="1"/>
    <col min="15" max="15" width="17.453125" style="35" bestFit="1" customWidth="1"/>
    <col min="16" max="16" width="7" style="35" bestFit="1" customWidth="1"/>
    <col min="17" max="17" width="8.7265625" style="35" bestFit="1" customWidth="1"/>
    <col min="18" max="18" width="4.453125" style="35" bestFit="1" customWidth="1"/>
    <col min="19" max="19" width="9" style="35" bestFit="1" customWidth="1"/>
    <col min="20" max="20" width="5.54296875" style="35" bestFit="1" customWidth="1"/>
    <col min="21" max="21" width="10.81640625" style="35" bestFit="1" customWidth="1"/>
    <col min="22" max="22" width="9.1796875" style="35"/>
    <col min="23" max="23" width="8.26953125" style="35" bestFit="1" customWidth="1"/>
    <col min="24" max="24" width="9.26953125" style="35" bestFit="1" customWidth="1"/>
    <col min="25" max="25" width="5.54296875" style="35" bestFit="1" customWidth="1"/>
    <col min="26" max="26" width="8.7265625" style="35" bestFit="1" customWidth="1"/>
    <col min="27" max="27" width="9.54296875" style="35" bestFit="1" customWidth="1"/>
    <col min="28" max="28" width="14.453125" style="35" bestFit="1" customWidth="1"/>
    <col min="29" max="29" width="5.26953125" style="35" bestFit="1" customWidth="1"/>
    <col min="30" max="30" width="11.453125" style="35" bestFit="1" customWidth="1"/>
    <col min="31" max="31" width="6.1796875" style="35" bestFit="1" customWidth="1"/>
    <col min="32" max="32" width="12.81640625" style="35" bestFit="1" customWidth="1"/>
    <col min="33" max="33" width="25.26953125" style="35" bestFit="1" customWidth="1"/>
    <col min="34" max="34" width="26" style="35" bestFit="1" customWidth="1"/>
    <col min="35" max="35" width="10.7265625" style="35" bestFit="1" customWidth="1"/>
    <col min="36" max="36" width="11.26953125" style="35" bestFit="1" customWidth="1"/>
    <col min="37" max="37" width="15" style="35" bestFit="1" customWidth="1"/>
    <col min="38" max="38" width="21.54296875" style="35" bestFit="1" customWidth="1"/>
    <col min="39" max="39" width="17.54296875" style="35" bestFit="1" customWidth="1"/>
    <col min="40" max="40" width="8.54296875" style="35" bestFit="1" customWidth="1"/>
    <col min="41" max="41" width="12.7265625" style="35" bestFit="1" customWidth="1"/>
    <col min="42" max="42" width="6.26953125" style="35" bestFit="1" customWidth="1"/>
    <col min="43" max="43" width="10.81640625" style="35" bestFit="1" customWidth="1"/>
    <col min="44" max="44" width="16" style="35" bestFit="1" customWidth="1"/>
    <col min="45" max="45" width="27" style="35" bestFit="1" customWidth="1"/>
    <col min="46" max="46" width="21.1796875" style="35" bestFit="1" customWidth="1"/>
    <col min="47" max="47" width="19" style="35" bestFit="1" customWidth="1"/>
    <col min="48" max="48" width="20.453125" style="35" bestFit="1" customWidth="1"/>
    <col min="49" max="49" width="16.7265625" style="35" bestFit="1" customWidth="1"/>
    <col min="50" max="50" width="18.26953125" style="35" bestFit="1" customWidth="1"/>
    <col min="51" max="51" width="14.1796875" style="35" bestFit="1" customWidth="1"/>
    <col min="52" max="52" width="14.453125" style="35" bestFit="1" customWidth="1"/>
    <col min="53" max="53" width="11.81640625" style="35" bestFit="1" customWidth="1"/>
    <col min="54" max="54" width="22.81640625" style="34" bestFit="1" customWidth="1"/>
    <col min="55" max="55" width="26.7265625" style="35" bestFit="1" customWidth="1"/>
    <col min="56" max="56" width="8.7265625" style="35" bestFit="1" customWidth="1"/>
    <col min="57" max="57" width="15.7265625" style="35" bestFit="1" customWidth="1"/>
    <col min="58" max="59" width="15.54296875" style="35" bestFit="1" customWidth="1"/>
    <col min="60" max="16384" width="9.1796875" style="35"/>
  </cols>
  <sheetData>
    <row r="1" spans="1:60" s="33" customFormat="1" x14ac:dyDescent="0.35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5</v>
      </c>
      <c r="G1" s="33" t="s">
        <v>6</v>
      </c>
      <c r="H1" s="33" t="s">
        <v>7</v>
      </c>
      <c r="I1" s="52" t="s">
        <v>8</v>
      </c>
      <c r="J1" s="52" t="s">
        <v>9</v>
      </c>
      <c r="K1" s="52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3" t="s">
        <v>19</v>
      </c>
      <c r="U1" s="34" t="s">
        <v>20</v>
      </c>
      <c r="V1" s="35" t="s">
        <v>21</v>
      </c>
      <c r="W1" s="35" t="s">
        <v>22</v>
      </c>
      <c r="X1" s="34" t="s">
        <v>23</v>
      </c>
      <c r="Y1" s="34" t="s">
        <v>24</v>
      </c>
      <c r="Z1" s="34" t="s">
        <v>25</v>
      </c>
      <c r="AA1" s="33" t="s">
        <v>26</v>
      </c>
      <c r="AB1" s="33" t="s">
        <v>27</v>
      </c>
      <c r="AC1" s="33" t="s">
        <v>28</v>
      </c>
      <c r="AD1" s="33" t="s">
        <v>29</v>
      </c>
      <c r="AE1" s="33" t="s">
        <v>30</v>
      </c>
      <c r="AF1" s="33" t="s">
        <v>31</v>
      </c>
      <c r="AG1" s="35" t="s">
        <v>32</v>
      </c>
      <c r="AH1" s="33" t="s">
        <v>3835</v>
      </c>
      <c r="AI1" s="33" t="s">
        <v>33</v>
      </c>
      <c r="AJ1" s="34" t="s">
        <v>34</v>
      </c>
      <c r="AK1" s="33" t="s">
        <v>35</v>
      </c>
      <c r="AL1" s="33" t="s">
        <v>36</v>
      </c>
      <c r="AM1" s="35" t="s">
        <v>3833</v>
      </c>
      <c r="AN1" s="33" t="s">
        <v>3834</v>
      </c>
      <c r="AO1" s="33" t="s">
        <v>3836</v>
      </c>
      <c r="AP1" s="33" t="s">
        <v>3837</v>
      </c>
      <c r="AQ1" s="33" t="s">
        <v>37</v>
      </c>
      <c r="AR1" s="33" t="s">
        <v>38</v>
      </c>
      <c r="AS1" s="33" t="s">
        <v>3781</v>
      </c>
      <c r="AT1" s="33" t="s">
        <v>40</v>
      </c>
      <c r="AU1" s="33" t="s">
        <v>41</v>
      </c>
      <c r="AV1" s="33" t="s">
        <v>42</v>
      </c>
      <c r="AW1" s="33" t="s">
        <v>43</v>
      </c>
      <c r="AX1" s="33" t="s">
        <v>44</v>
      </c>
      <c r="AY1" s="33" t="s">
        <v>673</v>
      </c>
      <c r="AZ1" s="33" t="s">
        <v>3779</v>
      </c>
      <c r="BA1" s="33" t="s">
        <v>3780</v>
      </c>
      <c r="BB1" s="34" t="s">
        <v>3782</v>
      </c>
      <c r="BC1" s="33" t="s">
        <v>3783</v>
      </c>
      <c r="BD1" s="33" t="s">
        <v>3855</v>
      </c>
      <c r="BE1" s="33" t="s">
        <v>3918</v>
      </c>
      <c r="BF1" s="33" t="s">
        <v>3977</v>
      </c>
      <c r="BG1" s="33" t="s">
        <v>3976</v>
      </c>
      <c r="BH1" s="33" t="s">
        <v>3983</v>
      </c>
    </row>
    <row r="2" spans="1:60" s="33" customFormat="1" x14ac:dyDescent="0.35">
      <c r="A2" s="33" t="str">
        <f>'Dados - Cliente'!A2</f>
        <v>Teste 1</v>
      </c>
      <c r="B2" s="33">
        <f>'Dados - Cliente'!B2</f>
        <v>123456</v>
      </c>
      <c r="C2" s="33" t="str">
        <f>'Dados - Cliente'!C2</f>
        <v>COMERCIAL</v>
      </c>
      <c r="D2" s="33" t="str">
        <f>'Dados - Cliente'!D2</f>
        <v>RUA Teste</v>
      </c>
      <c r="E2" s="33">
        <f>'Dados - Cliente'!E2</f>
        <v>0</v>
      </c>
      <c r="F2" s="33">
        <f>'Dados - Cliente'!F2</f>
        <v>79000000</v>
      </c>
      <c r="G2" s="33" t="str">
        <f>'Dados - Cliente'!G2</f>
        <v>CENTRO</v>
      </c>
      <c r="H2" s="33" t="str">
        <f>'Dados - Cliente'!H2</f>
        <v>CAMPO GRANDE</v>
      </c>
      <c r="I2" s="75" t="s">
        <v>4313</v>
      </c>
      <c r="J2" s="52" t="s">
        <v>4314</v>
      </c>
      <c r="K2" s="52" t="s">
        <v>4314</v>
      </c>
      <c r="L2" s="33">
        <f>'Dados - Cliente'!I2</f>
        <v>12345678900</v>
      </c>
      <c r="M2" s="33">
        <f>'Dados - Cliente'!K2</f>
        <v>10</v>
      </c>
      <c r="N2" s="33" t="str">
        <f>'Dados - Cliente'!L2</f>
        <v>127/220</v>
      </c>
      <c r="O2" s="33" t="str">
        <f>'Dados - Cliente'!M2</f>
        <v>BIFASICO</v>
      </c>
      <c r="P2" s="33" t="str">
        <f>'Dados - Cliente'!N2</f>
        <v>AEREO</v>
      </c>
      <c r="Q2" s="33" t="str">
        <f>'Dados - Cliente'!O2</f>
        <v>SIM</v>
      </c>
      <c r="R2" s="33" t="str">
        <f>'Dados - Cliente'!P2</f>
        <v>40</v>
      </c>
      <c r="S2" s="33" t="str">
        <f>'Dados - Cliente'!Q2</f>
        <v>0</v>
      </c>
      <c r="T2" s="33" t="str">
        <f>'Dados - Cliente'!R2</f>
        <v>21K</v>
      </c>
      <c r="U2" s="34">
        <f>'Dados - Cliente'!S2</f>
        <v>690000</v>
      </c>
      <c r="V2" s="35">
        <f>'Dados - Cliente'!T2</f>
        <v>7600000</v>
      </c>
      <c r="W2" s="35" t="str">
        <f>'Dados - Cliente'!U2</f>
        <v>Baixa</v>
      </c>
      <c r="X2" s="34">
        <f>'Dados - Cliente'!V2</f>
        <v>0</v>
      </c>
      <c r="Y2" s="34" t="str">
        <f>'Dados - Cliente'!W2</f>
        <v>2023</v>
      </c>
      <c r="Z2" s="34" t="str">
        <f>'Dados - Cliente'!X2</f>
        <v>URBANO</v>
      </c>
      <c r="AA2" s="33">
        <f>AI2*AF2</f>
        <v>10.62</v>
      </c>
      <c r="AB2" s="33" t="str">
        <f>'Dados - Cliente'!Y2</f>
        <v>1</v>
      </c>
      <c r="AC2" s="33">
        <f>'Dados - Cliente'!Z2</f>
        <v>10</v>
      </c>
      <c r="AD2" s="33">
        <f>'Dados - Cliente'!AA2</f>
        <v>10</v>
      </c>
      <c r="AE2" s="33">
        <f>'Dados - Cliente'!AB2</f>
        <v>10</v>
      </c>
      <c r="AF2" s="33">
        <f>'Dados - Cliente'!AC2</f>
        <v>18</v>
      </c>
      <c r="AG2" s="35" t="str">
        <f>'Dados - Cliente'!AD2</f>
        <v>1112 - DHM-72X10 550W</v>
      </c>
      <c r="AH2" s="33" t="str">
        <f>INDEX('Dados - Placas'!$A:$A,MATCH('1'!AG2,'Dados - Placas'!$D:$D,0))</f>
        <v>DAH SOLAR</v>
      </c>
      <c r="AI2" s="33">
        <v>0.59</v>
      </c>
      <c r="AJ2" s="34" t="s">
        <v>3784</v>
      </c>
      <c r="AK2" s="33" t="str">
        <f>'Dados - Cliente'!AE2</f>
        <v>1</v>
      </c>
      <c r="AL2" s="33" t="str">
        <f>'Dados - Cliente'!AF2</f>
        <v>367 - 8000MTL-S</v>
      </c>
      <c r="AM2" s="35" t="str">
        <f>INDEX('Dados - Inversores'!$A:$A,MATCH('1'!AL2,'Dados - Inversores'!$C:$C,0))</f>
        <v>GROWATT</v>
      </c>
      <c r="AN2" s="33">
        <v>30</v>
      </c>
      <c r="AO2" s="33">
        <f>AA2*1.25/(0.22*SQRT(INDEX('Dados - Inversores'!AK:AK,MATCH('1'!AL2,'Dados - Inversores'!C:C,0))))</f>
        <v>60.340909090909086</v>
      </c>
      <c r="AP2" s="33">
        <f>INDEX(Dados!$E$2:$E$33,COUNTIF(Dados!$E$2:$E$33,"&lt;="&amp;AN2*1.25/(0.22*SQRT(3)))+1)</f>
        <v>100</v>
      </c>
      <c r="AQ2" s="33" t="s">
        <v>59</v>
      </c>
      <c r="AR2" s="33" t="str">
        <f>IF((AN2*AK2)&gt;10,"Mini","Micro")</f>
        <v>Mini</v>
      </c>
      <c r="AS2" s="33" t="str">
        <f>'Dados - Cliente'!AH2</f>
        <v>0</v>
      </c>
      <c r="AT2" s="33">
        <f>'Dados - Cliente'!AI2</f>
        <v>0</v>
      </c>
      <c r="AU2" s="33">
        <f>INDEX('Dados - Placas'!$N:$N,MATCH('1'!AG2,'Dados - Placas'!$D:$D,0))-1</f>
        <v>15</v>
      </c>
      <c r="AV2" s="33">
        <f>INDEX('Dados - Placas'!$O:$O,MATCH('1'!AG2,'Dados - Placas'!$D:$D,0))-1</f>
        <v>61</v>
      </c>
      <c r="AW2" s="33">
        <f>INDEX('Dados - Inversores'!AM:AM,MATCH('1'!AL2,'Dados - Inversores'!$C:$C,0))-1</f>
        <v>18</v>
      </c>
      <c r="AX2" s="33">
        <f>INDEX('Dados - Inversores'!AN:AN,MATCH('1'!AL2,'Dados - Inversores'!$C:$C,0))-1</f>
        <v>28</v>
      </c>
      <c r="AY2" s="33">
        <f>MATCH('1'!H2,Dados!$D$89:$D$167,0)+1</f>
        <v>2</v>
      </c>
      <c r="AZ2" s="33">
        <f>MATCH('1'!N2,'Dados - Solicitação de acesso'!$N$2:$N$8,0)</f>
        <v>2</v>
      </c>
      <c r="BA2" s="33">
        <f>MATCH('1'!T2,'Dados - Solicitação de acesso'!$T$2:$T$20,0)</f>
        <v>4</v>
      </c>
      <c r="BB2" s="34"/>
      <c r="BC2" s="33">
        <f>MATCH(AT2,'Dados - Solicitação de acesso'!$AT$2:$AT$28,0)</f>
        <v>1</v>
      </c>
      <c r="BD2" s="33">
        <f>IF(O2="TRIFASICO",INDEX(Dados!G:G,MATCH('1'!AP2,Dados!E:E,0)),IF(O2="BIFASICO",INDEX(Dados!F:F,MATCH('1'!AP2,Dados!E:E,0),)))</f>
        <v>25</v>
      </c>
      <c r="BE2" s="33" t="str">
        <f>'Dados - Cliente'!J2</f>
        <v>1320240000000</v>
      </c>
      <c r="BF2" s="34">
        <f>INDEX(Dados!$E$2:$E$33,COUNTIF(Dados!$E$2:$E$33,"&lt;="&amp;AA3*1.25/(AK3*0.22*SQRT(INDEX('Dados - Inversores'!AK:AK,MATCH('1'!AL3,'Dados - Inversores'!C:C,0)))))+1)</f>
        <v>2</v>
      </c>
      <c r="BG2" s="34">
        <f>IF(O2="TRIFASICO",INDEX(Dados!G:G,MATCH(BF2,Dados!E:E,0)),IF(O2="BIFASICO",INDEX(Dados!F:F,MATCH(BF2,Dados!E:E,0),)))</f>
        <v>4</v>
      </c>
    </row>
    <row r="3" spans="1:60" s="33" customFormat="1" x14ac:dyDescent="0.35">
      <c r="A3" s="33">
        <f>'Dados - Cliente'!A3</f>
        <v>0</v>
      </c>
      <c r="B3" s="33">
        <f>'Dados - Cliente'!B3</f>
        <v>0</v>
      </c>
      <c r="C3" s="33">
        <f>'Dados - Cliente'!C3</f>
        <v>0</v>
      </c>
      <c r="D3" s="33">
        <f>'Dados - Cliente'!D3</f>
        <v>0</v>
      </c>
      <c r="E3" s="33">
        <f>'Dados - Cliente'!E3</f>
        <v>0</v>
      </c>
      <c r="F3" s="33">
        <f>'Dados - Cliente'!F3</f>
        <v>0</v>
      </c>
      <c r="G3" s="33">
        <f>'Dados - Cliente'!G3</f>
        <v>0</v>
      </c>
      <c r="H3" s="33">
        <f>'Dados - Cliente'!H3</f>
        <v>0</v>
      </c>
      <c r="I3" s="75" t="s">
        <v>4313</v>
      </c>
      <c r="J3" s="52" t="s">
        <v>4314</v>
      </c>
      <c r="K3" s="52" t="s">
        <v>4314</v>
      </c>
      <c r="L3" s="33">
        <f>'Dados - Cliente'!I3</f>
        <v>0</v>
      </c>
      <c r="M3" s="33">
        <f>'Dados - Cliente'!K3</f>
        <v>0</v>
      </c>
      <c r="N3" s="33">
        <f>'Dados - Cliente'!L3</f>
        <v>0</v>
      </c>
      <c r="O3" s="33">
        <f>'Dados - Cliente'!M3</f>
        <v>0</v>
      </c>
      <c r="P3" s="33">
        <f>'Dados - Cliente'!N3</f>
        <v>0</v>
      </c>
      <c r="Q3" s="33">
        <f>'Dados - Cliente'!O3</f>
        <v>0</v>
      </c>
      <c r="R3" s="33">
        <f>'Dados - Cliente'!P3</f>
        <v>0</v>
      </c>
      <c r="S3" s="33">
        <f>'Dados - Cliente'!Q3</f>
        <v>0</v>
      </c>
      <c r="T3" s="33">
        <f>'Dados - Cliente'!R3</f>
        <v>0</v>
      </c>
      <c r="U3" s="34">
        <f>'Dados - Cliente'!S3</f>
        <v>0</v>
      </c>
      <c r="V3" s="34">
        <f>'Dados - Cliente'!T3</f>
        <v>0</v>
      </c>
      <c r="W3" s="34">
        <f>'Dados - Cliente'!U3</f>
        <v>0</v>
      </c>
      <c r="X3" s="34">
        <f>'Dados - Cliente'!V3</f>
        <v>0</v>
      </c>
      <c r="Y3" s="34">
        <f>'Dados - Cliente'!W3</f>
        <v>0</v>
      </c>
      <c r="Z3" s="34">
        <f>'Dados - Cliente'!X3</f>
        <v>0</v>
      </c>
      <c r="AA3" s="33" t="e">
        <f t="shared" ref="AA3" si="0">AI3*AF3</f>
        <v>#N/A</v>
      </c>
      <c r="AB3" s="33">
        <f>'Dados - Cliente'!Y3</f>
        <v>0</v>
      </c>
      <c r="AC3" s="33">
        <f>'Dados - Cliente'!Z3</f>
        <v>0</v>
      </c>
      <c r="AD3" s="33">
        <f>'Dados - Cliente'!AA3</f>
        <v>0</v>
      </c>
      <c r="AE3" s="33">
        <f>'Dados - Cliente'!AB3</f>
        <v>0</v>
      </c>
      <c r="AF3" s="33">
        <f>'Dados - Cliente'!AC3</f>
        <v>0</v>
      </c>
      <c r="AG3" s="35">
        <f>'Dados - Cliente'!AD3</f>
        <v>0</v>
      </c>
      <c r="AH3" s="33" t="e">
        <f>INDEX('Dados - Placas'!$A:$A,MATCH('1'!AG3,'Dados - Placas'!$D:$D,0))</f>
        <v>#N/A</v>
      </c>
      <c r="AI3" s="35" t="e">
        <f>INDEX('Dados - Placas'!$E:$E,MATCH('1'!AG3,'Dados - Placas'!$D:$D,0))</f>
        <v>#N/A</v>
      </c>
      <c r="AJ3" s="34" t="e">
        <f>INDEX('Dados - Placas'!$F:$F,MATCH('1'!AG3,'Dados - Placas'!$D:$D,0))*AF3</f>
        <v>#N/A</v>
      </c>
      <c r="AK3" s="33">
        <f>'Dados - Cliente'!AE3</f>
        <v>0</v>
      </c>
      <c r="AL3" s="33">
        <f>'Dados - Cliente'!AF3</f>
        <v>0</v>
      </c>
      <c r="AM3" s="36" t="e">
        <f>INDEX('Dados - Inversores'!$A:$A,MATCH('1'!AL3,'Dados - Inversores'!$C:$C,0))</f>
        <v>#N/A</v>
      </c>
      <c r="AN3" s="33">
        <f>'Dados - Cliente'!AG3</f>
        <v>0</v>
      </c>
      <c r="AO3" s="33" t="e">
        <f>AA3*1.25/(0.22*SQRT(INDEX('Dados - Inversores'!AK:AK,MATCH('1'!AL3,'Dados - Inversores'!C:C,0))))</f>
        <v>#N/A</v>
      </c>
      <c r="AP3" s="34">
        <f>INDEX(Dados!$E$2:$E$33,COUNTIF(Dados!$E$2:$E$33,"&lt;="&amp;AN3*1.25/(AK3*INDEX('Dados - Inversores'!AL:AL,MATCH('1'!AL3,'Dados - Inversores'!C:C,0))*SQRT(INDEX('Dados - Inversores'!AK:AK,MATCH('1'!AL3,'Dados - Inversores'!C:C,0)))))+1)</f>
        <v>2</v>
      </c>
      <c r="AQ3" s="33" t="s">
        <v>59</v>
      </c>
      <c r="AR3" s="33" t="str">
        <f>IF((AN3*AK3)&gt;10,"Mini","Micro")</f>
        <v>Micro</v>
      </c>
      <c r="AS3" s="33">
        <f>'Dados - Cliente'!AH3</f>
        <v>0</v>
      </c>
      <c r="AT3" s="33">
        <f>'Dados - Cliente'!AI3</f>
        <v>0</v>
      </c>
      <c r="AU3" s="33" t="e">
        <f>INDEX('Dados - Placas'!$N:$N,MATCH('1'!AG3,'Dados - Placas'!$D:$D,0))-1</f>
        <v>#N/A</v>
      </c>
      <c r="AV3" s="33" t="e">
        <f>INDEX('Dados - Placas'!$O:$O,MATCH('1'!AG3,'Dados - Placas'!$D:$D,0))</f>
        <v>#N/A</v>
      </c>
      <c r="AW3" s="33" t="e">
        <f>INDEX('Dados - Inversores'!AM:AM,MATCH('1'!AL3,'Dados - Inversores'!$C:$C,0))-1</f>
        <v>#N/A</v>
      </c>
      <c r="AX3" s="33" t="e">
        <f>INDEX('Dados - Inversores'!AN:AN,MATCH('1'!AL3,'Dados - Inversores'!$C:$C,0))-1</f>
        <v>#N/A</v>
      </c>
      <c r="AY3" s="33" t="e">
        <f>MATCH('1'!H3,Dados!$D$89:$D$167,0)+1</f>
        <v>#N/A</v>
      </c>
      <c r="AZ3" s="33" t="e">
        <f>MATCH('1'!N3,'Dados - Solicitação de acesso'!$N$2:$N$8,0)</f>
        <v>#N/A</v>
      </c>
      <c r="BA3" s="33" t="e">
        <f>MATCH('1'!T3,'Dados - Solicitação de acesso'!$T$2:$T$20,0)</f>
        <v>#N/A</v>
      </c>
      <c r="BB3" s="34"/>
      <c r="BC3" s="33">
        <f>MATCH(AT3,'Dados - Solicitação de acesso'!$AT$2:$AT$28,0)</f>
        <v>1</v>
      </c>
      <c r="BD3" s="33" t="b">
        <f>IF(O3="TRIFASICO",INDEX(Dados!G:G,MATCH('1'!AP3,Dados!E:E,0)),IF(O3="BIFASICO",INDEX(Dados!F:F,MATCH('1'!AP3,Dados!E:E,0),)))</f>
        <v>0</v>
      </c>
      <c r="BE3" s="33">
        <f>'Dados - Cliente'!J3</f>
        <v>0</v>
      </c>
      <c r="BF3" s="34">
        <f>INDEX(Dados!$E$2:$E$33,COUNTIF(Dados!$E$2:$E$33,"&lt;="&amp;AN3*1.25/(0.22*SQRT(INDEX('Dados - Inversores'!AK:AK,MATCH('1'!AL3,'Dados - Inversores'!C:C,0)))))+1)</f>
        <v>2</v>
      </c>
      <c r="BG3" s="34" t="b">
        <f>IF(O3="TRIFASICO",INDEX(Dados!G:G,MATCH(BF3,Dados!E:E,0)),IF(O3="BIFASICO",INDEX(Dados!F:F,MATCH(BF3,Dados!E:E,0),)))</f>
        <v>0</v>
      </c>
    </row>
    <row r="4" spans="1:60" s="33" customFormat="1" x14ac:dyDescent="0.35">
      <c r="A4" s="33">
        <f>'Dados - Cliente'!A4</f>
        <v>0</v>
      </c>
      <c r="B4" s="33">
        <f>'Dados - Cliente'!B4</f>
        <v>0</v>
      </c>
      <c r="C4" s="33">
        <f>'Dados - Cliente'!C4</f>
        <v>0</v>
      </c>
      <c r="D4" s="33">
        <f>'Dados - Cliente'!D4</f>
        <v>0</v>
      </c>
      <c r="E4" s="33">
        <f>'Dados - Cliente'!E4</f>
        <v>0</v>
      </c>
      <c r="F4" s="33">
        <f>'Dados - Cliente'!F4</f>
        <v>0</v>
      </c>
      <c r="G4" s="33">
        <f>'Dados - Cliente'!G4</f>
        <v>0</v>
      </c>
      <c r="H4" s="33">
        <f>'Dados - Cliente'!H4</f>
        <v>0</v>
      </c>
      <c r="I4" s="75" t="s">
        <v>4313</v>
      </c>
      <c r="J4" s="52" t="s">
        <v>4314</v>
      </c>
      <c r="K4" s="52" t="s">
        <v>4314</v>
      </c>
      <c r="L4" s="33">
        <f>'Dados - Cliente'!I4</f>
        <v>0</v>
      </c>
      <c r="M4" s="33">
        <f>'Dados - Cliente'!K4</f>
        <v>0</v>
      </c>
      <c r="N4" s="33">
        <f>'Dados - Cliente'!L4</f>
        <v>0</v>
      </c>
      <c r="O4" s="33">
        <f>'Dados - Cliente'!M4</f>
        <v>0</v>
      </c>
      <c r="P4" s="33">
        <f>'Dados - Cliente'!N4</f>
        <v>0</v>
      </c>
      <c r="Q4" s="33">
        <f>'Dados - Cliente'!O4</f>
        <v>0</v>
      </c>
      <c r="R4" s="33">
        <f>'Dados - Cliente'!P4</f>
        <v>0</v>
      </c>
      <c r="S4" s="33">
        <f>'Dados - Cliente'!Q4</f>
        <v>0</v>
      </c>
      <c r="T4" s="33">
        <f>'Dados - Cliente'!R4</f>
        <v>0</v>
      </c>
      <c r="U4" s="34">
        <f>'Dados - Cliente'!S4</f>
        <v>0</v>
      </c>
      <c r="V4" s="35">
        <f>'Dados - Cliente'!T4</f>
        <v>0</v>
      </c>
      <c r="W4" s="35">
        <f>'Dados - Cliente'!U4</f>
        <v>0</v>
      </c>
      <c r="X4" s="34">
        <f>'Dados - Cliente'!V4</f>
        <v>0</v>
      </c>
      <c r="Y4" s="34">
        <f>'Dados - Cliente'!W4</f>
        <v>0</v>
      </c>
      <c r="Z4" s="34">
        <f>'Dados - Cliente'!X4</f>
        <v>0</v>
      </c>
      <c r="AA4" s="33" t="e">
        <f t="shared" ref="AA4:AA8" si="1">AI4*AF4</f>
        <v>#N/A</v>
      </c>
      <c r="AB4" s="33">
        <f>'Dados - Cliente'!Y4</f>
        <v>0</v>
      </c>
      <c r="AC4" s="33">
        <f>'Dados - Cliente'!Z4</f>
        <v>0</v>
      </c>
      <c r="AD4" s="33">
        <f>'Dados - Cliente'!AA4</f>
        <v>0</v>
      </c>
      <c r="AE4" s="33">
        <f>'Dados - Cliente'!AB4</f>
        <v>0</v>
      </c>
      <c r="AF4" s="33">
        <f>'Dados - Cliente'!AC4</f>
        <v>0</v>
      </c>
      <c r="AG4" s="35">
        <f>'Dados - Cliente'!AD4</f>
        <v>0</v>
      </c>
      <c r="AH4" s="33" t="e">
        <f>INDEX('Dados - Placas'!$A:$A,MATCH('1'!AG4,'Dados - Placas'!$D:$D,0))</f>
        <v>#N/A</v>
      </c>
      <c r="AI4" s="35" t="e">
        <f>INDEX('Dados - Placas'!$E:$E,MATCH('1'!AG4,'Dados - Placas'!$D:$D,0))</f>
        <v>#N/A</v>
      </c>
      <c r="AJ4" s="34" t="e">
        <f>INDEX('Dados - Placas'!$F:$F,MATCH('1'!AG4,'Dados - Placas'!$D:$D,0))*AF4</f>
        <v>#N/A</v>
      </c>
      <c r="AK4" s="33">
        <f>'Dados - Cliente'!AE4</f>
        <v>0</v>
      </c>
      <c r="AL4" s="33">
        <f>'Dados - Cliente'!AF4</f>
        <v>0</v>
      </c>
      <c r="AM4" s="35" t="e">
        <f>INDEX('Dados - Inversores'!$A:$A,MATCH('1'!AL4,'Dados - Inversores'!$C:$C,0))</f>
        <v>#N/A</v>
      </c>
      <c r="AN4" s="33">
        <f>'Dados - Cliente'!AG4</f>
        <v>0</v>
      </c>
      <c r="AO4" s="33" t="e">
        <f>AA4*1.25/(0.22*SQRT(INDEX('Dados - Inversores'!AK:AK,MATCH('1'!AL4,'Dados - Inversores'!C:C,0))))</f>
        <v>#N/A</v>
      </c>
      <c r="AP4" s="34">
        <f>INDEX(Dados!$E$2:$E$33,COUNTIF(Dados!$E$2:$E$33,"&lt;="&amp;AN4*1.25/(AK4*INDEX('Dados - Inversores'!AL:AL,MATCH('1'!AL4,'Dados - Inversores'!C:C,0))*SQRT(INDEX('Dados - Inversores'!AK:AK,MATCH('1'!AL4,'Dados - Inversores'!C:C,0)))))+1)</f>
        <v>2</v>
      </c>
      <c r="AQ4" s="33" t="s">
        <v>59</v>
      </c>
      <c r="AR4" s="33" t="str">
        <f>IF((AN4*AK4)&gt;10,"Mini","Micro")</f>
        <v>Micro</v>
      </c>
      <c r="AS4" s="33">
        <f>'Dados - Cliente'!AH4</f>
        <v>0</v>
      </c>
      <c r="AT4" s="33">
        <f>'Dados - Cliente'!AI4</f>
        <v>0</v>
      </c>
      <c r="AU4" s="33" t="e">
        <f>INDEX('Dados - Placas'!$N:$N,MATCH('1'!AG4,'Dados - Placas'!$D:$D,0))-1</f>
        <v>#N/A</v>
      </c>
      <c r="AV4" s="33" t="e">
        <f>INDEX('Dados - Placas'!$O:$O,MATCH('1'!AG4,'Dados - Placas'!$D:$D,0))</f>
        <v>#N/A</v>
      </c>
      <c r="AW4" s="33" t="e">
        <f>INDEX('Dados - Inversores'!AM:AM,MATCH('1'!AL4,'Dados - Inversores'!$C:$C,0))-1</f>
        <v>#N/A</v>
      </c>
      <c r="AX4" s="33" t="e">
        <f>INDEX('Dados - Inversores'!AN:AN,MATCH('1'!AL4,'Dados - Inversores'!$C:$C,0))-1</f>
        <v>#N/A</v>
      </c>
      <c r="AY4" s="33" t="e">
        <f>MATCH('1'!H4,Dados!$D$89:$D$167,0)+1</f>
        <v>#N/A</v>
      </c>
      <c r="AZ4" s="33" t="e">
        <f>MATCH('1'!N4,'Dados - Solicitação de acesso'!$N$2:$N$8,0)</f>
        <v>#N/A</v>
      </c>
      <c r="BA4" s="33" t="e">
        <f>MATCH('1'!T4,'Dados - Solicitação de acesso'!$T$2:$T$20,0)</f>
        <v>#N/A</v>
      </c>
      <c r="BB4" s="33" t="e">
        <f>AN4*1.25/(AK4*INDEX('Dados - Inversores'!AL:AL,MATCH('1'!AL4,'Dados - Inversores'!C:C,0))*SQRT(INDEX('Dados - Inversores'!AK:AK,MATCH('1'!AL4,'Dados - Inversores'!C:C,0))))</f>
        <v>#N/A</v>
      </c>
      <c r="BC4" s="33">
        <f>MATCH(AT4,'Dados - Solicitação de acesso'!$AT$2:$AT$28,0)</f>
        <v>1</v>
      </c>
      <c r="BD4" s="33" t="b">
        <f>IF(O4="TRIFASICO",INDEX(Dados!G:G,MATCH('1'!AP4,Dados!E:E,0)),IF(O4="BIFASICO",INDEX(Dados!F:F,MATCH('1'!AP4,Dados!E:E,0),)))</f>
        <v>0</v>
      </c>
      <c r="BE4" s="33">
        <f>'Dados - Cliente'!J4</f>
        <v>0</v>
      </c>
      <c r="BF4" s="34">
        <f>INDEX(Dados!$E$2:$E$33,COUNTIF(Dados!$E$2:$E$33,"&lt;="&amp;AN4*1.25/(0.22*SQRT(INDEX('Dados - Inversores'!AK:AK,MATCH('1'!AL4,'Dados - Inversores'!C:C,0)))))+1)</f>
        <v>2</v>
      </c>
      <c r="BG4" s="34" t="b">
        <f>IF(O4="TRIFASICO",INDEX(Dados!G:G,MATCH(BF4,Dados!E:E,0)),IF(O4="BIFASICO",INDEX(Dados!F:F,MATCH(BF4,Dados!E:E,0),)))</f>
        <v>0</v>
      </c>
    </row>
    <row r="5" spans="1:60" s="33" customFormat="1" x14ac:dyDescent="0.35">
      <c r="A5" s="33">
        <f>'Dados - Cliente'!A5</f>
        <v>0</v>
      </c>
      <c r="B5" s="33">
        <f>'Dados - Cliente'!B5</f>
        <v>0</v>
      </c>
      <c r="C5" s="33">
        <f>'Dados - Cliente'!C5</f>
        <v>0</v>
      </c>
      <c r="D5" s="33">
        <f>'Dados - Cliente'!D5</f>
        <v>0</v>
      </c>
      <c r="E5" s="33">
        <f>'Dados - Cliente'!E5</f>
        <v>0</v>
      </c>
      <c r="F5" s="33">
        <f>'Dados - Cliente'!F5</f>
        <v>0</v>
      </c>
      <c r="G5" s="33">
        <f>'Dados - Cliente'!G5</f>
        <v>0</v>
      </c>
      <c r="H5" s="33">
        <f>'Dados - Cliente'!H5</f>
        <v>0</v>
      </c>
      <c r="I5" s="75" t="s">
        <v>4313</v>
      </c>
      <c r="J5" s="52" t="s">
        <v>4314</v>
      </c>
      <c r="K5" s="52" t="s">
        <v>4314</v>
      </c>
      <c r="L5" s="33">
        <f>'Dados - Cliente'!I5</f>
        <v>0</v>
      </c>
      <c r="M5" s="33">
        <f>'Dados - Cliente'!K5</f>
        <v>0</v>
      </c>
      <c r="N5" s="33">
        <f>'Dados - Cliente'!L5</f>
        <v>0</v>
      </c>
      <c r="O5" s="33">
        <f>'Dados - Cliente'!M5</f>
        <v>0</v>
      </c>
      <c r="P5" s="33">
        <f>'Dados - Cliente'!N5</f>
        <v>0</v>
      </c>
      <c r="Q5" s="33">
        <f>'Dados - Cliente'!O5</f>
        <v>0</v>
      </c>
      <c r="R5" s="33">
        <f>'Dados - Cliente'!P5</f>
        <v>0</v>
      </c>
      <c r="S5" s="33">
        <f>'Dados - Cliente'!Q5</f>
        <v>0</v>
      </c>
      <c r="T5" s="33">
        <f>'Dados - Cliente'!R5</f>
        <v>0</v>
      </c>
      <c r="U5" s="34">
        <f>'Dados - Cliente'!S5</f>
        <v>0</v>
      </c>
      <c r="V5" s="34">
        <f>'Dados - Cliente'!T5</f>
        <v>0</v>
      </c>
      <c r="W5" s="34">
        <f>'Dados - Cliente'!U5</f>
        <v>0</v>
      </c>
      <c r="X5" s="34">
        <f>'Dados - Cliente'!V5</f>
        <v>0</v>
      </c>
      <c r="Y5" s="34">
        <f>'Dados - Cliente'!W5</f>
        <v>0</v>
      </c>
      <c r="Z5" s="34">
        <f>'Dados - Cliente'!X5</f>
        <v>0</v>
      </c>
      <c r="AA5" s="33" t="e">
        <f t="shared" si="1"/>
        <v>#N/A</v>
      </c>
      <c r="AB5" s="33">
        <f>'Dados - Cliente'!Y5</f>
        <v>0</v>
      </c>
      <c r="AC5" s="33">
        <f>'Dados - Cliente'!Z5</f>
        <v>0</v>
      </c>
      <c r="AD5" s="33">
        <f>'Dados - Cliente'!AA5</f>
        <v>0</v>
      </c>
      <c r="AE5" s="33">
        <f>'Dados - Cliente'!AB5</f>
        <v>0</v>
      </c>
      <c r="AF5" s="33">
        <f>'Dados - Cliente'!AC5</f>
        <v>0</v>
      </c>
      <c r="AG5" s="35">
        <f>'Dados - Cliente'!AD5</f>
        <v>0</v>
      </c>
      <c r="AH5" s="33" t="e">
        <f>INDEX('Dados - Placas'!$A:$A,MATCH('1'!AG5,'Dados - Placas'!$D:$D,0))</f>
        <v>#N/A</v>
      </c>
      <c r="AI5" s="35" t="e">
        <f>INDEX('Dados - Placas'!$E:$E,MATCH('1'!AG5,'Dados - Placas'!$D:$D,0))</f>
        <v>#N/A</v>
      </c>
      <c r="AJ5" s="34" t="e">
        <f>INDEX('Dados - Placas'!$F:$F,MATCH('1'!AG5,'Dados - Placas'!$D:$D,0))*AF5</f>
        <v>#N/A</v>
      </c>
      <c r="AK5" s="33">
        <f>'Dados - Cliente'!AE5</f>
        <v>0</v>
      </c>
      <c r="AL5" s="33">
        <f>'Dados - Cliente'!AF5</f>
        <v>0</v>
      </c>
      <c r="AM5" s="35" t="e">
        <f>INDEX('Dados - Inversores'!$A:$A,MATCH('1'!AL5,'Dados - Inversores'!$C:$C,0))</f>
        <v>#N/A</v>
      </c>
      <c r="AN5" s="33">
        <f>'Dados - Cliente'!AG5</f>
        <v>0</v>
      </c>
      <c r="AO5" s="33" t="e">
        <f>AA5*1.25/(0.22*SQRT(INDEX('Dados - Inversores'!AK:AK,MATCH('1'!AL5,'Dados - Inversores'!C:C,0))))</f>
        <v>#N/A</v>
      </c>
      <c r="AP5" s="34">
        <f>INDEX(Dados!$E$2:$E$33,COUNTIF(Dados!$E$2:$E$33,"&lt;="&amp;AN5*1.25/(AK5*INDEX('Dados - Inversores'!AL:AL,MATCH('1'!AL5,'Dados - Inversores'!C:C,0))*SQRT(INDEX('Dados - Inversores'!AK:AK,MATCH('1'!AL5,'Dados - Inversores'!C:C,0)))))+1)</f>
        <v>2</v>
      </c>
      <c r="AQ5" s="33" t="s">
        <v>59</v>
      </c>
      <c r="AR5" s="33" t="str">
        <f t="shared" ref="AR5:AR8" si="2">IF((AN5*AK5)&gt;10,"Mini","Micro")</f>
        <v>Micro</v>
      </c>
      <c r="AS5" s="33">
        <f>'Dados - Cliente'!AH5</f>
        <v>0</v>
      </c>
      <c r="AT5" s="33">
        <f>'Dados - Cliente'!AI5</f>
        <v>0</v>
      </c>
      <c r="AU5" s="33" t="e">
        <f>INDEX('Dados - Placas'!$N:$N,MATCH('1'!AG5,'Dados - Placas'!$D:$D,0))-1</f>
        <v>#N/A</v>
      </c>
      <c r="AV5" s="33" t="e">
        <f>INDEX('Dados - Placas'!$O:$O,MATCH('1'!AG5,'Dados - Placas'!$D:$D,0))</f>
        <v>#N/A</v>
      </c>
      <c r="AW5" s="33" t="e">
        <f>INDEX('Dados - Inversores'!AM:AM,MATCH('1'!AL5,'Dados - Inversores'!$C:$C,0))-1</f>
        <v>#N/A</v>
      </c>
      <c r="AX5" s="33" t="e">
        <f>INDEX('Dados - Inversores'!AN:AN,MATCH('1'!AL5,'Dados - Inversores'!$C:$C,0))-1</f>
        <v>#N/A</v>
      </c>
      <c r="AY5" s="33" t="e">
        <f>MATCH('1'!H5,Dados!$D$89:$D$167,0)+1</f>
        <v>#N/A</v>
      </c>
      <c r="AZ5" s="33" t="e">
        <f>MATCH('1'!N5,'Dados - Solicitação de acesso'!$N$2:$N$8,0)</f>
        <v>#N/A</v>
      </c>
      <c r="BA5" s="33" t="e">
        <f>MATCH('1'!T5,'Dados - Solicitação de acesso'!$T$2:$T$20,0)</f>
        <v>#N/A</v>
      </c>
      <c r="BB5" s="34"/>
      <c r="BC5" s="33">
        <f>MATCH(AT5,'Dados - Solicitação de acesso'!$AT$2:$AT$28,0)</f>
        <v>1</v>
      </c>
      <c r="BD5" s="33" t="b">
        <f>IF(O5="TRIFASICO",INDEX(Dados!G:G,MATCH('1'!AP5,Dados!E:E,0)),IF(O5="BIFASICO",INDEX(Dados!F:F,MATCH('1'!AP5,Dados!E:E,0),)))</f>
        <v>0</v>
      </c>
      <c r="BE5" s="33">
        <f>'Dados - Cliente'!J5</f>
        <v>0</v>
      </c>
      <c r="BF5" s="34">
        <f>INDEX(Dados!$E$2:$E$33,COUNTIF(Dados!$E$2:$E$33,"&lt;="&amp;AN5*1.25/(0.22*SQRT(INDEX('Dados - Inversores'!AK:AK,MATCH('1'!AL5,'Dados - Inversores'!C:C,0)))))+1)</f>
        <v>2</v>
      </c>
      <c r="BG5" s="34" t="b">
        <f>IF(O5="TRIFASICO",INDEX(Dados!G:G,MATCH(BF5,Dados!E:E,0)),IF(O5="BIFASICO",INDEX(Dados!F:F,MATCH(BF5,Dados!E:E,0),)))</f>
        <v>0</v>
      </c>
    </row>
    <row r="6" spans="1:60" s="33" customFormat="1" x14ac:dyDescent="0.35">
      <c r="A6" s="33">
        <f>'Dados - Cliente'!A6</f>
        <v>0</v>
      </c>
      <c r="B6" s="33">
        <f>'Dados - Cliente'!B6</f>
        <v>0</v>
      </c>
      <c r="C6" s="33">
        <f>'Dados - Cliente'!C6</f>
        <v>0</v>
      </c>
      <c r="D6" s="33">
        <f>'Dados - Cliente'!D6</f>
        <v>0</v>
      </c>
      <c r="E6" s="33">
        <f>'Dados - Cliente'!E6</f>
        <v>0</v>
      </c>
      <c r="F6" s="33">
        <f>'Dados - Cliente'!F6</f>
        <v>0</v>
      </c>
      <c r="G6" s="33">
        <f>'Dados - Cliente'!G6</f>
        <v>0</v>
      </c>
      <c r="H6" s="33">
        <f>'Dados - Cliente'!H6</f>
        <v>0</v>
      </c>
      <c r="I6" s="75" t="s">
        <v>4313</v>
      </c>
      <c r="J6" s="52" t="s">
        <v>4314</v>
      </c>
      <c r="K6" s="52" t="s">
        <v>4314</v>
      </c>
      <c r="L6" s="33">
        <f>'Dados - Cliente'!I6</f>
        <v>0</v>
      </c>
      <c r="M6" s="33">
        <f>'Dados - Cliente'!K6</f>
        <v>0</v>
      </c>
      <c r="N6" s="33">
        <f>'Dados - Cliente'!L6</f>
        <v>0</v>
      </c>
      <c r="O6" s="33">
        <f>'Dados - Cliente'!M6</f>
        <v>0</v>
      </c>
      <c r="P6" s="33">
        <f>'Dados - Cliente'!N6</f>
        <v>0</v>
      </c>
      <c r="Q6" s="33">
        <f>'Dados - Cliente'!O6</f>
        <v>0</v>
      </c>
      <c r="R6" s="33">
        <f>'Dados - Cliente'!P6</f>
        <v>0</v>
      </c>
      <c r="S6" s="33">
        <f>'Dados - Cliente'!Q6</f>
        <v>0</v>
      </c>
      <c r="T6" s="33">
        <f>'Dados - Cliente'!R6</f>
        <v>0</v>
      </c>
      <c r="U6" s="34">
        <f>'Dados - Cliente'!S6</f>
        <v>0</v>
      </c>
      <c r="V6" s="34">
        <f>'Dados - Cliente'!T6</f>
        <v>0</v>
      </c>
      <c r="W6" s="34">
        <f>'Dados - Cliente'!U6</f>
        <v>0</v>
      </c>
      <c r="X6" s="34">
        <f>'Dados - Cliente'!V6</f>
        <v>0</v>
      </c>
      <c r="Y6" s="34">
        <f>'Dados - Cliente'!W6</f>
        <v>0</v>
      </c>
      <c r="Z6" s="34">
        <f>'Dados - Cliente'!X6</f>
        <v>0</v>
      </c>
      <c r="AA6" s="33" t="e">
        <f t="shared" si="1"/>
        <v>#N/A</v>
      </c>
      <c r="AB6" s="33">
        <f>'Dados - Cliente'!Y6</f>
        <v>0</v>
      </c>
      <c r="AC6" s="33">
        <f>'Dados - Cliente'!Z6</f>
        <v>0</v>
      </c>
      <c r="AD6" s="33">
        <f>'Dados - Cliente'!AA6</f>
        <v>0</v>
      </c>
      <c r="AE6" s="33">
        <f>'Dados - Cliente'!AB6</f>
        <v>0</v>
      </c>
      <c r="AF6" s="33">
        <f>'Dados - Cliente'!AC6</f>
        <v>0</v>
      </c>
      <c r="AG6" s="35">
        <f>'Dados - Cliente'!AD6</f>
        <v>0</v>
      </c>
      <c r="AH6" s="33" t="e">
        <f>INDEX('Dados - Placas'!$A:$A,MATCH('1'!AG6,'Dados - Placas'!$D:$D,0))</f>
        <v>#N/A</v>
      </c>
      <c r="AI6" s="35" t="e">
        <f>INDEX('Dados - Placas'!$E:$E,MATCH('1'!AG6,'Dados - Placas'!$D:$D,0))</f>
        <v>#N/A</v>
      </c>
      <c r="AJ6" s="34" t="e">
        <f>INDEX('Dados - Placas'!$F:$F,MATCH('1'!AG6,'Dados - Placas'!$D:$D,0))*AF6</f>
        <v>#N/A</v>
      </c>
      <c r="AK6" s="33">
        <f>'Dados - Cliente'!AE6</f>
        <v>0</v>
      </c>
      <c r="AL6" s="33">
        <f>'Dados - Cliente'!AF6</f>
        <v>0</v>
      </c>
      <c r="AM6" s="35" t="e">
        <f>INDEX('Dados - Inversores'!$A:$A,MATCH('1'!AL6,'Dados - Inversores'!$C:$C,0))</f>
        <v>#N/A</v>
      </c>
      <c r="AN6" s="33">
        <f>'Dados - Cliente'!AG6</f>
        <v>0</v>
      </c>
      <c r="AO6" s="33" t="e">
        <f>AA6*1.25/(0.22*SQRT(INDEX('Dados - Inversores'!AK:AK,MATCH('1'!AL6,'Dados - Inversores'!C:C,0))))</f>
        <v>#N/A</v>
      </c>
      <c r="AP6" s="34">
        <f>INDEX(Dados!$E$2:$E$33,COUNTIF(Dados!$E$2:$E$33,"&lt;="&amp;AN6*1.25/(AK6*INDEX('Dados - Inversores'!AL:AL,MATCH('1'!AL6,'Dados - Inversores'!C:C,0))*SQRT(INDEX('Dados - Inversores'!AK:AK,MATCH('1'!AL6,'Dados - Inversores'!C:C,0)))))+1)</f>
        <v>2</v>
      </c>
      <c r="AQ6" s="33" t="s">
        <v>59</v>
      </c>
      <c r="AR6" s="33" t="str">
        <f t="shared" si="2"/>
        <v>Micro</v>
      </c>
      <c r="AS6" s="33">
        <f>'Dados - Cliente'!AH6</f>
        <v>0</v>
      </c>
      <c r="AT6" s="33">
        <f>'Dados - Cliente'!AI6</f>
        <v>0</v>
      </c>
      <c r="AU6" s="33" t="e">
        <f>INDEX('Dados - Placas'!$N:$N,MATCH('1'!AG6,'Dados - Placas'!$D:$D,0))-1</f>
        <v>#N/A</v>
      </c>
      <c r="AV6" s="33" t="e">
        <f>INDEX('Dados - Placas'!$O:$O,MATCH('1'!AG6,'Dados - Placas'!$D:$D,0))</f>
        <v>#N/A</v>
      </c>
      <c r="AW6" s="33" t="e">
        <f>INDEX('Dados - Inversores'!AM:AM,MATCH('1'!AL6,'Dados - Inversores'!$C:$C,0))-1</f>
        <v>#N/A</v>
      </c>
      <c r="AX6" s="33" t="e">
        <f>INDEX('Dados - Inversores'!AN:AN,MATCH('1'!AL6,'Dados - Inversores'!$C:$C,0))-1</f>
        <v>#N/A</v>
      </c>
      <c r="AY6" s="33" t="e">
        <f>MATCH('1'!H6,Dados!$D$89:$D$167,0)+1</f>
        <v>#N/A</v>
      </c>
      <c r="AZ6" s="33" t="e">
        <f>MATCH('1'!N6,'Dados - Solicitação de acesso'!$N$2:$N$8,0)</f>
        <v>#N/A</v>
      </c>
      <c r="BA6" s="33" t="e">
        <f>MATCH('1'!T6,'Dados - Solicitação de acesso'!$T$2:$T$20,0)</f>
        <v>#N/A</v>
      </c>
      <c r="BB6" s="34"/>
      <c r="BC6" s="33">
        <f>MATCH(AT6,'Dados - Solicitação de acesso'!$AT$2:$AT$28,0)</f>
        <v>1</v>
      </c>
      <c r="BD6" s="33" t="b">
        <f>IF(O6="TRIFASICO",INDEX(Dados!G:G,MATCH('1'!AP6,Dados!E:E,0)),IF(O6="BIFASICO",INDEX(Dados!F:F,MATCH('1'!AP6,Dados!E:E,0),)))</f>
        <v>0</v>
      </c>
      <c r="BE6" s="33">
        <f>'Dados - Cliente'!J6</f>
        <v>0</v>
      </c>
      <c r="BF6" s="34">
        <f>INDEX(Dados!$E$2:$E$33,COUNTIF(Dados!$E$2:$E$33,"&lt;="&amp;AN6*1.25/(0.22*SQRT(INDEX('Dados - Inversores'!AK:AK,MATCH('1'!AL6,'Dados - Inversores'!C:C,0)))))+1)</f>
        <v>2</v>
      </c>
      <c r="BG6" s="34" t="b">
        <f>IF(O6="TRIFASICO",INDEX(Dados!G:G,MATCH(BF6,Dados!E:E,0)),IF(O6="BIFASICO",INDEX(Dados!F:F,MATCH(BF6,Dados!E:E,0),)))</f>
        <v>0</v>
      </c>
    </row>
    <row r="7" spans="1:60" s="33" customFormat="1" x14ac:dyDescent="0.35">
      <c r="A7" s="33">
        <f>'Dados - Cliente'!A7</f>
        <v>0</v>
      </c>
      <c r="B7" s="33">
        <f>'Dados - Cliente'!B7</f>
        <v>0</v>
      </c>
      <c r="C7" s="33">
        <f>'Dados - Cliente'!C7</f>
        <v>0</v>
      </c>
      <c r="D7" s="33">
        <f>'Dados - Cliente'!D7</f>
        <v>0</v>
      </c>
      <c r="E7" s="33">
        <f>'Dados - Cliente'!E7</f>
        <v>0</v>
      </c>
      <c r="F7" s="33">
        <f>'Dados - Cliente'!F7</f>
        <v>0</v>
      </c>
      <c r="G7" s="33">
        <f>'Dados - Cliente'!G7</f>
        <v>0</v>
      </c>
      <c r="H7" s="33">
        <f>'Dados - Cliente'!H7</f>
        <v>0</v>
      </c>
      <c r="I7" s="75" t="s">
        <v>4313</v>
      </c>
      <c r="J7" s="52" t="s">
        <v>4314</v>
      </c>
      <c r="K7" s="52" t="s">
        <v>4314</v>
      </c>
      <c r="L7" s="33">
        <f>'Dados - Cliente'!I7</f>
        <v>0</v>
      </c>
      <c r="M7" s="33">
        <f>'Dados - Cliente'!K7</f>
        <v>0</v>
      </c>
      <c r="N7" s="33">
        <f>'Dados - Cliente'!L7</f>
        <v>0</v>
      </c>
      <c r="O7" s="33">
        <f>'Dados - Cliente'!M7</f>
        <v>0</v>
      </c>
      <c r="P7" s="33">
        <f>'Dados - Cliente'!N7</f>
        <v>0</v>
      </c>
      <c r="Q7" s="33">
        <f>'Dados - Cliente'!O7</f>
        <v>0</v>
      </c>
      <c r="R7" s="33">
        <f>'Dados - Cliente'!P7</f>
        <v>0</v>
      </c>
      <c r="S7" s="33">
        <f>'Dados - Cliente'!Q7</f>
        <v>0</v>
      </c>
      <c r="T7" s="33">
        <f>'Dados - Cliente'!R7</f>
        <v>0</v>
      </c>
      <c r="U7" s="34">
        <f>'Dados - Cliente'!S7</f>
        <v>0</v>
      </c>
      <c r="V7" s="34">
        <f>'Dados - Cliente'!T7</f>
        <v>0</v>
      </c>
      <c r="W7" s="34">
        <f>'Dados - Cliente'!U7</f>
        <v>0</v>
      </c>
      <c r="X7" s="34">
        <f>'Dados - Cliente'!V7</f>
        <v>0</v>
      </c>
      <c r="Y7" s="34">
        <f>'Dados - Cliente'!W7</f>
        <v>0</v>
      </c>
      <c r="Z7" s="34">
        <f>'Dados - Cliente'!X7</f>
        <v>0</v>
      </c>
      <c r="AA7" s="33" t="e">
        <f t="shared" si="1"/>
        <v>#N/A</v>
      </c>
      <c r="AB7" s="33">
        <f>'Dados - Cliente'!Y7</f>
        <v>0</v>
      </c>
      <c r="AC7" s="33">
        <f>'Dados - Cliente'!Z7</f>
        <v>0</v>
      </c>
      <c r="AD7" s="33">
        <f>'Dados - Cliente'!AA7</f>
        <v>0</v>
      </c>
      <c r="AE7" s="33">
        <f>'Dados - Cliente'!AB7</f>
        <v>0</v>
      </c>
      <c r="AF7" s="33">
        <f>'Dados - Cliente'!AC7</f>
        <v>0</v>
      </c>
      <c r="AG7" s="35">
        <f>'Dados - Cliente'!AD7</f>
        <v>0</v>
      </c>
      <c r="AH7" s="33" t="e">
        <f>INDEX('Dados - Placas'!$A:$A,MATCH('1'!AG7,'Dados - Placas'!$D:$D,0))</f>
        <v>#N/A</v>
      </c>
      <c r="AI7" s="35" t="e">
        <f>INDEX('Dados - Placas'!$E:$E,MATCH('1'!AG7,'Dados - Placas'!$D:$D,0))</f>
        <v>#N/A</v>
      </c>
      <c r="AJ7" s="34" t="e">
        <f>INDEX('Dados - Placas'!$F:$F,MATCH('1'!AG7,'Dados - Placas'!$D:$D,0))*AF7</f>
        <v>#N/A</v>
      </c>
      <c r="AK7" s="33">
        <f>'Dados - Cliente'!AE7</f>
        <v>0</v>
      </c>
      <c r="AL7" s="33">
        <f>'Dados - Cliente'!AF7</f>
        <v>0</v>
      </c>
      <c r="AM7" s="35" t="e">
        <f>INDEX('Dados - Inversores'!$A:$A,MATCH('1'!AL7,'Dados - Inversores'!$C:$C,0))</f>
        <v>#N/A</v>
      </c>
      <c r="AN7" s="33">
        <f>'Dados - Cliente'!AG7</f>
        <v>0</v>
      </c>
      <c r="AO7" s="33" t="e">
        <f>AA7*1.25/(0.22*SQRT(INDEX('Dados - Inversores'!AK:AK,MATCH('1'!AL7,'Dados - Inversores'!C:C,0))))</f>
        <v>#N/A</v>
      </c>
      <c r="AP7" s="34">
        <f>INDEX(Dados!$E$2:$E$33,COUNTIF(Dados!$E$2:$E$33,"&lt;="&amp;AN7*1.25/(AK7*INDEX('Dados - Inversores'!AL:AL,MATCH('1'!AL7,'Dados - Inversores'!C:C,0))*SQRT(INDEX('Dados - Inversores'!AK:AK,MATCH('1'!AL7,'Dados - Inversores'!C:C,0)))))+1)</f>
        <v>2</v>
      </c>
      <c r="AQ7" s="33" t="s">
        <v>59</v>
      </c>
      <c r="AR7" s="33" t="str">
        <f t="shared" si="2"/>
        <v>Micro</v>
      </c>
      <c r="AS7" s="33">
        <f>'Dados - Cliente'!AH7</f>
        <v>0</v>
      </c>
      <c r="AT7" s="33">
        <f>'Dados - Cliente'!AI7</f>
        <v>0</v>
      </c>
      <c r="AU7" s="33" t="e">
        <f>INDEX('Dados - Placas'!$N:$N,MATCH('1'!AG7,'Dados - Placas'!$D:$D,0))-1</f>
        <v>#N/A</v>
      </c>
      <c r="AV7" s="33" t="e">
        <f>INDEX('Dados - Placas'!$O:$O,MATCH('1'!AG7,'Dados - Placas'!$D:$D,0))</f>
        <v>#N/A</v>
      </c>
      <c r="AW7" s="33" t="e">
        <f>INDEX('Dados - Inversores'!AM:AM,MATCH('1'!AL7,'Dados - Inversores'!$C:$C,0))-1</f>
        <v>#N/A</v>
      </c>
      <c r="AX7" s="33" t="e">
        <f>INDEX('Dados - Inversores'!AN:AN,MATCH('1'!AL7,'Dados - Inversores'!$C:$C,0))-1</f>
        <v>#N/A</v>
      </c>
      <c r="AY7" s="33" t="e">
        <f>MATCH('1'!H7,Dados!$D$89:$D$167,0)+1</f>
        <v>#N/A</v>
      </c>
      <c r="AZ7" s="33" t="e">
        <f>MATCH('1'!N7,'Dados - Solicitação de acesso'!$N$2:$N$8,0)</f>
        <v>#N/A</v>
      </c>
      <c r="BA7" s="33" t="e">
        <f>MATCH('1'!T7,'Dados - Solicitação de acesso'!$T$2:$T$20,0)</f>
        <v>#N/A</v>
      </c>
      <c r="BB7" s="34"/>
      <c r="BC7" s="33">
        <f>MATCH(AT7,'Dados - Solicitação de acesso'!$AT$2:$AT$28,0)</f>
        <v>1</v>
      </c>
      <c r="BD7" s="33" t="b">
        <f>IF(O7="TRIFASICO",INDEX(Dados!G:G,MATCH('1'!AP7,Dados!E:E,0)),IF(O7="BIFASICO",INDEX(Dados!F:F,MATCH('1'!AP7,Dados!E:E,0),)))</f>
        <v>0</v>
      </c>
      <c r="BE7" s="33">
        <f>'Dados - Cliente'!J7</f>
        <v>0</v>
      </c>
      <c r="BF7" s="34">
        <f>INDEX(Dados!$E$2:$E$33,COUNTIF(Dados!$E$2:$E$33,"&lt;="&amp;AN7*1.25/(0.22*SQRT(INDEX('Dados - Inversores'!AK:AK,MATCH('1'!AL7,'Dados - Inversores'!C:C,0)))))+1)</f>
        <v>2</v>
      </c>
      <c r="BG7" s="34" t="b">
        <f>IF(O7="TRIFASICO",INDEX(Dados!G:G,MATCH(BF7,Dados!E:E,0)),IF(O7="BIFASICO",INDEX(Dados!F:F,MATCH(BF7,Dados!E:E,0),)))</f>
        <v>0</v>
      </c>
    </row>
    <row r="8" spans="1:60" s="33" customFormat="1" x14ac:dyDescent="0.35">
      <c r="A8" s="33">
        <f>'Dados - Cliente'!A8</f>
        <v>0</v>
      </c>
      <c r="B8" s="33">
        <f>'Dados - Cliente'!B8</f>
        <v>0</v>
      </c>
      <c r="C8" s="33">
        <f>'Dados - Cliente'!C8</f>
        <v>0</v>
      </c>
      <c r="D8" s="33">
        <f>'Dados - Cliente'!D8</f>
        <v>0</v>
      </c>
      <c r="E8" s="33">
        <f>'Dados - Cliente'!E8</f>
        <v>0</v>
      </c>
      <c r="F8" s="33">
        <f>'Dados - Cliente'!F8</f>
        <v>0</v>
      </c>
      <c r="G8" s="33">
        <f>'Dados - Cliente'!G8</f>
        <v>0</v>
      </c>
      <c r="H8" s="33">
        <f>'Dados - Cliente'!H8</f>
        <v>0</v>
      </c>
      <c r="I8" s="75" t="s">
        <v>4313</v>
      </c>
      <c r="J8" s="52" t="s">
        <v>4314</v>
      </c>
      <c r="K8" s="52" t="s">
        <v>4314</v>
      </c>
      <c r="L8" s="33">
        <f>'Dados - Cliente'!I8</f>
        <v>0</v>
      </c>
      <c r="M8" s="33">
        <f>'Dados - Cliente'!K8</f>
        <v>0</v>
      </c>
      <c r="N8" s="33">
        <f>'Dados - Cliente'!L8</f>
        <v>0</v>
      </c>
      <c r="O8" s="33">
        <f>'Dados - Cliente'!M8</f>
        <v>0</v>
      </c>
      <c r="P8" s="33">
        <f>'Dados - Cliente'!N8</f>
        <v>0</v>
      </c>
      <c r="Q8" s="33">
        <f>'Dados - Cliente'!O8</f>
        <v>0</v>
      </c>
      <c r="R8" s="33">
        <f>'Dados - Cliente'!P8</f>
        <v>0</v>
      </c>
      <c r="S8" s="33">
        <f>'Dados - Cliente'!Q8</f>
        <v>0</v>
      </c>
      <c r="T8" s="33">
        <f>'Dados - Cliente'!R8</f>
        <v>0</v>
      </c>
      <c r="U8" s="34">
        <f>'Dados - Cliente'!S8</f>
        <v>0</v>
      </c>
      <c r="V8" s="34">
        <f>'Dados - Cliente'!T8</f>
        <v>0</v>
      </c>
      <c r="W8" s="34">
        <f>'Dados - Cliente'!U8</f>
        <v>0</v>
      </c>
      <c r="X8" s="34">
        <f>'Dados - Cliente'!V8</f>
        <v>0</v>
      </c>
      <c r="Y8" s="34">
        <f>'Dados - Cliente'!W8</f>
        <v>0</v>
      </c>
      <c r="Z8" s="34">
        <f>'Dados - Cliente'!X8</f>
        <v>0</v>
      </c>
      <c r="AA8" s="33" t="e">
        <f t="shared" si="1"/>
        <v>#N/A</v>
      </c>
      <c r="AB8" s="33">
        <f>'Dados - Cliente'!Y8</f>
        <v>0</v>
      </c>
      <c r="AC8" s="33">
        <f>'Dados - Cliente'!Z8</f>
        <v>0</v>
      </c>
      <c r="AD8" s="33">
        <f>'Dados - Cliente'!AA8</f>
        <v>0</v>
      </c>
      <c r="AE8" s="33">
        <f>'Dados - Cliente'!AB8</f>
        <v>0</v>
      </c>
      <c r="AF8" s="33">
        <f>'Dados - Cliente'!AC8</f>
        <v>0</v>
      </c>
      <c r="AG8" s="35">
        <f>'Dados - Cliente'!AD8</f>
        <v>0</v>
      </c>
      <c r="AH8" s="33" t="e">
        <f>INDEX('Dados - Placas'!$A:$A,MATCH('1'!AG8,'Dados - Placas'!$D:$D,0))</f>
        <v>#N/A</v>
      </c>
      <c r="AI8" s="35" t="e">
        <f>INDEX('Dados - Placas'!$E:$E,MATCH('1'!AG8,'Dados - Placas'!$D:$D,0))</f>
        <v>#N/A</v>
      </c>
      <c r="AJ8" s="34" t="e">
        <f>INDEX('Dados - Placas'!$F:$F,MATCH('1'!AG8,'Dados - Placas'!$D:$D,0))*AF8</f>
        <v>#N/A</v>
      </c>
      <c r="AK8" s="33">
        <f>'Dados - Cliente'!AE8</f>
        <v>0</v>
      </c>
      <c r="AL8" s="33">
        <f>'Dados - Cliente'!AF8</f>
        <v>0</v>
      </c>
      <c r="AM8" s="35" t="e">
        <f>INDEX('Dados - Inversores'!$A:$A,MATCH('1'!AL8,'Dados - Inversores'!$C:$C,0))</f>
        <v>#N/A</v>
      </c>
      <c r="AN8" s="33">
        <f>'Dados - Cliente'!AG8</f>
        <v>0</v>
      </c>
      <c r="AO8" s="33" t="e">
        <f>AA8*1.25/(0.22*SQRT(INDEX('Dados - Inversores'!AK:AK,MATCH('1'!AL8,'Dados - Inversores'!C:C,0))))</f>
        <v>#N/A</v>
      </c>
      <c r="AP8" s="34">
        <f>INDEX(Dados!$E$2:$E$33,COUNTIF(Dados!$E$2:$E$33,"&lt;="&amp;AN8*1.25/(INDEX('Dados - Inversores'!AL:AL,MATCH('1'!AL8,'Dados - Inversores'!C:C,0))*SQRT(INDEX('Dados - Inversores'!AK:AK,MATCH('1'!AL8,'Dados - Inversores'!C:C,0)))))+1)</f>
        <v>2</v>
      </c>
      <c r="AQ8" s="33" t="s">
        <v>59</v>
      </c>
      <c r="AR8" s="33" t="str">
        <f t="shared" si="2"/>
        <v>Micro</v>
      </c>
      <c r="AS8" s="33">
        <f>'Dados - Cliente'!AH8</f>
        <v>0</v>
      </c>
      <c r="AT8" s="33">
        <f>'Dados - Cliente'!AI8</f>
        <v>0</v>
      </c>
      <c r="AU8" s="33" t="e">
        <f>INDEX('Dados - Placas'!$N:$N,MATCH('1'!AG8,'Dados - Placas'!$D:$D,0))-1</f>
        <v>#N/A</v>
      </c>
      <c r="AV8" s="33" t="e">
        <f>INDEX('Dados - Placas'!$O:$O,MATCH('1'!AG8,'Dados - Placas'!$D:$D,0))</f>
        <v>#N/A</v>
      </c>
      <c r="AW8" s="33" t="e">
        <f>INDEX('Dados - Inversores'!AM:AM,MATCH('1'!AL8,'Dados - Inversores'!$C:$C,0))-1</f>
        <v>#N/A</v>
      </c>
      <c r="AX8" s="33" t="e">
        <f>INDEX('Dados - Inversores'!AN:AN,MATCH('1'!AL8,'Dados - Inversores'!$C:$C,0))-1</f>
        <v>#N/A</v>
      </c>
      <c r="AY8" s="33" t="e">
        <f>MATCH('1'!H8,Dados!$D$89:$D$167,0)+1</f>
        <v>#N/A</v>
      </c>
      <c r="AZ8" s="33" t="e">
        <f>MATCH('1'!N8,'Dados - Solicitação de acesso'!$N$2:$N$8,0)</f>
        <v>#N/A</v>
      </c>
      <c r="BA8" s="33" t="e">
        <f>MATCH('1'!T8,'Dados - Solicitação de acesso'!$T$2:$T$20,0)</f>
        <v>#N/A</v>
      </c>
      <c r="BB8" s="34"/>
      <c r="BC8" s="33">
        <f>MATCH(AT8,'Dados - Solicitação de acesso'!$AT$2:$AT$28,0)</f>
        <v>1</v>
      </c>
      <c r="BD8" s="33" t="b">
        <f>IF(O8="TRIFASICO",INDEX(Dados!G:G,MATCH('1'!AP8,Dados!E:E,0)),IF(O8="BIFASICO",INDEX(Dados!F:F,MATCH('1'!AP8,Dados!E:E,0),)))</f>
        <v>0</v>
      </c>
      <c r="BE8" s="33">
        <f>'Dados - Cliente'!J8</f>
        <v>0</v>
      </c>
      <c r="BF8" s="34">
        <f>INDEX(Dados!$E$2:$E$33,COUNTIF(Dados!$E$2:$E$33,"&lt;="&amp;AN8*1.25*AK8/(0.22*SQRT(INDEX('Dados - Inversores'!AK:AK,MATCH('1'!AL8,'Dados - Inversores'!C:C,0)))))+1)</f>
        <v>2</v>
      </c>
      <c r="BG8" s="34" t="b">
        <f>IF(O8="TRIFASICO",INDEX(Dados!G:G,MATCH(BF8,Dados!E:E,0)),IF(O8="BIFASICO",INDEX(Dados!F:F,MATCH(BF8,Dados!E:E,0),)))</f>
        <v>0</v>
      </c>
    </row>
    <row r="9" spans="1:60" s="33" customFormat="1" x14ac:dyDescent="0.35">
      <c r="A9" s="33">
        <f>'Dados - Cliente'!A9</f>
        <v>0</v>
      </c>
      <c r="B9" s="33">
        <f>'Dados - Cliente'!B9</f>
        <v>0</v>
      </c>
      <c r="C9" s="33">
        <f>'Dados - Cliente'!C9</f>
        <v>0</v>
      </c>
      <c r="D9" s="33">
        <f>'Dados - Cliente'!D9</f>
        <v>0</v>
      </c>
      <c r="E9" s="33">
        <f>'Dados - Cliente'!E9</f>
        <v>0</v>
      </c>
      <c r="F9" s="33">
        <f>'Dados - Cliente'!F9</f>
        <v>0</v>
      </c>
      <c r="G9" s="33">
        <f>'Dados - Cliente'!G9</f>
        <v>0</v>
      </c>
      <c r="H9" s="33">
        <f>'Dados - Cliente'!H9</f>
        <v>0</v>
      </c>
      <c r="I9" s="75" t="s">
        <v>4313</v>
      </c>
      <c r="J9" s="52" t="s">
        <v>4314</v>
      </c>
      <c r="K9" s="52" t="s">
        <v>4314</v>
      </c>
      <c r="L9" s="33">
        <f>'Dados - Cliente'!I9</f>
        <v>0</v>
      </c>
      <c r="M9" s="33">
        <f>'Dados - Cliente'!K9</f>
        <v>0</v>
      </c>
      <c r="N9" s="33">
        <f>'Dados - Cliente'!L9</f>
        <v>0</v>
      </c>
      <c r="O9" s="33">
        <f>'Dados - Cliente'!M9</f>
        <v>0</v>
      </c>
      <c r="P9" s="33">
        <f>'Dados - Cliente'!N9</f>
        <v>0</v>
      </c>
      <c r="Q9" s="33">
        <f>'Dados - Cliente'!O9</f>
        <v>0</v>
      </c>
      <c r="R9" s="33">
        <f>'Dados - Cliente'!P9</f>
        <v>0</v>
      </c>
      <c r="S9" s="33">
        <f>'Dados - Cliente'!Q9</f>
        <v>0</v>
      </c>
      <c r="T9" s="33">
        <f>'Dados - Cliente'!R9</f>
        <v>0</v>
      </c>
      <c r="U9" s="34">
        <f>'Dados - Cliente'!S9</f>
        <v>0</v>
      </c>
      <c r="V9" s="34">
        <f>'Dados - Cliente'!T9</f>
        <v>0</v>
      </c>
      <c r="W9" s="34">
        <f>'Dados - Cliente'!U9</f>
        <v>0</v>
      </c>
      <c r="X9" s="34">
        <f>'Dados - Cliente'!V9</f>
        <v>0</v>
      </c>
      <c r="Y9" s="34">
        <f>'Dados - Cliente'!W9</f>
        <v>0</v>
      </c>
      <c r="Z9" s="34">
        <f>'Dados - Cliente'!X9</f>
        <v>0</v>
      </c>
      <c r="AA9" s="33" t="e">
        <f t="shared" ref="AA9:AA12" si="3">AI9*AF9</f>
        <v>#N/A</v>
      </c>
      <c r="AB9" s="33">
        <f>'Dados - Cliente'!Y9</f>
        <v>0</v>
      </c>
      <c r="AC9" s="33">
        <f>'Dados - Cliente'!Z9</f>
        <v>0</v>
      </c>
      <c r="AD9" s="33">
        <f>'Dados - Cliente'!AA9</f>
        <v>0</v>
      </c>
      <c r="AE9" s="33">
        <f>'Dados - Cliente'!AB9</f>
        <v>0</v>
      </c>
      <c r="AF9" s="33">
        <f>'Dados - Cliente'!AC9</f>
        <v>0</v>
      </c>
      <c r="AG9" s="35">
        <f>'Dados - Cliente'!AD9</f>
        <v>0</v>
      </c>
      <c r="AH9" s="33" t="e">
        <f>INDEX('Dados - Placas'!$A:$A,MATCH('1'!AG9,'Dados - Placas'!$D:$D,0))</f>
        <v>#N/A</v>
      </c>
      <c r="AI9" s="35" t="e">
        <f>INDEX('Dados - Placas'!$E:$E,MATCH('1'!AG9,'Dados - Placas'!$D:$D,0))</f>
        <v>#N/A</v>
      </c>
      <c r="AJ9" s="34" t="e">
        <f>INDEX('Dados - Placas'!$F:$F,MATCH('1'!AG9,'Dados - Placas'!$D:$D,0))*AF9</f>
        <v>#N/A</v>
      </c>
      <c r="AK9" s="33">
        <f>'Dados - Cliente'!AE9</f>
        <v>0</v>
      </c>
      <c r="AL9" s="33">
        <f>'Dados - Cliente'!AF9</f>
        <v>0</v>
      </c>
      <c r="AM9" s="35" t="e">
        <f>INDEX('Dados - Inversores'!$A:$A,MATCH('1'!AL9,'Dados - Inversores'!$C:$C,0))</f>
        <v>#N/A</v>
      </c>
      <c r="AN9" s="33">
        <f>'Dados - Cliente'!AG9</f>
        <v>0</v>
      </c>
      <c r="AO9" s="33" t="e">
        <f>AA9*1.25/(0.22*SQRT(INDEX('Dados - Inversores'!AK:AK,MATCH('1'!AL9,'Dados - Inversores'!C:C,0))))</f>
        <v>#N/A</v>
      </c>
      <c r="AP9" s="34">
        <f>INDEX(Dados!$E$2:$E$33,COUNTIF(Dados!$E$2:$E$33,"&lt;="&amp;AN9*1.25/(INDEX('Dados - Inversores'!AL:AL,MATCH('1'!AL9,'Dados - Inversores'!C:C,0))*SQRT(INDEX('Dados - Inversores'!AK:AK,MATCH('1'!AL9,'Dados - Inversores'!C:C,0)))))+1)</f>
        <v>2</v>
      </c>
      <c r="AQ9" s="33" t="s">
        <v>59</v>
      </c>
      <c r="AR9" s="33" t="str">
        <f t="shared" ref="AR9:AR12" si="4">IF((AN9*AK9)&gt;10,"Mini","Micro")</f>
        <v>Micro</v>
      </c>
      <c r="AS9" s="33">
        <f>'Dados - Cliente'!AH9</f>
        <v>0</v>
      </c>
      <c r="AT9" s="33">
        <f>'Dados - Cliente'!AI9</f>
        <v>0</v>
      </c>
      <c r="AU9" s="33" t="e">
        <f>INDEX('Dados - Placas'!$N:$N,MATCH('1'!AG9,'Dados - Placas'!$D:$D,0))-1</f>
        <v>#N/A</v>
      </c>
      <c r="AV9" s="33" t="e">
        <f>INDEX('Dados - Placas'!$O:$O,MATCH('1'!AG9,'Dados - Placas'!$D:$D,0))</f>
        <v>#N/A</v>
      </c>
      <c r="AW9" s="33" t="e">
        <f>INDEX('Dados - Inversores'!AM:AM,MATCH('1'!AL9,'Dados - Inversores'!$C:$C,0))-1</f>
        <v>#N/A</v>
      </c>
      <c r="AX9" s="33" t="e">
        <f>INDEX('Dados - Inversores'!AN:AN,MATCH('1'!AL9,'Dados - Inversores'!$C:$C,0))-1</f>
        <v>#N/A</v>
      </c>
      <c r="AY9" s="33" t="e">
        <f>MATCH('1'!H9,Dados!$D$89:$D$167,0)+1</f>
        <v>#N/A</v>
      </c>
      <c r="AZ9" s="33" t="e">
        <f>MATCH('1'!N9,'Dados - Solicitação de acesso'!$N$2:$N$8,0)</f>
        <v>#N/A</v>
      </c>
      <c r="BA9" s="33" t="e">
        <f>MATCH('1'!T9,'Dados - Solicitação de acesso'!$T$2:$T$20,0)</f>
        <v>#N/A</v>
      </c>
      <c r="BB9" s="34"/>
      <c r="BC9" s="33">
        <f>MATCH(AT9,'Dados - Solicitação de acesso'!$AT$2:$AT$28,0)</f>
        <v>1</v>
      </c>
      <c r="BD9" s="33" t="b">
        <f>IF(O9="TRIFASICO",INDEX(Dados!G:G,MATCH('1'!AP9,Dados!E:E,0)),IF(O9="BIFASICO",INDEX(Dados!F:F,MATCH('1'!AP9,Dados!E:E,0),)))</f>
        <v>0</v>
      </c>
      <c r="BE9" s="33">
        <f>'Dados - Cliente'!J9</f>
        <v>0</v>
      </c>
      <c r="BF9" s="34">
        <f>INDEX(Dados!$E$2:$E$33,COUNTIF(Dados!$E$2:$E$33,"&lt;="&amp;AN9*1.25*AK9/(0.22*SQRT(INDEX('Dados - Inversores'!AK:AK,MATCH('1'!AL9,'Dados - Inversores'!C:C,0)))))+1)</f>
        <v>2</v>
      </c>
      <c r="BG9" s="34" t="b">
        <f>IF(O9="TRIFASICO",INDEX(Dados!G:G,MATCH(BF9,Dados!E:E,0)),IF(O9="BIFASICO",INDEX(Dados!F:F,MATCH(BF9,Dados!E:E,0),)))</f>
        <v>0</v>
      </c>
    </row>
    <row r="10" spans="1:60" s="33" customFormat="1" x14ac:dyDescent="0.35">
      <c r="A10" s="33">
        <f>'Dados - Cliente'!A10</f>
        <v>0</v>
      </c>
      <c r="B10" s="33">
        <f>'Dados - Cliente'!B10</f>
        <v>0</v>
      </c>
      <c r="C10" s="33">
        <f>'Dados - Cliente'!C10</f>
        <v>0</v>
      </c>
      <c r="D10" s="33">
        <f>'Dados - Cliente'!D10</f>
        <v>0</v>
      </c>
      <c r="E10" s="33">
        <f>'Dados - Cliente'!E10</f>
        <v>0</v>
      </c>
      <c r="F10" s="33">
        <f>'Dados - Cliente'!F10</f>
        <v>0</v>
      </c>
      <c r="G10" s="33">
        <f>'Dados - Cliente'!G10</f>
        <v>0</v>
      </c>
      <c r="H10" s="33">
        <f>'Dados - Cliente'!H10</f>
        <v>0</v>
      </c>
      <c r="I10" s="75" t="s">
        <v>4313</v>
      </c>
      <c r="J10" s="52" t="s">
        <v>4314</v>
      </c>
      <c r="K10" s="52" t="s">
        <v>4314</v>
      </c>
      <c r="L10" s="33">
        <f>'Dados - Cliente'!I10</f>
        <v>0</v>
      </c>
      <c r="M10" s="33">
        <f>'Dados - Cliente'!K10</f>
        <v>0</v>
      </c>
      <c r="N10" s="33">
        <f>'Dados - Cliente'!L10</f>
        <v>0</v>
      </c>
      <c r="O10" s="33">
        <f>'Dados - Cliente'!M10</f>
        <v>0</v>
      </c>
      <c r="P10" s="33">
        <f>'Dados - Cliente'!N10</f>
        <v>0</v>
      </c>
      <c r="Q10" s="33">
        <f>'Dados - Cliente'!O10</f>
        <v>0</v>
      </c>
      <c r="R10" s="33">
        <f>'Dados - Cliente'!P10</f>
        <v>0</v>
      </c>
      <c r="S10" s="33">
        <f>'Dados - Cliente'!Q10</f>
        <v>0</v>
      </c>
      <c r="T10" s="33">
        <f>'Dados - Cliente'!R10</f>
        <v>0</v>
      </c>
      <c r="U10" s="34">
        <f>'Dados - Cliente'!S10</f>
        <v>0</v>
      </c>
      <c r="V10" s="34">
        <f>'Dados - Cliente'!T10</f>
        <v>0</v>
      </c>
      <c r="W10" s="34">
        <f>'Dados - Cliente'!U10</f>
        <v>0</v>
      </c>
      <c r="X10" s="34">
        <f>'Dados - Cliente'!V10</f>
        <v>0</v>
      </c>
      <c r="Y10" s="34">
        <f>'Dados - Cliente'!W10</f>
        <v>0</v>
      </c>
      <c r="Z10" s="34">
        <f>'Dados - Cliente'!X10</f>
        <v>0</v>
      </c>
      <c r="AA10" s="33" t="e">
        <f t="shared" si="3"/>
        <v>#N/A</v>
      </c>
      <c r="AB10" s="33">
        <f>'Dados - Cliente'!Y10</f>
        <v>0</v>
      </c>
      <c r="AC10" s="33">
        <f>'Dados - Cliente'!Z10</f>
        <v>0</v>
      </c>
      <c r="AD10" s="33">
        <f>'Dados - Cliente'!AA10</f>
        <v>0</v>
      </c>
      <c r="AE10" s="33">
        <f>'Dados - Cliente'!AB10</f>
        <v>0</v>
      </c>
      <c r="AF10" s="33">
        <f>'Dados - Cliente'!AC10</f>
        <v>0</v>
      </c>
      <c r="AG10" s="35">
        <f>'Dados - Cliente'!AD10</f>
        <v>0</v>
      </c>
      <c r="AH10" s="33" t="e">
        <f>INDEX('Dados - Placas'!$A:$A,MATCH('1'!AG10,'Dados - Placas'!$D:$D,0))</f>
        <v>#N/A</v>
      </c>
      <c r="AI10" s="35" t="e">
        <f>INDEX('Dados - Placas'!$E:$E,MATCH('1'!AG10,'Dados - Placas'!$D:$D,0))</f>
        <v>#N/A</v>
      </c>
      <c r="AJ10" s="34" t="e">
        <f>INDEX('Dados - Placas'!$F:$F,MATCH('1'!AG10,'Dados - Placas'!$D:$D,0))*AF10</f>
        <v>#N/A</v>
      </c>
      <c r="AK10" s="33">
        <f>'Dados - Cliente'!AE10</f>
        <v>0</v>
      </c>
      <c r="AL10" s="33">
        <f>'Dados - Cliente'!AF10</f>
        <v>0</v>
      </c>
      <c r="AM10" s="36" t="e">
        <f>INDEX('Dados - Inversores'!$A:$A,MATCH('1'!AL10,'Dados - Inversores'!$C:$C,0))</f>
        <v>#N/A</v>
      </c>
      <c r="AN10" s="33">
        <f>'Dados - Cliente'!AG10</f>
        <v>0</v>
      </c>
      <c r="AO10" s="33" t="e">
        <f>AA10*1.25/(0.22*SQRT(INDEX('Dados - Inversores'!AK:AK,MATCH('1'!AL10,'Dados - Inversores'!C:C,0))))</f>
        <v>#N/A</v>
      </c>
      <c r="AP10" s="34">
        <f>INDEX(Dados!$E$2:$E$33,COUNTIF(Dados!$E$2:$E$33,"&lt;="&amp;AN10*1.25/(INDEX('Dados - Inversores'!AL:AL,MATCH('1'!AL10,'Dados - Inversores'!C:C,0))*SQRT(INDEX('Dados - Inversores'!AK:AK,MATCH('1'!AL10,'Dados - Inversores'!C:C,0)))))+1)</f>
        <v>2</v>
      </c>
      <c r="AQ10" s="33" t="s">
        <v>59</v>
      </c>
      <c r="AR10" s="33" t="str">
        <f t="shared" si="4"/>
        <v>Micro</v>
      </c>
      <c r="AS10" s="33">
        <f>'Dados - Cliente'!AH10</f>
        <v>0</v>
      </c>
      <c r="AT10" s="33">
        <f>'Dados - Cliente'!AI10</f>
        <v>0</v>
      </c>
      <c r="AU10" s="33" t="e">
        <f>INDEX('Dados - Placas'!$N:$N,MATCH('1'!AG10,'Dados - Placas'!$D:$D,0))-1</f>
        <v>#N/A</v>
      </c>
      <c r="AV10" s="33" t="e">
        <f>INDEX('Dados - Placas'!$O:$O,MATCH('1'!AG10,'Dados - Placas'!$D:$D,0))</f>
        <v>#N/A</v>
      </c>
      <c r="AW10" s="33" t="e">
        <f>INDEX('Dados - Inversores'!AM:AM,MATCH('1'!AL10,'Dados - Inversores'!$C:$C,0))-1</f>
        <v>#N/A</v>
      </c>
      <c r="AX10" s="33" t="e">
        <f>INDEX('Dados - Inversores'!AN:AN,MATCH('1'!AL10,'Dados - Inversores'!$C:$C,0))-1</f>
        <v>#N/A</v>
      </c>
      <c r="AY10" s="33" t="e">
        <f>MATCH('1'!H10,Dados!$D$89:$D$167,0)+1</f>
        <v>#N/A</v>
      </c>
      <c r="AZ10" s="33" t="e">
        <f>MATCH('1'!N10,'Dados - Solicitação de acesso'!$N$2:$N$8,0)</f>
        <v>#N/A</v>
      </c>
      <c r="BA10" s="33" t="e">
        <f>MATCH('1'!T10,'Dados - Solicitação de acesso'!$T$2:$T$20,0)</f>
        <v>#N/A</v>
      </c>
      <c r="BB10" s="34"/>
      <c r="BC10" s="33">
        <f>MATCH(AT10,'Dados - Solicitação de acesso'!$AT$2:$AT$28,0)</f>
        <v>1</v>
      </c>
      <c r="BD10" s="33" t="b">
        <f>IF(O10="TRIFASICO",INDEX(Dados!G:G,MATCH('1'!AP10,Dados!E:E,0)),IF(O10="BIFASICO",INDEX(Dados!F:F,MATCH('1'!AP10,Dados!E:E,0),)))</f>
        <v>0</v>
      </c>
      <c r="BE10" s="33">
        <f>'Dados - Cliente'!J10</f>
        <v>0</v>
      </c>
      <c r="BF10" s="34">
        <f>INDEX(Dados!$E$2:$E$33,COUNTIF(Dados!$E$2:$E$33,"&lt;="&amp;AN10*1.25*AK10/(0.22*SQRT(INDEX('Dados - Inversores'!AK:AK,MATCH('1'!AL10,'Dados - Inversores'!C:C,0)))))+1)</f>
        <v>2</v>
      </c>
      <c r="BG10" s="34" t="b">
        <f>IF(O10="TRIFASICO",INDEX(Dados!G:G,MATCH(BF10,Dados!E:E,0)),IF(O10="BIFASICO",INDEX(Dados!F:F,MATCH(BF10,Dados!E:E,0),)))</f>
        <v>0</v>
      </c>
    </row>
    <row r="11" spans="1:60" s="33" customFormat="1" x14ac:dyDescent="0.35">
      <c r="A11" s="33">
        <f>'Dados - Cliente'!A11</f>
        <v>0</v>
      </c>
      <c r="B11" s="33">
        <f>'Dados - Cliente'!B11</f>
        <v>0</v>
      </c>
      <c r="C11" s="33">
        <f>'Dados - Cliente'!C11</f>
        <v>0</v>
      </c>
      <c r="D11" s="33">
        <f>'Dados - Cliente'!D11</f>
        <v>0</v>
      </c>
      <c r="E11" s="33">
        <f>'Dados - Cliente'!E11</f>
        <v>0</v>
      </c>
      <c r="F11" s="33">
        <f>'Dados - Cliente'!F11</f>
        <v>0</v>
      </c>
      <c r="G11" s="33">
        <f>'Dados - Cliente'!G11</f>
        <v>0</v>
      </c>
      <c r="H11" s="35">
        <f>'Dados - Cliente'!H11</f>
        <v>0</v>
      </c>
      <c r="I11" s="75" t="s">
        <v>4313</v>
      </c>
      <c r="J11" s="52" t="s">
        <v>4314</v>
      </c>
      <c r="K11" s="52" t="s">
        <v>4314</v>
      </c>
      <c r="L11" s="33">
        <f>'Dados - Cliente'!I11</f>
        <v>0</v>
      </c>
      <c r="M11" s="33">
        <f>'Dados - Cliente'!K11</f>
        <v>0</v>
      </c>
      <c r="N11" s="33">
        <f>'Dados - Cliente'!L11</f>
        <v>0</v>
      </c>
      <c r="O11" s="33">
        <f>'Dados - Cliente'!M11</f>
        <v>0</v>
      </c>
      <c r="P11" s="33">
        <f>'Dados - Cliente'!N11</f>
        <v>0</v>
      </c>
      <c r="Q11" s="33">
        <f>'Dados - Cliente'!O11</f>
        <v>0</v>
      </c>
      <c r="R11" s="33">
        <f>'Dados - Cliente'!P11</f>
        <v>0</v>
      </c>
      <c r="S11" s="33">
        <f>'Dados - Cliente'!Q11</f>
        <v>0</v>
      </c>
      <c r="T11" s="33">
        <f>'Dados - Cliente'!R11</f>
        <v>0</v>
      </c>
      <c r="U11" s="34">
        <f>'Dados - Cliente'!S11</f>
        <v>0</v>
      </c>
      <c r="V11" s="34">
        <f>'Dados - Cliente'!T11</f>
        <v>0</v>
      </c>
      <c r="W11" s="34">
        <f>'Dados - Cliente'!U11</f>
        <v>0</v>
      </c>
      <c r="X11" s="34">
        <f>'Dados - Cliente'!V11</f>
        <v>0</v>
      </c>
      <c r="Y11" s="34">
        <f>'Dados - Cliente'!W11</f>
        <v>0</v>
      </c>
      <c r="Z11" s="34">
        <f>'Dados - Cliente'!X11</f>
        <v>0</v>
      </c>
      <c r="AA11" s="33" t="e">
        <f t="shared" si="3"/>
        <v>#N/A</v>
      </c>
      <c r="AB11" s="33">
        <f>'Dados - Cliente'!Y11</f>
        <v>0</v>
      </c>
      <c r="AC11" s="33">
        <f>'Dados - Cliente'!Z11</f>
        <v>0</v>
      </c>
      <c r="AD11" s="33">
        <f>'Dados - Cliente'!AA11</f>
        <v>0</v>
      </c>
      <c r="AE11" s="33">
        <f>'Dados - Cliente'!AB11</f>
        <v>0</v>
      </c>
      <c r="AF11" s="33">
        <f>'Dados - Cliente'!AC11</f>
        <v>0</v>
      </c>
      <c r="AG11" s="35">
        <f>'Dados - Cliente'!AD11</f>
        <v>0</v>
      </c>
      <c r="AH11" s="33" t="e">
        <f>INDEX('Dados - Placas'!$A:$A,MATCH('1'!AG11,'Dados - Placas'!$D:$D,0))</f>
        <v>#N/A</v>
      </c>
      <c r="AI11" s="35" t="e">
        <f>INDEX('Dados - Placas'!$E:$E,MATCH('1'!AG11,'Dados - Placas'!$D:$D,0))</f>
        <v>#N/A</v>
      </c>
      <c r="AJ11" s="34" t="e">
        <f>INDEX('Dados - Placas'!$F:$F,MATCH('1'!AG11,'Dados - Placas'!$D:$D,0))*AF11</f>
        <v>#N/A</v>
      </c>
      <c r="AK11" s="33">
        <f>'Dados - Cliente'!AE11</f>
        <v>0</v>
      </c>
      <c r="AL11" s="33">
        <f>'Dados - Cliente'!AF11</f>
        <v>0</v>
      </c>
      <c r="AM11" s="36" t="e">
        <f>INDEX('Dados - Inversores'!$A:$A,MATCH('1'!AL11,'Dados - Inversores'!$C:$C,0))</f>
        <v>#N/A</v>
      </c>
      <c r="AN11" s="33">
        <f>'Dados - Cliente'!AG11</f>
        <v>0</v>
      </c>
      <c r="AO11" s="33" t="e">
        <f>AA11*1.25/(0.22*SQRT(INDEX('Dados - Inversores'!AK:AK,MATCH('1'!AL11,'Dados - Inversores'!C:C,0))))</f>
        <v>#N/A</v>
      </c>
      <c r="AP11" s="34">
        <f>INDEX(Dados!$E$2:$E$33,COUNTIF(Dados!$E$2:$E$33,"&lt;="&amp;AN11*1.25/(INDEX('Dados - Inversores'!AL:AL,MATCH('1'!AL11,'Dados - Inversores'!C:C,0))*SQRT(INDEX('Dados - Inversores'!AK:AK,MATCH('1'!AL11,'Dados - Inversores'!C:C,0)))))+1)</f>
        <v>2</v>
      </c>
      <c r="AQ11" s="33" t="s">
        <v>59</v>
      </c>
      <c r="AR11" s="33" t="str">
        <f t="shared" si="4"/>
        <v>Micro</v>
      </c>
      <c r="AS11" s="33">
        <f>'Dados - Cliente'!AH11</f>
        <v>0</v>
      </c>
      <c r="AT11" s="33">
        <f>'Dados - Cliente'!AI11</f>
        <v>0</v>
      </c>
      <c r="AU11" s="33" t="e">
        <f>INDEX('Dados - Placas'!$N:$N,MATCH('1'!AG11,'Dados - Placas'!$D:$D,0))-1</f>
        <v>#N/A</v>
      </c>
      <c r="AV11" s="33" t="e">
        <f>INDEX('Dados - Placas'!$O:$O,MATCH('1'!AG11,'Dados - Placas'!$D:$D,0))</f>
        <v>#N/A</v>
      </c>
      <c r="AW11" s="33" t="e">
        <f>INDEX('Dados - Inversores'!AM:AM,MATCH('1'!AL11,'Dados - Inversores'!$C:$C,0))-1</f>
        <v>#N/A</v>
      </c>
      <c r="AX11" s="33" t="e">
        <f>INDEX('Dados - Inversores'!AN:AN,MATCH('1'!AL11,'Dados - Inversores'!$C:$C,0))-1</f>
        <v>#N/A</v>
      </c>
      <c r="AY11" s="33" t="e">
        <f>MATCH('1'!H11,Dados!$D$89:$D$167,0)+1</f>
        <v>#N/A</v>
      </c>
      <c r="AZ11" s="33" t="e">
        <f>MATCH('1'!N11,'Dados - Solicitação de acesso'!$N$2:$N$8,0)</f>
        <v>#N/A</v>
      </c>
      <c r="BA11" s="33" t="e">
        <f>MATCH('1'!T11,'Dados - Solicitação de acesso'!$T$2:$T$20,0)</f>
        <v>#N/A</v>
      </c>
      <c r="BB11" s="34"/>
      <c r="BC11" s="33">
        <f>MATCH(AT11,'Dados - Solicitação de acesso'!$AT$2:$AT$28,0)</f>
        <v>1</v>
      </c>
      <c r="BD11" s="33" t="b">
        <f>IF(O11="TRIFASICO",INDEX(Dados!G:G,MATCH('1'!AP11,Dados!E:E,0)),IF(O11="BIFASICO",INDEX(Dados!F:F,MATCH('1'!AP11,Dados!E:E,0),)))</f>
        <v>0</v>
      </c>
      <c r="BE11" s="33">
        <f>'Dados - Cliente'!J11</f>
        <v>0</v>
      </c>
      <c r="BF11" s="34">
        <f>INDEX(Dados!$E$2:$E$33,COUNTIF(Dados!$E$2:$E$33,"&lt;="&amp;AN11*1.25*AK11/(0.22*SQRT(INDEX('Dados - Inversores'!AK:AK,MATCH('1'!AL11,'Dados - Inversores'!C:C,0)))))+1)</f>
        <v>2</v>
      </c>
      <c r="BG11" s="34" t="b">
        <f>IF(O11="TRIFASICO",INDEX(Dados!G:G,MATCH(BF11,Dados!E:E,0)),IF(O11="BIFASICO",INDEX(Dados!F:F,MATCH(BF11,Dados!E:E,0),)))</f>
        <v>0</v>
      </c>
    </row>
    <row r="12" spans="1:60" s="33" customFormat="1" x14ac:dyDescent="0.35">
      <c r="A12" s="33">
        <f>'Dados - Cliente'!A12</f>
        <v>0</v>
      </c>
      <c r="B12" s="33">
        <f>'Dados - Cliente'!B12</f>
        <v>0</v>
      </c>
      <c r="C12" s="33">
        <f>'Dados - Cliente'!C12</f>
        <v>0</v>
      </c>
      <c r="D12" s="33">
        <f>'Dados - Cliente'!D12</f>
        <v>0</v>
      </c>
      <c r="E12" s="33">
        <f>'Dados - Cliente'!E12</f>
        <v>0</v>
      </c>
      <c r="F12" s="33">
        <f>'Dados - Cliente'!F12</f>
        <v>0</v>
      </c>
      <c r="G12" s="33">
        <f>'Dados - Cliente'!G12</f>
        <v>0</v>
      </c>
      <c r="H12" s="33">
        <f>'Dados - Cliente'!H12</f>
        <v>0</v>
      </c>
      <c r="I12" s="75" t="s">
        <v>4313</v>
      </c>
      <c r="J12" s="52" t="s">
        <v>4314</v>
      </c>
      <c r="K12" s="52" t="s">
        <v>4314</v>
      </c>
      <c r="L12" s="33">
        <f>'Dados - Cliente'!I12</f>
        <v>0</v>
      </c>
      <c r="M12" s="33">
        <f>'Dados - Cliente'!K12</f>
        <v>0</v>
      </c>
      <c r="N12" s="33">
        <f>'Dados - Cliente'!L12</f>
        <v>0</v>
      </c>
      <c r="O12" s="33">
        <f>'Dados - Cliente'!M12</f>
        <v>0</v>
      </c>
      <c r="P12" s="33">
        <f>'Dados - Cliente'!N12</f>
        <v>0</v>
      </c>
      <c r="Q12" s="33">
        <f>'Dados - Cliente'!O12</f>
        <v>0</v>
      </c>
      <c r="R12" s="33">
        <f>'Dados - Cliente'!P12</f>
        <v>0</v>
      </c>
      <c r="S12" s="33">
        <f>'Dados - Cliente'!Q12</f>
        <v>0</v>
      </c>
      <c r="T12" s="33">
        <f>'Dados - Cliente'!R12</f>
        <v>0</v>
      </c>
      <c r="U12" s="34">
        <f>'Dados - Cliente'!S12</f>
        <v>0</v>
      </c>
      <c r="V12" s="34">
        <f>'Dados - Cliente'!T12</f>
        <v>0</v>
      </c>
      <c r="W12" s="34">
        <f>'Dados - Cliente'!U12</f>
        <v>0</v>
      </c>
      <c r="X12" s="34">
        <f>'Dados - Cliente'!V12</f>
        <v>0</v>
      </c>
      <c r="Y12" s="34">
        <f>'Dados - Cliente'!W12</f>
        <v>0</v>
      </c>
      <c r="Z12" s="34">
        <f>'Dados - Cliente'!X12</f>
        <v>0</v>
      </c>
      <c r="AA12" s="33" t="e">
        <f t="shared" si="3"/>
        <v>#N/A</v>
      </c>
      <c r="AB12" s="33">
        <f>'Dados - Cliente'!Y12</f>
        <v>0</v>
      </c>
      <c r="AC12" s="33">
        <f>'Dados - Cliente'!Z12</f>
        <v>0</v>
      </c>
      <c r="AD12" s="33">
        <f>'Dados - Cliente'!AA12</f>
        <v>0</v>
      </c>
      <c r="AE12" s="33">
        <f>'Dados - Cliente'!AB12</f>
        <v>0</v>
      </c>
      <c r="AF12" s="33">
        <f>'Dados - Cliente'!AC12</f>
        <v>0</v>
      </c>
      <c r="AG12" s="35">
        <f>'Dados - Cliente'!AD12</f>
        <v>0</v>
      </c>
      <c r="AH12" s="33" t="e">
        <f>INDEX('Dados - Placas'!$A:$A,MATCH('1'!AG12,'Dados - Placas'!$D:$D,0))</f>
        <v>#N/A</v>
      </c>
      <c r="AI12" s="35" t="e">
        <f>INDEX('Dados - Placas'!$E:$E,MATCH('1'!AG12,'Dados - Placas'!$D:$D,0))</f>
        <v>#N/A</v>
      </c>
      <c r="AJ12" s="34" t="e">
        <f>INDEX('Dados - Placas'!$F:$F,MATCH('1'!AG12,'Dados - Placas'!$D:$D,0))*AF12</f>
        <v>#N/A</v>
      </c>
      <c r="AK12" s="33">
        <f>'Dados - Cliente'!AE12</f>
        <v>0</v>
      </c>
      <c r="AL12" s="33">
        <f>'Dados - Cliente'!AF12</f>
        <v>0</v>
      </c>
      <c r="AM12" s="36" t="e">
        <f>INDEX('Dados - Inversores'!$A:$A,MATCH('1'!AL12,'Dados - Inversores'!$C:$C,0))</f>
        <v>#N/A</v>
      </c>
      <c r="AN12" s="33">
        <f>'Dados - Cliente'!AG12</f>
        <v>0</v>
      </c>
      <c r="AO12" s="33" t="e">
        <f>AA12*1.25/(0.22*SQRT(INDEX('Dados - Inversores'!AK:AK,MATCH('1'!AL12,'Dados - Inversores'!C:C,0))))</f>
        <v>#N/A</v>
      </c>
      <c r="AP12" s="34">
        <f>INDEX(Dados!$E$2:$E$33,COUNTIF(Dados!$E$2:$E$33,"&lt;="&amp;AN12*1.25/(INDEX('Dados - Inversores'!AL:AL,MATCH('1'!AL12,'Dados - Inversores'!C:C,0))*SQRT(INDEX('Dados - Inversores'!AK:AK,MATCH('1'!AL12,'Dados - Inversores'!C:C,0)))))+1)</f>
        <v>2</v>
      </c>
      <c r="AQ12" s="33" t="s">
        <v>59</v>
      </c>
      <c r="AR12" s="33" t="str">
        <f t="shared" si="4"/>
        <v>Micro</v>
      </c>
      <c r="AS12" s="33">
        <f>'Dados - Cliente'!AH12</f>
        <v>0</v>
      </c>
      <c r="AT12" s="33">
        <f>'Dados - Cliente'!AI12</f>
        <v>0</v>
      </c>
      <c r="AU12" s="33" t="e">
        <f>INDEX('Dados - Placas'!$N:$N,MATCH('1'!AG12,'Dados - Placas'!$D:$D,0))-1</f>
        <v>#N/A</v>
      </c>
      <c r="AV12" s="33" t="e">
        <f>INDEX('Dados - Placas'!$O:$O,MATCH('1'!AG12,'Dados - Placas'!$D:$D,0))</f>
        <v>#N/A</v>
      </c>
      <c r="AW12" s="33" t="e">
        <f>INDEX('Dados - Inversores'!AM:AM,MATCH('1'!AL12,'Dados - Inversores'!$C:$C,0))-1</f>
        <v>#N/A</v>
      </c>
      <c r="AX12" s="33" t="e">
        <f>INDEX('Dados - Inversores'!AN:AN,MATCH('1'!AL12,'Dados - Inversores'!$C:$C,0))-1</f>
        <v>#N/A</v>
      </c>
      <c r="AY12" s="33" t="e">
        <f>MATCH('1'!H12,Dados!$D$89:$D$167,0)+1</f>
        <v>#N/A</v>
      </c>
      <c r="AZ12" s="33" t="e">
        <f>MATCH('1'!N12,'Dados - Solicitação de acesso'!$N$2:$N$8,0)</f>
        <v>#N/A</v>
      </c>
      <c r="BA12" s="33" t="e">
        <f>MATCH('1'!T12,'Dados - Solicitação de acesso'!$T$2:$T$20,0)</f>
        <v>#N/A</v>
      </c>
      <c r="BB12" s="34"/>
      <c r="BC12" s="33">
        <f>MATCH(AT12,'Dados - Solicitação de acesso'!$AT$2:$AT$28,0)</f>
        <v>1</v>
      </c>
      <c r="BD12" s="33" t="b">
        <f>IF(O12="TRIFASICO",INDEX(Dados!G:G,MATCH('1'!AP12,Dados!E:E,0)),IF(O12="BIFASICO",INDEX(Dados!F:F,MATCH('1'!AP12,Dados!E:E,0),)))</f>
        <v>0</v>
      </c>
      <c r="BE12" s="33">
        <f>'Dados - Cliente'!J12</f>
        <v>0</v>
      </c>
      <c r="BF12" s="34">
        <f>INDEX(Dados!$E$2:$E$33,COUNTIF(Dados!$E$2:$E$33,"&lt;="&amp;AN12*1.25*AK12/(0.22*SQRT(INDEX('Dados - Inversores'!AK:AK,MATCH('1'!AL12,'Dados - Inversores'!C:C,0)))))+1)</f>
        <v>2</v>
      </c>
      <c r="BG12" s="34" t="b">
        <f>IF(O12="TRIFASICO",INDEX(Dados!G:G,MATCH(BF12,Dados!E:E,0)),IF(O12="BIFASICO",INDEX(Dados!F:F,MATCH(BF12,Dados!E:E,0),)))</f>
        <v>0</v>
      </c>
    </row>
    <row r="13" spans="1:60" s="33" customFormat="1" x14ac:dyDescent="0.35">
      <c r="A13" s="33">
        <f>'Dados - Cliente'!A13</f>
        <v>0</v>
      </c>
      <c r="B13" s="33">
        <f>'Dados - Cliente'!B13</f>
        <v>0</v>
      </c>
      <c r="C13" s="33">
        <f>'Dados - Cliente'!C13</f>
        <v>0</v>
      </c>
      <c r="D13" s="33">
        <f>'Dados - Cliente'!D13</f>
        <v>0</v>
      </c>
      <c r="E13" s="33">
        <f>'Dados - Cliente'!E13</f>
        <v>0</v>
      </c>
      <c r="F13" s="33">
        <f>'Dados - Cliente'!F13</f>
        <v>0</v>
      </c>
      <c r="G13" s="33">
        <f>'Dados - Cliente'!G13</f>
        <v>0</v>
      </c>
      <c r="H13" s="33">
        <f>'Dados - Cliente'!H13</f>
        <v>0</v>
      </c>
      <c r="I13" s="75" t="s">
        <v>4313</v>
      </c>
      <c r="J13" s="52" t="s">
        <v>4314</v>
      </c>
      <c r="K13" s="52" t="s">
        <v>4314</v>
      </c>
      <c r="L13" s="33">
        <f>'Dados - Cliente'!I13</f>
        <v>0</v>
      </c>
      <c r="M13" s="33">
        <f>'Dados - Cliente'!K13</f>
        <v>0</v>
      </c>
      <c r="N13" s="33">
        <f>'Dados - Cliente'!L13</f>
        <v>0</v>
      </c>
      <c r="O13" s="33">
        <f>'Dados - Cliente'!M13</f>
        <v>0</v>
      </c>
      <c r="P13" s="33">
        <f>'Dados - Cliente'!N13</f>
        <v>0</v>
      </c>
      <c r="Q13" s="33">
        <f>'Dados - Cliente'!O13</f>
        <v>0</v>
      </c>
      <c r="R13" s="33">
        <f>'Dados - Cliente'!P13</f>
        <v>0</v>
      </c>
      <c r="S13" s="33">
        <f>'Dados - Cliente'!Q13</f>
        <v>0</v>
      </c>
      <c r="T13" s="33">
        <f>'Dados - Cliente'!R13</f>
        <v>0</v>
      </c>
      <c r="U13" s="34">
        <f>'Dados - Cliente'!S13</f>
        <v>0</v>
      </c>
      <c r="V13" s="34">
        <f>'Dados - Cliente'!T13</f>
        <v>0</v>
      </c>
      <c r="W13" s="34">
        <f>'Dados - Cliente'!U13</f>
        <v>0</v>
      </c>
      <c r="X13" s="34">
        <f>'Dados - Cliente'!V13</f>
        <v>0</v>
      </c>
      <c r="Y13" s="34">
        <f>'Dados - Cliente'!W13</f>
        <v>0</v>
      </c>
      <c r="Z13" s="34">
        <f>'Dados - Cliente'!X13</f>
        <v>0</v>
      </c>
      <c r="AA13" s="33" t="e">
        <f t="shared" ref="AA13:AA76" si="5">AI13*AF13</f>
        <v>#N/A</v>
      </c>
      <c r="AB13" s="33">
        <f>'Dados - Cliente'!Y13</f>
        <v>0</v>
      </c>
      <c r="AC13" s="33">
        <f>'Dados - Cliente'!Z13</f>
        <v>0</v>
      </c>
      <c r="AD13" s="33">
        <f>'Dados - Cliente'!AA13</f>
        <v>0</v>
      </c>
      <c r="AE13" s="33">
        <f>'Dados - Cliente'!AB13</f>
        <v>0</v>
      </c>
      <c r="AF13" s="33">
        <f>'Dados - Cliente'!AC13</f>
        <v>0</v>
      </c>
      <c r="AG13" s="35">
        <f>'Dados - Cliente'!AD13</f>
        <v>0</v>
      </c>
      <c r="AH13" s="33" t="e">
        <f>INDEX('Dados - Placas'!$A:$A,MATCH('1'!AG13,'Dados - Placas'!$D:$D,0))</f>
        <v>#N/A</v>
      </c>
      <c r="AI13" s="35" t="e">
        <f>INDEX('Dados - Placas'!$E:$E,MATCH('1'!AG13,'Dados - Placas'!$D:$D,0))</f>
        <v>#N/A</v>
      </c>
      <c r="AJ13" s="34" t="e">
        <f>INDEX('Dados - Placas'!$F:$F,MATCH('1'!AG13,'Dados - Placas'!$D:$D,0))*AF13</f>
        <v>#N/A</v>
      </c>
      <c r="AK13" s="33">
        <f>'Dados - Cliente'!AE13</f>
        <v>0</v>
      </c>
      <c r="AL13" s="33">
        <f>'Dados - Cliente'!AF13</f>
        <v>0</v>
      </c>
      <c r="AM13" s="36" t="e">
        <f>INDEX('Dados - Inversores'!$A:$A,MATCH('1'!AL13,'Dados - Inversores'!$C:$C,0))</f>
        <v>#N/A</v>
      </c>
      <c r="AN13" s="33">
        <f>'Dados - Cliente'!AG13</f>
        <v>0</v>
      </c>
      <c r="AO13" s="33" t="e">
        <f>AA13*1.25/(0.22*SQRT(INDEX('Dados - Inversores'!AK:AK,MATCH('1'!AL13,'Dados - Inversores'!C:C,0))))</f>
        <v>#N/A</v>
      </c>
      <c r="AP13" s="34">
        <f>INDEX(Dados!$E$2:$E$33,COUNTIF(Dados!$E$2:$E$33,"&lt;="&amp;AN13*1.25/(INDEX('Dados - Inversores'!AL:AL,MATCH('1'!AL13,'Dados - Inversores'!C:C,0))*SQRT(INDEX('Dados - Inversores'!AK:AK,MATCH('1'!AL13,'Dados - Inversores'!C:C,0)))))+1)</f>
        <v>2</v>
      </c>
      <c r="AQ13" s="33" t="s">
        <v>59</v>
      </c>
      <c r="AR13" s="33" t="str">
        <f t="shared" ref="AR13:AR76" si="6">IF((AN13*AK13)&gt;10,"Mini","Micro")</f>
        <v>Micro</v>
      </c>
      <c r="AS13" s="33">
        <f>'Dados - Cliente'!AH13</f>
        <v>0</v>
      </c>
      <c r="AT13" s="33">
        <f>'Dados - Cliente'!AI13</f>
        <v>0</v>
      </c>
      <c r="AU13" s="33" t="e">
        <f>INDEX('Dados - Placas'!$N:$N,MATCH('1'!AG13,'Dados - Placas'!$D:$D,0))-1</f>
        <v>#N/A</v>
      </c>
      <c r="AV13" s="33" t="e">
        <f>INDEX('Dados - Placas'!$O:$O,MATCH('1'!AG13,'Dados - Placas'!$D:$D,0))</f>
        <v>#N/A</v>
      </c>
      <c r="AW13" s="33" t="e">
        <f>INDEX('Dados - Inversores'!AM:AM,MATCH('1'!AL13,'Dados - Inversores'!$C:$C,0))-1</f>
        <v>#N/A</v>
      </c>
      <c r="AX13" s="33" t="e">
        <f>INDEX('Dados - Inversores'!AN:AN,MATCH('1'!AL13,'Dados - Inversores'!$C:$C,0))-1</f>
        <v>#N/A</v>
      </c>
      <c r="AY13" s="33" t="e">
        <f>MATCH('1'!H13,Dados!$D$89:$D$167,0)+1</f>
        <v>#N/A</v>
      </c>
      <c r="AZ13" s="33" t="e">
        <f>MATCH('1'!N13,'Dados - Solicitação de acesso'!$N$2:$N$8,0)</f>
        <v>#N/A</v>
      </c>
      <c r="BA13" s="33" t="e">
        <f>MATCH('1'!T13,'Dados - Solicitação de acesso'!$T$2:$T$20,0)</f>
        <v>#N/A</v>
      </c>
      <c r="BB13" s="34"/>
      <c r="BC13" s="33">
        <f>MATCH(AT13,'Dados - Solicitação de acesso'!$AT$2:$AT$28,0)</f>
        <v>1</v>
      </c>
      <c r="BD13" s="33" t="b">
        <f>IF(O13="TRIFASICO",INDEX(Dados!G:G,MATCH('1'!AP13,Dados!E:E,0)),IF(O13="BIFASICO",INDEX(Dados!F:F,MATCH('1'!AP13,Dados!E:E,0),)))</f>
        <v>0</v>
      </c>
      <c r="BE13" s="33">
        <f>'Dados - Cliente'!J13</f>
        <v>0</v>
      </c>
      <c r="BF13" s="34">
        <f>INDEX(Dados!$E$2:$E$33,COUNTIF(Dados!$E$2:$E$33,"&lt;="&amp;AN13*1.25*AK13/(0.22*SQRT(INDEX('Dados - Inversores'!AK:AK,MATCH('1'!AL13,'Dados - Inversores'!C:C,0)))))+1)</f>
        <v>2</v>
      </c>
      <c r="BG13" s="34" t="b">
        <f>IF(O13="TRIFASICO",INDEX(Dados!G:G,MATCH(BF13,Dados!E:E,0)),IF(O13="BIFASICO",INDEX(Dados!F:F,MATCH(BF13,Dados!E:E,0),)))</f>
        <v>0</v>
      </c>
    </row>
    <row r="14" spans="1:60" s="33" customFormat="1" x14ac:dyDescent="0.35">
      <c r="A14" s="33">
        <f>'Dados - Cliente'!A14</f>
        <v>0</v>
      </c>
      <c r="B14" s="33">
        <f>'Dados - Cliente'!B14</f>
        <v>0</v>
      </c>
      <c r="C14" s="33">
        <f>'Dados - Cliente'!C14</f>
        <v>0</v>
      </c>
      <c r="D14" s="33">
        <f>'Dados - Cliente'!D14</f>
        <v>0</v>
      </c>
      <c r="E14" s="33">
        <f>'Dados - Cliente'!E14</f>
        <v>0</v>
      </c>
      <c r="F14" s="33">
        <f>'Dados - Cliente'!F14</f>
        <v>0</v>
      </c>
      <c r="G14" s="33">
        <f>'Dados - Cliente'!G14</f>
        <v>0</v>
      </c>
      <c r="H14" s="33">
        <f>'Dados - Cliente'!H14</f>
        <v>0</v>
      </c>
      <c r="I14" s="75" t="s">
        <v>4313</v>
      </c>
      <c r="J14" s="52" t="s">
        <v>4314</v>
      </c>
      <c r="K14" s="52" t="s">
        <v>4314</v>
      </c>
      <c r="L14" s="33">
        <f>'Dados - Cliente'!I14</f>
        <v>0</v>
      </c>
      <c r="M14" s="33">
        <f>'Dados - Cliente'!K14</f>
        <v>0</v>
      </c>
      <c r="N14" s="33">
        <f>'Dados - Cliente'!L14</f>
        <v>0</v>
      </c>
      <c r="O14" s="33">
        <f>'Dados - Cliente'!M14</f>
        <v>0</v>
      </c>
      <c r="P14" s="33">
        <f>'Dados - Cliente'!N14</f>
        <v>0</v>
      </c>
      <c r="Q14" s="33">
        <f>'Dados - Cliente'!O14</f>
        <v>0</v>
      </c>
      <c r="R14" s="33">
        <f>'Dados - Cliente'!P14</f>
        <v>0</v>
      </c>
      <c r="S14" s="33">
        <f>'Dados - Cliente'!Q14</f>
        <v>0</v>
      </c>
      <c r="T14" s="33">
        <f>'Dados - Cliente'!R14</f>
        <v>0</v>
      </c>
      <c r="U14" s="34">
        <f>'Dados - Cliente'!S14</f>
        <v>0</v>
      </c>
      <c r="V14" s="34">
        <f>'Dados - Cliente'!T14</f>
        <v>0</v>
      </c>
      <c r="W14" s="34">
        <f>'Dados - Cliente'!U14</f>
        <v>0</v>
      </c>
      <c r="X14" s="34">
        <f>'Dados - Cliente'!V14</f>
        <v>0</v>
      </c>
      <c r="Y14" s="34">
        <f>'Dados - Cliente'!W14</f>
        <v>0</v>
      </c>
      <c r="Z14" s="34">
        <f>'Dados - Cliente'!X14</f>
        <v>0</v>
      </c>
      <c r="AA14" s="33" t="e">
        <f t="shared" si="5"/>
        <v>#N/A</v>
      </c>
      <c r="AB14" s="33">
        <f>'Dados - Cliente'!Y14</f>
        <v>0</v>
      </c>
      <c r="AC14" s="33">
        <f>'Dados - Cliente'!Z14</f>
        <v>0</v>
      </c>
      <c r="AD14" s="33">
        <f>'Dados - Cliente'!AA14</f>
        <v>0</v>
      </c>
      <c r="AE14" s="33">
        <f>'Dados - Cliente'!AB14</f>
        <v>0</v>
      </c>
      <c r="AF14" s="33">
        <f>'Dados - Cliente'!AC14</f>
        <v>0</v>
      </c>
      <c r="AG14" s="35">
        <f>'Dados - Cliente'!AD14</f>
        <v>0</v>
      </c>
      <c r="AH14" s="33" t="e">
        <f>INDEX('Dados - Placas'!$A:$A,MATCH('1'!AG14,'Dados - Placas'!$D:$D,0))</f>
        <v>#N/A</v>
      </c>
      <c r="AI14" s="35" t="e">
        <f>INDEX('Dados - Placas'!$E:$E,MATCH('1'!AG14,'Dados - Placas'!$D:$D,0))</f>
        <v>#N/A</v>
      </c>
      <c r="AJ14" s="34" t="e">
        <f>INDEX('Dados - Placas'!$F:$F,MATCH('1'!AG14,'Dados - Placas'!$D:$D,0))*AF14</f>
        <v>#N/A</v>
      </c>
      <c r="AK14" s="33">
        <f>'Dados - Cliente'!AE14</f>
        <v>0</v>
      </c>
      <c r="AL14" s="33">
        <f>'Dados - Cliente'!AF14</f>
        <v>0</v>
      </c>
      <c r="AM14" s="36" t="e">
        <f>INDEX('Dados - Inversores'!$A:$A,MATCH('1'!AL14,'Dados - Inversores'!$C:$C,0))</f>
        <v>#N/A</v>
      </c>
      <c r="AN14" s="33">
        <f>'Dados - Cliente'!AG14</f>
        <v>0</v>
      </c>
      <c r="AO14" s="33" t="e">
        <f>AA14*1.25/(0.22*SQRT(INDEX('Dados - Inversores'!AK:AK,MATCH('1'!AL14,'Dados - Inversores'!C:C,0))))</f>
        <v>#N/A</v>
      </c>
      <c r="AP14" s="34">
        <f>INDEX(Dados!$E$2:$E$33,COUNTIF(Dados!$E$2:$E$33,"&lt;="&amp;AN14*1.25/(INDEX('Dados - Inversores'!AL:AL,MATCH('1'!AL14,'Dados - Inversores'!C:C,0))*SQRT(INDEX('Dados - Inversores'!AK:AK,MATCH('1'!AL14,'Dados - Inversores'!C:C,0)))))+1)</f>
        <v>2</v>
      </c>
      <c r="AQ14" s="33" t="s">
        <v>59</v>
      </c>
      <c r="AR14" s="33" t="str">
        <f t="shared" si="6"/>
        <v>Micro</v>
      </c>
      <c r="AS14" s="33">
        <f>'Dados - Cliente'!AH14</f>
        <v>0</v>
      </c>
      <c r="AT14" s="33">
        <f>'Dados - Cliente'!AI14</f>
        <v>0</v>
      </c>
      <c r="AU14" s="33" t="e">
        <f>INDEX('Dados - Placas'!$N:$N,MATCH('1'!AG14,'Dados - Placas'!$D:$D,0))-1</f>
        <v>#N/A</v>
      </c>
      <c r="AV14" s="33" t="e">
        <f>INDEX('Dados - Placas'!$O:$O,MATCH('1'!AG14,'Dados - Placas'!$D:$D,0))</f>
        <v>#N/A</v>
      </c>
      <c r="AW14" s="33" t="e">
        <f>INDEX('Dados - Inversores'!AM:AM,MATCH('1'!AL14,'Dados - Inversores'!$C:$C,0))-1</f>
        <v>#N/A</v>
      </c>
      <c r="AX14" s="33" t="e">
        <f>INDEX('Dados - Inversores'!AN:AN,MATCH('1'!AL14,'Dados - Inversores'!$C:$C,0))-1</f>
        <v>#N/A</v>
      </c>
      <c r="AY14" s="33" t="e">
        <f>MATCH('1'!H14,Dados!$D$89:$D$167,0)+1</f>
        <v>#N/A</v>
      </c>
      <c r="AZ14" s="33" t="e">
        <f>MATCH('1'!N14,'Dados - Solicitação de acesso'!$N$2:$N$8,0)</f>
        <v>#N/A</v>
      </c>
      <c r="BA14" s="33" t="e">
        <f>MATCH('1'!T14,'Dados - Solicitação de acesso'!$T$2:$T$20,0)</f>
        <v>#N/A</v>
      </c>
      <c r="BB14" s="34"/>
      <c r="BC14" s="33">
        <f>MATCH(AT14,'Dados - Solicitação de acesso'!$AT$2:$AT$28,0)</f>
        <v>1</v>
      </c>
      <c r="BD14" s="33" t="b">
        <f>IF(O14="TRIFASICO",INDEX(Dados!G:G,MATCH('1'!AP14,Dados!E:E,0)),IF(O14="BIFASICO",INDEX(Dados!F:F,MATCH('1'!AP14,Dados!E:E,0),)))</f>
        <v>0</v>
      </c>
      <c r="BE14" s="33">
        <f>'Dados - Cliente'!J14</f>
        <v>0</v>
      </c>
      <c r="BF14" s="34">
        <f>INDEX(Dados!$E$2:$E$33,COUNTIF(Dados!$E$2:$E$33,"&lt;="&amp;AN14*1.25*AK14/(0.22*SQRT(INDEX('Dados - Inversores'!AK:AK,MATCH('1'!AL14,'Dados - Inversores'!C:C,0)))))+1)</f>
        <v>2</v>
      </c>
      <c r="BG14" s="34" t="b">
        <f>IF(O14="TRIFASICO",INDEX(Dados!G:G,MATCH(BF14,Dados!E:E,0)),IF(O14="BIFASICO",INDEX(Dados!F:F,MATCH(BF14,Dados!E:E,0),)))</f>
        <v>0</v>
      </c>
    </row>
    <row r="15" spans="1:60" s="33" customFormat="1" x14ac:dyDescent="0.35">
      <c r="A15" s="33">
        <f>'Dados - Cliente'!A15</f>
        <v>0</v>
      </c>
      <c r="B15" s="33">
        <f>'Dados - Cliente'!B15</f>
        <v>0</v>
      </c>
      <c r="C15" s="33">
        <f>'Dados - Cliente'!C15</f>
        <v>0</v>
      </c>
      <c r="D15" s="33">
        <f>'Dados - Cliente'!D15</f>
        <v>0</v>
      </c>
      <c r="E15" s="33">
        <f>'Dados - Cliente'!E15</f>
        <v>0</v>
      </c>
      <c r="F15" s="33">
        <f>'Dados - Cliente'!F15</f>
        <v>0</v>
      </c>
      <c r="G15" s="33">
        <f>'Dados - Cliente'!G15</f>
        <v>0</v>
      </c>
      <c r="H15" s="33">
        <f>'Dados - Cliente'!H15</f>
        <v>0</v>
      </c>
      <c r="I15" s="75" t="s">
        <v>4313</v>
      </c>
      <c r="J15" s="52" t="s">
        <v>4314</v>
      </c>
      <c r="K15" s="52" t="s">
        <v>4314</v>
      </c>
      <c r="L15" s="33">
        <f>'Dados - Cliente'!I15</f>
        <v>0</v>
      </c>
      <c r="M15" s="33">
        <f>'Dados - Cliente'!K15</f>
        <v>0</v>
      </c>
      <c r="N15" s="33">
        <f>'Dados - Cliente'!L15</f>
        <v>0</v>
      </c>
      <c r="O15" s="33">
        <f>'Dados - Cliente'!M15</f>
        <v>0</v>
      </c>
      <c r="P15" s="33">
        <f>'Dados - Cliente'!N15</f>
        <v>0</v>
      </c>
      <c r="Q15" s="33">
        <f>'Dados - Cliente'!O15</f>
        <v>0</v>
      </c>
      <c r="R15" s="33">
        <f>'Dados - Cliente'!P15</f>
        <v>0</v>
      </c>
      <c r="S15" s="33">
        <f>'Dados - Cliente'!Q15</f>
        <v>0</v>
      </c>
      <c r="T15" s="33">
        <f>'Dados - Cliente'!R15</f>
        <v>0</v>
      </c>
      <c r="U15" s="34">
        <f>'Dados - Cliente'!S15</f>
        <v>0</v>
      </c>
      <c r="V15" s="34">
        <f>'Dados - Cliente'!T15</f>
        <v>0</v>
      </c>
      <c r="W15" s="34">
        <f>'Dados - Cliente'!U15</f>
        <v>0</v>
      </c>
      <c r="X15" s="34">
        <f>'Dados - Cliente'!V15</f>
        <v>0</v>
      </c>
      <c r="Y15" s="34">
        <f>'Dados - Cliente'!W15</f>
        <v>0</v>
      </c>
      <c r="Z15" s="34">
        <f>'Dados - Cliente'!X15</f>
        <v>0</v>
      </c>
      <c r="AA15" s="33" t="e">
        <f t="shared" si="5"/>
        <v>#N/A</v>
      </c>
      <c r="AB15" s="33">
        <f>'Dados - Cliente'!Y15</f>
        <v>0</v>
      </c>
      <c r="AC15" s="33">
        <f>'Dados - Cliente'!Z15</f>
        <v>0</v>
      </c>
      <c r="AD15" s="33">
        <f>'Dados - Cliente'!AA15</f>
        <v>0</v>
      </c>
      <c r="AE15" s="33">
        <f>'Dados - Cliente'!AB15</f>
        <v>0</v>
      </c>
      <c r="AF15" s="33">
        <f>'Dados - Cliente'!AC15</f>
        <v>0</v>
      </c>
      <c r="AG15" s="35">
        <f>'Dados - Cliente'!AD15</f>
        <v>0</v>
      </c>
      <c r="AH15" s="33" t="e">
        <f>INDEX('Dados - Placas'!$A:$A,MATCH('1'!AG15,'Dados - Placas'!$D:$D,0))</f>
        <v>#N/A</v>
      </c>
      <c r="AI15" s="35" t="e">
        <f>INDEX('Dados - Placas'!$E:$E,MATCH('1'!AG15,'Dados - Placas'!$D:$D,0))</f>
        <v>#N/A</v>
      </c>
      <c r="AJ15" s="34" t="e">
        <f>INDEX('Dados - Placas'!$F:$F,MATCH('1'!AG15,'Dados - Placas'!$D:$D,0))*AF15</f>
        <v>#N/A</v>
      </c>
      <c r="AK15" s="33">
        <f>'Dados - Cliente'!AE15</f>
        <v>0</v>
      </c>
      <c r="AL15" s="33">
        <f>'Dados - Cliente'!AF15</f>
        <v>0</v>
      </c>
      <c r="AM15" s="36" t="e">
        <f>INDEX('Dados - Inversores'!$A:$A,MATCH('1'!AL15,'Dados - Inversores'!$C:$C,0))</f>
        <v>#N/A</v>
      </c>
      <c r="AN15" s="33">
        <f>'Dados - Cliente'!AG15</f>
        <v>0</v>
      </c>
      <c r="AO15" s="33" t="e">
        <f>AA15*1.25/(0.22*SQRT(INDEX('Dados - Inversores'!AK:AK,MATCH('1'!AL15,'Dados - Inversores'!C:C,0))))</f>
        <v>#N/A</v>
      </c>
      <c r="AP15" s="34">
        <f>INDEX(Dados!$E$2:$E$33,COUNTIF(Dados!$E$2:$E$33,"&lt;="&amp;AN15*1.25/(INDEX('Dados - Inversores'!AL:AL,MATCH('1'!AL15,'Dados - Inversores'!C:C,0))*SQRT(INDEX('Dados - Inversores'!AK:AK,MATCH('1'!AL15,'Dados - Inversores'!C:C,0)))))+1)</f>
        <v>2</v>
      </c>
      <c r="AQ15" s="33" t="s">
        <v>59</v>
      </c>
      <c r="AR15" s="33" t="str">
        <f t="shared" si="6"/>
        <v>Micro</v>
      </c>
      <c r="AS15" s="33">
        <f>'Dados - Cliente'!AH15</f>
        <v>0</v>
      </c>
      <c r="AT15" s="33">
        <f>'Dados - Cliente'!AI15</f>
        <v>0</v>
      </c>
      <c r="AU15" s="33" t="e">
        <f>INDEX('Dados - Placas'!$N:$N,MATCH('1'!AG15,'Dados - Placas'!$D:$D,0))-1</f>
        <v>#N/A</v>
      </c>
      <c r="AV15" s="33" t="e">
        <f>INDEX('Dados - Placas'!$O:$O,MATCH('1'!AG15,'Dados - Placas'!$D:$D,0))</f>
        <v>#N/A</v>
      </c>
      <c r="AW15" s="33" t="e">
        <f>INDEX('Dados - Inversores'!AM:AM,MATCH('1'!AL15,'Dados - Inversores'!$C:$C,0))-1</f>
        <v>#N/A</v>
      </c>
      <c r="AX15" s="33" t="e">
        <f>INDEX('Dados - Inversores'!AN:AN,MATCH('1'!AL15,'Dados - Inversores'!$C:$C,0))-1</f>
        <v>#N/A</v>
      </c>
      <c r="AY15" s="33" t="e">
        <f>MATCH('1'!H15,Dados!$D$89:$D$167,0)+1</f>
        <v>#N/A</v>
      </c>
      <c r="AZ15" s="33" t="e">
        <f>MATCH('1'!N15,'Dados - Solicitação de acesso'!$N$2:$N$8,0)</f>
        <v>#N/A</v>
      </c>
      <c r="BA15" s="33" t="e">
        <f>MATCH('1'!T15,'Dados - Solicitação de acesso'!$T$2:$T$20,0)</f>
        <v>#N/A</v>
      </c>
      <c r="BB15" s="34"/>
      <c r="BC15" s="33">
        <f>MATCH(AT15,'Dados - Solicitação de acesso'!$AT$2:$AT$28,0)</f>
        <v>1</v>
      </c>
      <c r="BD15" s="33" t="b">
        <f>IF(O15="TRIFASICO",INDEX(Dados!G:G,MATCH('1'!AP15,Dados!E:E,0)),IF(O15="BIFASICO",INDEX(Dados!F:F,MATCH('1'!AP15,Dados!E:E,0),)))</f>
        <v>0</v>
      </c>
      <c r="BE15" s="33">
        <f>'Dados - Cliente'!J15</f>
        <v>0</v>
      </c>
      <c r="BF15" s="34">
        <f>INDEX(Dados!$E$2:$E$33,COUNTIF(Dados!$E$2:$E$33,"&lt;="&amp;AN15*1.25*AK15/(0.22*SQRT(INDEX('Dados - Inversores'!AK:AK,MATCH('1'!AL15,'Dados - Inversores'!C:C,0)))))+1)</f>
        <v>2</v>
      </c>
      <c r="BG15" s="34" t="b">
        <f>IF(O15="TRIFASICO",INDEX(Dados!G:G,MATCH(BF15,Dados!E:E,0)),IF(O15="BIFASICO",INDEX(Dados!F:F,MATCH(BF15,Dados!E:E,0),)))</f>
        <v>0</v>
      </c>
    </row>
    <row r="16" spans="1:60" s="33" customFormat="1" x14ac:dyDescent="0.35">
      <c r="A16" s="33">
        <f>'Dados - Cliente'!A16</f>
        <v>0</v>
      </c>
      <c r="B16" s="33">
        <f>'Dados - Cliente'!B16</f>
        <v>0</v>
      </c>
      <c r="C16" s="33">
        <f>'Dados - Cliente'!C16</f>
        <v>0</v>
      </c>
      <c r="D16" s="33">
        <f>'Dados - Cliente'!D16</f>
        <v>0</v>
      </c>
      <c r="E16" s="33">
        <f>'Dados - Cliente'!E16</f>
        <v>0</v>
      </c>
      <c r="F16" s="33">
        <f>'Dados - Cliente'!F16</f>
        <v>0</v>
      </c>
      <c r="G16" s="33">
        <f>'Dados - Cliente'!G16</f>
        <v>0</v>
      </c>
      <c r="H16" s="33">
        <f>'Dados - Cliente'!H16</f>
        <v>0</v>
      </c>
      <c r="I16" s="75" t="s">
        <v>4313</v>
      </c>
      <c r="J16" s="52" t="s">
        <v>4314</v>
      </c>
      <c r="K16" s="52" t="s">
        <v>4314</v>
      </c>
      <c r="L16" s="33">
        <f>'Dados - Cliente'!I16</f>
        <v>0</v>
      </c>
      <c r="M16" s="33">
        <f>'Dados - Cliente'!K16</f>
        <v>0</v>
      </c>
      <c r="N16" s="33">
        <f>'Dados - Cliente'!L16</f>
        <v>0</v>
      </c>
      <c r="O16" s="33">
        <f>'Dados - Cliente'!M16</f>
        <v>0</v>
      </c>
      <c r="P16" s="33">
        <f>'Dados - Cliente'!N16</f>
        <v>0</v>
      </c>
      <c r="Q16" s="33">
        <f>'Dados - Cliente'!O16</f>
        <v>0</v>
      </c>
      <c r="R16" s="33">
        <f>'Dados - Cliente'!P16</f>
        <v>0</v>
      </c>
      <c r="S16" s="33">
        <f>'Dados - Cliente'!Q16</f>
        <v>0</v>
      </c>
      <c r="T16" s="33">
        <f>'Dados - Cliente'!R16</f>
        <v>0</v>
      </c>
      <c r="U16" s="34">
        <f>'Dados - Cliente'!S16</f>
        <v>0</v>
      </c>
      <c r="V16" s="34">
        <f>'Dados - Cliente'!T16</f>
        <v>0</v>
      </c>
      <c r="W16" s="34">
        <f>'Dados - Cliente'!U16</f>
        <v>0</v>
      </c>
      <c r="X16" s="34">
        <f>'Dados - Cliente'!V16</f>
        <v>0</v>
      </c>
      <c r="Y16" s="34">
        <f>'Dados - Cliente'!W16</f>
        <v>0</v>
      </c>
      <c r="Z16" s="34">
        <f>'Dados - Cliente'!X16</f>
        <v>0</v>
      </c>
      <c r="AA16" s="33" t="e">
        <f t="shared" si="5"/>
        <v>#N/A</v>
      </c>
      <c r="AB16" s="33">
        <f>'Dados - Cliente'!Y16</f>
        <v>0</v>
      </c>
      <c r="AC16" s="33">
        <f>'Dados - Cliente'!Z16</f>
        <v>0</v>
      </c>
      <c r="AD16" s="33">
        <f>'Dados - Cliente'!AA16</f>
        <v>0</v>
      </c>
      <c r="AE16" s="33">
        <f>'Dados - Cliente'!AB16</f>
        <v>0</v>
      </c>
      <c r="AF16" s="33">
        <f>'Dados - Cliente'!AC16</f>
        <v>0</v>
      </c>
      <c r="AG16" s="35">
        <f>'Dados - Cliente'!AD16</f>
        <v>0</v>
      </c>
      <c r="AH16" s="33" t="e">
        <f>INDEX('Dados - Placas'!$A:$A,MATCH('1'!AG16,'Dados - Placas'!$D:$D,0))</f>
        <v>#N/A</v>
      </c>
      <c r="AI16" s="35" t="e">
        <f>INDEX('Dados - Placas'!$E:$E,MATCH('1'!AG16,'Dados - Placas'!$D:$D,0))</f>
        <v>#N/A</v>
      </c>
      <c r="AJ16" s="34" t="e">
        <f>INDEX('Dados - Placas'!$F:$F,MATCH('1'!AG16,'Dados - Placas'!$D:$D,0))*AF16</f>
        <v>#N/A</v>
      </c>
      <c r="AK16" s="33">
        <f>'Dados - Cliente'!AE16</f>
        <v>0</v>
      </c>
      <c r="AL16" s="33">
        <f>'Dados - Cliente'!AF16</f>
        <v>0</v>
      </c>
      <c r="AM16" s="36" t="e">
        <f>INDEX('Dados - Inversores'!$A:$A,MATCH('1'!AL16,'Dados - Inversores'!$C:$C,0))</f>
        <v>#N/A</v>
      </c>
      <c r="AN16" s="33">
        <f>'Dados - Cliente'!AG16</f>
        <v>0</v>
      </c>
      <c r="AO16" s="33" t="e">
        <f>AA16*1.25/(0.22*SQRT(INDEX('Dados - Inversores'!AK:AK,MATCH('1'!AL16,'Dados - Inversores'!C:C,0))))</f>
        <v>#N/A</v>
      </c>
      <c r="AP16" s="34">
        <f>INDEX(Dados!$E$2:$E$33,COUNTIF(Dados!$E$2:$E$33,"&lt;="&amp;AN16*1.25/(INDEX('Dados - Inversores'!AL:AL,MATCH('1'!AL16,'Dados - Inversores'!C:C,0))*SQRT(INDEX('Dados - Inversores'!AK:AK,MATCH('1'!AL16,'Dados - Inversores'!C:C,0)))))+1)</f>
        <v>2</v>
      </c>
      <c r="AQ16" s="33" t="s">
        <v>59</v>
      </c>
      <c r="AR16" s="33" t="str">
        <f t="shared" si="6"/>
        <v>Micro</v>
      </c>
      <c r="AS16" s="33">
        <f>'Dados - Cliente'!AH16</f>
        <v>0</v>
      </c>
      <c r="AT16" s="33">
        <f>'Dados - Cliente'!AI16</f>
        <v>0</v>
      </c>
      <c r="AU16" s="33" t="e">
        <f>INDEX('Dados - Placas'!$N:$N,MATCH('1'!AG16,'Dados - Placas'!$D:$D,0))-1</f>
        <v>#N/A</v>
      </c>
      <c r="AV16" s="33" t="e">
        <f>INDEX('Dados - Placas'!$O:$O,MATCH('1'!AG16,'Dados - Placas'!$D:$D,0))</f>
        <v>#N/A</v>
      </c>
      <c r="AW16" s="33" t="e">
        <f>INDEX('Dados - Inversores'!AM:AM,MATCH('1'!AL16,'Dados - Inversores'!$C:$C,0))-1</f>
        <v>#N/A</v>
      </c>
      <c r="AX16" s="33" t="e">
        <f>INDEX('Dados - Inversores'!AN:AN,MATCH('1'!AL16,'Dados - Inversores'!$C:$C,0))-1</f>
        <v>#N/A</v>
      </c>
      <c r="AY16" s="33" t="e">
        <f>MATCH('1'!H16,Dados!$D$89:$D$167,0)+1</f>
        <v>#N/A</v>
      </c>
      <c r="AZ16" s="33" t="e">
        <f>MATCH('1'!N16,'Dados - Solicitação de acesso'!$N$2:$N$8,0)</f>
        <v>#N/A</v>
      </c>
      <c r="BA16" s="33" t="e">
        <f>MATCH('1'!T16,'Dados - Solicitação de acesso'!$T$2:$T$20,0)</f>
        <v>#N/A</v>
      </c>
      <c r="BB16" s="34"/>
      <c r="BC16" s="33">
        <f>MATCH(AT16,'Dados - Solicitação de acesso'!$AT$2:$AT$28,0)</f>
        <v>1</v>
      </c>
      <c r="BD16" s="33" t="b">
        <f>IF(O16="TRIFASICO",INDEX(Dados!G:G,MATCH('1'!AP16,Dados!E:E,0)),IF(O16="BIFASICO",INDEX(Dados!F:F,MATCH('1'!AP16,Dados!E:E,0),)))</f>
        <v>0</v>
      </c>
      <c r="BE16" s="33">
        <f>'Dados - Cliente'!J16</f>
        <v>0</v>
      </c>
      <c r="BF16" s="34">
        <f>INDEX(Dados!$E$2:$E$33,COUNTIF(Dados!$E$2:$E$33,"&lt;="&amp;AN16*1.25*AK16/(0.22*SQRT(INDEX('Dados - Inversores'!AK:AK,MATCH('1'!AL16,'Dados - Inversores'!C:C,0)))))+1)</f>
        <v>2</v>
      </c>
      <c r="BG16" s="34" t="b">
        <f>IF(O16="TRIFASICO",INDEX(Dados!G:G,MATCH(BF16,Dados!E:E,0)),IF(O16="BIFASICO",INDEX(Dados!F:F,MATCH(BF16,Dados!E:E,0),)))</f>
        <v>0</v>
      </c>
    </row>
    <row r="17" spans="1:59" s="33" customFormat="1" x14ac:dyDescent="0.35">
      <c r="A17" s="33">
        <f>'Dados - Cliente'!A17</f>
        <v>0</v>
      </c>
      <c r="B17" s="33">
        <f>'Dados - Cliente'!B17</f>
        <v>0</v>
      </c>
      <c r="C17" s="33">
        <f>'Dados - Cliente'!C17</f>
        <v>0</v>
      </c>
      <c r="D17" s="33">
        <f>'Dados - Cliente'!D17</f>
        <v>0</v>
      </c>
      <c r="E17" s="33">
        <f>'Dados - Cliente'!E17</f>
        <v>0</v>
      </c>
      <c r="F17" s="33">
        <f>'Dados - Cliente'!F17</f>
        <v>0</v>
      </c>
      <c r="G17" s="33">
        <f>'Dados - Cliente'!G17</f>
        <v>0</v>
      </c>
      <c r="H17" s="33">
        <f>'Dados - Cliente'!H17</f>
        <v>0</v>
      </c>
      <c r="I17" s="75" t="s">
        <v>4313</v>
      </c>
      <c r="J17" s="52" t="s">
        <v>4314</v>
      </c>
      <c r="K17" s="52" t="s">
        <v>4314</v>
      </c>
      <c r="L17" s="33">
        <f>'Dados - Cliente'!I17</f>
        <v>0</v>
      </c>
      <c r="M17" s="33">
        <f>'Dados - Cliente'!K17</f>
        <v>0</v>
      </c>
      <c r="N17" s="33">
        <f>'Dados - Cliente'!L17</f>
        <v>0</v>
      </c>
      <c r="O17" s="33">
        <f>'Dados - Cliente'!M17</f>
        <v>0</v>
      </c>
      <c r="P17" s="33">
        <f>'Dados - Cliente'!N17</f>
        <v>0</v>
      </c>
      <c r="Q17" s="33">
        <f>'Dados - Cliente'!O17</f>
        <v>0</v>
      </c>
      <c r="R17" s="33">
        <f>'Dados - Cliente'!P17</f>
        <v>0</v>
      </c>
      <c r="S17" s="33">
        <f>'Dados - Cliente'!Q17</f>
        <v>0</v>
      </c>
      <c r="T17" s="33">
        <f>'Dados - Cliente'!R17</f>
        <v>0</v>
      </c>
      <c r="U17" s="34">
        <f>'Dados - Cliente'!S17</f>
        <v>0</v>
      </c>
      <c r="V17" s="34">
        <f>'Dados - Cliente'!T17</f>
        <v>0</v>
      </c>
      <c r="W17" s="34">
        <f>'Dados - Cliente'!U17</f>
        <v>0</v>
      </c>
      <c r="X17" s="34">
        <f>'Dados - Cliente'!V17</f>
        <v>0</v>
      </c>
      <c r="Y17" s="34">
        <f>'Dados - Cliente'!W17</f>
        <v>0</v>
      </c>
      <c r="Z17" s="34">
        <f>'Dados - Cliente'!X17</f>
        <v>0</v>
      </c>
      <c r="AA17" s="33" t="e">
        <f t="shared" si="5"/>
        <v>#N/A</v>
      </c>
      <c r="AB17" s="33">
        <f>'Dados - Cliente'!Y17</f>
        <v>0</v>
      </c>
      <c r="AC17" s="33">
        <f>'Dados - Cliente'!Z17</f>
        <v>0</v>
      </c>
      <c r="AD17" s="33">
        <f>'Dados - Cliente'!AA17</f>
        <v>0</v>
      </c>
      <c r="AE17" s="33">
        <f>'Dados - Cliente'!AB17</f>
        <v>0</v>
      </c>
      <c r="AF17" s="33">
        <f>'Dados - Cliente'!AC17</f>
        <v>0</v>
      </c>
      <c r="AG17" s="35">
        <f>'Dados - Cliente'!AD17</f>
        <v>0</v>
      </c>
      <c r="AH17" s="33" t="e">
        <f>INDEX('Dados - Placas'!$A:$A,MATCH('1'!AG17,'Dados - Placas'!$D:$D,0))</f>
        <v>#N/A</v>
      </c>
      <c r="AI17" s="35" t="e">
        <f>INDEX('Dados - Placas'!$E:$E,MATCH('1'!AG17,'Dados - Placas'!$D:$D,0))</f>
        <v>#N/A</v>
      </c>
      <c r="AJ17" s="34" t="e">
        <f>INDEX('Dados - Placas'!$F:$F,MATCH('1'!AG17,'Dados - Placas'!$D:$D,0))*AF17</f>
        <v>#N/A</v>
      </c>
      <c r="AK17" s="33">
        <f>'Dados - Cliente'!AE17</f>
        <v>0</v>
      </c>
      <c r="AL17" s="33">
        <f>'Dados - Cliente'!AF17</f>
        <v>0</v>
      </c>
      <c r="AM17" s="36" t="e">
        <f>INDEX('Dados - Inversores'!$A:$A,MATCH('1'!AL17,'Dados - Inversores'!$C:$C,0))</f>
        <v>#N/A</v>
      </c>
      <c r="AN17" s="33">
        <f>'Dados - Cliente'!AG17</f>
        <v>0</v>
      </c>
      <c r="AO17" s="33" t="e">
        <f>AA17*1.25/(0.22*SQRT(INDEX('Dados - Inversores'!AK:AK,MATCH('1'!AL17,'Dados - Inversores'!C:C,0))))</f>
        <v>#N/A</v>
      </c>
      <c r="AP17" s="34">
        <f>INDEX(Dados!$E$2:$E$33,COUNTIF(Dados!$E$2:$E$33,"&lt;="&amp;AN17*1.25/(INDEX('Dados - Inversores'!AL:AL,MATCH('1'!AL17,'Dados - Inversores'!C:C,0))*SQRT(INDEX('Dados - Inversores'!AK:AK,MATCH('1'!AL17,'Dados - Inversores'!C:C,0)))))+1)</f>
        <v>2</v>
      </c>
      <c r="AQ17" s="33" t="s">
        <v>59</v>
      </c>
      <c r="AR17" s="33" t="str">
        <f t="shared" si="6"/>
        <v>Micro</v>
      </c>
      <c r="AS17" s="33">
        <f>'Dados - Cliente'!AH17</f>
        <v>0</v>
      </c>
      <c r="AT17" s="33">
        <f>'Dados - Cliente'!AI17</f>
        <v>0</v>
      </c>
      <c r="AU17" s="33" t="e">
        <f>INDEX('Dados - Placas'!$N:$N,MATCH('1'!AG17,'Dados - Placas'!$D:$D,0))-1</f>
        <v>#N/A</v>
      </c>
      <c r="AV17" s="33" t="e">
        <f>INDEX('Dados - Placas'!$O:$O,MATCH('1'!AG17,'Dados - Placas'!$D:$D,0))</f>
        <v>#N/A</v>
      </c>
      <c r="AW17" s="33" t="e">
        <f>INDEX('Dados - Inversores'!AM:AM,MATCH('1'!AL17,'Dados - Inversores'!$C:$C,0))-1</f>
        <v>#N/A</v>
      </c>
      <c r="AX17" s="33" t="e">
        <f>INDEX('Dados - Inversores'!AN:AN,MATCH('1'!AL17,'Dados - Inversores'!$C:$C,0))-1</f>
        <v>#N/A</v>
      </c>
      <c r="AY17" s="33" t="e">
        <f>MATCH('1'!H17,Dados!$D$89:$D$167,0)+1</f>
        <v>#N/A</v>
      </c>
      <c r="AZ17" s="33" t="e">
        <f>MATCH('1'!N17,'Dados - Solicitação de acesso'!$N$2:$N$8,0)</f>
        <v>#N/A</v>
      </c>
      <c r="BA17" s="33" t="e">
        <f>MATCH('1'!T17,'Dados - Solicitação de acesso'!$T$2:$T$20,0)</f>
        <v>#N/A</v>
      </c>
      <c r="BB17" s="34"/>
      <c r="BC17" s="33">
        <f>MATCH(AT17,'Dados - Solicitação de acesso'!$AT$2:$AT$28,0)</f>
        <v>1</v>
      </c>
      <c r="BD17" s="33" t="b">
        <f>IF(O17="TRIFASICO",INDEX(Dados!G:G,MATCH('1'!AP17,Dados!E:E,0)),IF(O17="BIFASICO",INDEX(Dados!F:F,MATCH('1'!AP17,Dados!E:E,0),)))</f>
        <v>0</v>
      </c>
      <c r="BE17" s="33">
        <f>'Dados - Cliente'!J17</f>
        <v>0</v>
      </c>
      <c r="BF17" s="34">
        <f>INDEX(Dados!$E$2:$E$33,COUNTIF(Dados!$E$2:$E$33,"&lt;="&amp;AN17*1.25*AK17/(0.22*SQRT(INDEX('Dados - Inversores'!AK:AK,MATCH('1'!AL17,'Dados - Inversores'!C:C,0)))))+1)</f>
        <v>2</v>
      </c>
      <c r="BG17" s="34" t="b">
        <f>IF(O17="TRIFASICO",INDEX(Dados!G:G,MATCH(BF17,Dados!E:E,0)),IF(O17="BIFASICO",INDEX(Dados!F:F,MATCH(BF17,Dados!E:E,0),)))</f>
        <v>0</v>
      </c>
    </row>
    <row r="18" spans="1:59" s="33" customFormat="1" x14ac:dyDescent="0.35">
      <c r="A18" s="33">
        <f>'Dados - Cliente'!A18</f>
        <v>0</v>
      </c>
      <c r="B18" s="33">
        <f>'Dados - Cliente'!B18</f>
        <v>0</v>
      </c>
      <c r="C18" s="33">
        <f>'Dados - Cliente'!C18</f>
        <v>0</v>
      </c>
      <c r="D18" s="33">
        <f>'Dados - Cliente'!D18</f>
        <v>0</v>
      </c>
      <c r="E18" s="33">
        <f>'Dados - Cliente'!E18</f>
        <v>0</v>
      </c>
      <c r="F18" s="33">
        <f>'Dados - Cliente'!F18</f>
        <v>0</v>
      </c>
      <c r="G18" s="33">
        <f>'Dados - Cliente'!G18</f>
        <v>0</v>
      </c>
      <c r="H18" s="33">
        <f>'Dados - Cliente'!H18</f>
        <v>0</v>
      </c>
      <c r="I18" s="75" t="s">
        <v>4313</v>
      </c>
      <c r="J18" s="52" t="s">
        <v>4314</v>
      </c>
      <c r="K18" s="52" t="s">
        <v>4314</v>
      </c>
      <c r="L18" s="33">
        <f>'Dados - Cliente'!I18</f>
        <v>0</v>
      </c>
      <c r="M18" s="33">
        <f>'Dados - Cliente'!K18</f>
        <v>0</v>
      </c>
      <c r="N18" s="33">
        <f>'Dados - Cliente'!L18</f>
        <v>0</v>
      </c>
      <c r="O18" s="33">
        <f>'Dados - Cliente'!M18</f>
        <v>0</v>
      </c>
      <c r="P18" s="33">
        <f>'Dados - Cliente'!N18</f>
        <v>0</v>
      </c>
      <c r="Q18" s="33">
        <f>'Dados - Cliente'!O18</f>
        <v>0</v>
      </c>
      <c r="R18" s="33">
        <f>'Dados - Cliente'!P18</f>
        <v>0</v>
      </c>
      <c r="S18" s="33">
        <f>'Dados - Cliente'!Q18</f>
        <v>0</v>
      </c>
      <c r="T18" s="33">
        <f>'Dados - Cliente'!R18</f>
        <v>0</v>
      </c>
      <c r="U18" s="34">
        <f>'Dados - Cliente'!S18</f>
        <v>0</v>
      </c>
      <c r="V18" s="34">
        <f>'Dados - Cliente'!T18</f>
        <v>0</v>
      </c>
      <c r="W18" s="34">
        <f>'Dados - Cliente'!U18</f>
        <v>0</v>
      </c>
      <c r="X18" s="34">
        <f>'Dados - Cliente'!V18</f>
        <v>0</v>
      </c>
      <c r="Y18" s="34">
        <f>'Dados - Cliente'!W18</f>
        <v>0</v>
      </c>
      <c r="Z18" s="34">
        <f>'Dados - Cliente'!X18</f>
        <v>0</v>
      </c>
      <c r="AA18" s="33" t="e">
        <f t="shared" si="5"/>
        <v>#N/A</v>
      </c>
      <c r="AB18" s="33">
        <f>'Dados - Cliente'!Y18</f>
        <v>0</v>
      </c>
      <c r="AC18" s="33">
        <f>'Dados - Cliente'!Z18</f>
        <v>0</v>
      </c>
      <c r="AD18" s="33">
        <f>'Dados - Cliente'!AA18</f>
        <v>0</v>
      </c>
      <c r="AE18" s="33">
        <f>'Dados - Cliente'!AB18</f>
        <v>0</v>
      </c>
      <c r="AF18" s="33">
        <f>'Dados - Cliente'!AC18</f>
        <v>0</v>
      </c>
      <c r="AG18" s="35">
        <f>'Dados - Cliente'!AD18</f>
        <v>0</v>
      </c>
      <c r="AH18" s="33" t="e">
        <f>INDEX('Dados - Placas'!$A:$A,MATCH('1'!AG18,'Dados - Placas'!$D:$D,0))</f>
        <v>#N/A</v>
      </c>
      <c r="AI18" s="35" t="e">
        <f>INDEX('Dados - Placas'!$E:$E,MATCH('1'!AG18,'Dados - Placas'!$D:$D,0))</f>
        <v>#N/A</v>
      </c>
      <c r="AJ18" s="34" t="e">
        <f>INDEX('Dados - Placas'!$F:$F,MATCH('1'!AG18,'Dados - Placas'!$D:$D,0))*AF18</f>
        <v>#N/A</v>
      </c>
      <c r="AK18" s="33">
        <f>'Dados - Cliente'!AE18</f>
        <v>0</v>
      </c>
      <c r="AL18" s="33">
        <f>'Dados - Cliente'!AF18</f>
        <v>0</v>
      </c>
      <c r="AM18" s="36" t="e">
        <f>INDEX('Dados - Inversores'!$A:$A,MATCH('1'!AL18,'Dados - Inversores'!$C:$C,0))</f>
        <v>#N/A</v>
      </c>
      <c r="AN18" s="33">
        <f>'Dados - Cliente'!AG18</f>
        <v>0</v>
      </c>
      <c r="AO18" s="33" t="e">
        <f>AA18*1.25/(0.22*SQRT(INDEX('Dados - Inversores'!AK:AK,MATCH('1'!AL18,'Dados - Inversores'!C:C,0))))</f>
        <v>#N/A</v>
      </c>
      <c r="AP18" s="34">
        <f>INDEX(Dados!$E$2:$E$33,COUNTIF(Dados!$E$2:$E$33,"&lt;="&amp;AN18*1.25/(INDEX('Dados - Inversores'!AL:AL,MATCH('1'!AL18,'Dados - Inversores'!C:C,0))*SQRT(INDEX('Dados - Inversores'!AK:AK,MATCH('1'!AL18,'Dados - Inversores'!C:C,0)))))+1)</f>
        <v>2</v>
      </c>
      <c r="AQ18" s="33" t="s">
        <v>59</v>
      </c>
      <c r="AR18" s="33" t="str">
        <f t="shared" si="6"/>
        <v>Micro</v>
      </c>
      <c r="AS18" s="33">
        <f>'Dados - Cliente'!AH18</f>
        <v>0</v>
      </c>
      <c r="AT18" s="33">
        <f>'Dados - Cliente'!AI18</f>
        <v>0</v>
      </c>
      <c r="AU18" s="33" t="e">
        <f>INDEX('Dados - Placas'!$N:$N,MATCH('1'!AG18,'Dados - Placas'!$D:$D,0))-1</f>
        <v>#N/A</v>
      </c>
      <c r="AV18" s="33" t="e">
        <f>INDEX('Dados - Placas'!$O:$O,MATCH('1'!AG18,'Dados - Placas'!$D:$D,0))</f>
        <v>#N/A</v>
      </c>
      <c r="AW18" s="33" t="e">
        <f>INDEX('Dados - Inversores'!AM:AM,MATCH('1'!AL18,'Dados - Inversores'!$C:$C,0))-1</f>
        <v>#N/A</v>
      </c>
      <c r="AX18" s="33" t="e">
        <f>INDEX('Dados - Inversores'!AN:AN,MATCH('1'!AL18,'Dados - Inversores'!$C:$C,0))-1</f>
        <v>#N/A</v>
      </c>
      <c r="AY18" s="33" t="e">
        <f>MATCH('1'!H18,Dados!$D$89:$D$167,0)+1</f>
        <v>#N/A</v>
      </c>
      <c r="AZ18" s="33" t="e">
        <f>MATCH('1'!N18,'Dados - Solicitação de acesso'!$N$2:$N$8,0)</f>
        <v>#N/A</v>
      </c>
      <c r="BA18" s="33" t="e">
        <f>MATCH('1'!T18,'Dados - Solicitação de acesso'!$T$2:$T$20,0)</f>
        <v>#N/A</v>
      </c>
      <c r="BB18" s="34"/>
      <c r="BC18" s="33">
        <f>MATCH(AT18,'Dados - Solicitação de acesso'!$AT$2:$AT$28,0)</f>
        <v>1</v>
      </c>
      <c r="BD18" s="33" t="b">
        <f>IF(O18="TRIFASICO",INDEX(Dados!G:G,MATCH('1'!AP18,Dados!E:E,0)),IF(O18="BIFASICO",INDEX(Dados!F:F,MATCH('1'!AP18,Dados!E:E,0),)))</f>
        <v>0</v>
      </c>
      <c r="BE18" s="33">
        <f>'Dados - Cliente'!J18</f>
        <v>0</v>
      </c>
      <c r="BF18" s="34">
        <f>INDEX(Dados!$E$2:$E$33,COUNTIF(Dados!$E$2:$E$33,"&lt;="&amp;AN18*1.25*AK18/(0.22*SQRT(INDEX('Dados - Inversores'!AK:AK,MATCH('1'!AL18,'Dados - Inversores'!C:C,0)))))+1)</f>
        <v>2</v>
      </c>
      <c r="BG18" s="34" t="b">
        <f>IF(O18="TRIFASICO",INDEX(Dados!G:G,MATCH(BF18,Dados!E:E,0)),IF(O18="BIFASICO",INDEX(Dados!F:F,MATCH(BF18,Dados!E:E,0),)))</f>
        <v>0</v>
      </c>
    </row>
    <row r="19" spans="1:59" s="33" customFormat="1" x14ac:dyDescent="0.35">
      <c r="A19" s="33">
        <f>'Dados - Cliente'!A19</f>
        <v>0</v>
      </c>
      <c r="B19" s="33">
        <f>'Dados - Cliente'!B19</f>
        <v>0</v>
      </c>
      <c r="C19" s="33">
        <f>'Dados - Cliente'!C19</f>
        <v>0</v>
      </c>
      <c r="D19" s="33">
        <f>'Dados - Cliente'!D19</f>
        <v>0</v>
      </c>
      <c r="E19" s="33">
        <f>'Dados - Cliente'!E19</f>
        <v>0</v>
      </c>
      <c r="F19" s="33">
        <f>'Dados - Cliente'!F19</f>
        <v>0</v>
      </c>
      <c r="G19" s="33">
        <f>'Dados - Cliente'!G19</f>
        <v>0</v>
      </c>
      <c r="H19" s="33">
        <f>'Dados - Cliente'!H19</f>
        <v>0</v>
      </c>
      <c r="I19" s="75" t="s">
        <v>4313</v>
      </c>
      <c r="J19" s="52" t="s">
        <v>4314</v>
      </c>
      <c r="K19" s="52" t="s">
        <v>4314</v>
      </c>
      <c r="L19" s="33">
        <f>'Dados - Cliente'!I19</f>
        <v>0</v>
      </c>
      <c r="M19" s="33">
        <f>'Dados - Cliente'!K19</f>
        <v>0</v>
      </c>
      <c r="N19" s="33">
        <f>'Dados - Cliente'!L19</f>
        <v>0</v>
      </c>
      <c r="O19" s="33">
        <f>'Dados - Cliente'!M19</f>
        <v>0</v>
      </c>
      <c r="P19" s="33">
        <f>'Dados - Cliente'!N19</f>
        <v>0</v>
      </c>
      <c r="Q19" s="33">
        <f>'Dados - Cliente'!O19</f>
        <v>0</v>
      </c>
      <c r="R19" s="33">
        <f>'Dados - Cliente'!P19</f>
        <v>0</v>
      </c>
      <c r="S19" s="33">
        <f>'Dados - Cliente'!Q19</f>
        <v>0</v>
      </c>
      <c r="T19" s="33">
        <f>'Dados - Cliente'!R19</f>
        <v>0</v>
      </c>
      <c r="U19" s="34">
        <f>'Dados - Cliente'!S19</f>
        <v>0</v>
      </c>
      <c r="V19" s="34">
        <f>'Dados - Cliente'!T19</f>
        <v>0</v>
      </c>
      <c r="W19" s="34">
        <f>'Dados - Cliente'!U19</f>
        <v>0</v>
      </c>
      <c r="X19" s="34">
        <f>'Dados - Cliente'!V19</f>
        <v>0</v>
      </c>
      <c r="Y19" s="34">
        <f>'Dados - Cliente'!W19</f>
        <v>0</v>
      </c>
      <c r="Z19" s="34">
        <f>'Dados - Cliente'!X19</f>
        <v>0</v>
      </c>
      <c r="AA19" s="33" t="e">
        <f t="shared" si="5"/>
        <v>#N/A</v>
      </c>
      <c r="AB19" s="33">
        <f>'Dados - Cliente'!Y19</f>
        <v>0</v>
      </c>
      <c r="AC19" s="33">
        <f>'Dados - Cliente'!Z19</f>
        <v>0</v>
      </c>
      <c r="AD19" s="33">
        <f>'Dados - Cliente'!AA19</f>
        <v>0</v>
      </c>
      <c r="AE19" s="33">
        <f>'Dados - Cliente'!AB19</f>
        <v>0</v>
      </c>
      <c r="AF19" s="33">
        <f>'Dados - Cliente'!AC19</f>
        <v>0</v>
      </c>
      <c r="AG19" s="35">
        <f>'Dados - Cliente'!AD19</f>
        <v>0</v>
      </c>
      <c r="AH19" s="33" t="e">
        <f>INDEX('Dados - Placas'!$A:$A,MATCH('1'!AG19,'Dados - Placas'!$D:$D,0))</f>
        <v>#N/A</v>
      </c>
      <c r="AI19" s="35" t="e">
        <f>INDEX('Dados - Placas'!$E:$E,MATCH('1'!AG19,'Dados - Placas'!$D:$D,0))</f>
        <v>#N/A</v>
      </c>
      <c r="AJ19" s="34" t="e">
        <f>INDEX('Dados - Placas'!$F:$F,MATCH('1'!AG19,'Dados - Placas'!$D:$D,0))*AF19</f>
        <v>#N/A</v>
      </c>
      <c r="AK19" s="33">
        <f>'Dados - Cliente'!AE19</f>
        <v>0</v>
      </c>
      <c r="AL19" s="33">
        <f>'Dados - Cliente'!AF19</f>
        <v>0</v>
      </c>
      <c r="AM19" s="36" t="e">
        <f>INDEX('Dados - Inversores'!$A:$A,MATCH('1'!AL19,'Dados - Inversores'!$C:$C,0))</f>
        <v>#N/A</v>
      </c>
      <c r="AN19" s="33">
        <f>'Dados - Cliente'!AG19</f>
        <v>0</v>
      </c>
      <c r="AO19" s="33" t="e">
        <f>AA19*1.25/(0.22*SQRT(INDEX('Dados - Inversores'!AK:AK,MATCH('1'!AL19,'Dados - Inversores'!C:C,0))))</f>
        <v>#N/A</v>
      </c>
      <c r="AP19" s="34">
        <f>INDEX(Dados!$E$2:$E$33,COUNTIF(Dados!$E$2:$E$33,"&lt;="&amp;AN19*1.25/(INDEX('Dados - Inversores'!AL:AL,MATCH('1'!AL19,'Dados - Inversores'!C:C,0))*SQRT(INDEX('Dados - Inversores'!AK:AK,MATCH('1'!AL19,'Dados - Inversores'!C:C,0)))))+1)</f>
        <v>2</v>
      </c>
      <c r="AQ19" s="33" t="s">
        <v>59</v>
      </c>
      <c r="AR19" s="33" t="str">
        <f t="shared" si="6"/>
        <v>Micro</v>
      </c>
      <c r="AS19" s="33">
        <f>'Dados - Cliente'!AH19</f>
        <v>0</v>
      </c>
      <c r="AT19" s="33">
        <f>'Dados - Cliente'!AI19</f>
        <v>0</v>
      </c>
      <c r="AU19" s="33" t="e">
        <f>INDEX('Dados - Placas'!$N:$N,MATCH('1'!AG19,'Dados - Placas'!$D:$D,0))-1</f>
        <v>#N/A</v>
      </c>
      <c r="AV19" s="33" t="e">
        <f>INDEX('Dados - Placas'!$O:$O,MATCH('1'!AG19,'Dados - Placas'!$D:$D,0))</f>
        <v>#N/A</v>
      </c>
      <c r="AW19" s="33" t="e">
        <f>INDEX('Dados - Inversores'!AM:AM,MATCH('1'!AL19,'Dados - Inversores'!$C:$C,0))-1</f>
        <v>#N/A</v>
      </c>
      <c r="AX19" s="33" t="e">
        <f>INDEX('Dados - Inversores'!AN:AN,MATCH('1'!AL19,'Dados - Inversores'!$C:$C,0))-1</f>
        <v>#N/A</v>
      </c>
      <c r="AY19" s="33" t="e">
        <f>MATCH('1'!H19,Dados!$D$89:$D$167,0)+1</f>
        <v>#N/A</v>
      </c>
      <c r="AZ19" s="33" t="e">
        <f>MATCH('1'!N19,'Dados - Solicitação de acesso'!$N$2:$N$8,0)</f>
        <v>#N/A</v>
      </c>
      <c r="BA19" s="33" t="e">
        <f>MATCH('1'!T19,'Dados - Solicitação de acesso'!$T$2:$T$20,0)</f>
        <v>#N/A</v>
      </c>
      <c r="BB19" s="34"/>
      <c r="BC19" s="33">
        <f>MATCH(AT19,'Dados - Solicitação de acesso'!$AT$2:$AT$28,0)</f>
        <v>1</v>
      </c>
      <c r="BD19" s="33" t="b">
        <f>IF(O19="TRIFASICO",INDEX(Dados!G:G,MATCH('1'!AP19,Dados!E:E,0)),IF(O19="BIFASICO",INDEX(Dados!F:F,MATCH('1'!AP19,Dados!E:E,0),)))</f>
        <v>0</v>
      </c>
      <c r="BE19" s="33">
        <f>'Dados - Cliente'!J19</f>
        <v>0</v>
      </c>
      <c r="BF19" s="34">
        <f>INDEX(Dados!$E$2:$E$33,COUNTIF(Dados!$E$2:$E$33,"&lt;="&amp;AN19*1.25*AK19/(0.22*SQRT(INDEX('Dados - Inversores'!AK:AK,MATCH('1'!AL19,'Dados - Inversores'!C:C,0)))))+1)</f>
        <v>2</v>
      </c>
      <c r="BG19" s="34" t="b">
        <f>IF(O19="TRIFASICO",INDEX(Dados!G:G,MATCH(BF19,Dados!E:E,0)),IF(O19="BIFASICO",INDEX(Dados!F:F,MATCH(BF19,Dados!E:E,0),)))</f>
        <v>0</v>
      </c>
    </row>
    <row r="20" spans="1:59" s="33" customFormat="1" x14ac:dyDescent="0.35">
      <c r="A20" s="33">
        <f>'Dados - Cliente'!A20</f>
        <v>0</v>
      </c>
      <c r="B20" s="33">
        <f>'Dados - Cliente'!B20</f>
        <v>0</v>
      </c>
      <c r="C20" s="33">
        <f>'Dados - Cliente'!C20</f>
        <v>0</v>
      </c>
      <c r="D20" s="33">
        <f>'Dados - Cliente'!D20</f>
        <v>0</v>
      </c>
      <c r="E20" s="33">
        <f>'Dados - Cliente'!E20</f>
        <v>0</v>
      </c>
      <c r="F20" s="33">
        <f>'Dados - Cliente'!F20</f>
        <v>0</v>
      </c>
      <c r="G20" s="33">
        <f>'Dados - Cliente'!G20</f>
        <v>0</v>
      </c>
      <c r="H20" s="33">
        <f>'Dados - Cliente'!H20</f>
        <v>0</v>
      </c>
      <c r="I20" s="75" t="s">
        <v>4313</v>
      </c>
      <c r="J20" s="52" t="s">
        <v>4314</v>
      </c>
      <c r="K20" s="52" t="s">
        <v>4314</v>
      </c>
      <c r="L20" s="33">
        <f>'Dados - Cliente'!I20</f>
        <v>0</v>
      </c>
      <c r="M20" s="33">
        <f>'Dados - Cliente'!K20</f>
        <v>0</v>
      </c>
      <c r="N20" s="33">
        <f>'Dados - Cliente'!L20</f>
        <v>0</v>
      </c>
      <c r="O20" s="33">
        <f>'Dados - Cliente'!M20</f>
        <v>0</v>
      </c>
      <c r="P20" s="33">
        <f>'Dados - Cliente'!N20</f>
        <v>0</v>
      </c>
      <c r="Q20" s="33">
        <f>'Dados - Cliente'!O20</f>
        <v>0</v>
      </c>
      <c r="R20" s="33">
        <f>'Dados - Cliente'!P20</f>
        <v>0</v>
      </c>
      <c r="S20" s="33">
        <f>'Dados - Cliente'!Q20</f>
        <v>0</v>
      </c>
      <c r="T20" s="33">
        <f>'Dados - Cliente'!R20</f>
        <v>0</v>
      </c>
      <c r="U20" s="34">
        <f>'Dados - Cliente'!S20</f>
        <v>0</v>
      </c>
      <c r="V20" s="34">
        <f>'Dados - Cliente'!T20</f>
        <v>0</v>
      </c>
      <c r="W20" s="34">
        <f>'Dados - Cliente'!U20</f>
        <v>0</v>
      </c>
      <c r="X20" s="34">
        <f>'Dados - Cliente'!V20</f>
        <v>0</v>
      </c>
      <c r="Y20" s="34">
        <f>'Dados - Cliente'!W20</f>
        <v>0</v>
      </c>
      <c r="Z20" s="34">
        <f>'Dados - Cliente'!X20</f>
        <v>0</v>
      </c>
      <c r="AA20" s="33" t="e">
        <f t="shared" si="5"/>
        <v>#N/A</v>
      </c>
      <c r="AB20" s="33">
        <f>'Dados - Cliente'!Y20</f>
        <v>0</v>
      </c>
      <c r="AC20" s="33">
        <f>'Dados - Cliente'!Z20</f>
        <v>0</v>
      </c>
      <c r="AD20" s="33">
        <f>'Dados - Cliente'!AA20</f>
        <v>0</v>
      </c>
      <c r="AE20" s="33">
        <f>'Dados - Cliente'!AB20</f>
        <v>0</v>
      </c>
      <c r="AF20" s="33">
        <f>'Dados - Cliente'!AC20</f>
        <v>0</v>
      </c>
      <c r="AG20" s="35">
        <f>'Dados - Cliente'!AD20</f>
        <v>0</v>
      </c>
      <c r="AH20" s="33" t="e">
        <f>INDEX('Dados - Placas'!$A:$A,MATCH('1'!AG20,'Dados - Placas'!$D:$D,0))</f>
        <v>#N/A</v>
      </c>
      <c r="AI20" s="35" t="e">
        <f>INDEX('Dados - Placas'!$E:$E,MATCH('1'!AG20,'Dados - Placas'!$D:$D,0))</f>
        <v>#N/A</v>
      </c>
      <c r="AJ20" s="34" t="e">
        <f>INDEX('Dados - Placas'!$F:$F,MATCH('1'!AG20,'Dados - Placas'!$D:$D,0))*AF20</f>
        <v>#N/A</v>
      </c>
      <c r="AK20" s="33">
        <f>'Dados - Cliente'!AE20</f>
        <v>0</v>
      </c>
      <c r="AL20" s="33">
        <f>'Dados - Cliente'!AF20</f>
        <v>0</v>
      </c>
      <c r="AM20" s="36" t="e">
        <f>INDEX('Dados - Inversores'!$A:$A,MATCH('1'!AL20,'Dados - Inversores'!$C:$C,0))</f>
        <v>#N/A</v>
      </c>
      <c r="AN20" s="33">
        <f>'Dados - Cliente'!AG20</f>
        <v>0</v>
      </c>
      <c r="AO20" s="33" t="e">
        <f>AA20*1.25/(0.22*SQRT(INDEX('Dados - Inversores'!AK:AK,MATCH('1'!AL20,'Dados - Inversores'!C:C,0))))</f>
        <v>#N/A</v>
      </c>
      <c r="AP20" s="34">
        <f>INDEX(Dados!$E$2:$E$33,COUNTIF(Dados!$E$2:$E$33,"&lt;="&amp;AN20*1.25/(INDEX('Dados - Inversores'!AL:AL,MATCH('1'!AL20,'Dados - Inversores'!C:C,0))*SQRT(INDEX('Dados - Inversores'!AK:AK,MATCH('1'!AL20,'Dados - Inversores'!C:C,0)))))+1)</f>
        <v>2</v>
      </c>
      <c r="AQ20" s="33" t="s">
        <v>59</v>
      </c>
      <c r="AR20" s="33" t="str">
        <f t="shared" si="6"/>
        <v>Micro</v>
      </c>
      <c r="AS20" s="33">
        <f>'Dados - Cliente'!AH20</f>
        <v>0</v>
      </c>
      <c r="AT20" s="33">
        <f>'Dados - Cliente'!AI20</f>
        <v>0</v>
      </c>
      <c r="AU20" s="33" t="e">
        <f>INDEX('Dados - Placas'!$N:$N,MATCH('1'!AG20,'Dados - Placas'!$D:$D,0))-1</f>
        <v>#N/A</v>
      </c>
      <c r="AV20" s="33" t="e">
        <f>INDEX('Dados - Placas'!$O:$O,MATCH('1'!AG20,'Dados - Placas'!$D:$D,0))</f>
        <v>#N/A</v>
      </c>
      <c r="AW20" s="33" t="e">
        <f>INDEX('Dados - Inversores'!AM:AM,MATCH('1'!AL20,'Dados - Inversores'!$C:$C,0))-1</f>
        <v>#N/A</v>
      </c>
      <c r="AX20" s="33" t="e">
        <f>INDEX('Dados - Inversores'!AN:AN,MATCH('1'!AL20,'Dados - Inversores'!$C:$C,0))-1</f>
        <v>#N/A</v>
      </c>
      <c r="AY20" s="33" t="e">
        <f>MATCH('1'!H20,Dados!$D$89:$D$167,0)+1</f>
        <v>#N/A</v>
      </c>
      <c r="AZ20" s="33" t="e">
        <f>MATCH('1'!N20,'Dados - Solicitação de acesso'!$N$2:$N$8,0)</f>
        <v>#N/A</v>
      </c>
      <c r="BA20" s="33" t="e">
        <f>MATCH('1'!T20,'Dados - Solicitação de acesso'!$T$2:$T$20,0)</f>
        <v>#N/A</v>
      </c>
      <c r="BB20" s="34"/>
      <c r="BC20" s="33">
        <f>MATCH(AT20,'Dados - Solicitação de acesso'!$AT$2:$AT$28,0)</f>
        <v>1</v>
      </c>
      <c r="BD20" s="33" t="b">
        <f>IF(O20="TRIFASICO",INDEX(Dados!G:G,MATCH('1'!AP20,Dados!E:E,0)),IF(O20="BIFASICO",INDEX(Dados!F:F,MATCH('1'!AP20,Dados!E:E,0),)))</f>
        <v>0</v>
      </c>
      <c r="BE20" s="33">
        <f>'Dados - Cliente'!J20</f>
        <v>0</v>
      </c>
      <c r="BF20" s="34">
        <f>INDEX(Dados!$E$2:$E$33,COUNTIF(Dados!$E$2:$E$33,"&lt;="&amp;AN20*1.25*AK20/(0.22*SQRT(INDEX('Dados - Inversores'!AK:AK,MATCH('1'!AL20,'Dados - Inversores'!C:C,0)))))+1)</f>
        <v>2</v>
      </c>
      <c r="BG20" s="34" t="b">
        <f>IF(O20="TRIFASICO",INDEX(Dados!G:G,MATCH(BF20,Dados!E:E,0)),IF(O20="BIFASICO",INDEX(Dados!F:F,MATCH(BF20,Dados!E:E,0),)))</f>
        <v>0</v>
      </c>
    </row>
    <row r="21" spans="1:59" s="33" customFormat="1" x14ac:dyDescent="0.35">
      <c r="A21" s="33">
        <f>'Dados - Cliente'!A21</f>
        <v>0</v>
      </c>
      <c r="B21" s="33">
        <f>'Dados - Cliente'!B21</f>
        <v>0</v>
      </c>
      <c r="C21" s="33">
        <f>'Dados - Cliente'!C21</f>
        <v>0</v>
      </c>
      <c r="D21" s="33">
        <f>'Dados - Cliente'!D21</f>
        <v>0</v>
      </c>
      <c r="E21" s="33">
        <f>'Dados - Cliente'!E21</f>
        <v>0</v>
      </c>
      <c r="F21" s="33">
        <f>'Dados - Cliente'!F21</f>
        <v>0</v>
      </c>
      <c r="G21" s="33">
        <f>'Dados - Cliente'!G21</f>
        <v>0</v>
      </c>
      <c r="H21" s="33">
        <f>'Dados - Cliente'!H21</f>
        <v>0</v>
      </c>
      <c r="I21" s="75" t="s">
        <v>4313</v>
      </c>
      <c r="J21" s="52" t="s">
        <v>4314</v>
      </c>
      <c r="K21" s="52" t="s">
        <v>4314</v>
      </c>
      <c r="L21" s="33">
        <f>'Dados - Cliente'!I21</f>
        <v>0</v>
      </c>
      <c r="M21" s="33">
        <f>'Dados - Cliente'!K21</f>
        <v>0</v>
      </c>
      <c r="N21" s="33">
        <f>'Dados - Cliente'!L21</f>
        <v>0</v>
      </c>
      <c r="O21" s="33">
        <f>'Dados - Cliente'!M21</f>
        <v>0</v>
      </c>
      <c r="P21" s="33">
        <f>'Dados - Cliente'!N21</f>
        <v>0</v>
      </c>
      <c r="Q21" s="33">
        <f>'Dados - Cliente'!O21</f>
        <v>0</v>
      </c>
      <c r="R21" s="33">
        <f>'Dados - Cliente'!P21</f>
        <v>0</v>
      </c>
      <c r="S21" s="33">
        <f>'Dados - Cliente'!Q21</f>
        <v>0</v>
      </c>
      <c r="T21" s="33">
        <f>'Dados - Cliente'!R21</f>
        <v>0</v>
      </c>
      <c r="U21" s="34">
        <f>'Dados - Cliente'!S21</f>
        <v>0</v>
      </c>
      <c r="V21" s="34">
        <f>'Dados - Cliente'!T21</f>
        <v>0</v>
      </c>
      <c r="W21" s="34">
        <f>'Dados - Cliente'!U21</f>
        <v>0</v>
      </c>
      <c r="X21" s="34">
        <f>'Dados - Cliente'!V21</f>
        <v>0</v>
      </c>
      <c r="Y21" s="34">
        <f>'Dados - Cliente'!W21</f>
        <v>0</v>
      </c>
      <c r="Z21" s="34">
        <f>'Dados - Cliente'!X21</f>
        <v>0</v>
      </c>
      <c r="AA21" s="33" t="e">
        <f t="shared" si="5"/>
        <v>#N/A</v>
      </c>
      <c r="AB21" s="33">
        <f>'Dados - Cliente'!Y21</f>
        <v>0</v>
      </c>
      <c r="AC21" s="33">
        <f>'Dados - Cliente'!Z21</f>
        <v>0</v>
      </c>
      <c r="AD21" s="33">
        <f>'Dados - Cliente'!AA21</f>
        <v>0</v>
      </c>
      <c r="AE21" s="33">
        <f>'Dados - Cliente'!AB21</f>
        <v>0</v>
      </c>
      <c r="AF21" s="33">
        <f>'Dados - Cliente'!AC21</f>
        <v>0</v>
      </c>
      <c r="AG21" s="35">
        <f>'Dados - Cliente'!AD21</f>
        <v>0</v>
      </c>
      <c r="AH21" s="33" t="e">
        <f>INDEX('Dados - Placas'!$A:$A,MATCH('1'!AG21,'Dados - Placas'!$D:$D,0))</f>
        <v>#N/A</v>
      </c>
      <c r="AI21" s="35" t="e">
        <f>INDEX('Dados - Placas'!$E:$E,MATCH('1'!AG21,'Dados - Placas'!$D:$D,0))</f>
        <v>#N/A</v>
      </c>
      <c r="AJ21" s="34" t="e">
        <f>INDEX('Dados - Placas'!$F:$F,MATCH('1'!AG21,'Dados - Placas'!$D:$D,0))*AF21</f>
        <v>#N/A</v>
      </c>
      <c r="AK21" s="33">
        <f>'Dados - Cliente'!AE21</f>
        <v>0</v>
      </c>
      <c r="AL21" s="33">
        <f>'Dados - Cliente'!AF21</f>
        <v>0</v>
      </c>
      <c r="AM21" s="36" t="e">
        <f>INDEX('Dados - Inversores'!$A:$A,MATCH('1'!AL21,'Dados - Inversores'!$C:$C,0))</f>
        <v>#N/A</v>
      </c>
      <c r="AN21" s="33">
        <f>'Dados - Cliente'!AG21</f>
        <v>0</v>
      </c>
      <c r="AO21" s="33" t="e">
        <f>AA21*1.25/(0.22*SQRT(INDEX('Dados - Inversores'!AK:AK,MATCH('1'!AL21,'Dados - Inversores'!C:C,0))))</f>
        <v>#N/A</v>
      </c>
      <c r="AP21" s="34">
        <f>INDEX(Dados!$E$2:$E$33,COUNTIF(Dados!$E$2:$E$33,"&lt;="&amp;AN21*1.25/(INDEX('Dados - Inversores'!AL:AL,MATCH('1'!AL21,'Dados - Inversores'!C:C,0))*SQRT(INDEX('Dados - Inversores'!AK:AK,MATCH('1'!AL21,'Dados - Inversores'!C:C,0)))))+1)</f>
        <v>2</v>
      </c>
      <c r="AQ21" s="33" t="s">
        <v>59</v>
      </c>
      <c r="AR21" s="33" t="str">
        <f t="shared" si="6"/>
        <v>Micro</v>
      </c>
      <c r="AS21" s="33">
        <f>'Dados - Cliente'!AH21</f>
        <v>0</v>
      </c>
      <c r="AT21" s="33">
        <f>'Dados - Cliente'!AI21</f>
        <v>0</v>
      </c>
      <c r="AU21" s="33" t="e">
        <f>INDEX('Dados - Placas'!$N:$N,MATCH('1'!AG21,'Dados - Placas'!$D:$D,0))-1</f>
        <v>#N/A</v>
      </c>
      <c r="AV21" s="33" t="e">
        <f>INDEX('Dados - Placas'!$O:$O,MATCH('1'!AG21,'Dados - Placas'!$D:$D,0))</f>
        <v>#N/A</v>
      </c>
      <c r="AW21" s="33" t="e">
        <f>INDEX('Dados - Inversores'!AM:AM,MATCH('1'!AL21,'Dados - Inversores'!$C:$C,0))-1</f>
        <v>#N/A</v>
      </c>
      <c r="AX21" s="33" t="e">
        <f>INDEX('Dados - Inversores'!AN:AN,MATCH('1'!AL21,'Dados - Inversores'!$C:$C,0))-1</f>
        <v>#N/A</v>
      </c>
      <c r="AY21" s="33" t="e">
        <f>MATCH('1'!H21,Dados!$D$89:$D$167,0)+1</f>
        <v>#N/A</v>
      </c>
      <c r="AZ21" s="33" t="e">
        <f>MATCH('1'!N21,'Dados - Solicitação de acesso'!$N$2:$N$8,0)</f>
        <v>#N/A</v>
      </c>
      <c r="BA21" s="33" t="e">
        <f>MATCH('1'!T21,'Dados - Solicitação de acesso'!$T$2:$T$20,0)</f>
        <v>#N/A</v>
      </c>
      <c r="BB21" s="34"/>
      <c r="BC21" s="33">
        <f>MATCH(AT21,'Dados - Solicitação de acesso'!$AT$2:$AT$28,0)</f>
        <v>1</v>
      </c>
      <c r="BD21" s="33" t="b">
        <f>IF(O21="TRIFASICO",INDEX(Dados!G:G,MATCH('1'!AP21,Dados!E:E,0)),IF(O21="BIFASICO",INDEX(Dados!F:F,MATCH('1'!AP21,Dados!E:E,0),)))</f>
        <v>0</v>
      </c>
      <c r="BE21" s="33">
        <f>'Dados - Cliente'!J21</f>
        <v>0</v>
      </c>
      <c r="BF21" s="34">
        <f>INDEX(Dados!$E$2:$E$33,COUNTIF(Dados!$E$2:$E$33,"&lt;="&amp;AN21*1.25*AK21/(0.22*SQRT(INDEX('Dados - Inversores'!AK:AK,MATCH('1'!AL21,'Dados - Inversores'!C:C,0)))))+1)</f>
        <v>2</v>
      </c>
      <c r="BG21" s="34" t="b">
        <f>IF(O21="TRIFASICO",INDEX(Dados!G:G,MATCH(BF21,Dados!E:E,0)),IF(O21="BIFASICO",INDEX(Dados!F:F,MATCH(BF21,Dados!E:E,0),)))</f>
        <v>0</v>
      </c>
    </row>
    <row r="22" spans="1:59" s="33" customFormat="1" x14ac:dyDescent="0.35">
      <c r="A22" s="33">
        <f>'Dados - Cliente'!A22</f>
        <v>0</v>
      </c>
      <c r="B22" s="33">
        <f>'Dados - Cliente'!B22</f>
        <v>0</v>
      </c>
      <c r="C22" s="33">
        <f>'Dados - Cliente'!C22</f>
        <v>0</v>
      </c>
      <c r="D22" s="33">
        <f>'Dados - Cliente'!D22</f>
        <v>0</v>
      </c>
      <c r="E22" s="33">
        <f>'Dados - Cliente'!E22</f>
        <v>0</v>
      </c>
      <c r="F22" s="33">
        <f>'Dados - Cliente'!F22</f>
        <v>0</v>
      </c>
      <c r="G22" s="33">
        <f>'Dados - Cliente'!G22</f>
        <v>0</v>
      </c>
      <c r="H22" s="33">
        <f>'Dados - Cliente'!H22</f>
        <v>0</v>
      </c>
      <c r="I22" s="75" t="s">
        <v>4313</v>
      </c>
      <c r="J22" s="52" t="s">
        <v>4314</v>
      </c>
      <c r="K22" s="52" t="s">
        <v>4314</v>
      </c>
      <c r="L22" s="33">
        <f>'Dados - Cliente'!I22</f>
        <v>0</v>
      </c>
      <c r="M22" s="33">
        <f>'Dados - Cliente'!K22</f>
        <v>0</v>
      </c>
      <c r="N22" s="33">
        <f>'Dados - Cliente'!L22</f>
        <v>0</v>
      </c>
      <c r="O22" s="33">
        <f>'Dados - Cliente'!M22</f>
        <v>0</v>
      </c>
      <c r="P22" s="33">
        <f>'Dados - Cliente'!N22</f>
        <v>0</v>
      </c>
      <c r="Q22" s="33">
        <f>'Dados - Cliente'!O22</f>
        <v>0</v>
      </c>
      <c r="R22" s="33">
        <f>'Dados - Cliente'!P22</f>
        <v>0</v>
      </c>
      <c r="S22" s="33">
        <f>'Dados - Cliente'!Q22</f>
        <v>0</v>
      </c>
      <c r="T22" s="33">
        <f>'Dados - Cliente'!R22</f>
        <v>0</v>
      </c>
      <c r="U22" s="34">
        <f>'Dados - Cliente'!S22</f>
        <v>0</v>
      </c>
      <c r="V22" s="34">
        <f>'Dados - Cliente'!T22</f>
        <v>0</v>
      </c>
      <c r="W22" s="34">
        <f>'Dados - Cliente'!U22</f>
        <v>0</v>
      </c>
      <c r="X22" s="34">
        <f>'Dados - Cliente'!V22</f>
        <v>0</v>
      </c>
      <c r="Y22" s="34">
        <f>'Dados - Cliente'!W22</f>
        <v>0</v>
      </c>
      <c r="Z22" s="34">
        <f>'Dados - Cliente'!X22</f>
        <v>0</v>
      </c>
      <c r="AA22" s="33" t="e">
        <f t="shared" si="5"/>
        <v>#N/A</v>
      </c>
      <c r="AB22" s="33">
        <f>'Dados - Cliente'!Y22</f>
        <v>0</v>
      </c>
      <c r="AC22" s="33">
        <f>'Dados - Cliente'!Z22</f>
        <v>0</v>
      </c>
      <c r="AD22" s="33">
        <f>'Dados - Cliente'!AA22</f>
        <v>0</v>
      </c>
      <c r="AE22" s="33">
        <f>'Dados - Cliente'!AB22</f>
        <v>0</v>
      </c>
      <c r="AF22" s="33">
        <f>'Dados - Cliente'!AC22</f>
        <v>0</v>
      </c>
      <c r="AG22" s="35">
        <f>'Dados - Cliente'!AD22</f>
        <v>0</v>
      </c>
      <c r="AH22" s="33" t="e">
        <f>INDEX('Dados - Placas'!$A:$A,MATCH('1'!AG22,'Dados - Placas'!$D:$D,0))</f>
        <v>#N/A</v>
      </c>
      <c r="AI22" s="35" t="e">
        <f>INDEX('Dados - Placas'!$E:$E,MATCH('1'!AG22,'Dados - Placas'!$D:$D,0))</f>
        <v>#N/A</v>
      </c>
      <c r="AJ22" s="34" t="e">
        <f>INDEX('Dados - Placas'!$F:$F,MATCH('1'!AG22,'Dados - Placas'!$D:$D,0))*AF22</f>
        <v>#N/A</v>
      </c>
      <c r="AK22" s="33">
        <f>'Dados - Cliente'!AE22</f>
        <v>0</v>
      </c>
      <c r="AL22" s="33">
        <f>'Dados - Cliente'!AF22</f>
        <v>0</v>
      </c>
      <c r="AM22" s="36" t="e">
        <f>INDEX('Dados - Inversores'!$A:$A,MATCH('1'!AL22,'Dados - Inversores'!$C:$C,0))</f>
        <v>#N/A</v>
      </c>
      <c r="AN22" s="33">
        <f>'Dados - Cliente'!AG22</f>
        <v>0</v>
      </c>
      <c r="AO22" s="33" t="e">
        <f>AA22*1.25/(0.22*SQRT(INDEX('Dados - Inversores'!AK:AK,MATCH('1'!AL22,'Dados - Inversores'!C:C,0))))</f>
        <v>#N/A</v>
      </c>
      <c r="AP22" s="34">
        <f>INDEX(Dados!$E$2:$E$33,COUNTIF(Dados!$E$2:$E$33,"&lt;="&amp;AN22*1.25/(INDEX('Dados - Inversores'!AL:AL,MATCH('1'!AL22,'Dados - Inversores'!C:C,0))*SQRT(INDEX('Dados - Inversores'!AK:AK,MATCH('1'!AL22,'Dados - Inversores'!C:C,0)))))+1)</f>
        <v>2</v>
      </c>
      <c r="AQ22" s="33" t="s">
        <v>59</v>
      </c>
      <c r="AR22" s="33" t="str">
        <f t="shared" si="6"/>
        <v>Micro</v>
      </c>
      <c r="AS22" s="33">
        <f>'Dados - Cliente'!AH22</f>
        <v>0</v>
      </c>
      <c r="AT22" s="33">
        <f>'Dados - Cliente'!AI22</f>
        <v>0</v>
      </c>
      <c r="AU22" s="33" t="e">
        <f>INDEX('Dados - Placas'!$N:$N,MATCH('1'!AG22,'Dados - Placas'!$D:$D,0))-1</f>
        <v>#N/A</v>
      </c>
      <c r="AV22" s="33" t="e">
        <f>INDEX('Dados - Placas'!$O:$O,MATCH('1'!AG22,'Dados - Placas'!$D:$D,0))</f>
        <v>#N/A</v>
      </c>
      <c r="AW22" s="33" t="e">
        <f>INDEX('Dados - Inversores'!AM:AM,MATCH('1'!AL22,'Dados - Inversores'!$C:$C,0))-1</f>
        <v>#N/A</v>
      </c>
      <c r="AX22" s="33" t="e">
        <f>INDEX('Dados - Inversores'!AN:AN,MATCH('1'!AL22,'Dados - Inversores'!$C:$C,0))-1</f>
        <v>#N/A</v>
      </c>
      <c r="AY22" s="33" t="e">
        <f>MATCH('1'!H22,Dados!$D$89:$D$167,0)+1</f>
        <v>#N/A</v>
      </c>
      <c r="AZ22" s="33" t="e">
        <f>MATCH('1'!N22,'Dados - Solicitação de acesso'!$N$2:$N$8,0)</f>
        <v>#N/A</v>
      </c>
      <c r="BA22" s="33" t="e">
        <f>MATCH('1'!T22,'Dados - Solicitação de acesso'!$T$2:$T$20,0)</f>
        <v>#N/A</v>
      </c>
      <c r="BB22" s="34"/>
      <c r="BC22" s="33">
        <f>MATCH(AT22,'Dados - Solicitação de acesso'!$AT$2:$AT$28,0)</f>
        <v>1</v>
      </c>
      <c r="BD22" s="33" t="b">
        <f>IF(O22="TRIFASICO",INDEX(Dados!G:G,MATCH('1'!AP22,Dados!E:E,0)),IF(O22="BIFASICO",INDEX(Dados!F:F,MATCH('1'!AP22,Dados!E:E,0),)))</f>
        <v>0</v>
      </c>
      <c r="BE22" s="33">
        <f>'Dados - Cliente'!J22</f>
        <v>0</v>
      </c>
      <c r="BF22" s="34">
        <f>INDEX(Dados!$E$2:$E$33,COUNTIF(Dados!$E$2:$E$33,"&lt;="&amp;AN22*1.25*AK22/(0.22*SQRT(INDEX('Dados - Inversores'!AK:AK,MATCH('1'!AL22,'Dados - Inversores'!C:C,0)))))+1)</f>
        <v>2</v>
      </c>
      <c r="BG22" s="34" t="b">
        <f>IF(O22="TRIFASICO",INDEX(Dados!G:G,MATCH(BF22,Dados!E:E,0)),IF(O22="BIFASICO",INDEX(Dados!F:F,MATCH(BF22,Dados!E:E,0),)))</f>
        <v>0</v>
      </c>
    </row>
    <row r="23" spans="1:59" s="33" customFormat="1" x14ac:dyDescent="0.35">
      <c r="A23" s="33">
        <f>'Dados - Cliente'!A23</f>
        <v>0</v>
      </c>
      <c r="B23" s="33">
        <f>'Dados - Cliente'!B23</f>
        <v>0</v>
      </c>
      <c r="C23" s="33">
        <f>'Dados - Cliente'!C23</f>
        <v>0</v>
      </c>
      <c r="D23" s="33">
        <f>'Dados - Cliente'!D23</f>
        <v>0</v>
      </c>
      <c r="E23" s="33">
        <f>'Dados - Cliente'!E23</f>
        <v>0</v>
      </c>
      <c r="F23" s="33">
        <f>'Dados - Cliente'!F23</f>
        <v>0</v>
      </c>
      <c r="G23" s="33">
        <f>'Dados - Cliente'!G23</f>
        <v>0</v>
      </c>
      <c r="H23" s="33">
        <f>'Dados - Cliente'!H23</f>
        <v>0</v>
      </c>
      <c r="I23" s="75" t="s">
        <v>4313</v>
      </c>
      <c r="J23" s="52" t="s">
        <v>4314</v>
      </c>
      <c r="K23" s="52" t="s">
        <v>4314</v>
      </c>
      <c r="L23" s="33">
        <f>'Dados - Cliente'!I23</f>
        <v>0</v>
      </c>
      <c r="M23" s="33">
        <f>'Dados - Cliente'!K23</f>
        <v>0</v>
      </c>
      <c r="N23" s="33">
        <f>'Dados - Cliente'!L23</f>
        <v>0</v>
      </c>
      <c r="O23" s="33">
        <f>'Dados - Cliente'!M23</f>
        <v>0</v>
      </c>
      <c r="P23" s="33">
        <f>'Dados - Cliente'!N23</f>
        <v>0</v>
      </c>
      <c r="Q23" s="33">
        <f>'Dados - Cliente'!O23</f>
        <v>0</v>
      </c>
      <c r="R23" s="33">
        <f>'Dados - Cliente'!P23</f>
        <v>0</v>
      </c>
      <c r="S23" s="33">
        <f>'Dados - Cliente'!Q23</f>
        <v>0</v>
      </c>
      <c r="T23" s="33">
        <f>'Dados - Cliente'!R23</f>
        <v>0</v>
      </c>
      <c r="U23" s="34">
        <f>'Dados - Cliente'!S23</f>
        <v>0</v>
      </c>
      <c r="V23" s="34">
        <f>'Dados - Cliente'!T23</f>
        <v>0</v>
      </c>
      <c r="W23" s="34">
        <f>'Dados - Cliente'!U23</f>
        <v>0</v>
      </c>
      <c r="X23" s="34">
        <f>'Dados - Cliente'!V23</f>
        <v>0</v>
      </c>
      <c r="Y23" s="34">
        <f>'Dados - Cliente'!W23</f>
        <v>0</v>
      </c>
      <c r="Z23" s="34">
        <f>'Dados - Cliente'!X23</f>
        <v>0</v>
      </c>
      <c r="AA23" s="33" t="e">
        <f t="shared" si="5"/>
        <v>#N/A</v>
      </c>
      <c r="AB23" s="33">
        <f>'Dados - Cliente'!Y23</f>
        <v>0</v>
      </c>
      <c r="AC23" s="33">
        <f>'Dados - Cliente'!Z23</f>
        <v>0</v>
      </c>
      <c r="AD23" s="33">
        <f>'Dados - Cliente'!AA23</f>
        <v>0</v>
      </c>
      <c r="AE23" s="33">
        <f>'Dados - Cliente'!AB23</f>
        <v>0</v>
      </c>
      <c r="AF23" s="33">
        <f>'Dados - Cliente'!AC23</f>
        <v>0</v>
      </c>
      <c r="AG23" s="35">
        <f>'Dados - Cliente'!AD23</f>
        <v>0</v>
      </c>
      <c r="AH23" s="33" t="e">
        <f>INDEX('Dados - Placas'!$A:$A,MATCH('1'!AG23,'Dados - Placas'!$D:$D,0))</f>
        <v>#N/A</v>
      </c>
      <c r="AI23" s="35" t="e">
        <f>INDEX('Dados - Placas'!$E:$E,MATCH('1'!AG23,'Dados - Placas'!$D:$D,0))</f>
        <v>#N/A</v>
      </c>
      <c r="AJ23" s="34" t="e">
        <f>INDEX('Dados - Placas'!$F:$F,MATCH('1'!AG23,'Dados - Placas'!$D:$D,0))*AF23</f>
        <v>#N/A</v>
      </c>
      <c r="AK23" s="33">
        <f>'Dados - Cliente'!AE23</f>
        <v>0</v>
      </c>
      <c r="AL23" s="33">
        <f>'Dados - Cliente'!AF23</f>
        <v>0</v>
      </c>
      <c r="AM23" s="36" t="e">
        <f>INDEX('Dados - Inversores'!$A:$A,MATCH('1'!AL23,'Dados - Inversores'!$C:$C,0))</f>
        <v>#N/A</v>
      </c>
      <c r="AN23" s="33">
        <f>'Dados - Cliente'!AG23</f>
        <v>0</v>
      </c>
      <c r="AO23" s="33" t="e">
        <f>AA23*1.25/(0.22*SQRT(INDEX('Dados - Inversores'!AK:AK,MATCH('1'!AL23,'Dados - Inversores'!C:C,0))))</f>
        <v>#N/A</v>
      </c>
      <c r="AP23" s="34">
        <f>INDEX(Dados!$E$2:$E$33,COUNTIF(Dados!$E$2:$E$33,"&lt;="&amp;AN23*1.25/(INDEX('Dados - Inversores'!AL:AL,MATCH('1'!AL23,'Dados - Inversores'!C:C,0))*SQRT(INDEX('Dados - Inversores'!AK:AK,MATCH('1'!AL23,'Dados - Inversores'!C:C,0)))))+1)</f>
        <v>2</v>
      </c>
      <c r="AQ23" s="33" t="s">
        <v>59</v>
      </c>
      <c r="AR23" s="33" t="str">
        <f t="shared" si="6"/>
        <v>Micro</v>
      </c>
      <c r="AS23" s="33">
        <f>'Dados - Cliente'!AH23</f>
        <v>0</v>
      </c>
      <c r="AT23" s="33">
        <f>'Dados - Cliente'!AI23</f>
        <v>0</v>
      </c>
      <c r="AU23" s="33" t="e">
        <f>INDEX('Dados - Placas'!$N:$N,MATCH('1'!AG23,'Dados - Placas'!$D:$D,0))-1</f>
        <v>#N/A</v>
      </c>
      <c r="AV23" s="33" t="e">
        <f>INDEX('Dados - Placas'!$O:$O,MATCH('1'!AG23,'Dados - Placas'!$D:$D,0))</f>
        <v>#N/A</v>
      </c>
      <c r="AW23" s="33" t="e">
        <f>INDEX('Dados - Inversores'!AM:AM,MATCH('1'!AL23,'Dados - Inversores'!$C:$C,0))-1</f>
        <v>#N/A</v>
      </c>
      <c r="AX23" s="33" t="e">
        <f>INDEX('Dados - Inversores'!AN:AN,MATCH('1'!AL23,'Dados - Inversores'!$C:$C,0))-1</f>
        <v>#N/A</v>
      </c>
      <c r="AY23" s="33" t="e">
        <f>MATCH('1'!H23,Dados!$D$89:$D$167,0)+1</f>
        <v>#N/A</v>
      </c>
      <c r="AZ23" s="33" t="e">
        <f>MATCH('1'!N23,'Dados - Solicitação de acesso'!$N$2:$N$8,0)</f>
        <v>#N/A</v>
      </c>
      <c r="BA23" s="33" t="e">
        <f>MATCH('1'!T23,'Dados - Solicitação de acesso'!$T$2:$T$20,0)</f>
        <v>#N/A</v>
      </c>
      <c r="BB23" s="34"/>
      <c r="BC23" s="33">
        <f>MATCH(AT23,'Dados - Solicitação de acesso'!$AT$2:$AT$28,0)</f>
        <v>1</v>
      </c>
      <c r="BD23" s="33" t="b">
        <f>IF(O23="TRIFASICO",INDEX(Dados!G:G,MATCH('1'!AP23,Dados!E:E,0)),IF(O23="BIFASICO",INDEX(Dados!F:F,MATCH('1'!AP23,Dados!E:E,0),)))</f>
        <v>0</v>
      </c>
      <c r="BE23" s="33">
        <f>'Dados - Cliente'!J23</f>
        <v>0</v>
      </c>
      <c r="BF23" s="34">
        <f>INDEX(Dados!$E$2:$E$33,COUNTIF(Dados!$E$2:$E$33,"&lt;="&amp;AN23*1.25*AK23/(0.22*SQRT(INDEX('Dados - Inversores'!AK:AK,MATCH('1'!AL23,'Dados - Inversores'!C:C,0)))))+1)</f>
        <v>2</v>
      </c>
      <c r="BG23" s="34" t="b">
        <f>IF(O23="TRIFASICO",INDEX(Dados!G:G,MATCH(BF23,Dados!E:E,0)),IF(O23="BIFASICO",INDEX(Dados!F:F,MATCH(BF23,Dados!E:E,0),)))</f>
        <v>0</v>
      </c>
    </row>
    <row r="24" spans="1:59" s="33" customFormat="1" x14ac:dyDescent="0.35">
      <c r="A24" s="33">
        <f>'Dados - Cliente'!A24</f>
        <v>0</v>
      </c>
      <c r="B24" s="33">
        <f>'Dados - Cliente'!B24</f>
        <v>0</v>
      </c>
      <c r="C24" s="33">
        <f>'Dados - Cliente'!C24</f>
        <v>0</v>
      </c>
      <c r="D24" s="33">
        <f>'Dados - Cliente'!D24</f>
        <v>0</v>
      </c>
      <c r="E24" s="33">
        <f>'Dados - Cliente'!E24</f>
        <v>0</v>
      </c>
      <c r="F24" s="33">
        <f>'Dados - Cliente'!F24</f>
        <v>0</v>
      </c>
      <c r="G24" s="33">
        <f>'Dados - Cliente'!G24</f>
        <v>0</v>
      </c>
      <c r="H24" s="33">
        <f>'Dados - Cliente'!H24</f>
        <v>0</v>
      </c>
      <c r="I24" s="75" t="s">
        <v>4313</v>
      </c>
      <c r="J24" s="52" t="s">
        <v>4314</v>
      </c>
      <c r="K24" s="52" t="s">
        <v>4314</v>
      </c>
      <c r="L24" s="33">
        <f>'Dados - Cliente'!I24</f>
        <v>0</v>
      </c>
      <c r="M24" s="33">
        <f>'Dados - Cliente'!K24</f>
        <v>0</v>
      </c>
      <c r="N24" s="33">
        <f>'Dados - Cliente'!L24</f>
        <v>0</v>
      </c>
      <c r="O24" s="33">
        <f>'Dados - Cliente'!M24</f>
        <v>0</v>
      </c>
      <c r="P24" s="33">
        <f>'Dados - Cliente'!N24</f>
        <v>0</v>
      </c>
      <c r="Q24" s="33">
        <f>'Dados - Cliente'!O24</f>
        <v>0</v>
      </c>
      <c r="R24" s="33">
        <f>'Dados - Cliente'!P24</f>
        <v>0</v>
      </c>
      <c r="S24" s="33">
        <f>'Dados - Cliente'!Q24</f>
        <v>0</v>
      </c>
      <c r="T24" s="33">
        <f>'Dados - Cliente'!R24</f>
        <v>0</v>
      </c>
      <c r="U24" s="34">
        <f>'Dados - Cliente'!S24</f>
        <v>0</v>
      </c>
      <c r="V24" s="34">
        <f>'Dados - Cliente'!T24</f>
        <v>0</v>
      </c>
      <c r="W24" s="34">
        <f>'Dados - Cliente'!U24</f>
        <v>0</v>
      </c>
      <c r="X24" s="34">
        <f>'Dados - Cliente'!V24</f>
        <v>0</v>
      </c>
      <c r="Y24" s="34">
        <f>'Dados - Cliente'!W24</f>
        <v>0</v>
      </c>
      <c r="Z24" s="34">
        <f>'Dados - Cliente'!X24</f>
        <v>0</v>
      </c>
      <c r="AA24" s="33" t="e">
        <f t="shared" si="5"/>
        <v>#N/A</v>
      </c>
      <c r="AB24" s="33">
        <f>'Dados - Cliente'!Y24</f>
        <v>0</v>
      </c>
      <c r="AC24" s="33">
        <f>'Dados - Cliente'!Z24</f>
        <v>0</v>
      </c>
      <c r="AD24" s="33">
        <f>'Dados - Cliente'!AA24</f>
        <v>0</v>
      </c>
      <c r="AE24" s="33">
        <f>'Dados - Cliente'!AB24</f>
        <v>0</v>
      </c>
      <c r="AF24" s="33">
        <f>'Dados - Cliente'!AC24</f>
        <v>0</v>
      </c>
      <c r="AG24" s="35">
        <f>'Dados - Cliente'!AD24</f>
        <v>0</v>
      </c>
      <c r="AH24" s="33" t="e">
        <f>INDEX('Dados - Placas'!$A:$A,MATCH('1'!AG24,'Dados - Placas'!$D:$D,0))</f>
        <v>#N/A</v>
      </c>
      <c r="AI24" s="35" t="e">
        <f>INDEX('Dados - Placas'!$E:$E,MATCH('1'!AG24,'Dados - Placas'!$D:$D,0))</f>
        <v>#N/A</v>
      </c>
      <c r="AJ24" s="34" t="e">
        <f>INDEX('Dados - Placas'!$F:$F,MATCH('1'!AG24,'Dados - Placas'!$D:$D,0))*AF24</f>
        <v>#N/A</v>
      </c>
      <c r="AK24" s="33">
        <f>'Dados - Cliente'!AE24</f>
        <v>0</v>
      </c>
      <c r="AL24" s="33">
        <f>'Dados - Cliente'!AF24</f>
        <v>0</v>
      </c>
      <c r="AM24" s="36" t="e">
        <f>INDEX('Dados - Inversores'!$A:$A,MATCH('1'!AL24,'Dados - Inversores'!$C:$C,0))</f>
        <v>#N/A</v>
      </c>
      <c r="AN24" s="33">
        <f>'Dados - Cliente'!AG24</f>
        <v>0</v>
      </c>
      <c r="AO24" s="33" t="e">
        <f>AA24*1.25/(0.22*SQRT(INDEX('Dados - Inversores'!AK:AK,MATCH('1'!AL24,'Dados - Inversores'!C:C,0))))</f>
        <v>#N/A</v>
      </c>
      <c r="AP24" s="34">
        <f>INDEX(Dados!$E$2:$E$33,COUNTIF(Dados!$E$2:$E$33,"&lt;="&amp;AN24*1.25/(INDEX('Dados - Inversores'!AL:AL,MATCH('1'!AL24,'Dados - Inversores'!C:C,0))*SQRT(INDEX('Dados - Inversores'!AK:AK,MATCH('1'!AL24,'Dados - Inversores'!C:C,0)))))+1)</f>
        <v>2</v>
      </c>
      <c r="AQ24" s="33" t="s">
        <v>59</v>
      </c>
      <c r="AR24" s="33" t="str">
        <f t="shared" si="6"/>
        <v>Micro</v>
      </c>
      <c r="AS24" s="33">
        <f>'Dados - Cliente'!AH24</f>
        <v>0</v>
      </c>
      <c r="AT24" s="33">
        <f>'Dados - Cliente'!AI24</f>
        <v>0</v>
      </c>
      <c r="AU24" s="33" t="e">
        <f>INDEX('Dados - Placas'!$N:$N,MATCH('1'!AG24,'Dados - Placas'!$D:$D,0))-1</f>
        <v>#N/A</v>
      </c>
      <c r="AV24" s="33" t="e">
        <f>INDEX('Dados - Placas'!$O:$O,MATCH('1'!AG24,'Dados - Placas'!$D:$D,0))</f>
        <v>#N/A</v>
      </c>
      <c r="AW24" s="33" t="e">
        <f>INDEX('Dados - Inversores'!AM:AM,MATCH('1'!AL24,'Dados - Inversores'!$C:$C,0))-1</f>
        <v>#N/A</v>
      </c>
      <c r="AX24" s="33" t="e">
        <f>INDEX('Dados - Inversores'!AN:AN,MATCH('1'!AL24,'Dados - Inversores'!$C:$C,0))-1</f>
        <v>#N/A</v>
      </c>
      <c r="AY24" s="33" t="e">
        <f>MATCH('1'!H24,Dados!$D$89:$D$167,0)+1</f>
        <v>#N/A</v>
      </c>
      <c r="AZ24" s="33" t="e">
        <f>MATCH('1'!N24,'Dados - Solicitação de acesso'!$N$2:$N$8,0)</f>
        <v>#N/A</v>
      </c>
      <c r="BA24" s="33" t="e">
        <f>MATCH('1'!T24,'Dados - Solicitação de acesso'!$T$2:$T$20,0)</f>
        <v>#N/A</v>
      </c>
      <c r="BB24" s="34"/>
      <c r="BC24" s="33">
        <f>MATCH(AT24,'Dados - Solicitação de acesso'!$AT$2:$AT$28,0)</f>
        <v>1</v>
      </c>
      <c r="BD24" s="33" t="b">
        <f>IF(O24="TRIFASICO",INDEX(Dados!G:G,MATCH('1'!AP24,Dados!E:E,0)),IF(O24="BIFASICO",INDEX(Dados!F:F,MATCH('1'!AP24,Dados!E:E,0),)))</f>
        <v>0</v>
      </c>
      <c r="BE24" s="33">
        <f>'Dados - Cliente'!J24</f>
        <v>0</v>
      </c>
      <c r="BF24" s="34">
        <f>INDEX(Dados!$E$2:$E$33,COUNTIF(Dados!$E$2:$E$33,"&lt;="&amp;AN24*1.25*AK24/(0.22*SQRT(INDEX('Dados - Inversores'!AK:AK,MATCH('1'!AL24,'Dados - Inversores'!C:C,0)))))+1)</f>
        <v>2</v>
      </c>
      <c r="BG24" s="34" t="b">
        <f>IF(O24="TRIFASICO",INDEX(Dados!G:G,MATCH(BF24,Dados!E:E,0)),IF(O24="BIFASICO",INDEX(Dados!F:F,MATCH(BF24,Dados!E:E,0),)))</f>
        <v>0</v>
      </c>
    </row>
    <row r="25" spans="1:59" s="33" customFormat="1" x14ac:dyDescent="0.35">
      <c r="A25" s="33">
        <f>'Dados - Cliente'!A25</f>
        <v>0</v>
      </c>
      <c r="B25" s="33">
        <f>'Dados - Cliente'!B25</f>
        <v>0</v>
      </c>
      <c r="C25" s="33">
        <f>'Dados - Cliente'!C25</f>
        <v>0</v>
      </c>
      <c r="D25" s="33">
        <f>'Dados - Cliente'!D25</f>
        <v>0</v>
      </c>
      <c r="E25" s="33">
        <f>'Dados - Cliente'!E25</f>
        <v>0</v>
      </c>
      <c r="F25" s="33">
        <f>'Dados - Cliente'!F25</f>
        <v>0</v>
      </c>
      <c r="G25" s="33">
        <f>'Dados - Cliente'!G25</f>
        <v>0</v>
      </c>
      <c r="H25" s="33">
        <f>'Dados - Cliente'!H25</f>
        <v>0</v>
      </c>
      <c r="I25" s="75" t="s">
        <v>4313</v>
      </c>
      <c r="J25" s="52" t="s">
        <v>4314</v>
      </c>
      <c r="K25" s="52" t="s">
        <v>4314</v>
      </c>
      <c r="L25" s="33">
        <f>'Dados - Cliente'!I25</f>
        <v>0</v>
      </c>
      <c r="M25" s="33">
        <f>'Dados - Cliente'!K25</f>
        <v>0</v>
      </c>
      <c r="N25" s="33">
        <f>'Dados - Cliente'!L25</f>
        <v>0</v>
      </c>
      <c r="O25" s="33">
        <f>'Dados - Cliente'!M25</f>
        <v>0</v>
      </c>
      <c r="P25" s="33">
        <f>'Dados - Cliente'!N25</f>
        <v>0</v>
      </c>
      <c r="Q25" s="33">
        <f>'Dados - Cliente'!O25</f>
        <v>0</v>
      </c>
      <c r="R25" s="33">
        <f>'Dados - Cliente'!P25</f>
        <v>0</v>
      </c>
      <c r="S25" s="33">
        <f>'Dados - Cliente'!Q25</f>
        <v>0</v>
      </c>
      <c r="T25" s="33">
        <f>'Dados - Cliente'!R25</f>
        <v>0</v>
      </c>
      <c r="U25" s="34">
        <f>'Dados - Cliente'!S25</f>
        <v>0</v>
      </c>
      <c r="V25" s="34">
        <f>'Dados - Cliente'!T25</f>
        <v>0</v>
      </c>
      <c r="W25" s="34">
        <f>'Dados - Cliente'!U25</f>
        <v>0</v>
      </c>
      <c r="X25" s="34">
        <f>'Dados - Cliente'!V25</f>
        <v>0</v>
      </c>
      <c r="Y25" s="34">
        <f>'Dados - Cliente'!W25</f>
        <v>0</v>
      </c>
      <c r="Z25" s="34">
        <f>'Dados - Cliente'!X25</f>
        <v>0</v>
      </c>
      <c r="AA25" s="33" t="e">
        <f t="shared" si="5"/>
        <v>#N/A</v>
      </c>
      <c r="AB25" s="33">
        <f>'Dados - Cliente'!Y25</f>
        <v>0</v>
      </c>
      <c r="AC25" s="33">
        <f>'Dados - Cliente'!Z25</f>
        <v>0</v>
      </c>
      <c r="AD25" s="33">
        <f>'Dados - Cliente'!AA25</f>
        <v>0</v>
      </c>
      <c r="AE25" s="33">
        <f>'Dados - Cliente'!AB25</f>
        <v>0</v>
      </c>
      <c r="AF25" s="33">
        <f>'Dados - Cliente'!AC25</f>
        <v>0</v>
      </c>
      <c r="AG25" s="35">
        <f>'Dados - Cliente'!AD25</f>
        <v>0</v>
      </c>
      <c r="AH25" s="33" t="e">
        <f>INDEX('Dados - Placas'!$A:$A,MATCH('1'!AG25,'Dados - Placas'!$D:$D,0))</f>
        <v>#N/A</v>
      </c>
      <c r="AI25" s="35" t="e">
        <f>INDEX('Dados - Placas'!$E:$E,MATCH('1'!AG25,'Dados - Placas'!$D:$D,0))</f>
        <v>#N/A</v>
      </c>
      <c r="AJ25" s="34" t="e">
        <f>INDEX('Dados - Placas'!$F:$F,MATCH('1'!AG25,'Dados - Placas'!$D:$D,0))*AF25</f>
        <v>#N/A</v>
      </c>
      <c r="AK25" s="33">
        <f>'Dados - Cliente'!AE25</f>
        <v>0</v>
      </c>
      <c r="AL25" s="33">
        <f>'Dados - Cliente'!AF25</f>
        <v>0</v>
      </c>
      <c r="AM25" s="36" t="e">
        <f>INDEX('Dados - Inversores'!$A:$A,MATCH('1'!AL25,'Dados - Inversores'!$C:$C,0))</f>
        <v>#N/A</v>
      </c>
      <c r="AN25" s="33">
        <f>'Dados - Cliente'!AG25</f>
        <v>0</v>
      </c>
      <c r="AO25" s="33" t="e">
        <f>AA25*1.25/(0.22*SQRT(INDEX('Dados - Inversores'!AK:AK,MATCH('1'!AL25,'Dados - Inversores'!C:C,0))))</f>
        <v>#N/A</v>
      </c>
      <c r="AP25" s="34">
        <f>INDEX(Dados!$E$2:$E$33,COUNTIF(Dados!$E$2:$E$33,"&lt;="&amp;AN25*1.25/(INDEX('Dados - Inversores'!AL:AL,MATCH('1'!AL25,'Dados - Inversores'!C:C,0))*SQRT(INDEX('Dados - Inversores'!AK:AK,MATCH('1'!AL25,'Dados - Inversores'!C:C,0)))))+1)</f>
        <v>2</v>
      </c>
      <c r="AQ25" s="33" t="s">
        <v>59</v>
      </c>
      <c r="AR25" s="33" t="str">
        <f t="shared" si="6"/>
        <v>Micro</v>
      </c>
      <c r="AS25" s="33">
        <f>'Dados - Cliente'!AH25</f>
        <v>0</v>
      </c>
      <c r="AT25" s="33">
        <f>'Dados - Cliente'!AI25</f>
        <v>0</v>
      </c>
      <c r="AU25" s="33" t="e">
        <f>INDEX('Dados - Placas'!$N:$N,MATCH('1'!AG25,'Dados - Placas'!$D:$D,0))-1</f>
        <v>#N/A</v>
      </c>
      <c r="AV25" s="33" t="e">
        <f>INDEX('Dados - Placas'!$O:$O,MATCH('1'!AG25,'Dados - Placas'!$D:$D,0))</f>
        <v>#N/A</v>
      </c>
      <c r="AW25" s="33" t="e">
        <f>INDEX('Dados - Inversores'!AM:AM,MATCH('1'!AL25,'Dados - Inversores'!$C:$C,0))-1</f>
        <v>#N/A</v>
      </c>
      <c r="AX25" s="33" t="e">
        <f>INDEX('Dados - Inversores'!AN:AN,MATCH('1'!AL25,'Dados - Inversores'!$C:$C,0))-1</f>
        <v>#N/A</v>
      </c>
      <c r="AY25" s="33" t="e">
        <f>MATCH('1'!H25,Dados!$D$89:$D$167,0)+1</f>
        <v>#N/A</v>
      </c>
      <c r="AZ25" s="33" t="e">
        <f>MATCH('1'!N25,'Dados - Solicitação de acesso'!$N$2:$N$8,0)</f>
        <v>#N/A</v>
      </c>
      <c r="BA25" s="33" t="e">
        <f>MATCH('1'!T25,'Dados - Solicitação de acesso'!$T$2:$T$20,0)</f>
        <v>#N/A</v>
      </c>
      <c r="BB25" s="34"/>
      <c r="BC25" s="33">
        <f>MATCH(AT25,'Dados - Solicitação de acesso'!$AT$2:$AT$28,0)</f>
        <v>1</v>
      </c>
      <c r="BD25" s="33" t="b">
        <f>IF(O25="TRIFASICO",INDEX(Dados!G:G,MATCH('1'!AP25,Dados!E:E,0)),IF(O25="BIFASICO",INDEX(Dados!F:F,MATCH('1'!AP25,Dados!E:E,0),)))</f>
        <v>0</v>
      </c>
      <c r="BE25" s="33">
        <f>'Dados - Cliente'!J25</f>
        <v>0</v>
      </c>
      <c r="BF25" s="34">
        <f>INDEX(Dados!$E$2:$E$33,COUNTIF(Dados!$E$2:$E$33,"&lt;="&amp;AN25*1.25*AK25/(0.22*SQRT(INDEX('Dados - Inversores'!AK:AK,MATCH('1'!AL25,'Dados - Inversores'!C:C,0)))))+1)</f>
        <v>2</v>
      </c>
      <c r="BG25" s="34" t="b">
        <f>IF(O25="TRIFASICO",INDEX(Dados!G:G,MATCH(BF25,Dados!E:E,0)),IF(O25="BIFASICO",INDEX(Dados!F:F,MATCH(BF25,Dados!E:E,0),)))</f>
        <v>0</v>
      </c>
    </row>
    <row r="26" spans="1:59" s="33" customFormat="1" x14ac:dyDescent="0.35">
      <c r="A26" s="33">
        <f>'Dados - Cliente'!A26</f>
        <v>0</v>
      </c>
      <c r="B26" s="33">
        <f>'Dados - Cliente'!B26</f>
        <v>0</v>
      </c>
      <c r="C26" s="33">
        <f>'Dados - Cliente'!C26</f>
        <v>0</v>
      </c>
      <c r="D26" s="33">
        <f>'Dados - Cliente'!D26</f>
        <v>0</v>
      </c>
      <c r="E26" s="33">
        <f>'Dados - Cliente'!E26</f>
        <v>0</v>
      </c>
      <c r="F26" s="33">
        <f>'Dados - Cliente'!F26</f>
        <v>0</v>
      </c>
      <c r="G26" s="33">
        <f>'Dados - Cliente'!G26</f>
        <v>0</v>
      </c>
      <c r="H26" s="33">
        <f>'Dados - Cliente'!H26</f>
        <v>0</v>
      </c>
      <c r="I26" s="75" t="s">
        <v>4313</v>
      </c>
      <c r="J26" s="52" t="s">
        <v>4314</v>
      </c>
      <c r="K26" s="52" t="s">
        <v>4314</v>
      </c>
      <c r="L26" s="33">
        <f>'Dados - Cliente'!I26</f>
        <v>0</v>
      </c>
      <c r="M26" s="33">
        <f>'Dados - Cliente'!K26</f>
        <v>0</v>
      </c>
      <c r="N26" s="33">
        <f>'Dados - Cliente'!L26</f>
        <v>0</v>
      </c>
      <c r="O26" s="33">
        <f>'Dados - Cliente'!M26</f>
        <v>0</v>
      </c>
      <c r="P26" s="33">
        <f>'Dados - Cliente'!N26</f>
        <v>0</v>
      </c>
      <c r="Q26" s="33">
        <f>'Dados - Cliente'!O26</f>
        <v>0</v>
      </c>
      <c r="R26" s="33">
        <f>'Dados - Cliente'!P26</f>
        <v>0</v>
      </c>
      <c r="S26" s="33">
        <f>'Dados - Cliente'!Q26</f>
        <v>0</v>
      </c>
      <c r="T26" s="33">
        <f>'Dados - Cliente'!R26</f>
        <v>0</v>
      </c>
      <c r="U26" s="34">
        <f>'Dados - Cliente'!S26</f>
        <v>0</v>
      </c>
      <c r="V26" s="34">
        <f>'Dados - Cliente'!T26</f>
        <v>0</v>
      </c>
      <c r="W26" s="34">
        <f>'Dados - Cliente'!U26</f>
        <v>0</v>
      </c>
      <c r="X26" s="34">
        <f>'Dados - Cliente'!V26</f>
        <v>0</v>
      </c>
      <c r="Y26" s="34">
        <f>'Dados - Cliente'!W26</f>
        <v>0</v>
      </c>
      <c r="Z26" s="34">
        <f>'Dados - Cliente'!X26</f>
        <v>0</v>
      </c>
      <c r="AA26" s="33" t="e">
        <f t="shared" si="5"/>
        <v>#N/A</v>
      </c>
      <c r="AB26" s="33">
        <f>'Dados - Cliente'!Y26</f>
        <v>0</v>
      </c>
      <c r="AC26" s="33">
        <f>'Dados - Cliente'!Z26</f>
        <v>0</v>
      </c>
      <c r="AD26" s="33">
        <f>'Dados - Cliente'!AA26</f>
        <v>0</v>
      </c>
      <c r="AE26" s="33">
        <f>'Dados - Cliente'!AB26</f>
        <v>0</v>
      </c>
      <c r="AF26" s="33">
        <f>'Dados - Cliente'!AC26</f>
        <v>0</v>
      </c>
      <c r="AG26" s="35">
        <f>'Dados - Cliente'!AD26</f>
        <v>0</v>
      </c>
      <c r="AH26" s="33" t="e">
        <f>INDEX('Dados - Placas'!$A:$A,MATCH('1'!AG26,'Dados - Placas'!$D:$D,0))</f>
        <v>#N/A</v>
      </c>
      <c r="AI26" s="35" t="e">
        <f>INDEX('Dados - Placas'!$E:$E,MATCH('1'!AG26,'Dados - Placas'!$D:$D,0))</f>
        <v>#N/A</v>
      </c>
      <c r="AJ26" s="34" t="e">
        <f>INDEX('Dados - Placas'!$F:$F,MATCH('1'!AG26,'Dados - Placas'!$D:$D,0))*AF26</f>
        <v>#N/A</v>
      </c>
      <c r="AK26" s="33">
        <f>'Dados - Cliente'!AE26</f>
        <v>0</v>
      </c>
      <c r="AL26" s="33">
        <f>'Dados - Cliente'!AF26</f>
        <v>0</v>
      </c>
      <c r="AM26" s="36" t="e">
        <f>INDEX('Dados - Inversores'!$A:$A,MATCH('1'!AL26,'Dados - Inversores'!$C:$C,0))</f>
        <v>#N/A</v>
      </c>
      <c r="AN26" s="33">
        <f>'Dados - Cliente'!AG26</f>
        <v>0</v>
      </c>
      <c r="AO26" s="33" t="e">
        <f>AA26*1.25/(0.22*SQRT(INDEX('Dados - Inversores'!AK:AK,MATCH('1'!AL26,'Dados - Inversores'!C:C,0))))</f>
        <v>#N/A</v>
      </c>
      <c r="AP26" s="34">
        <f>INDEX(Dados!$E$2:$E$33,COUNTIF(Dados!$E$2:$E$33,"&lt;="&amp;AN26*1.25/(INDEX('Dados - Inversores'!AL:AL,MATCH('1'!AL26,'Dados - Inversores'!C:C,0))*SQRT(INDEX('Dados - Inversores'!AK:AK,MATCH('1'!AL26,'Dados - Inversores'!C:C,0)))))+1)</f>
        <v>2</v>
      </c>
      <c r="AQ26" s="33" t="s">
        <v>59</v>
      </c>
      <c r="AR26" s="33" t="str">
        <f t="shared" si="6"/>
        <v>Micro</v>
      </c>
      <c r="AS26" s="33">
        <f>'Dados - Cliente'!AH26</f>
        <v>0</v>
      </c>
      <c r="AT26" s="33">
        <f>'Dados - Cliente'!AI26</f>
        <v>0</v>
      </c>
      <c r="AU26" s="33" t="e">
        <f>INDEX('Dados - Placas'!$N:$N,MATCH('1'!AG26,'Dados - Placas'!$D:$D,0))-1</f>
        <v>#N/A</v>
      </c>
      <c r="AV26" s="33" t="e">
        <f>INDEX('Dados - Placas'!$O:$O,MATCH('1'!AG26,'Dados - Placas'!$D:$D,0))</f>
        <v>#N/A</v>
      </c>
      <c r="AW26" s="33" t="e">
        <f>INDEX('Dados - Inversores'!AM:AM,MATCH('1'!AL26,'Dados - Inversores'!$C:$C,0))-1</f>
        <v>#N/A</v>
      </c>
      <c r="AX26" s="33" t="e">
        <f>INDEX('Dados - Inversores'!AN:AN,MATCH('1'!AL26,'Dados - Inversores'!$C:$C,0))-1</f>
        <v>#N/A</v>
      </c>
      <c r="AY26" s="33" t="e">
        <f>MATCH('1'!H26,Dados!$D$89:$D$167,0)+1</f>
        <v>#N/A</v>
      </c>
      <c r="AZ26" s="33" t="e">
        <f>MATCH('1'!N26,'Dados - Solicitação de acesso'!$N$2:$N$8,0)</f>
        <v>#N/A</v>
      </c>
      <c r="BA26" s="33" t="e">
        <f>MATCH('1'!T26,'Dados - Solicitação de acesso'!$T$2:$T$20,0)</f>
        <v>#N/A</v>
      </c>
      <c r="BB26" s="34"/>
      <c r="BC26" s="33">
        <f>MATCH(AT26,'Dados - Solicitação de acesso'!$AT$2:$AT$28,0)</f>
        <v>1</v>
      </c>
      <c r="BD26" s="33" t="b">
        <f>IF(O26="TRIFASICO",INDEX(Dados!G:G,MATCH('1'!AP26,Dados!E:E,0)),IF(O26="BIFASICO",INDEX(Dados!F:F,MATCH('1'!AP26,Dados!E:E,0),)))</f>
        <v>0</v>
      </c>
      <c r="BE26" s="33">
        <f>'Dados - Cliente'!J26</f>
        <v>0</v>
      </c>
      <c r="BF26" s="34">
        <f>INDEX(Dados!$E$2:$E$33,COUNTIF(Dados!$E$2:$E$33,"&lt;="&amp;AN26*1.25*AK26/(0.22*SQRT(INDEX('Dados - Inversores'!AK:AK,MATCH('1'!AL26,'Dados - Inversores'!C:C,0)))))+1)</f>
        <v>2</v>
      </c>
      <c r="BG26" s="34" t="b">
        <f>IF(O26="TRIFASICO",INDEX(Dados!G:G,MATCH(BF26,Dados!E:E,0)),IF(O26="BIFASICO",INDEX(Dados!F:F,MATCH(BF26,Dados!E:E,0),)))</f>
        <v>0</v>
      </c>
    </row>
    <row r="27" spans="1:59" s="33" customFormat="1" x14ac:dyDescent="0.35">
      <c r="A27" s="33">
        <f>'Dados - Cliente'!A27</f>
        <v>0</v>
      </c>
      <c r="B27" s="33">
        <f>'Dados - Cliente'!B27</f>
        <v>0</v>
      </c>
      <c r="C27" s="33">
        <f>'Dados - Cliente'!C27</f>
        <v>0</v>
      </c>
      <c r="D27" s="33">
        <f>'Dados - Cliente'!D27</f>
        <v>0</v>
      </c>
      <c r="E27" s="33">
        <f>'Dados - Cliente'!E27</f>
        <v>0</v>
      </c>
      <c r="F27" s="33">
        <f>'Dados - Cliente'!F27</f>
        <v>0</v>
      </c>
      <c r="G27" s="33">
        <f>'Dados - Cliente'!G27</f>
        <v>0</v>
      </c>
      <c r="H27" s="33">
        <f>'Dados - Cliente'!H27</f>
        <v>0</v>
      </c>
      <c r="I27" s="75" t="s">
        <v>4313</v>
      </c>
      <c r="J27" s="52" t="s">
        <v>4314</v>
      </c>
      <c r="K27" s="52" t="s">
        <v>4314</v>
      </c>
      <c r="L27" s="33">
        <f>'Dados - Cliente'!I27</f>
        <v>0</v>
      </c>
      <c r="M27" s="33">
        <f>'Dados - Cliente'!K27</f>
        <v>0</v>
      </c>
      <c r="N27" s="33">
        <f>'Dados - Cliente'!L27</f>
        <v>0</v>
      </c>
      <c r="O27" s="33">
        <f>'Dados - Cliente'!M27</f>
        <v>0</v>
      </c>
      <c r="P27" s="33">
        <f>'Dados - Cliente'!N27</f>
        <v>0</v>
      </c>
      <c r="Q27" s="33">
        <f>'Dados - Cliente'!O27</f>
        <v>0</v>
      </c>
      <c r="R27" s="33">
        <f>'Dados - Cliente'!P27</f>
        <v>0</v>
      </c>
      <c r="S27" s="33">
        <f>'Dados - Cliente'!Q27</f>
        <v>0</v>
      </c>
      <c r="T27" s="33">
        <f>'Dados - Cliente'!R27</f>
        <v>0</v>
      </c>
      <c r="U27" s="34">
        <f>'Dados - Cliente'!S27</f>
        <v>0</v>
      </c>
      <c r="V27" s="34">
        <f>'Dados - Cliente'!T27</f>
        <v>0</v>
      </c>
      <c r="W27" s="34">
        <f>'Dados - Cliente'!U27</f>
        <v>0</v>
      </c>
      <c r="X27" s="34">
        <f>'Dados - Cliente'!V27</f>
        <v>0</v>
      </c>
      <c r="Y27" s="34">
        <f>'Dados - Cliente'!W27</f>
        <v>0</v>
      </c>
      <c r="Z27" s="34">
        <f>'Dados - Cliente'!X27</f>
        <v>0</v>
      </c>
      <c r="AA27" s="33" t="e">
        <f t="shared" si="5"/>
        <v>#N/A</v>
      </c>
      <c r="AB27" s="33">
        <f>'Dados - Cliente'!Y27</f>
        <v>0</v>
      </c>
      <c r="AC27" s="33">
        <f>'Dados - Cliente'!Z27</f>
        <v>0</v>
      </c>
      <c r="AD27" s="33">
        <f>'Dados - Cliente'!AA27</f>
        <v>0</v>
      </c>
      <c r="AE27" s="33">
        <f>'Dados - Cliente'!AB27</f>
        <v>0</v>
      </c>
      <c r="AF27" s="33">
        <f>'Dados - Cliente'!AC27</f>
        <v>0</v>
      </c>
      <c r="AG27" s="35">
        <f>'Dados - Cliente'!AD27</f>
        <v>0</v>
      </c>
      <c r="AH27" s="33" t="e">
        <f>INDEX('Dados - Placas'!$A:$A,MATCH('1'!AG27,'Dados - Placas'!$D:$D,0))</f>
        <v>#N/A</v>
      </c>
      <c r="AI27" s="35" t="e">
        <f>INDEX('Dados - Placas'!$E:$E,MATCH('1'!AG27,'Dados - Placas'!$D:$D,0))</f>
        <v>#N/A</v>
      </c>
      <c r="AJ27" s="34" t="e">
        <f>INDEX('Dados - Placas'!$F:$F,MATCH('1'!AG27,'Dados - Placas'!$D:$D,0))*AF27</f>
        <v>#N/A</v>
      </c>
      <c r="AK27" s="33">
        <f>'Dados - Cliente'!AE27</f>
        <v>0</v>
      </c>
      <c r="AL27" s="33">
        <f>'Dados - Cliente'!AF27</f>
        <v>0</v>
      </c>
      <c r="AM27" s="36" t="e">
        <f>INDEX('Dados - Inversores'!$A:$A,MATCH('1'!AL27,'Dados - Inversores'!$C:$C,0))</f>
        <v>#N/A</v>
      </c>
      <c r="AN27" s="33">
        <f>'Dados - Cliente'!AG27</f>
        <v>0</v>
      </c>
      <c r="AO27" s="33" t="e">
        <f>AA27*1.25/(0.22*SQRT(INDEX('Dados - Inversores'!AK:AK,MATCH('1'!AL27,'Dados - Inversores'!C:C,0))))</f>
        <v>#N/A</v>
      </c>
      <c r="AP27" s="34">
        <f>INDEX(Dados!$E$2:$E$33,COUNTIF(Dados!$E$2:$E$33,"&lt;="&amp;AN27*1.25/(INDEX('Dados - Inversores'!AL:AL,MATCH('1'!AL27,'Dados - Inversores'!C:C,0))*SQRT(INDEX('Dados - Inversores'!AK:AK,MATCH('1'!AL27,'Dados - Inversores'!C:C,0)))))+1)</f>
        <v>2</v>
      </c>
      <c r="AQ27" s="33" t="s">
        <v>59</v>
      </c>
      <c r="AR27" s="33" t="str">
        <f t="shared" si="6"/>
        <v>Micro</v>
      </c>
      <c r="AS27" s="33">
        <f>'Dados - Cliente'!AH27</f>
        <v>0</v>
      </c>
      <c r="AT27" s="33">
        <f>'Dados - Cliente'!AI27</f>
        <v>0</v>
      </c>
      <c r="AU27" s="33" t="e">
        <f>INDEX('Dados - Placas'!$N:$N,MATCH('1'!AG27,'Dados - Placas'!$D:$D,0))-1</f>
        <v>#N/A</v>
      </c>
      <c r="AV27" s="33" t="e">
        <f>INDEX('Dados - Placas'!$O:$O,MATCH('1'!AG27,'Dados - Placas'!$D:$D,0))</f>
        <v>#N/A</v>
      </c>
      <c r="AW27" s="33" t="e">
        <f>INDEX('Dados - Inversores'!AM:AM,MATCH('1'!AL27,'Dados - Inversores'!$C:$C,0))-1</f>
        <v>#N/A</v>
      </c>
      <c r="AX27" s="33" t="e">
        <f>INDEX('Dados - Inversores'!AN:AN,MATCH('1'!AL27,'Dados - Inversores'!$C:$C,0))-1</f>
        <v>#N/A</v>
      </c>
      <c r="AY27" s="33" t="e">
        <f>MATCH('1'!H27,Dados!$D$89:$D$167,0)+1</f>
        <v>#N/A</v>
      </c>
      <c r="AZ27" s="33" t="e">
        <f>MATCH('1'!N27,'Dados - Solicitação de acesso'!$N$2:$N$8,0)</f>
        <v>#N/A</v>
      </c>
      <c r="BA27" s="33" t="e">
        <f>MATCH('1'!T27,'Dados - Solicitação de acesso'!$T$2:$T$20,0)</f>
        <v>#N/A</v>
      </c>
      <c r="BB27" s="34"/>
      <c r="BC27" s="33">
        <f>MATCH(AT27,'Dados - Solicitação de acesso'!$AT$2:$AT$28,0)</f>
        <v>1</v>
      </c>
      <c r="BD27" s="33" t="b">
        <f>IF(O27="TRIFASICO",INDEX(Dados!G:G,MATCH('1'!AP27,Dados!E:E,0)),IF(O27="BIFASICO",INDEX(Dados!F:F,MATCH('1'!AP27,Dados!E:E,0),)))</f>
        <v>0</v>
      </c>
      <c r="BE27" s="33">
        <f>'Dados - Cliente'!J27</f>
        <v>0</v>
      </c>
      <c r="BF27" s="34">
        <f>INDEX(Dados!$E$2:$E$33,COUNTIF(Dados!$E$2:$E$33,"&lt;="&amp;AN27*1.25*AK27/(0.22*SQRT(INDEX('Dados - Inversores'!AK:AK,MATCH('1'!AL27,'Dados - Inversores'!C:C,0)))))+1)</f>
        <v>2</v>
      </c>
      <c r="BG27" s="34" t="b">
        <f>IF(O27="TRIFASICO",INDEX(Dados!G:G,MATCH(BF27,Dados!E:E,0)),IF(O27="BIFASICO",INDEX(Dados!F:F,MATCH(BF27,Dados!E:E,0),)))</f>
        <v>0</v>
      </c>
    </row>
    <row r="28" spans="1:59" s="33" customFormat="1" x14ac:dyDescent="0.35">
      <c r="A28" s="33">
        <f>'Dados - Cliente'!A28</f>
        <v>0</v>
      </c>
      <c r="B28" s="33">
        <f>'Dados - Cliente'!B28</f>
        <v>0</v>
      </c>
      <c r="C28" s="33">
        <f>'Dados - Cliente'!C28</f>
        <v>0</v>
      </c>
      <c r="D28" s="33">
        <f>'Dados - Cliente'!D28</f>
        <v>0</v>
      </c>
      <c r="E28" s="33">
        <f>'Dados - Cliente'!E28</f>
        <v>0</v>
      </c>
      <c r="F28" s="33">
        <f>'Dados - Cliente'!F28</f>
        <v>0</v>
      </c>
      <c r="G28" s="33">
        <f>'Dados - Cliente'!G28</f>
        <v>0</v>
      </c>
      <c r="H28" s="33">
        <f>'Dados - Cliente'!H28</f>
        <v>0</v>
      </c>
      <c r="I28" s="75" t="s">
        <v>4313</v>
      </c>
      <c r="J28" s="52" t="s">
        <v>4314</v>
      </c>
      <c r="K28" s="52" t="s">
        <v>4314</v>
      </c>
      <c r="L28" s="33">
        <f>'Dados - Cliente'!I28</f>
        <v>0</v>
      </c>
      <c r="M28" s="33">
        <f>'Dados - Cliente'!K28</f>
        <v>0</v>
      </c>
      <c r="N28" s="33">
        <f>'Dados - Cliente'!L28</f>
        <v>0</v>
      </c>
      <c r="O28" s="33">
        <f>'Dados - Cliente'!M28</f>
        <v>0</v>
      </c>
      <c r="P28" s="33">
        <f>'Dados - Cliente'!N28</f>
        <v>0</v>
      </c>
      <c r="Q28" s="33">
        <f>'Dados - Cliente'!O28</f>
        <v>0</v>
      </c>
      <c r="R28" s="33">
        <f>'Dados - Cliente'!P28</f>
        <v>0</v>
      </c>
      <c r="S28" s="33">
        <f>'Dados - Cliente'!Q28</f>
        <v>0</v>
      </c>
      <c r="T28" s="33">
        <f>'Dados - Cliente'!R28</f>
        <v>0</v>
      </c>
      <c r="U28" s="34">
        <f>'Dados - Cliente'!S28</f>
        <v>0</v>
      </c>
      <c r="V28" s="34">
        <f>'Dados - Cliente'!T28</f>
        <v>0</v>
      </c>
      <c r="W28" s="34">
        <f>'Dados - Cliente'!U28</f>
        <v>0</v>
      </c>
      <c r="X28" s="34">
        <f>'Dados - Cliente'!V28</f>
        <v>0</v>
      </c>
      <c r="Y28" s="34">
        <f>'Dados - Cliente'!W28</f>
        <v>0</v>
      </c>
      <c r="Z28" s="34">
        <f>'Dados - Cliente'!X28</f>
        <v>0</v>
      </c>
      <c r="AA28" s="33" t="e">
        <f t="shared" si="5"/>
        <v>#N/A</v>
      </c>
      <c r="AB28" s="33">
        <f>'Dados - Cliente'!Y28</f>
        <v>0</v>
      </c>
      <c r="AC28" s="33">
        <f>'Dados - Cliente'!Z28</f>
        <v>0</v>
      </c>
      <c r="AD28" s="33">
        <f>'Dados - Cliente'!AA28</f>
        <v>0</v>
      </c>
      <c r="AE28" s="33">
        <f>'Dados - Cliente'!AB28</f>
        <v>0</v>
      </c>
      <c r="AF28" s="33">
        <f>'Dados - Cliente'!AC28</f>
        <v>0</v>
      </c>
      <c r="AG28" s="35">
        <f>'Dados - Cliente'!AD28</f>
        <v>0</v>
      </c>
      <c r="AH28" s="33" t="e">
        <f>INDEX('Dados - Placas'!$A:$A,MATCH('1'!AG28,'Dados - Placas'!$D:$D,0))</f>
        <v>#N/A</v>
      </c>
      <c r="AI28" s="35" t="e">
        <f>INDEX('Dados - Placas'!$E:$E,MATCH('1'!AG28,'Dados - Placas'!$D:$D,0))</f>
        <v>#N/A</v>
      </c>
      <c r="AJ28" s="34" t="e">
        <f>INDEX('Dados - Placas'!$F:$F,MATCH('1'!AG28,'Dados - Placas'!$D:$D,0))*AF28</f>
        <v>#N/A</v>
      </c>
      <c r="AK28" s="33">
        <f>'Dados - Cliente'!AE28</f>
        <v>0</v>
      </c>
      <c r="AL28" s="33">
        <f>'Dados - Cliente'!AF28</f>
        <v>0</v>
      </c>
      <c r="AM28" s="36" t="e">
        <f>INDEX('Dados - Inversores'!$A:$A,MATCH('1'!AL28,'Dados - Inversores'!$C:$C,0))</f>
        <v>#N/A</v>
      </c>
      <c r="AN28" s="33">
        <f>'Dados - Cliente'!AG28</f>
        <v>0</v>
      </c>
      <c r="AO28" s="33" t="e">
        <f>AA28*1.25/(0.22*SQRT(INDEX('Dados - Inversores'!AK:AK,MATCH('1'!AL28,'Dados - Inversores'!C:C,0))))</f>
        <v>#N/A</v>
      </c>
      <c r="AP28" s="34">
        <f>INDEX(Dados!$E$2:$E$33,COUNTIF(Dados!$E$2:$E$33,"&lt;="&amp;AN28*1.25/(INDEX('Dados - Inversores'!AL:AL,MATCH('1'!AL28,'Dados - Inversores'!C:C,0))*SQRT(INDEX('Dados - Inversores'!AK:AK,MATCH('1'!AL28,'Dados - Inversores'!C:C,0)))))+1)</f>
        <v>2</v>
      </c>
      <c r="AQ28" s="33" t="s">
        <v>59</v>
      </c>
      <c r="AR28" s="33" t="str">
        <f t="shared" si="6"/>
        <v>Micro</v>
      </c>
      <c r="AS28" s="33">
        <f>'Dados - Cliente'!AH28</f>
        <v>0</v>
      </c>
      <c r="AT28" s="33">
        <f>'Dados - Cliente'!AI28</f>
        <v>0</v>
      </c>
      <c r="AU28" s="33" t="e">
        <f>INDEX('Dados - Placas'!$N:$N,MATCH('1'!AG28,'Dados - Placas'!$D:$D,0))-1</f>
        <v>#N/A</v>
      </c>
      <c r="AV28" s="33" t="e">
        <f>INDEX('Dados - Placas'!$O:$O,MATCH('1'!AG28,'Dados - Placas'!$D:$D,0))</f>
        <v>#N/A</v>
      </c>
      <c r="AW28" s="33" t="e">
        <f>INDEX('Dados - Inversores'!AM:AM,MATCH('1'!AL28,'Dados - Inversores'!$C:$C,0))-1</f>
        <v>#N/A</v>
      </c>
      <c r="AX28" s="33" t="e">
        <f>INDEX('Dados - Inversores'!AN:AN,MATCH('1'!AL28,'Dados - Inversores'!$C:$C,0))-1</f>
        <v>#N/A</v>
      </c>
      <c r="AY28" s="33" t="e">
        <f>MATCH('1'!H28,Dados!$D$89:$D$167,0)+1</f>
        <v>#N/A</v>
      </c>
      <c r="AZ28" s="33" t="e">
        <f>MATCH('1'!N28,'Dados - Solicitação de acesso'!$N$2:$N$8,0)</f>
        <v>#N/A</v>
      </c>
      <c r="BA28" s="33" t="e">
        <f>MATCH('1'!T28,'Dados - Solicitação de acesso'!$T$2:$T$20,0)</f>
        <v>#N/A</v>
      </c>
      <c r="BB28" s="34"/>
      <c r="BC28" s="33">
        <f>MATCH(AT28,'Dados - Solicitação de acesso'!$AT$2:$AT$28,0)</f>
        <v>1</v>
      </c>
      <c r="BD28" s="33" t="b">
        <f>IF(O28="TRIFASICO",INDEX(Dados!G:G,MATCH('1'!AP28,Dados!E:E,0)),IF(O28="BIFASICO",INDEX(Dados!F:F,MATCH('1'!AP28,Dados!E:E,0),)))</f>
        <v>0</v>
      </c>
      <c r="BE28" s="33">
        <f>'Dados - Cliente'!J28</f>
        <v>0</v>
      </c>
      <c r="BF28" s="34">
        <f>INDEX(Dados!$E$2:$E$33,COUNTIF(Dados!$E$2:$E$33,"&lt;="&amp;AN28*1.25*AK28/(0.22*SQRT(INDEX('Dados - Inversores'!AK:AK,MATCH('1'!AL28,'Dados - Inversores'!C:C,0)))))+1)</f>
        <v>2</v>
      </c>
      <c r="BG28" s="34" t="b">
        <f>IF(O28="TRIFASICO",INDEX(Dados!G:G,MATCH(BF28,Dados!E:E,0)),IF(O28="BIFASICO",INDEX(Dados!F:F,MATCH(BF28,Dados!E:E,0),)))</f>
        <v>0</v>
      </c>
    </row>
    <row r="29" spans="1:59" s="33" customFormat="1" x14ac:dyDescent="0.35">
      <c r="A29" s="33">
        <f>'Dados - Cliente'!A29</f>
        <v>0</v>
      </c>
      <c r="B29" s="33">
        <f>'Dados - Cliente'!B29</f>
        <v>0</v>
      </c>
      <c r="C29" s="33">
        <f>'Dados - Cliente'!C29</f>
        <v>0</v>
      </c>
      <c r="D29" s="33">
        <f>'Dados - Cliente'!D29</f>
        <v>0</v>
      </c>
      <c r="E29" s="33">
        <f>'Dados - Cliente'!E29</f>
        <v>0</v>
      </c>
      <c r="F29" s="33">
        <f>'Dados - Cliente'!F29</f>
        <v>0</v>
      </c>
      <c r="G29" s="33">
        <f>'Dados - Cliente'!G29</f>
        <v>0</v>
      </c>
      <c r="H29" s="33">
        <f>'Dados - Cliente'!H29</f>
        <v>0</v>
      </c>
      <c r="I29" s="75" t="s">
        <v>4313</v>
      </c>
      <c r="J29" s="52" t="s">
        <v>4314</v>
      </c>
      <c r="K29" s="52" t="s">
        <v>4314</v>
      </c>
      <c r="L29" s="33">
        <f>'Dados - Cliente'!I29</f>
        <v>0</v>
      </c>
      <c r="M29" s="33">
        <f>'Dados - Cliente'!K29</f>
        <v>0</v>
      </c>
      <c r="N29" s="33">
        <f>'Dados - Cliente'!L29</f>
        <v>0</v>
      </c>
      <c r="O29" s="33">
        <f>'Dados - Cliente'!M29</f>
        <v>0</v>
      </c>
      <c r="P29" s="33">
        <f>'Dados - Cliente'!N29</f>
        <v>0</v>
      </c>
      <c r="Q29" s="33">
        <f>'Dados - Cliente'!O29</f>
        <v>0</v>
      </c>
      <c r="R29" s="33">
        <f>'Dados - Cliente'!P29</f>
        <v>0</v>
      </c>
      <c r="S29" s="33">
        <f>'Dados - Cliente'!Q29</f>
        <v>0</v>
      </c>
      <c r="T29" s="33">
        <f>'Dados - Cliente'!R29</f>
        <v>0</v>
      </c>
      <c r="U29" s="34">
        <f>'Dados - Cliente'!S29</f>
        <v>0</v>
      </c>
      <c r="V29" s="34">
        <f>'Dados - Cliente'!T29</f>
        <v>0</v>
      </c>
      <c r="W29" s="34">
        <f>'Dados - Cliente'!U29</f>
        <v>0</v>
      </c>
      <c r="X29" s="34">
        <f>'Dados - Cliente'!V29</f>
        <v>0</v>
      </c>
      <c r="Y29" s="34">
        <f>'Dados - Cliente'!W29</f>
        <v>0</v>
      </c>
      <c r="Z29" s="34">
        <f>'Dados - Cliente'!X29</f>
        <v>0</v>
      </c>
      <c r="AA29" s="33" t="e">
        <f t="shared" si="5"/>
        <v>#N/A</v>
      </c>
      <c r="AB29" s="33">
        <f>'Dados - Cliente'!Y29</f>
        <v>0</v>
      </c>
      <c r="AC29" s="33">
        <f>'Dados - Cliente'!Z29</f>
        <v>0</v>
      </c>
      <c r="AD29" s="33">
        <f>'Dados - Cliente'!AA29</f>
        <v>0</v>
      </c>
      <c r="AE29" s="33">
        <f>'Dados - Cliente'!AB29</f>
        <v>0</v>
      </c>
      <c r="AF29" s="33">
        <f>'Dados - Cliente'!AC29</f>
        <v>0</v>
      </c>
      <c r="AG29" s="35">
        <f>'Dados - Cliente'!AD29</f>
        <v>0</v>
      </c>
      <c r="AH29" s="33" t="e">
        <f>INDEX('Dados - Placas'!$A:$A,MATCH('1'!AG29,'Dados - Placas'!$D:$D,0))</f>
        <v>#N/A</v>
      </c>
      <c r="AI29" s="35" t="e">
        <f>INDEX('Dados - Placas'!$E:$E,MATCH('1'!AG29,'Dados - Placas'!$D:$D,0))</f>
        <v>#N/A</v>
      </c>
      <c r="AJ29" s="34" t="e">
        <f>INDEX('Dados - Placas'!$F:$F,MATCH('1'!AG29,'Dados - Placas'!$D:$D,0))*AF29</f>
        <v>#N/A</v>
      </c>
      <c r="AK29" s="33">
        <f>'Dados - Cliente'!AE29</f>
        <v>0</v>
      </c>
      <c r="AL29" s="33">
        <f>'Dados - Cliente'!AF29</f>
        <v>0</v>
      </c>
      <c r="AM29" s="36" t="e">
        <f>INDEX('Dados - Inversores'!$A:$A,MATCH('1'!AL29,'Dados - Inversores'!$C:$C,0))</f>
        <v>#N/A</v>
      </c>
      <c r="AN29" s="33">
        <f>'Dados - Cliente'!AG29</f>
        <v>0</v>
      </c>
      <c r="AO29" s="33" t="e">
        <f>AA29*1.25/(0.22*SQRT(INDEX('Dados - Inversores'!AK:AK,MATCH('1'!AL29,'Dados - Inversores'!C:C,0))))</f>
        <v>#N/A</v>
      </c>
      <c r="AP29" s="34">
        <f>INDEX(Dados!$E$2:$E$33,COUNTIF(Dados!$E$2:$E$33,"&lt;="&amp;AN29*1.25/(INDEX('Dados - Inversores'!AL:AL,MATCH('1'!AL29,'Dados - Inversores'!C:C,0))*SQRT(INDEX('Dados - Inversores'!AK:AK,MATCH('1'!AL29,'Dados - Inversores'!C:C,0)))))+1)</f>
        <v>2</v>
      </c>
      <c r="AQ29" s="33" t="s">
        <v>59</v>
      </c>
      <c r="AR29" s="33" t="str">
        <f t="shared" si="6"/>
        <v>Micro</v>
      </c>
      <c r="AS29" s="33">
        <f>'Dados - Cliente'!AH29</f>
        <v>0</v>
      </c>
      <c r="AT29" s="33">
        <f>'Dados - Cliente'!AI29</f>
        <v>0</v>
      </c>
      <c r="AU29" s="33" t="e">
        <f>INDEX('Dados - Placas'!$N:$N,MATCH('1'!AG29,'Dados - Placas'!$D:$D,0))-1</f>
        <v>#N/A</v>
      </c>
      <c r="AV29" s="33" t="e">
        <f>INDEX('Dados - Placas'!$O:$O,MATCH('1'!AG29,'Dados - Placas'!$D:$D,0))</f>
        <v>#N/A</v>
      </c>
      <c r="AW29" s="33" t="e">
        <f>INDEX('Dados - Inversores'!AM:AM,MATCH('1'!AL29,'Dados - Inversores'!$C:$C,0))-1</f>
        <v>#N/A</v>
      </c>
      <c r="AX29" s="33" t="e">
        <f>INDEX('Dados - Inversores'!AN:AN,MATCH('1'!AL29,'Dados - Inversores'!$C:$C,0))-1</f>
        <v>#N/A</v>
      </c>
      <c r="AY29" s="33" t="e">
        <f>MATCH('1'!H29,Dados!$D$89:$D$167,0)+1</f>
        <v>#N/A</v>
      </c>
      <c r="AZ29" s="33" t="e">
        <f>MATCH('1'!N29,'Dados - Solicitação de acesso'!$N$2:$N$8,0)</f>
        <v>#N/A</v>
      </c>
      <c r="BA29" s="33" t="e">
        <f>MATCH('1'!T29,'Dados - Solicitação de acesso'!$T$2:$T$20,0)</f>
        <v>#N/A</v>
      </c>
      <c r="BB29" s="34"/>
      <c r="BC29" s="33">
        <f>MATCH(AT29,'Dados - Solicitação de acesso'!$AT$2:$AT$28,0)</f>
        <v>1</v>
      </c>
      <c r="BD29" s="33" t="b">
        <f>IF(O29="TRIFASICO",INDEX(Dados!G:G,MATCH('1'!AP29,Dados!E:E,0)),IF(O29="BIFASICO",INDEX(Dados!F:F,MATCH('1'!AP29,Dados!E:E,0),)))</f>
        <v>0</v>
      </c>
      <c r="BE29" s="33">
        <f>'Dados - Cliente'!J29</f>
        <v>0</v>
      </c>
      <c r="BF29" s="34">
        <f>INDEX(Dados!$E$2:$E$33,COUNTIF(Dados!$E$2:$E$33,"&lt;="&amp;AN29*1.25*AK29/(0.22*SQRT(INDEX('Dados - Inversores'!AK:AK,MATCH('1'!AL29,'Dados - Inversores'!C:C,0)))))+1)</f>
        <v>2</v>
      </c>
      <c r="BG29" s="34" t="b">
        <f>IF(O29="TRIFASICO",INDEX(Dados!G:G,MATCH(BF29,Dados!E:E,0)),IF(O29="BIFASICO",INDEX(Dados!F:F,MATCH(BF29,Dados!E:E,0),)))</f>
        <v>0</v>
      </c>
    </row>
    <row r="30" spans="1:59" s="33" customFormat="1" x14ac:dyDescent="0.35">
      <c r="A30" s="33">
        <f>'Dados - Cliente'!A30</f>
        <v>0</v>
      </c>
      <c r="B30" s="33">
        <f>'Dados - Cliente'!B30</f>
        <v>0</v>
      </c>
      <c r="C30" s="33">
        <f>'Dados - Cliente'!C30</f>
        <v>0</v>
      </c>
      <c r="D30" s="33">
        <f>'Dados - Cliente'!D30</f>
        <v>0</v>
      </c>
      <c r="E30" s="33">
        <f>'Dados - Cliente'!E30</f>
        <v>0</v>
      </c>
      <c r="F30" s="33">
        <f>'Dados - Cliente'!F30</f>
        <v>0</v>
      </c>
      <c r="G30" s="33">
        <f>'Dados - Cliente'!G30</f>
        <v>0</v>
      </c>
      <c r="H30" s="33">
        <f>'Dados - Cliente'!H30</f>
        <v>0</v>
      </c>
      <c r="I30" s="75" t="s">
        <v>4313</v>
      </c>
      <c r="J30" s="52" t="s">
        <v>4314</v>
      </c>
      <c r="K30" s="52" t="s">
        <v>4314</v>
      </c>
      <c r="L30" s="33">
        <f>'Dados - Cliente'!I30</f>
        <v>0</v>
      </c>
      <c r="M30" s="33">
        <f>'Dados - Cliente'!K30</f>
        <v>0</v>
      </c>
      <c r="N30" s="33">
        <f>'Dados - Cliente'!L30</f>
        <v>0</v>
      </c>
      <c r="O30" s="33">
        <f>'Dados - Cliente'!M30</f>
        <v>0</v>
      </c>
      <c r="P30" s="33">
        <f>'Dados - Cliente'!N30</f>
        <v>0</v>
      </c>
      <c r="Q30" s="33">
        <f>'Dados - Cliente'!O30</f>
        <v>0</v>
      </c>
      <c r="R30" s="33">
        <f>'Dados - Cliente'!P30</f>
        <v>0</v>
      </c>
      <c r="S30" s="33">
        <f>'Dados - Cliente'!Q30</f>
        <v>0</v>
      </c>
      <c r="T30" s="33">
        <f>'Dados - Cliente'!R30</f>
        <v>0</v>
      </c>
      <c r="U30" s="34">
        <f>'Dados - Cliente'!S30</f>
        <v>0</v>
      </c>
      <c r="V30" s="34">
        <f>'Dados - Cliente'!T30</f>
        <v>0</v>
      </c>
      <c r="W30" s="34">
        <f>'Dados - Cliente'!U30</f>
        <v>0</v>
      </c>
      <c r="X30" s="34">
        <f>'Dados - Cliente'!V30</f>
        <v>0</v>
      </c>
      <c r="Y30" s="34">
        <f>'Dados - Cliente'!W30</f>
        <v>0</v>
      </c>
      <c r="Z30" s="34">
        <f>'Dados - Cliente'!X30</f>
        <v>0</v>
      </c>
      <c r="AA30" s="33" t="e">
        <f t="shared" si="5"/>
        <v>#N/A</v>
      </c>
      <c r="AB30" s="33">
        <f>'Dados - Cliente'!Y30</f>
        <v>0</v>
      </c>
      <c r="AC30" s="33">
        <f>'Dados - Cliente'!Z30</f>
        <v>0</v>
      </c>
      <c r="AD30" s="33">
        <f>'Dados - Cliente'!AA30</f>
        <v>0</v>
      </c>
      <c r="AE30" s="33">
        <f>'Dados - Cliente'!AB30</f>
        <v>0</v>
      </c>
      <c r="AF30" s="33">
        <f>'Dados - Cliente'!AC30</f>
        <v>0</v>
      </c>
      <c r="AG30" s="35">
        <f>'Dados - Cliente'!AD30</f>
        <v>0</v>
      </c>
      <c r="AH30" s="33" t="e">
        <f>INDEX('Dados - Placas'!$A:$A,MATCH('1'!AG30,'Dados - Placas'!$D:$D,0))</f>
        <v>#N/A</v>
      </c>
      <c r="AI30" s="35" t="e">
        <f>INDEX('Dados - Placas'!$E:$E,MATCH('1'!AG30,'Dados - Placas'!$D:$D,0))</f>
        <v>#N/A</v>
      </c>
      <c r="AJ30" s="34" t="e">
        <f>INDEX('Dados - Placas'!$F:$F,MATCH('1'!AG30,'Dados - Placas'!$D:$D,0))*AF30</f>
        <v>#N/A</v>
      </c>
      <c r="AK30" s="33">
        <f>'Dados - Cliente'!AE30</f>
        <v>0</v>
      </c>
      <c r="AL30" s="33">
        <f>'Dados - Cliente'!AF30</f>
        <v>0</v>
      </c>
      <c r="AM30" s="36" t="e">
        <f>INDEX('Dados - Inversores'!$A:$A,MATCH('1'!AL30,'Dados - Inversores'!$C:$C,0))</f>
        <v>#N/A</v>
      </c>
      <c r="AN30" s="33">
        <f>'Dados - Cliente'!AG30</f>
        <v>0</v>
      </c>
      <c r="AO30" s="33" t="e">
        <f>AA30*1.25/(0.22*SQRT(INDEX('Dados - Inversores'!AK:AK,MATCH('1'!AL30,'Dados - Inversores'!C:C,0))))</f>
        <v>#N/A</v>
      </c>
      <c r="AP30" s="34">
        <f>INDEX(Dados!$E$2:$E$33,COUNTIF(Dados!$E$2:$E$33,"&lt;="&amp;AN30*1.25/(INDEX('Dados - Inversores'!AL:AL,MATCH('1'!AL30,'Dados - Inversores'!C:C,0))*SQRT(INDEX('Dados - Inversores'!AK:AK,MATCH('1'!AL30,'Dados - Inversores'!C:C,0)))))+1)</f>
        <v>2</v>
      </c>
      <c r="AQ30" s="33" t="s">
        <v>59</v>
      </c>
      <c r="AR30" s="33" t="str">
        <f t="shared" si="6"/>
        <v>Micro</v>
      </c>
      <c r="AS30" s="33">
        <f>'Dados - Cliente'!AH30</f>
        <v>0</v>
      </c>
      <c r="AT30" s="33">
        <f>'Dados - Cliente'!AI30</f>
        <v>0</v>
      </c>
      <c r="AU30" s="33" t="e">
        <f>INDEX('Dados - Placas'!$N:$N,MATCH('1'!AG30,'Dados - Placas'!$D:$D,0))-1</f>
        <v>#N/A</v>
      </c>
      <c r="AV30" s="33" t="e">
        <f>INDEX('Dados - Placas'!$O:$O,MATCH('1'!AG30,'Dados - Placas'!$D:$D,0))</f>
        <v>#N/A</v>
      </c>
      <c r="AW30" s="33" t="e">
        <f>INDEX('Dados - Inversores'!AM:AM,MATCH('1'!AL30,'Dados - Inversores'!$C:$C,0))-1</f>
        <v>#N/A</v>
      </c>
      <c r="AX30" s="33" t="e">
        <f>INDEX('Dados - Inversores'!AN:AN,MATCH('1'!AL30,'Dados - Inversores'!$C:$C,0))-1</f>
        <v>#N/A</v>
      </c>
      <c r="AY30" s="33" t="e">
        <f>MATCH('1'!H30,Dados!$D$89:$D$167,0)+1</f>
        <v>#N/A</v>
      </c>
      <c r="AZ30" s="33" t="e">
        <f>MATCH('1'!N30,'Dados - Solicitação de acesso'!$N$2:$N$8,0)</f>
        <v>#N/A</v>
      </c>
      <c r="BA30" s="33" t="e">
        <f>MATCH('1'!T30,'Dados - Solicitação de acesso'!$T$2:$T$20,0)</f>
        <v>#N/A</v>
      </c>
      <c r="BB30" s="34"/>
      <c r="BC30" s="33">
        <f>MATCH(AT30,'Dados - Solicitação de acesso'!$AT$2:$AT$28,0)</f>
        <v>1</v>
      </c>
      <c r="BD30" s="33" t="b">
        <f>IF(O30="TRIFASICO",INDEX(Dados!G:G,MATCH('1'!AP30,Dados!E:E,0)),IF(O30="BIFASICO",INDEX(Dados!F:F,MATCH('1'!AP30,Dados!E:E,0),)))</f>
        <v>0</v>
      </c>
      <c r="BE30" s="33">
        <f>'Dados - Cliente'!J30</f>
        <v>0</v>
      </c>
      <c r="BF30" s="34">
        <f>INDEX(Dados!$E$2:$E$33,COUNTIF(Dados!$E$2:$E$33,"&lt;="&amp;AN30*1.25*AK30/(0.22*SQRT(INDEX('Dados - Inversores'!AK:AK,MATCH('1'!AL30,'Dados - Inversores'!C:C,0)))))+1)</f>
        <v>2</v>
      </c>
      <c r="BG30" s="34" t="b">
        <f>IF(O30="TRIFASICO",INDEX(Dados!G:G,MATCH(BF30,Dados!E:E,0)),IF(O30="BIFASICO",INDEX(Dados!F:F,MATCH(BF30,Dados!E:E,0),)))</f>
        <v>0</v>
      </c>
    </row>
    <row r="31" spans="1:59" s="33" customFormat="1" x14ac:dyDescent="0.35">
      <c r="A31" s="33">
        <f>'Dados - Cliente'!A31</f>
        <v>0</v>
      </c>
      <c r="B31" s="33">
        <f>'Dados - Cliente'!B31</f>
        <v>0</v>
      </c>
      <c r="C31" s="33">
        <f>'Dados - Cliente'!C31</f>
        <v>0</v>
      </c>
      <c r="D31" s="33">
        <f>'Dados - Cliente'!D31</f>
        <v>0</v>
      </c>
      <c r="E31" s="33">
        <f>'Dados - Cliente'!E31</f>
        <v>0</v>
      </c>
      <c r="F31" s="33">
        <f>'Dados - Cliente'!F31</f>
        <v>0</v>
      </c>
      <c r="G31" s="33">
        <f>'Dados - Cliente'!G31</f>
        <v>0</v>
      </c>
      <c r="H31" s="33">
        <f>'Dados - Cliente'!H31</f>
        <v>0</v>
      </c>
      <c r="I31" s="75" t="s">
        <v>4313</v>
      </c>
      <c r="J31" s="52" t="s">
        <v>4314</v>
      </c>
      <c r="K31" s="52" t="s">
        <v>4314</v>
      </c>
      <c r="L31" s="33">
        <f>'Dados - Cliente'!I31</f>
        <v>0</v>
      </c>
      <c r="M31" s="33">
        <f>'Dados - Cliente'!K31</f>
        <v>0</v>
      </c>
      <c r="N31" s="33">
        <f>'Dados - Cliente'!L31</f>
        <v>0</v>
      </c>
      <c r="O31" s="33">
        <f>'Dados - Cliente'!M31</f>
        <v>0</v>
      </c>
      <c r="P31" s="33">
        <f>'Dados - Cliente'!N31</f>
        <v>0</v>
      </c>
      <c r="Q31" s="33">
        <f>'Dados - Cliente'!O31</f>
        <v>0</v>
      </c>
      <c r="R31" s="33">
        <f>'Dados - Cliente'!P31</f>
        <v>0</v>
      </c>
      <c r="S31" s="33">
        <f>'Dados - Cliente'!Q31</f>
        <v>0</v>
      </c>
      <c r="T31" s="33">
        <f>'Dados - Cliente'!R31</f>
        <v>0</v>
      </c>
      <c r="U31" s="34">
        <f>'Dados - Cliente'!S31</f>
        <v>0</v>
      </c>
      <c r="V31" s="34">
        <f>'Dados - Cliente'!T31</f>
        <v>0</v>
      </c>
      <c r="W31" s="34">
        <f>'Dados - Cliente'!U31</f>
        <v>0</v>
      </c>
      <c r="X31" s="34">
        <f>'Dados - Cliente'!V31</f>
        <v>0</v>
      </c>
      <c r="Y31" s="34">
        <f>'Dados - Cliente'!W31</f>
        <v>0</v>
      </c>
      <c r="Z31" s="34">
        <f>'Dados - Cliente'!X31</f>
        <v>0</v>
      </c>
      <c r="AA31" s="33" t="e">
        <f t="shared" si="5"/>
        <v>#N/A</v>
      </c>
      <c r="AB31" s="33">
        <f>'Dados - Cliente'!Y31</f>
        <v>0</v>
      </c>
      <c r="AC31" s="33">
        <f>'Dados - Cliente'!Z31</f>
        <v>0</v>
      </c>
      <c r="AD31" s="33">
        <f>'Dados - Cliente'!AA31</f>
        <v>0</v>
      </c>
      <c r="AE31" s="33">
        <f>'Dados - Cliente'!AB31</f>
        <v>0</v>
      </c>
      <c r="AF31" s="33">
        <f>'Dados - Cliente'!AC31</f>
        <v>0</v>
      </c>
      <c r="AG31" s="35">
        <f>'Dados - Cliente'!AD31</f>
        <v>0</v>
      </c>
      <c r="AH31" s="33" t="e">
        <f>INDEX('Dados - Placas'!$A:$A,MATCH('1'!AG31,'Dados - Placas'!$D:$D,0))</f>
        <v>#N/A</v>
      </c>
      <c r="AI31" s="35" t="e">
        <f>INDEX('Dados - Placas'!$E:$E,MATCH('1'!AG31,'Dados - Placas'!$D:$D,0))</f>
        <v>#N/A</v>
      </c>
      <c r="AJ31" s="34" t="e">
        <f>INDEX('Dados - Placas'!$F:$F,MATCH('1'!AG31,'Dados - Placas'!$D:$D,0))*AF31</f>
        <v>#N/A</v>
      </c>
      <c r="AK31" s="33">
        <f>'Dados - Cliente'!AE31</f>
        <v>0</v>
      </c>
      <c r="AL31" s="33">
        <f>'Dados - Cliente'!AF31</f>
        <v>0</v>
      </c>
      <c r="AM31" s="36" t="e">
        <f>INDEX('Dados - Inversores'!$A:$A,MATCH('1'!AL31,'Dados - Inversores'!$C:$C,0))</f>
        <v>#N/A</v>
      </c>
      <c r="AN31" s="33">
        <f>'Dados - Cliente'!AG31</f>
        <v>0</v>
      </c>
      <c r="AO31" s="33" t="e">
        <f>AA31*1.25/(0.22*SQRT(INDEX('Dados - Inversores'!AK:AK,MATCH('1'!AL31,'Dados - Inversores'!C:C,0))))</f>
        <v>#N/A</v>
      </c>
      <c r="AP31" s="34">
        <f>INDEX(Dados!$E$2:$E$33,COUNTIF(Dados!$E$2:$E$33,"&lt;="&amp;AN31*1.25/(INDEX('Dados - Inversores'!AL:AL,MATCH('1'!AL31,'Dados - Inversores'!C:C,0))*SQRT(INDEX('Dados - Inversores'!AK:AK,MATCH('1'!AL31,'Dados - Inversores'!C:C,0)))))+1)</f>
        <v>2</v>
      </c>
      <c r="AQ31" s="33" t="s">
        <v>59</v>
      </c>
      <c r="AR31" s="33" t="str">
        <f t="shared" si="6"/>
        <v>Micro</v>
      </c>
      <c r="AS31" s="33">
        <f>'Dados - Cliente'!AH31</f>
        <v>0</v>
      </c>
      <c r="AT31" s="33">
        <f>'Dados - Cliente'!AI31</f>
        <v>0</v>
      </c>
      <c r="AU31" s="33" t="e">
        <f>INDEX('Dados - Placas'!$N:$N,MATCH('1'!AG31,'Dados - Placas'!$D:$D,0))-1</f>
        <v>#N/A</v>
      </c>
      <c r="AV31" s="33" t="e">
        <f>INDEX('Dados - Placas'!$O:$O,MATCH('1'!AG31,'Dados - Placas'!$D:$D,0))</f>
        <v>#N/A</v>
      </c>
      <c r="AW31" s="33" t="e">
        <f>INDEX('Dados - Inversores'!AM:AM,MATCH('1'!AL31,'Dados - Inversores'!$C:$C,0))-1</f>
        <v>#N/A</v>
      </c>
      <c r="AX31" s="33" t="e">
        <f>INDEX('Dados - Inversores'!AN:AN,MATCH('1'!AL31,'Dados - Inversores'!$C:$C,0))-1</f>
        <v>#N/A</v>
      </c>
      <c r="AY31" s="33" t="e">
        <f>MATCH('1'!H31,Dados!$D$89:$D$167,0)+1</f>
        <v>#N/A</v>
      </c>
      <c r="AZ31" s="33" t="e">
        <f>MATCH('1'!N31,'Dados - Solicitação de acesso'!$N$2:$N$8,0)</f>
        <v>#N/A</v>
      </c>
      <c r="BA31" s="33" t="e">
        <f>MATCH('1'!T31,'Dados - Solicitação de acesso'!$T$2:$T$20,0)</f>
        <v>#N/A</v>
      </c>
      <c r="BB31" s="34"/>
      <c r="BC31" s="33">
        <f>MATCH(AT31,'Dados - Solicitação de acesso'!$AT$2:$AT$28,0)</f>
        <v>1</v>
      </c>
      <c r="BD31" s="33" t="b">
        <f>IF(O31="TRIFASICO",INDEX(Dados!G:G,MATCH('1'!AP31,Dados!E:E,0)),IF(O31="BIFASICO",INDEX(Dados!F:F,MATCH('1'!AP31,Dados!E:E,0),)))</f>
        <v>0</v>
      </c>
      <c r="BE31" s="33">
        <f>'Dados - Cliente'!J31</f>
        <v>0</v>
      </c>
      <c r="BF31" s="34">
        <f>INDEX(Dados!$E$2:$E$33,COUNTIF(Dados!$E$2:$E$33,"&lt;="&amp;AN31*1.25*AK31/(0.22*SQRT(INDEX('Dados - Inversores'!AK:AK,MATCH('1'!AL31,'Dados - Inversores'!C:C,0)))))+1)</f>
        <v>2</v>
      </c>
      <c r="BG31" s="34" t="b">
        <f>IF(O31="TRIFASICO",INDEX(Dados!G:G,MATCH(BF31,Dados!E:E,0)),IF(O31="BIFASICO",INDEX(Dados!F:F,MATCH(BF31,Dados!E:E,0),)))</f>
        <v>0</v>
      </c>
    </row>
    <row r="32" spans="1:59" s="33" customFormat="1" x14ac:dyDescent="0.35">
      <c r="A32" s="33">
        <f>'Dados - Cliente'!A32</f>
        <v>0</v>
      </c>
      <c r="B32" s="33">
        <f>'Dados - Cliente'!B32</f>
        <v>0</v>
      </c>
      <c r="C32" s="33">
        <f>'Dados - Cliente'!C32</f>
        <v>0</v>
      </c>
      <c r="D32" s="33">
        <f>'Dados - Cliente'!D32</f>
        <v>0</v>
      </c>
      <c r="E32" s="33">
        <f>'Dados - Cliente'!E32</f>
        <v>0</v>
      </c>
      <c r="F32" s="33">
        <f>'Dados - Cliente'!F32</f>
        <v>0</v>
      </c>
      <c r="G32" s="33">
        <f>'Dados - Cliente'!G32</f>
        <v>0</v>
      </c>
      <c r="H32" s="33">
        <f>'Dados - Cliente'!H32</f>
        <v>0</v>
      </c>
      <c r="I32" s="75" t="s">
        <v>4313</v>
      </c>
      <c r="J32" s="52" t="s">
        <v>4314</v>
      </c>
      <c r="K32" s="52" t="s">
        <v>4314</v>
      </c>
      <c r="L32" s="33">
        <f>'Dados - Cliente'!I32</f>
        <v>0</v>
      </c>
      <c r="M32" s="33">
        <f>'Dados - Cliente'!K32</f>
        <v>0</v>
      </c>
      <c r="N32" s="33">
        <f>'Dados - Cliente'!L32</f>
        <v>0</v>
      </c>
      <c r="O32" s="33">
        <f>'Dados - Cliente'!M32</f>
        <v>0</v>
      </c>
      <c r="P32" s="33">
        <f>'Dados - Cliente'!N32</f>
        <v>0</v>
      </c>
      <c r="Q32" s="33">
        <f>'Dados - Cliente'!O32</f>
        <v>0</v>
      </c>
      <c r="R32" s="33">
        <f>'Dados - Cliente'!P32</f>
        <v>0</v>
      </c>
      <c r="S32" s="33">
        <f>'Dados - Cliente'!Q32</f>
        <v>0</v>
      </c>
      <c r="T32" s="33">
        <f>'Dados - Cliente'!R32</f>
        <v>0</v>
      </c>
      <c r="U32" s="34">
        <f>'Dados - Cliente'!S32</f>
        <v>0</v>
      </c>
      <c r="V32" s="34">
        <f>'Dados - Cliente'!T32</f>
        <v>0</v>
      </c>
      <c r="W32" s="34">
        <f>'Dados - Cliente'!U32</f>
        <v>0</v>
      </c>
      <c r="X32" s="34">
        <f>'Dados - Cliente'!V32</f>
        <v>0</v>
      </c>
      <c r="Y32" s="34">
        <f>'Dados - Cliente'!W32</f>
        <v>0</v>
      </c>
      <c r="Z32" s="34">
        <f>'Dados - Cliente'!X32</f>
        <v>0</v>
      </c>
      <c r="AA32" s="33" t="e">
        <f t="shared" si="5"/>
        <v>#N/A</v>
      </c>
      <c r="AB32" s="33">
        <f>'Dados - Cliente'!Y32</f>
        <v>0</v>
      </c>
      <c r="AC32" s="33">
        <f>'Dados - Cliente'!Z32</f>
        <v>0</v>
      </c>
      <c r="AD32" s="33">
        <f>'Dados - Cliente'!AA32</f>
        <v>0</v>
      </c>
      <c r="AE32" s="33">
        <f>'Dados - Cliente'!AB32</f>
        <v>0</v>
      </c>
      <c r="AF32" s="33">
        <f>'Dados - Cliente'!AC32</f>
        <v>0</v>
      </c>
      <c r="AG32" s="35">
        <f>'Dados - Cliente'!AD32</f>
        <v>0</v>
      </c>
      <c r="AH32" s="33" t="e">
        <f>INDEX('Dados - Placas'!$A:$A,MATCH('1'!AG32,'Dados - Placas'!$D:$D,0))</f>
        <v>#N/A</v>
      </c>
      <c r="AI32" s="35" t="e">
        <f>INDEX('Dados - Placas'!$E:$E,MATCH('1'!AG32,'Dados - Placas'!$D:$D,0))</f>
        <v>#N/A</v>
      </c>
      <c r="AJ32" s="34" t="e">
        <f>INDEX('Dados - Placas'!$F:$F,MATCH('1'!AG32,'Dados - Placas'!$D:$D,0))*AF32</f>
        <v>#N/A</v>
      </c>
      <c r="AK32" s="33">
        <f>'Dados - Cliente'!AE32</f>
        <v>0</v>
      </c>
      <c r="AL32" s="33">
        <f>'Dados - Cliente'!AF32</f>
        <v>0</v>
      </c>
      <c r="AM32" s="36" t="e">
        <f>INDEX('Dados - Inversores'!$A:$A,MATCH('1'!AL32,'Dados - Inversores'!$C:$C,0))</f>
        <v>#N/A</v>
      </c>
      <c r="AN32" s="33">
        <f>'Dados - Cliente'!AG32</f>
        <v>0</v>
      </c>
      <c r="AO32" s="33" t="e">
        <f>AA32*1.25/(0.22*SQRT(INDEX('Dados - Inversores'!AK:AK,MATCH('1'!AL32,'Dados - Inversores'!C:C,0))))</f>
        <v>#N/A</v>
      </c>
      <c r="AP32" s="34">
        <f>INDEX(Dados!$E$2:$E$33,COUNTIF(Dados!$E$2:$E$33,"&lt;="&amp;AN32*1.25/(INDEX('Dados - Inversores'!AL:AL,MATCH('1'!AL32,'Dados - Inversores'!C:C,0))*SQRT(INDEX('Dados - Inversores'!AK:AK,MATCH('1'!AL32,'Dados - Inversores'!C:C,0)))))+1)</f>
        <v>2</v>
      </c>
      <c r="AQ32" s="33" t="s">
        <v>59</v>
      </c>
      <c r="AR32" s="33" t="str">
        <f t="shared" si="6"/>
        <v>Micro</v>
      </c>
      <c r="AS32" s="33">
        <f>'Dados - Cliente'!AH32</f>
        <v>0</v>
      </c>
      <c r="AT32" s="33">
        <f>'Dados - Cliente'!AI32</f>
        <v>0</v>
      </c>
      <c r="AU32" s="33" t="e">
        <f>INDEX('Dados - Placas'!$N:$N,MATCH('1'!AG32,'Dados - Placas'!$D:$D,0))-1</f>
        <v>#N/A</v>
      </c>
      <c r="AV32" s="33" t="e">
        <f>INDEX('Dados - Placas'!$O:$O,MATCH('1'!AG32,'Dados - Placas'!$D:$D,0))</f>
        <v>#N/A</v>
      </c>
      <c r="AW32" s="33" t="e">
        <f>INDEX('Dados - Inversores'!AM:AM,MATCH('1'!AL32,'Dados - Inversores'!$C:$C,0))-1</f>
        <v>#N/A</v>
      </c>
      <c r="AX32" s="33" t="e">
        <f>INDEX('Dados - Inversores'!AN:AN,MATCH('1'!AL32,'Dados - Inversores'!$C:$C,0))-1</f>
        <v>#N/A</v>
      </c>
      <c r="AY32" s="33" t="e">
        <f>MATCH('1'!H32,Dados!$D$89:$D$167,0)+1</f>
        <v>#N/A</v>
      </c>
      <c r="AZ32" s="33" t="e">
        <f>MATCH('1'!N32,'Dados - Solicitação de acesso'!$N$2:$N$8,0)</f>
        <v>#N/A</v>
      </c>
      <c r="BA32" s="33" t="e">
        <f>MATCH('1'!T32,'Dados - Solicitação de acesso'!$T$2:$T$20,0)</f>
        <v>#N/A</v>
      </c>
      <c r="BB32" s="34"/>
      <c r="BC32" s="33">
        <f>MATCH(AT32,'Dados - Solicitação de acesso'!$AT$2:$AT$28,0)</f>
        <v>1</v>
      </c>
      <c r="BD32" s="33" t="b">
        <f>IF(O32="TRIFASICO",INDEX(Dados!G:G,MATCH('1'!AP32,Dados!E:E,0)),IF(O32="BIFASICO",INDEX(Dados!F:F,MATCH('1'!AP32,Dados!E:E,0),)))</f>
        <v>0</v>
      </c>
      <c r="BE32" s="33">
        <f>'Dados - Cliente'!J32</f>
        <v>0</v>
      </c>
      <c r="BF32" s="34">
        <f>INDEX(Dados!$E$2:$E$33,COUNTIF(Dados!$E$2:$E$33,"&lt;="&amp;AN32*1.25*AK32/(0.22*SQRT(INDEX('Dados - Inversores'!AK:AK,MATCH('1'!AL32,'Dados - Inversores'!C:C,0)))))+1)</f>
        <v>2</v>
      </c>
      <c r="BG32" s="34" t="b">
        <f>IF(O32="TRIFASICO",INDEX(Dados!G:G,MATCH(BF32,Dados!E:E,0)),IF(O32="BIFASICO",INDEX(Dados!F:F,MATCH(BF32,Dados!E:E,0),)))</f>
        <v>0</v>
      </c>
    </row>
    <row r="33" spans="1:59" s="33" customFormat="1" x14ac:dyDescent="0.35">
      <c r="A33" s="33">
        <f>'Dados - Cliente'!A33</f>
        <v>0</v>
      </c>
      <c r="B33" s="33">
        <f>'Dados - Cliente'!B33</f>
        <v>0</v>
      </c>
      <c r="C33" s="33">
        <f>'Dados - Cliente'!C33</f>
        <v>0</v>
      </c>
      <c r="D33" s="33">
        <f>'Dados - Cliente'!D33</f>
        <v>0</v>
      </c>
      <c r="E33" s="33">
        <f>'Dados - Cliente'!E33</f>
        <v>0</v>
      </c>
      <c r="F33" s="33">
        <f>'Dados - Cliente'!F33</f>
        <v>0</v>
      </c>
      <c r="G33" s="33">
        <f>'Dados - Cliente'!G33</f>
        <v>0</v>
      </c>
      <c r="H33" s="33">
        <f>'Dados - Cliente'!H33</f>
        <v>0</v>
      </c>
      <c r="I33" s="75" t="s">
        <v>4313</v>
      </c>
      <c r="J33" s="52" t="s">
        <v>4314</v>
      </c>
      <c r="K33" s="52" t="s">
        <v>4314</v>
      </c>
      <c r="L33" s="33">
        <f>'Dados - Cliente'!I33</f>
        <v>0</v>
      </c>
      <c r="M33" s="33">
        <f>'Dados - Cliente'!K33</f>
        <v>0</v>
      </c>
      <c r="N33" s="33">
        <f>'Dados - Cliente'!L33</f>
        <v>0</v>
      </c>
      <c r="O33" s="33">
        <f>'Dados - Cliente'!M33</f>
        <v>0</v>
      </c>
      <c r="P33" s="33">
        <f>'Dados - Cliente'!N33</f>
        <v>0</v>
      </c>
      <c r="Q33" s="33">
        <f>'Dados - Cliente'!O33</f>
        <v>0</v>
      </c>
      <c r="R33" s="33">
        <f>'Dados - Cliente'!P33</f>
        <v>0</v>
      </c>
      <c r="S33" s="33">
        <f>'Dados - Cliente'!Q33</f>
        <v>0</v>
      </c>
      <c r="T33" s="33">
        <f>'Dados - Cliente'!R33</f>
        <v>0</v>
      </c>
      <c r="U33" s="34">
        <f>'Dados - Cliente'!S33</f>
        <v>0</v>
      </c>
      <c r="V33" s="34">
        <f>'Dados - Cliente'!T33</f>
        <v>0</v>
      </c>
      <c r="W33" s="34">
        <f>'Dados - Cliente'!U33</f>
        <v>0</v>
      </c>
      <c r="X33" s="34">
        <f>'Dados - Cliente'!V33</f>
        <v>0</v>
      </c>
      <c r="Y33" s="34">
        <f>'Dados - Cliente'!W33</f>
        <v>0</v>
      </c>
      <c r="Z33" s="34">
        <f>'Dados - Cliente'!X33</f>
        <v>0</v>
      </c>
      <c r="AA33" s="33" t="e">
        <f t="shared" si="5"/>
        <v>#N/A</v>
      </c>
      <c r="AB33" s="33">
        <f>'Dados - Cliente'!Y33</f>
        <v>0</v>
      </c>
      <c r="AC33" s="33">
        <f>'Dados - Cliente'!Z33</f>
        <v>0</v>
      </c>
      <c r="AD33" s="33">
        <f>'Dados - Cliente'!AA33</f>
        <v>0</v>
      </c>
      <c r="AE33" s="33">
        <f>'Dados - Cliente'!AB33</f>
        <v>0</v>
      </c>
      <c r="AF33" s="33">
        <f>'Dados - Cliente'!AC33</f>
        <v>0</v>
      </c>
      <c r="AG33" s="35">
        <f>'Dados - Cliente'!AD33</f>
        <v>0</v>
      </c>
      <c r="AH33" s="33" t="e">
        <f>INDEX('Dados - Placas'!$A:$A,MATCH('1'!AG33,'Dados - Placas'!$D:$D,0))</f>
        <v>#N/A</v>
      </c>
      <c r="AI33" s="35" t="e">
        <f>INDEX('Dados - Placas'!$E:$E,MATCH('1'!AG33,'Dados - Placas'!$D:$D,0))</f>
        <v>#N/A</v>
      </c>
      <c r="AJ33" s="34" t="e">
        <f>INDEX('Dados - Placas'!$F:$F,MATCH('1'!AG33,'Dados - Placas'!$D:$D,0))*AF33</f>
        <v>#N/A</v>
      </c>
      <c r="AK33" s="33">
        <f>'Dados - Cliente'!AE33</f>
        <v>0</v>
      </c>
      <c r="AL33" s="33">
        <f>'Dados - Cliente'!AF33</f>
        <v>0</v>
      </c>
      <c r="AM33" s="36" t="e">
        <f>INDEX('Dados - Inversores'!$A:$A,MATCH('1'!AL33,'Dados - Inversores'!$C:$C,0))</f>
        <v>#N/A</v>
      </c>
      <c r="AN33" s="33">
        <f>'Dados - Cliente'!AG33</f>
        <v>0</v>
      </c>
      <c r="AO33" s="33" t="e">
        <f>AA33*1.25/(0.22*SQRT(INDEX('Dados - Inversores'!AK:AK,MATCH('1'!AL33,'Dados - Inversores'!C:C,0))))</f>
        <v>#N/A</v>
      </c>
      <c r="AP33" s="34">
        <f>INDEX(Dados!$E$2:$E$33,COUNTIF(Dados!$E$2:$E$33,"&lt;="&amp;AN33*1.25/(INDEX('Dados - Inversores'!AL:AL,MATCH('1'!AL33,'Dados - Inversores'!C:C,0))*SQRT(INDEX('Dados - Inversores'!AK:AK,MATCH('1'!AL33,'Dados - Inversores'!C:C,0)))))+1)</f>
        <v>2</v>
      </c>
      <c r="AQ33" s="33" t="s">
        <v>59</v>
      </c>
      <c r="AR33" s="33" t="str">
        <f t="shared" si="6"/>
        <v>Micro</v>
      </c>
      <c r="AS33" s="33">
        <f>'Dados - Cliente'!AH33</f>
        <v>0</v>
      </c>
      <c r="AT33" s="33">
        <f>'Dados - Cliente'!AI33</f>
        <v>0</v>
      </c>
      <c r="AU33" s="33" t="e">
        <f>INDEX('Dados - Placas'!$N:$N,MATCH('1'!AG33,'Dados - Placas'!$D:$D,0))-1</f>
        <v>#N/A</v>
      </c>
      <c r="AV33" s="33" t="e">
        <f>INDEX('Dados - Placas'!$O:$O,MATCH('1'!AG33,'Dados - Placas'!$D:$D,0))</f>
        <v>#N/A</v>
      </c>
      <c r="AW33" s="33" t="e">
        <f>INDEX('Dados - Inversores'!AM:AM,MATCH('1'!AL33,'Dados - Inversores'!$C:$C,0))-1</f>
        <v>#N/A</v>
      </c>
      <c r="AX33" s="33" t="e">
        <f>INDEX('Dados - Inversores'!AN:AN,MATCH('1'!AL33,'Dados - Inversores'!$C:$C,0))-1</f>
        <v>#N/A</v>
      </c>
      <c r="AY33" s="33" t="e">
        <f>MATCH('1'!H33,Dados!$D$89:$D$167,0)+1</f>
        <v>#N/A</v>
      </c>
      <c r="AZ33" s="33" t="e">
        <f>MATCH('1'!N33,'Dados - Solicitação de acesso'!$N$2:$N$8,0)</f>
        <v>#N/A</v>
      </c>
      <c r="BA33" s="33" t="e">
        <f>MATCH('1'!T33,'Dados - Solicitação de acesso'!$T$2:$T$20,0)</f>
        <v>#N/A</v>
      </c>
      <c r="BB33" s="34"/>
      <c r="BC33" s="33">
        <f>MATCH(AT33,'Dados - Solicitação de acesso'!$AT$2:$AT$28,0)</f>
        <v>1</v>
      </c>
      <c r="BD33" s="33" t="b">
        <f>IF(O33="TRIFASICO",INDEX(Dados!G:G,MATCH('1'!AP33,Dados!E:E,0)),IF(O33="BIFASICO",INDEX(Dados!F:F,MATCH('1'!AP33,Dados!E:E,0),)))</f>
        <v>0</v>
      </c>
      <c r="BE33" s="33">
        <f>'Dados - Cliente'!J33</f>
        <v>0</v>
      </c>
      <c r="BF33" s="34">
        <f>INDEX(Dados!$E$2:$E$33,COUNTIF(Dados!$E$2:$E$33,"&lt;="&amp;AN33*1.25*AK33/(0.22*SQRT(INDEX('Dados - Inversores'!AK:AK,MATCH('1'!AL33,'Dados - Inversores'!C:C,0)))))+1)</f>
        <v>2</v>
      </c>
      <c r="BG33" s="34" t="b">
        <f>IF(O33="TRIFASICO",INDEX(Dados!G:G,MATCH(BF33,Dados!E:E,0)),IF(O33="BIFASICO",INDEX(Dados!F:F,MATCH(BF33,Dados!E:E,0),)))</f>
        <v>0</v>
      </c>
    </row>
    <row r="34" spans="1:59" s="33" customFormat="1" x14ac:dyDescent="0.35">
      <c r="A34" s="33">
        <f>'Dados - Cliente'!A34</f>
        <v>0</v>
      </c>
      <c r="B34" s="33">
        <f>'Dados - Cliente'!B34</f>
        <v>0</v>
      </c>
      <c r="C34" s="33">
        <f>'Dados - Cliente'!C34</f>
        <v>0</v>
      </c>
      <c r="D34" s="33">
        <f>'Dados - Cliente'!D34</f>
        <v>0</v>
      </c>
      <c r="E34" s="33">
        <f>'Dados - Cliente'!E34</f>
        <v>0</v>
      </c>
      <c r="F34" s="33">
        <f>'Dados - Cliente'!F34</f>
        <v>0</v>
      </c>
      <c r="G34" s="33">
        <f>'Dados - Cliente'!G34</f>
        <v>0</v>
      </c>
      <c r="H34" s="33">
        <f>'Dados - Cliente'!H34</f>
        <v>0</v>
      </c>
      <c r="I34" s="75" t="s">
        <v>4313</v>
      </c>
      <c r="J34" s="52" t="s">
        <v>4314</v>
      </c>
      <c r="K34" s="52" t="s">
        <v>4314</v>
      </c>
      <c r="L34" s="33">
        <f>'Dados - Cliente'!I34</f>
        <v>0</v>
      </c>
      <c r="M34" s="33">
        <f>'Dados - Cliente'!K34</f>
        <v>0</v>
      </c>
      <c r="N34" s="33">
        <f>'Dados - Cliente'!L34</f>
        <v>0</v>
      </c>
      <c r="O34" s="33">
        <f>'Dados - Cliente'!M34</f>
        <v>0</v>
      </c>
      <c r="P34" s="33">
        <f>'Dados - Cliente'!N34</f>
        <v>0</v>
      </c>
      <c r="Q34" s="33">
        <f>'Dados - Cliente'!O34</f>
        <v>0</v>
      </c>
      <c r="R34" s="33">
        <f>'Dados - Cliente'!P34</f>
        <v>0</v>
      </c>
      <c r="S34" s="33">
        <f>'Dados - Cliente'!Q34</f>
        <v>0</v>
      </c>
      <c r="T34" s="33">
        <f>'Dados - Cliente'!R34</f>
        <v>0</v>
      </c>
      <c r="U34" s="34">
        <f>'Dados - Cliente'!S34</f>
        <v>0</v>
      </c>
      <c r="V34" s="34">
        <f>'Dados - Cliente'!T34</f>
        <v>0</v>
      </c>
      <c r="W34" s="34">
        <f>'Dados - Cliente'!U34</f>
        <v>0</v>
      </c>
      <c r="X34" s="34">
        <f>'Dados - Cliente'!V34</f>
        <v>0</v>
      </c>
      <c r="Y34" s="34">
        <f>'Dados - Cliente'!W34</f>
        <v>0</v>
      </c>
      <c r="Z34" s="34">
        <f>'Dados - Cliente'!X34</f>
        <v>0</v>
      </c>
      <c r="AA34" s="33" t="e">
        <f t="shared" si="5"/>
        <v>#N/A</v>
      </c>
      <c r="AB34" s="33">
        <f>'Dados - Cliente'!Y34</f>
        <v>0</v>
      </c>
      <c r="AC34" s="33">
        <f>'Dados - Cliente'!Z34</f>
        <v>0</v>
      </c>
      <c r="AD34" s="33">
        <f>'Dados - Cliente'!AA34</f>
        <v>0</v>
      </c>
      <c r="AE34" s="33">
        <f>'Dados - Cliente'!AB34</f>
        <v>0</v>
      </c>
      <c r="AF34" s="33">
        <f>'Dados - Cliente'!AC34</f>
        <v>0</v>
      </c>
      <c r="AG34" s="35">
        <f>'Dados - Cliente'!AD34</f>
        <v>0</v>
      </c>
      <c r="AH34" s="33" t="e">
        <f>INDEX('Dados - Placas'!$A:$A,MATCH('1'!AG34,'Dados - Placas'!$D:$D,0))</f>
        <v>#N/A</v>
      </c>
      <c r="AI34" s="35" t="e">
        <f>INDEX('Dados - Placas'!$E:$E,MATCH('1'!AG34,'Dados - Placas'!$D:$D,0))</f>
        <v>#N/A</v>
      </c>
      <c r="AJ34" s="34" t="e">
        <f>INDEX('Dados - Placas'!$F:$F,MATCH('1'!AG34,'Dados - Placas'!$D:$D,0))*AF34</f>
        <v>#N/A</v>
      </c>
      <c r="AK34" s="33">
        <f>'Dados - Cliente'!AE34</f>
        <v>0</v>
      </c>
      <c r="AL34" s="33">
        <f>'Dados - Cliente'!AF34</f>
        <v>0</v>
      </c>
      <c r="AM34" s="36" t="e">
        <f>INDEX('Dados - Inversores'!$A:$A,MATCH('1'!AL34,'Dados - Inversores'!$C:$C,0))</f>
        <v>#N/A</v>
      </c>
      <c r="AN34" s="33">
        <f>'Dados - Cliente'!AG34</f>
        <v>0</v>
      </c>
      <c r="AO34" s="33" t="e">
        <f>AA34*1.25/(0.22*SQRT(INDEX('Dados - Inversores'!AK:AK,MATCH('1'!AL34,'Dados - Inversores'!C:C,0))))</f>
        <v>#N/A</v>
      </c>
      <c r="AP34" s="34">
        <f>INDEX(Dados!$E$2:$E$33,COUNTIF(Dados!$E$2:$E$33,"&lt;="&amp;AN34*1.25/(INDEX('Dados - Inversores'!AL:AL,MATCH('1'!AL34,'Dados - Inversores'!C:C,0))*SQRT(INDEX('Dados - Inversores'!AK:AK,MATCH('1'!AL34,'Dados - Inversores'!C:C,0)))))+1)</f>
        <v>2</v>
      </c>
      <c r="AQ34" s="33" t="s">
        <v>59</v>
      </c>
      <c r="AR34" s="33" t="str">
        <f t="shared" si="6"/>
        <v>Micro</v>
      </c>
      <c r="AS34" s="33">
        <f>'Dados - Cliente'!AH34</f>
        <v>0</v>
      </c>
      <c r="AT34" s="33">
        <f>'Dados - Cliente'!AI34</f>
        <v>0</v>
      </c>
      <c r="AU34" s="33" t="e">
        <f>INDEX('Dados - Placas'!$N:$N,MATCH('1'!AG34,'Dados - Placas'!$D:$D,0))-1</f>
        <v>#N/A</v>
      </c>
      <c r="AV34" s="33" t="e">
        <f>INDEX('Dados - Placas'!$O:$O,MATCH('1'!AG34,'Dados - Placas'!$D:$D,0))</f>
        <v>#N/A</v>
      </c>
      <c r="AW34" s="33" t="e">
        <f>INDEX('Dados - Inversores'!AM:AM,MATCH('1'!AL34,'Dados - Inversores'!$C:$C,0))-1</f>
        <v>#N/A</v>
      </c>
      <c r="AX34" s="33" t="e">
        <f>INDEX('Dados - Inversores'!AN:AN,MATCH('1'!AL34,'Dados - Inversores'!$C:$C,0))-1</f>
        <v>#N/A</v>
      </c>
      <c r="AY34" s="33" t="e">
        <f>MATCH('1'!H34,Dados!$D$89:$D$167,0)+1</f>
        <v>#N/A</v>
      </c>
      <c r="AZ34" s="33" t="e">
        <f>MATCH('1'!N34,'Dados - Solicitação de acesso'!$N$2:$N$8,0)</f>
        <v>#N/A</v>
      </c>
      <c r="BA34" s="33" t="e">
        <f>MATCH('1'!T34,'Dados - Solicitação de acesso'!$T$2:$T$20,0)</f>
        <v>#N/A</v>
      </c>
      <c r="BB34" s="34"/>
      <c r="BC34" s="33">
        <f>MATCH(AT34,'Dados - Solicitação de acesso'!$AT$2:$AT$28,0)</f>
        <v>1</v>
      </c>
      <c r="BD34" s="33" t="b">
        <f>IF(O34="TRIFASICO",INDEX(Dados!G:G,MATCH('1'!AP34,Dados!E:E,0)),IF(O34="BIFASICO",INDEX(Dados!F:F,MATCH('1'!AP34,Dados!E:E,0),)))</f>
        <v>0</v>
      </c>
      <c r="BE34" s="33">
        <f>'Dados - Cliente'!J34</f>
        <v>0</v>
      </c>
      <c r="BF34" s="34">
        <f>INDEX(Dados!$E$2:$E$33,COUNTIF(Dados!$E$2:$E$33,"&lt;="&amp;AN34*1.25*AK34/(0.22*SQRT(INDEX('Dados - Inversores'!AK:AK,MATCH('1'!AL34,'Dados - Inversores'!C:C,0)))))+1)</f>
        <v>2</v>
      </c>
      <c r="BG34" s="34" t="b">
        <f>IF(O34="TRIFASICO",INDEX(Dados!G:G,MATCH(BF34,Dados!E:E,0)),IF(O34="BIFASICO",INDEX(Dados!F:F,MATCH(BF34,Dados!E:E,0),)))</f>
        <v>0</v>
      </c>
    </row>
    <row r="35" spans="1:59" s="33" customFormat="1" x14ac:dyDescent="0.35">
      <c r="A35" s="33">
        <f>'Dados - Cliente'!A35</f>
        <v>0</v>
      </c>
      <c r="B35" s="33">
        <f>'Dados - Cliente'!B35</f>
        <v>0</v>
      </c>
      <c r="C35" s="33">
        <f>'Dados - Cliente'!C35</f>
        <v>0</v>
      </c>
      <c r="D35" s="33">
        <f>'Dados - Cliente'!D35</f>
        <v>0</v>
      </c>
      <c r="E35" s="33">
        <f>'Dados - Cliente'!E35</f>
        <v>0</v>
      </c>
      <c r="F35" s="33">
        <f>'Dados - Cliente'!F35</f>
        <v>0</v>
      </c>
      <c r="G35" s="33">
        <f>'Dados - Cliente'!G35</f>
        <v>0</v>
      </c>
      <c r="H35" s="33">
        <f>'Dados - Cliente'!H35</f>
        <v>0</v>
      </c>
      <c r="I35" s="75" t="s">
        <v>4313</v>
      </c>
      <c r="J35" s="52" t="s">
        <v>4314</v>
      </c>
      <c r="K35" s="52" t="s">
        <v>4314</v>
      </c>
      <c r="L35" s="33">
        <f>'Dados - Cliente'!I35</f>
        <v>0</v>
      </c>
      <c r="M35" s="33">
        <f>'Dados - Cliente'!K35</f>
        <v>0</v>
      </c>
      <c r="N35" s="33">
        <f>'Dados - Cliente'!L35</f>
        <v>0</v>
      </c>
      <c r="O35" s="33">
        <f>'Dados - Cliente'!M35</f>
        <v>0</v>
      </c>
      <c r="P35" s="33">
        <f>'Dados - Cliente'!N35</f>
        <v>0</v>
      </c>
      <c r="Q35" s="33">
        <f>'Dados - Cliente'!O35</f>
        <v>0</v>
      </c>
      <c r="R35" s="33">
        <f>'Dados - Cliente'!P35</f>
        <v>0</v>
      </c>
      <c r="S35" s="33">
        <f>'Dados - Cliente'!Q35</f>
        <v>0</v>
      </c>
      <c r="T35" s="33">
        <f>'Dados - Cliente'!R35</f>
        <v>0</v>
      </c>
      <c r="U35" s="34">
        <f>'Dados - Cliente'!S35</f>
        <v>0</v>
      </c>
      <c r="V35" s="34">
        <f>'Dados - Cliente'!T35</f>
        <v>0</v>
      </c>
      <c r="W35" s="34">
        <f>'Dados - Cliente'!U35</f>
        <v>0</v>
      </c>
      <c r="X35" s="34">
        <f>'Dados - Cliente'!V35</f>
        <v>0</v>
      </c>
      <c r="Y35" s="34">
        <f>'Dados - Cliente'!W35</f>
        <v>0</v>
      </c>
      <c r="Z35" s="34">
        <f>'Dados - Cliente'!X35</f>
        <v>0</v>
      </c>
      <c r="AA35" s="33" t="e">
        <f t="shared" si="5"/>
        <v>#N/A</v>
      </c>
      <c r="AB35" s="33">
        <f>'Dados - Cliente'!Y35</f>
        <v>0</v>
      </c>
      <c r="AC35" s="33">
        <f>'Dados - Cliente'!Z35</f>
        <v>0</v>
      </c>
      <c r="AD35" s="33">
        <f>'Dados - Cliente'!AA35</f>
        <v>0</v>
      </c>
      <c r="AE35" s="33">
        <f>'Dados - Cliente'!AB35</f>
        <v>0</v>
      </c>
      <c r="AF35" s="33">
        <f>'Dados - Cliente'!AC35</f>
        <v>0</v>
      </c>
      <c r="AG35" s="35">
        <f>'Dados - Cliente'!AD35</f>
        <v>0</v>
      </c>
      <c r="AH35" s="33" t="e">
        <f>INDEX('Dados - Placas'!$A:$A,MATCH('1'!AG35,'Dados - Placas'!$D:$D,0))</f>
        <v>#N/A</v>
      </c>
      <c r="AI35" s="35" t="e">
        <f>INDEX('Dados - Placas'!$E:$E,MATCH('1'!AG35,'Dados - Placas'!$D:$D,0))</f>
        <v>#N/A</v>
      </c>
      <c r="AJ35" s="34" t="e">
        <f>INDEX('Dados - Placas'!$F:$F,MATCH('1'!AG35,'Dados - Placas'!$D:$D,0))*AF35</f>
        <v>#N/A</v>
      </c>
      <c r="AK35" s="33">
        <f>'Dados - Cliente'!AE35</f>
        <v>0</v>
      </c>
      <c r="AL35" s="33">
        <f>'Dados - Cliente'!AF35</f>
        <v>0</v>
      </c>
      <c r="AM35" s="36" t="e">
        <f>INDEX('Dados - Inversores'!$A:$A,MATCH('1'!AL35,'Dados - Inversores'!$C:$C,0))</f>
        <v>#N/A</v>
      </c>
      <c r="AN35" s="33">
        <f>'Dados - Cliente'!AG35</f>
        <v>0</v>
      </c>
      <c r="AO35" s="33" t="e">
        <f>AA35*1.25/(0.22*SQRT(INDEX('Dados - Inversores'!AK:AK,MATCH('1'!AL35,'Dados - Inversores'!C:C,0))))</f>
        <v>#N/A</v>
      </c>
      <c r="AP35" s="34">
        <f>INDEX(Dados!$E$2:$E$33,COUNTIF(Dados!$E$2:$E$33,"&lt;="&amp;AN35*1.25/(INDEX('Dados - Inversores'!AL:AL,MATCH('1'!AL35,'Dados - Inversores'!C:C,0))*SQRT(INDEX('Dados - Inversores'!AK:AK,MATCH('1'!AL35,'Dados - Inversores'!C:C,0)))))+1)</f>
        <v>2</v>
      </c>
      <c r="AQ35" s="33" t="s">
        <v>59</v>
      </c>
      <c r="AR35" s="33" t="str">
        <f t="shared" si="6"/>
        <v>Micro</v>
      </c>
      <c r="AS35" s="33">
        <f>'Dados - Cliente'!AH35</f>
        <v>0</v>
      </c>
      <c r="AT35" s="33">
        <f>'Dados - Cliente'!AI35</f>
        <v>0</v>
      </c>
      <c r="AU35" s="33" t="e">
        <f>INDEX('Dados - Placas'!$N:$N,MATCH('1'!AG35,'Dados - Placas'!$D:$D,0))-1</f>
        <v>#N/A</v>
      </c>
      <c r="AV35" s="33" t="e">
        <f>INDEX('Dados - Placas'!$O:$O,MATCH('1'!AG35,'Dados - Placas'!$D:$D,0))</f>
        <v>#N/A</v>
      </c>
      <c r="AW35" s="33" t="e">
        <f>INDEX('Dados - Inversores'!AM:AM,MATCH('1'!AL35,'Dados - Inversores'!$C:$C,0))-1</f>
        <v>#N/A</v>
      </c>
      <c r="AX35" s="33" t="e">
        <f>INDEX('Dados - Inversores'!AN:AN,MATCH('1'!AL35,'Dados - Inversores'!$C:$C,0))-1</f>
        <v>#N/A</v>
      </c>
      <c r="AY35" s="33" t="e">
        <f>MATCH('1'!H35,Dados!$D$89:$D$167,0)+1</f>
        <v>#N/A</v>
      </c>
      <c r="AZ35" s="33" t="e">
        <f>MATCH('1'!N35,'Dados - Solicitação de acesso'!$N$2:$N$8,0)</f>
        <v>#N/A</v>
      </c>
      <c r="BA35" s="33" t="e">
        <f>MATCH('1'!T35,'Dados - Solicitação de acesso'!$T$2:$T$20,0)</f>
        <v>#N/A</v>
      </c>
      <c r="BB35" s="34"/>
      <c r="BC35" s="33">
        <f>MATCH(AT35,'Dados - Solicitação de acesso'!$AT$2:$AT$28,0)</f>
        <v>1</v>
      </c>
      <c r="BD35" s="33" t="b">
        <f>IF(O35="TRIFASICO",INDEX(Dados!G:G,MATCH('1'!AP35,Dados!E:E,0)),IF(O35="BIFASICO",INDEX(Dados!F:F,MATCH('1'!AP35,Dados!E:E,0),)))</f>
        <v>0</v>
      </c>
      <c r="BE35" s="33">
        <f>'Dados - Cliente'!J35</f>
        <v>0</v>
      </c>
      <c r="BF35" s="34">
        <f>INDEX(Dados!$E$2:$E$33,COUNTIF(Dados!$E$2:$E$33,"&lt;="&amp;AN35*1.25*AK35/(0.22*SQRT(INDEX('Dados - Inversores'!AK:AK,MATCH('1'!AL35,'Dados - Inversores'!C:C,0)))))+1)</f>
        <v>2</v>
      </c>
      <c r="BG35" s="34" t="b">
        <f>IF(O35="TRIFASICO",INDEX(Dados!G:G,MATCH(BF35,Dados!E:E,0)),IF(O35="BIFASICO",INDEX(Dados!F:F,MATCH(BF35,Dados!E:E,0),)))</f>
        <v>0</v>
      </c>
    </row>
    <row r="36" spans="1:59" s="33" customFormat="1" x14ac:dyDescent="0.35">
      <c r="A36" s="33">
        <f>'Dados - Cliente'!A36</f>
        <v>0</v>
      </c>
      <c r="B36" s="33">
        <f>'Dados - Cliente'!B36</f>
        <v>0</v>
      </c>
      <c r="C36" s="33">
        <f>'Dados - Cliente'!C36</f>
        <v>0</v>
      </c>
      <c r="D36" s="33">
        <f>'Dados - Cliente'!D36</f>
        <v>0</v>
      </c>
      <c r="E36" s="33">
        <f>'Dados - Cliente'!E36</f>
        <v>0</v>
      </c>
      <c r="F36" s="33">
        <f>'Dados - Cliente'!F36</f>
        <v>0</v>
      </c>
      <c r="G36" s="33">
        <f>'Dados - Cliente'!G36</f>
        <v>0</v>
      </c>
      <c r="H36" s="33">
        <f>'Dados - Cliente'!H36</f>
        <v>0</v>
      </c>
      <c r="I36" s="75" t="s">
        <v>4313</v>
      </c>
      <c r="J36" s="52" t="s">
        <v>4314</v>
      </c>
      <c r="K36" s="52" t="s">
        <v>4314</v>
      </c>
      <c r="L36" s="33">
        <f>'Dados - Cliente'!I36</f>
        <v>0</v>
      </c>
      <c r="M36" s="33">
        <f>'Dados - Cliente'!K36</f>
        <v>0</v>
      </c>
      <c r="N36" s="33">
        <f>'Dados - Cliente'!L36</f>
        <v>0</v>
      </c>
      <c r="O36" s="33">
        <f>'Dados - Cliente'!M36</f>
        <v>0</v>
      </c>
      <c r="P36" s="33">
        <f>'Dados - Cliente'!N36</f>
        <v>0</v>
      </c>
      <c r="Q36" s="33">
        <f>'Dados - Cliente'!O36</f>
        <v>0</v>
      </c>
      <c r="R36" s="33">
        <f>'Dados - Cliente'!P36</f>
        <v>0</v>
      </c>
      <c r="S36" s="33">
        <f>'Dados - Cliente'!Q36</f>
        <v>0</v>
      </c>
      <c r="T36" s="33">
        <f>'Dados - Cliente'!R36</f>
        <v>0</v>
      </c>
      <c r="U36" s="34">
        <f>'Dados - Cliente'!S36</f>
        <v>0</v>
      </c>
      <c r="V36" s="34">
        <f>'Dados - Cliente'!T36</f>
        <v>0</v>
      </c>
      <c r="W36" s="34">
        <f>'Dados - Cliente'!U36</f>
        <v>0</v>
      </c>
      <c r="X36" s="34">
        <f>'Dados - Cliente'!V36</f>
        <v>0</v>
      </c>
      <c r="Y36" s="34">
        <f>'Dados - Cliente'!W36</f>
        <v>0</v>
      </c>
      <c r="Z36" s="34">
        <f>'Dados - Cliente'!X36</f>
        <v>0</v>
      </c>
      <c r="AA36" s="33" t="e">
        <f t="shared" si="5"/>
        <v>#N/A</v>
      </c>
      <c r="AB36" s="33">
        <f>'Dados - Cliente'!Y36</f>
        <v>0</v>
      </c>
      <c r="AC36" s="33">
        <f>'Dados - Cliente'!Z36</f>
        <v>0</v>
      </c>
      <c r="AD36" s="33">
        <f>'Dados - Cliente'!AA36</f>
        <v>0</v>
      </c>
      <c r="AE36" s="33">
        <f>'Dados - Cliente'!AB36</f>
        <v>0</v>
      </c>
      <c r="AF36" s="33">
        <f>'Dados - Cliente'!AC36</f>
        <v>0</v>
      </c>
      <c r="AG36" s="35">
        <f>'Dados - Cliente'!AD36</f>
        <v>0</v>
      </c>
      <c r="AH36" s="33" t="e">
        <f>INDEX('Dados - Placas'!$A:$A,MATCH('1'!AG36,'Dados - Placas'!$D:$D,0))</f>
        <v>#N/A</v>
      </c>
      <c r="AI36" s="35" t="e">
        <f>INDEX('Dados - Placas'!$E:$E,MATCH('1'!AG36,'Dados - Placas'!$D:$D,0))</f>
        <v>#N/A</v>
      </c>
      <c r="AJ36" s="34" t="e">
        <f>INDEX('Dados - Placas'!$F:$F,MATCH('1'!AG36,'Dados - Placas'!$D:$D,0))*AF36</f>
        <v>#N/A</v>
      </c>
      <c r="AK36" s="33">
        <f>'Dados - Cliente'!AE36</f>
        <v>0</v>
      </c>
      <c r="AL36" s="33">
        <f>'Dados - Cliente'!AF36</f>
        <v>0</v>
      </c>
      <c r="AM36" s="36" t="e">
        <f>INDEX('Dados - Inversores'!$A:$A,MATCH('1'!AL36,'Dados - Inversores'!$C:$C,0))</f>
        <v>#N/A</v>
      </c>
      <c r="AN36" s="33">
        <f>'Dados - Cliente'!AG36</f>
        <v>0</v>
      </c>
      <c r="AO36" s="33" t="e">
        <f>AA36*1.25/(0.22*SQRT(INDEX('Dados - Inversores'!AK:AK,MATCH('1'!AL36,'Dados - Inversores'!C:C,0))))</f>
        <v>#N/A</v>
      </c>
      <c r="AP36" s="34">
        <f>INDEX(Dados!$E$2:$E$33,COUNTIF(Dados!$E$2:$E$33,"&lt;="&amp;AN36*1.25/(INDEX('Dados - Inversores'!AL:AL,MATCH('1'!AL36,'Dados - Inversores'!C:C,0))*SQRT(INDEX('Dados - Inversores'!AK:AK,MATCH('1'!AL36,'Dados - Inversores'!C:C,0)))))+1)</f>
        <v>2</v>
      </c>
      <c r="AQ36" s="33" t="s">
        <v>59</v>
      </c>
      <c r="AR36" s="33" t="str">
        <f t="shared" si="6"/>
        <v>Micro</v>
      </c>
      <c r="AS36" s="33">
        <f>'Dados - Cliente'!AH36</f>
        <v>0</v>
      </c>
      <c r="AT36" s="33">
        <f>'Dados - Cliente'!AI36</f>
        <v>0</v>
      </c>
      <c r="AU36" s="33" t="e">
        <f>INDEX('Dados - Placas'!$N:$N,MATCH('1'!AG36,'Dados - Placas'!$D:$D,0))-1</f>
        <v>#N/A</v>
      </c>
      <c r="AV36" s="33" t="e">
        <f>INDEX('Dados - Placas'!$O:$O,MATCH('1'!AG36,'Dados - Placas'!$D:$D,0))</f>
        <v>#N/A</v>
      </c>
      <c r="AW36" s="33" t="e">
        <f>INDEX('Dados - Inversores'!AM:AM,MATCH('1'!AL36,'Dados - Inversores'!$C:$C,0))-1</f>
        <v>#N/A</v>
      </c>
      <c r="AX36" s="33" t="e">
        <f>INDEX('Dados - Inversores'!AN:AN,MATCH('1'!AL36,'Dados - Inversores'!$C:$C,0))-1</f>
        <v>#N/A</v>
      </c>
      <c r="AY36" s="33" t="e">
        <f>MATCH('1'!H36,Dados!$D$89:$D$167,0)+1</f>
        <v>#N/A</v>
      </c>
      <c r="AZ36" s="33" t="e">
        <f>MATCH('1'!N36,'Dados - Solicitação de acesso'!$N$2:$N$8,0)</f>
        <v>#N/A</v>
      </c>
      <c r="BA36" s="33" t="e">
        <f>MATCH('1'!T36,'Dados - Solicitação de acesso'!$T$2:$T$20,0)</f>
        <v>#N/A</v>
      </c>
      <c r="BB36" s="34"/>
      <c r="BC36" s="33">
        <f>MATCH(AT36,'Dados - Solicitação de acesso'!$AT$2:$AT$28,0)</f>
        <v>1</v>
      </c>
      <c r="BD36" s="33" t="b">
        <f>IF(O36="TRIFASICO",INDEX(Dados!G:G,MATCH('1'!AP36,Dados!E:E,0)),IF(O36="BIFASICO",INDEX(Dados!F:F,MATCH('1'!AP36,Dados!E:E,0),)))</f>
        <v>0</v>
      </c>
      <c r="BE36" s="33">
        <f>'Dados - Cliente'!J36</f>
        <v>0</v>
      </c>
      <c r="BF36" s="34">
        <f>INDEX(Dados!$E$2:$E$33,COUNTIF(Dados!$E$2:$E$33,"&lt;="&amp;AN36*1.25*AK36/(0.22*SQRT(INDEX('Dados - Inversores'!AK:AK,MATCH('1'!AL36,'Dados - Inversores'!C:C,0)))))+1)</f>
        <v>2</v>
      </c>
      <c r="BG36" s="34" t="b">
        <f>IF(O36="TRIFASICO",INDEX(Dados!G:G,MATCH(BF36,Dados!E:E,0)),IF(O36="BIFASICO",INDEX(Dados!F:F,MATCH(BF36,Dados!E:E,0),)))</f>
        <v>0</v>
      </c>
    </row>
    <row r="37" spans="1:59" s="33" customFormat="1" x14ac:dyDescent="0.35">
      <c r="A37" s="33">
        <f>'Dados - Cliente'!A37</f>
        <v>0</v>
      </c>
      <c r="B37" s="33">
        <f>'Dados - Cliente'!B37</f>
        <v>0</v>
      </c>
      <c r="C37" s="33">
        <f>'Dados - Cliente'!C37</f>
        <v>0</v>
      </c>
      <c r="D37" s="33">
        <f>'Dados - Cliente'!D37</f>
        <v>0</v>
      </c>
      <c r="E37" s="33">
        <f>'Dados - Cliente'!E37</f>
        <v>0</v>
      </c>
      <c r="F37" s="33">
        <f>'Dados - Cliente'!F37</f>
        <v>0</v>
      </c>
      <c r="G37" s="33">
        <f>'Dados - Cliente'!G37</f>
        <v>0</v>
      </c>
      <c r="H37" s="33">
        <f>'Dados - Cliente'!H37</f>
        <v>0</v>
      </c>
      <c r="I37" s="75" t="s">
        <v>4313</v>
      </c>
      <c r="J37" s="52" t="s">
        <v>4314</v>
      </c>
      <c r="K37" s="52" t="s">
        <v>4314</v>
      </c>
      <c r="L37" s="33">
        <f>'Dados - Cliente'!I37</f>
        <v>0</v>
      </c>
      <c r="M37" s="33">
        <f>'Dados - Cliente'!K37</f>
        <v>0</v>
      </c>
      <c r="N37" s="33">
        <f>'Dados - Cliente'!L37</f>
        <v>0</v>
      </c>
      <c r="O37" s="33">
        <f>'Dados - Cliente'!M37</f>
        <v>0</v>
      </c>
      <c r="P37" s="33">
        <f>'Dados - Cliente'!N37</f>
        <v>0</v>
      </c>
      <c r="Q37" s="33">
        <f>'Dados - Cliente'!O37</f>
        <v>0</v>
      </c>
      <c r="R37" s="33">
        <f>'Dados - Cliente'!P37</f>
        <v>0</v>
      </c>
      <c r="S37" s="33">
        <f>'Dados - Cliente'!Q37</f>
        <v>0</v>
      </c>
      <c r="T37" s="33">
        <f>'Dados - Cliente'!R37</f>
        <v>0</v>
      </c>
      <c r="U37" s="34">
        <f>'Dados - Cliente'!S37</f>
        <v>0</v>
      </c>
      <c r="V37" s="34">
        <f>'Dados - Cliente'!T37</f>
        <v>0</v>
      </c>
      <c r="W37" s="34">
        <f>'Dados - Cliente'!U37</f>
        <v>0</v>
      </c>
      <c r="X37" s="34">
        <f>'Dados - Cliente'!V37</f>
        <v>0</v>
      </c>
      <c r="Y37" s="34">
        <f>'Dados - Cliente'!W37</f>
        <v>0</v>
      </c>
      <c r="Z37" s="34">
        <f>'Dados - Cliente'!X37</f>
        <v>0</v>
      </c>
      <c r="AA37" s="33" t="e">
        <f t="shared" si="5"/>
        <v>#N/A</v>
      </c>
      <c r="AB37" s="33">
        <f>'Dados - Cliente'!Y37</f>
        <v>0</v>
      </c>
      <c r="AC37" s="33">
        <f>'Dados - Cliente'!Z37</f>
        <v>0</v>
      </c>
      <c r="AD37" s="33">
        <f>'Dados - Cliente'!AA37</f>
        <v>0</v>
      </c>
      <c r="AE37" s="33">
        <f>'Dados - Cliente'!AB37</f>
        <v>0</v>
      </c>
      <c r="AF37" s="33">
        <f>'Dados - Cliente'!AC37</f>
        <v>0</v>
      </c>
      <c r="AG37" s="35">
        <f>'Dados - Cliente'!AD37</f>
        <v>0</v>
      </c>
      <c r="AH37" s="33" t="e">
        <f>INDEX('Dados - Placas'!$A:$A,MATCH('1'!AG37,'Dados - Placas'!$D:$D,0))</f>
        <v>#N/A</v>
      </c>
      <c r="AI37" s="35" t="e">
        <f>INDEX('Dados - Placas'!$E:$E,MATCH('1'!AG37,'Dados - Placas'!$D:$D,0))</f>
        <v>#N/A</v>
      </c>
      <c r="AJ37" s="34" t="e">
        <f>INDEX('Dados - Placas'!$F:$F,MATCH('1'!AG37,'Dados - Placas'!$D:$D,0))*AF37</f>
        <v>#N/A</v>
      </c>
      <c r="AK37" s="33">
        <f>'Dados - Cliente'!AE37</f>
        <v>0</v>
      </c>
      <c r="AL37" s="33">
        <f>'Dados - Cliente'!AF37</f>
        <v>0</v>
      </c>
      <c r="AM37" s="36" t="e">
        <f>INDEX('Dados - Inversores'!$A:$A,MATCH('1'!AL37,'Dados - Inversores'!$C:$C,0))</f>
        <v>#N/A</v>
      </c>
      <c r="AN37" s="33">
        <f>'Dados - Cliente'!AG37</f>
        <v>0</v>
      </c>
      <c r="AO37" s="33" t="e">
        <f>AA37*1.25/(0.22*SQRT(INDEX('Dados - Inversores'!AK:AK,MATCH('1'!AL37,'Dados - Inversores'!C:C,0))))</f>
        <v>#N/A</v>
      </c>
      <c r="AP37" s="34">
        <f>INDEX(Dados!$E$2:$E$33,COUNTIF(Dados!$E$2:$E$33,"&lt;="&amp;AN37*1.25/(INDEX('Dados - Inversores'!AL:AL,MATCH('1'!AL37,'Dados - Inversores'!C:C,0))*SQRT(INDEX('Dados - Inversores'!AK:AK,MATCH('1'!AL37,'Dados - Inversores'!C:C,0)))))+1)</f>
        <v>2</v>
      </c>
      <c r="AQ37" s="33" t="s">
        <v>59</v>
      </c>
      <c r="AR37" s="33" t="str">
        <f t="shared" si="6"/>
        <v>Micro</v>
      </c>
      <c r="AS37" s="33">
        <f>'Dados - Cliente'!AH37</f>
        <v>0</v>
      </c>
      <c r="AT37" s="33">
        <f>'Dados - Cliente'!AI37</f>
        <v>0</v>
      </c>
      <c r="AU37" s="33" t="e">
        <f>INDEX('Dados - Placas'!$N:$N,MATCH('1'!AG37,'Dados - Placas'!$D:$D,0))-1</f>
        <v>#N/A</v>
      </c>
      <c r="AV37" s="33" t="e">
        <f>INDEX('Dados - Placas'!$O:$O,MATCH('1'!AG37,'Dados - Placas'!$D:$D,0))</f>
        <v>#N/A</v>
      </c>
      <c r="AW37" s="33" t="e">
        <f>INDEX('Dados - Inversores'!AM:AM,MATCH('1'!AL37,'Dados - Inversores'!$C:$C,0))-1</f>
        <v>#N/A</v>
      </c>
      <c r="AX37" s="33" t="e">
        <f>INDEX('Dados - Inversores'!AN:AN,MATCH('1'!AL37,'Dados - Inversores'!$C:$C,0))-1</f>
        <v>#N/A</v>
      </c>
      <c r="AY37" s="33" t="e">
        <f>MATCH('1'!H37,Dados!$D$89:$D$167,0)+1</f>
        <v>#N/A</v>
      </c>
      <c r="AZ37" s="33" t="e">
        <f>MATCH('1'!N37,'Dados - Solicitação de acesso'!$N$2:$N$8,0)</f>
        <v>#N/A</v>
      </c>
      <c r="BA37" s="33" t="e">
        <f>MATCH('1'!T37,'Dados - Solicitação de acesso'!$T$2:$T$20,0)</f>
        <v>#N/A</v>
      </c>
      <c r="BB37" s="34"/>
      <c r="BC37" s="33">
        <f>MATCH(AT37,'Dados - Solicitação de acesso'!$AT$2:$AT$28,0)</f>
        <v>1</v>
      </c>
      <c r="BD37" s="33" t="b">
        <f>IF(O37="TRIFASICO",INDEX(Dados!G:G,MATCH('1'!AP37,Dados!E:E,0)),IF(O37="BIFASICO",INDEX(Dados!F:F,MATCH('1'!AP37,Dados!E:E,0),)))</f>
        <v>0</v>
      </c>
      <c r="BE37" s="33">
        <f>'Dados - Cliente'!J37</f>
        <v>0</v>
      </c>
      <c r="BF37" s="34">
        <f>INDEX(Dados!$E$2:$E$33,COUNTIF(Dados!$E$2:$E$33,"&lt;="&amp;AN37*1.25*AK37/(0.22*SQRT(INDEX('Dados - Inversores'!AK:AK,MATCH('1'!AL37,'Dados - Inversores'!C:C,0)))))+1)</f>
        <v>2</v>
      </c>
      <c r="BG37" s="34" t="b">
        <f>IF(O37="TRIFASICO",INDEX(Dados!G:G,MATCH(BF37,Dados!E:E,0)),IF(O37="BIFASICO",INDEX(Dados!F:F,MATCH(BF37,Dados!E:E,0),)))</f>
        <v>0</v>
      </c>
    </row>
    <row r="38" spans="1:59" s="33" customFormat="1" x14ac:dyDescent="0.35">
      <c r="A38" s="33">
        <f>'Dados - Cliente'!A38</f>
        <v>0</v>
      </c>
      <c r="B38" s="33">
        <f>'Dados - Cliente'!B38</f>
        <v>0</v>
      </c>
      <c r="C38" s="33">
        <f>'Dados - Cliente'!C38</f>
        <v>0</v>
      </c>
      <c r="D38" s="33">
        <f>'Dados - Cliente'!D38</f>
        <v>0</v>
      </c>
      <c r="E38" s="33">
        <f>'Dados - Cliente'!E38</f>
        <v>0</v>
      </c>
      <c r="F38" s="33">
        <f>'Dados - Cliente'!F38</f>
        <v>0</v>
      </c>
      <c r="G38" s="33">
        <f>'Dados - Cliente'!G38</f>
        <v>0</v>
      </c>
      <c r="H38" s="33">
        <f>'Dados - Cliente'!H38</f>
        <v>0</v>
      </c>
      <c r="I38" s="75" t="s">
        <v>4313</v>
      </c>
      <c r="J38" s="52" t="s">
        <v>4314</v>
      </c>
      <c r="K38" s="52" t="s">
        <v>4314</v>
      </c>
      <c r="L38" s="33">
        <f>'Dados - Cliente'!I38</f>
        <v>0</v>
      </c>
      <c r="M38" s="33">
        <f>'Dados - Cliente'!K38</f>
        <v>0</v>
      </c>
      <c r="N38" s="33">
        <f>'Dados - Cliente'!L38</f>
        <v>0</v>
      </c>
      <c r="O38" s="33">
        <f>'Dados - Cliente'!M38</f>
        <v>0</v>
      </c>
      <c r="P38" s="33">
        <f>'Dados - Cliente'!N38</f>
        <v>0</v>
      </c>
      <c r="Q38" s="33">
        <f>'Dados - Cliente'!O38</f>
        <v>0</v>
      </c>
      <c r="R38" s="33">
        <f>'Dados - Cliente'!P38</f>
        <v>0</v>
      </c>
      <c r="S38" s="33">
        <f>'Dados - Cliente'!Q38</f>
        <v>0</v>
      </c>
      <c r="T38" s="33">
        <f>'Dados - Cliente'!R38</f>
        <v>0</v>
      </c>
      <c r="U38" s="34">
        <f>'Dados - Cliente'!S38</f>
        <v>0</v>
      </c>
      <c r="V38" s="34">
        <f>'Dados - Cliente'!T38</f>
        <v>0</v>
      </c>
      <c r="W38" s="34">
        <f>'Dados - Cliente'!U38</f>
        <v>0</v>
      </c>
      <c r="X38" s="34">
        <f>'Dados - Cliente'!V38</f>
        <v>0</v>
      </c>
      <c r="Y38" s="34">
        <f>'Dados - Cliente'!W38</f>
        <v>0</v>
      </c>
      <c r="Z38" s="34">
        <f>'Dados - Cliente'!X38</f>
        <v>0</v>
      </c>
      <c r="AA38" s="33" t="e">
        <f t="shared" si="5"/>
        <v>#N/A</v>
      </c>
      <c r="AB38" s="33">
        <f>'Dados - Cliente'!Y38</f>
        <v>0</v>
      </c>
      <c r="AC38" s="33">
        <f>'Dados - Cliente'!Z38</f>
        <v>0</v>
      </c>
      <c r="AD38" s="33">
        <f>'Dados - Cliente'!AA38</f>
        <v>0</v>
      </c>
      <c r="AE38" s="33">
        <f>'Dados - Cliente'!AB38</f>
        <v>0</v>
      </c>
      <c r="AF38" s="33">
        <f>'Dados - Cliente'!AC38</f>
        <v>0</v>
      </c>
      <c r="AG38" s="35">
        <f>'Dados - Cliente'!AD38</f>
        <v>0</v>
      </c>
      <c r="AH38" s="33" t="e">
        <f>INDEX('Dados - Placas'!$A:$A,MATCH('1'!AG38,'Dados - Placas'!$D:$D,0))</f>
        <v>#N/A</v>
      </c>
      <c r="AI38" s="35" t="e">
        <f>INDEX('Dados - Placas'!$E:$E,MATCH('1'!AG38,'Dados - Placas'!$D:$D,0))</f>
        <v>#N/A</v>
      </c>
      <c r="AJ38" s="34" t="e">
        <f>INDEX('Dados - Placas'!$F:$F,MATCH('1'!AG38,'Dados - Placas'!$D:$D,0))*AF38</f>
        <v>#N/A</v>
      </c>
      <c r="AK38" s="33">
        <f>'Dados - Cliente'!AE38</f>
        <v>0</v>
      </c>
      <c r="AL38" s="33">
        <f>'Dados - Cliente'!AF38</f>
        <v>0</v>
      </c>
      <c r="AM38" s="36" t="e">
        <f>INDEX('Dados - Inversores'!$A:$A,MATCH('1'!AL38,'Dados - Inversores'!$C:$C,0))</f>
        <v>#N/A</v>
      </c>
      <c r="AN38" s="33">
        <f>'Dados - Cliente'!AG38</f>
        <v>0</v>
      </c>
      <c r="AO38" s="33" t="e">
        <f>AA38*1.25/(0.22*SQRT(INDEX('Dados - Inversores'!AK:AK,MATCH('1'!AL38,'Dados - Inversores'!C:C,0))))</f>
        <v>#N/A</v>
      </c>
      <c r="AP38" s="34">
        <f>INDEX(Dados!$E$2:$E$33,COUNTIF(Dados!$E$2:$E$33,"&lt;="&amp;AN38*1.25/(INDEX('Dados - Inversores'!AL:AL,MATCH('1'!AL38,'Dados - Inversores'!C:C,0))*SQRT(INDEX('Dados - Inversores'!AK:AK,MATCH('1'!AL38,'Dados - Inversores'!C:C,0)))))+1)</f>
        <v>2</v>
      </c>
      <c r="AQ38" s="33" t="s">
        <v>59</v>
      </c>
      <c r="AR38" s="33" t="str">
        <f t="shared" si="6"/>
        <v>Micro</v>
      </c>
      <c r="AS38" s="33">
        <f>'Dados - Cliente'!AH38</f>
        <v>0</v>
      </c>
      <c r="AT38" s="33">
        <f>'Dados - Cliente'!AI38</f>
        <v>0</v>
      </c>
      <c r="AU38" s="33" t="e">
        <f>INDEX('Dados - Placas'!$N:$N,MATCH('1'!AG38,'Dados - Placas'!$D:$D,0))-1</f>
        <v>#N/A</v>
      </c>
      <c r="AV38" s="33" t="e">
        <f>INDEX('Dados - Placas'!$O:$O,MATCH('1'!AG38,'Dados - Placas'!$D:$D,0))</f>
        <v>#N/A</v>
      </c>
      <c r="AW38" s="33" t="e">
        <f>INDEX('Dados - Inversores'!AM:AM,MATCH('1'!AL38,'Dados - Inversores'!$C:$C,0))-1</f>
        <v>#N/A</v>
      </c>
      <c r="AX38" s="33" t="e">
        <f>INDEX('Dados - Inversores'!AN:AN,MATCH('1'!AL38,'Dados - Inversores'!$C:$C,0))-1</f>
        <v>#N/A</v>
      </c>
      <c r="AY38" s="33" t="e">
        <f>MATCH('1'!H38,Dados!$D$89:$D$167,0)+1</f>
        <v>#N/A</v>
      </c>
      <c r="AZ38" s="33" t="e">
        <f>MATCH('1'!N38,'Dados - Solicitação de acesso'!$N$2:$N$8,0)</f>
        <v>#N/A</v>
      </c>
      <c r="BA38" s="33" t="e">
        <f>MATCH('1'!T38,'Dados - Solicitação de acesso'!$T$2:$T$20,0)</f>
        <v>#N/A</v>
      </c>
      <c r="BB38" s="34"/>
      <c r="BC38" s="33">
        <f>MATCH(AT38,'Dados - Solicitação de acesso'!$AT$2:$AT$28,0)</f>
        <v>1</v>
      </c>
      <c r="BD38" s="33" t="b">
        <f>IF(O38="TRIFASICO",INDEX(Dados!G:G,MATCH('1'!AP38,Dados!E:E,0)),IF(O38="BIFASICO",INDEX(Dados!F:F,MATCH('1'!AP38,Dados!E:E,0),)))</f>
        <v>0</v>
      </c>
      <c r="BE38" s="33">
        <f>'Dados - Cliente'!J38</f>
        <v>0</v>
      </c>
      <c r="BF38" s="34">
        <f>INDEX(Dados!$E$2:$E$33,COUNTIF(Dados!$E$2:$E$33,"&lt;="&amp;AN38*1.25*AK38/(0.22*SQRT(INDEX('Dados - Inversores'!AK:AK,MATCH('1'!AL38,'Dados - Inversores'!C:C,0)))))+1)</f>
        <v>2</v>
      </c>
      <c r="BG38" s="34" t="b">
        <f>IF(O38="TRIFASICO",INDEX(Dados!G:G,MATCH(BF38,Dados!E:E,0)),IF(O38="BIFASICO",INDEX(Dados!F:F,MATCH(BF38,Dados!E:E,0),)))</f>
        <v>0</v>
      </c>
    </row>
    <row r="39" spans="1:59" s="33" customFormat="1" x14ac:dyDescent="0.35">
      <c r="A39" s="33">
        <f>'Dados - Cliente'!A39</f>
        <v>0</v>
      </c>
      <c r="B39" s="33">
        <f>'Dados - Cliente'!B39</f>
        <v>0</v>
      </c>
      <c r="C39" s="33">
        <f>'Dados - Cliente'!C39</f>
        <v>0</v>
      </c>
      <c r="D39" s="33">
        <f>'Dados - Cliente'!D39</f>
        <v>0</v>
      </c>
      <c r="E39" s="33">
        <f>'Dados - Cliente'!E39</f>
        <v>0</v>
      </c>
      <c r="F39" s="33">
        <f>'Dados - Cliente'!F39</f>
        <v>0</v>
      </c>
      <c r="G39" s="33">
        <f>'Dados - Cliente'!G39</f>
        <v>0</v>
      </c>
      <c r="H39" s="33">
        <f>'Dados - Cliente'!H39</f>
        <v>0</v>
      </c>
      <c r="I39" s="75" t="s">
        <v>4313</v>
      </c>
      <c r="J39" s="52" t="s">
        <v>4314</v>
      </c>
      <c r="K39" s="52" t="s">
        <v>4314</v>
      </c>
      <c r="L39" s="33">
        <f>'Dados - Cliente'!I39</f>
        <v>0</v>
      </c>
      <c r="M39" s="33">
        <f>'Dados - Cliente'!K39</f>
        <v>0</v>
      </c>
      <c r="N39" s="33">
        <f>'Dados - Cliente'!L39</f>
        <v>0</v>
      </c>
      <c r="O39" s="33">
        <f>'Dados - Cliente'!M39</f>
        <v>0</v>
      </c>
      <c r="P39" s="33">
        <f>'Dados - Cliente'!N39</f>
        <v>0</v>
      </c>
      <c r="Q39" s="33">
        <f>'Dados - Cliente'!O39</f>
        <v>0</v>
      </c>
      <c r="R39" s="33">
        <f>'Dados - Cliente'!P39</f>
        <v>0</v>
      </c>
      <c r="S39" s="33">
        <f>'Dados - Cliente'!Q39</f>
        <v>0</v>
      </c>
      <c r="T39" s="33">
        <f>'Dados - Cliente'!R39</f>
        <v>0</v>
      </c>
      <c r="U39" s="34">
        <f>'Dados - Cliente'!S39</f>
        <v>0</v>
      </c>
      <c r="V39" s="34">
        <f>'Dados - Cliente'!T39</f>
        <v>0</v>
      </c>
      <c r="W39" s="34">
        <f>'Dados - Cliente'!U39</f>
        <v>0</v>
      </c>
      <c r="X39" s="34">
        <f>'Dados - Cliente'!V39</f>
        <v>0</v>
      </c>
      <c r="Y39" s="34">
        <f>'Dados - Cliente'!W39</f>
        <v>0</v>
      </c>
      <c r="Z39" s="34">
        <f>'Dados - Cliente'!X39</f>
        <v>0</v>
      </c>
      <c r="AA39" s="33" t="e">
        <f t="shared" si="5"/>
        <v>#N/A</v>
      </c>
      <c r="AB39" s="33">
        <f>'Dados - Cliente'!Y39</f>
        <v>0</v>
      </c>
      <c r="AC39" s="33">
        <f>'Dados - Cliente'!Z39</f>
        <v>0</v>
      </c>
      <c r="AD39" s="33">
        <f>'Dados - Cliente'!AA39</f>
        <v>0</v>
      </c>
      <c r="AE39" s="33">
        <f>'Dados - Cliente'!AB39</f>
        <v>0</v>
      </c>
      <c r="AF39" s="33">
        <f>'Dados - Cliente'!AC39</f>
        <v>0</v>
      </c>
      <c r="AG39" s="35">
        <f>'Dados - Cliente'!AD39</f>
        <v>0</v>
      </c>
      <c r="AH39" s="33" t="e">
        <f>INDEX('Dados - Placas'!$A:$A,MATCH('1'!AG39,'Dados - Placas'!$D:$D,0))</f>
        <v>#N/A</v>
      </c>
      <c r="AI39" s="35" t="e">
        <f>INDEX('Dados - Placas'!$E:$E,MATCH('1'!AG39,'Dados - Placas'!$D:$D,0))</f>
        <v>#N/A</v>
      </c>
      <c r="AJ39" s="34" t="e">
        <f>INDEX('Dados - Placas'!$F:$F,MATCH('1'!AG39,'Dados - Placas'!$D:$D,0))*AF39</f>
        <v>#N/A</v>
      </c>
      <c r="AK39" s="33">
        <f>'Dados - Cliente'!AE39</f>
        <v>0</v>
      </c>
      <c r="AL39" s="33">
        <f>'Dados - Cliente'!AF39</f>
        <v>0</v>
      </c>
      <c r="AM39" s="36" t="e">
        <f>INDEX('Dados - Inversores'!$A:$A,MATCH('1'!AL39,'Dados - Inversores'!$C:$C,0))</f>
        <v>#N/A</v>
      </c>
      <c r="AN39" s="33">
        <f>'Dados - Cliente'!AG39</f>
        <v>0</v>
      </c>
      <c r="AO39" s="33" t="e">
        <f>AA39*1.25/(0.22*SQRT(INDEX('Dados - Inversores'!AK:AK,MATCH('1'!AL39,'Dados - Inversores'!C:C,0))))</f>
        <v>#N/A</v>
      </c>
      <c r="AP39" s="34">
        <f>INDEX(Dados!$E$2:$E$33,COUNTIF(Dados!$E$2:$E$33,"&lt;="&amp;AN39*1.25/(INDEX('Dados - Inversores'!AL:AL,MATCH('1'!AL39,'Dados - Inversores'!C:C,0))*SQRT(INDEX('Dados - Inversores'!AK:AK,MATCH('1'!AL39,'Dados - Inversores'!C:C,0)))))+1)</f>
        <v>2</v>
      </c>
      <c r="AQ39" s="33" t="s">
        <v>59</v>
      </c>
      <c r="AR39" s="33" t="str">
        <f t="shared" si="6"/>
        <v>Micro</v>
      </c>
      <c r="AS39" s="33">
        <f>'Dados - Cliente'!AH39</f>
        <v>0</v>
      </c>
      <c r="AT39" s="33">
        <f>'Dados - Cliente'!AI39</f>
        <v>0</v>
      </c>
      <c r="AU39" s="33" t="e">
        <f>INDEX('Dados - Placas'!$N:$N,MATCH('1'!AG39,'Dados - Placas'!$D:$D,0))-1</f>
        <v>#N/A</v>
      </c>
      <c r="AV39" s="33" t="e">
        <f>INDEX('Dados - Placas'!$O:$O,MATCH('1'!AG39,'Dados - Placas'!$D:$D,0))</f>
        <v>#N/A</v>
      </c>
      <c r="AW39" s="33" t="e">
        <f>INDEX('Dados - Inversores'!AM:AM,MATCH('1'!AL39,'Dados - Inversores'!$C:$C,0))-1</f>
        <v>#N/A</v>
      </c>
      <c r="AX39" s="33" t="e">
        <f>INDEX('Dados - Inversores'!AN:AN,MATCH('1'!AL39,'Dados - Inversores'!$C:$C,0))-1</f>
        <v>#N/A</v>
      </c>
      <c r="AY39" s="33" t="e">
        <f>MATCH('1'!H39,Dados!$D$89:$D$167,0)+1</f>
        <v>#N/A</v>
      </c>
      <c r="AZ39" s="33" t="e">
        <f>MATCH('1'!N39,'Dados - Solicitação de acesso'!$N$2:$N$8,0)</f>
        <v>#N/A</v>
      </c>
      <c r="BA39" s="33" t="e">
        <f>MATCH('1'!T39,'Dados - Solicitação de acesso'!$T$2:$T$20,0)</f>
        <v>#N/A</v>
      </c>
      <c r="BB39" s="34"/>
      <c r="BC39" s="33">
        <f>MATCH(AT39,'Dados - Solicitação de acesso'!$AT$2:$AT$28,0)</f>
        <v>1</v>
      </c>
      <c r="BD39" s="33" t="b">
        <f>IF(O39="TRIFASICO",INDEX(Dados!G:G,MATCH('1'!AP39,Dados!E:E,0)),IF(O39="BIFASICO",INDEX(Dados!F:F,MATCH('1'!AP39,Dados!E:E,0),)))</f>
        <v>0</v>
      </c>
      <c r="BE39" s="33">
        <f>'Dados - Cliente'!J39</f>
        <v>0</v>
      </c>
      <c r="BF39" s="34">
        <f>INDEX(Dados!$E$2:$E$33,COUNTIF(Dados!$E$2:$E$33,"&lt;="&amp;AN39*1.25*AK39/(0.22*SQRT(INDEX('Dados - Inversores'!AK:AK,MATCH('1'!AL39,'Dados - Inversores'!C:C,0)))))+1)</f>
        <v>2</v>
      </c>
      <c r="BG39" s="34" t="b">
        <f>IF(O39="TRIFASICO",INDEX(Dados!G:G,MATCH(BF39,Dados!E:E,0)),IF(O39="BIFASICO",INDEX(Dados!F:F,MATCH(BF39,Dados!E:E,0),)))</f>
        <v>0</v>
      </c>
    </row>
    <row r="40" spans="1:59" s="33" customFormat="1" x14ac:dyDescent="0.35">
      <c r="A40" s="33">
        <f>'Dados - Cliente'!A40</f>
        <v>0</v>
      </c>
      <c r="B40" s="33">
        <f>'Dados - Cliente'!B40</f>
        <v>0</v>
      </c>
      <c r="C40" s="33">
        <f>'Dados - Cliente'!C40</f>
        <v>0</v>
      </c>
      <c r="D40" s="33">
        <f>'Dados - Cliente'!D40</f>
        <v>0</v>
      </c>
      <c r="E40" s="33">
        <f>'Dados - Cliente'!E40</f>
        <v>0</v>
      </c>
      <c r="F40" s="33">
        <f>'Dados - Cliente'!F40</f>
        <v>0</v>
      </c>
      <c r="G40" s="33">
        <f>'Dados - Cliente'!G40</f>
        <v>0</v>
      </c>
      <c r="H40" s="33">
        <f>'Dados - Cliente'!H40</f>
        <v>0</v>
      </c>
      <c r="I40" s="75" t="s">
        <v>4313</v>
      </c>
      <c r="J40" s="52" t="s">
        <v>4314</v>
      </c>
      <c r="K40" s="52" t="s">
        <v>4314</v>
      </c>
      <c r="L40" s="33">
        <f>'Dados - Cliente'!I40</f>
        <v>0</v>
      </c>
      <c r="M40" s="33">
        <f>'Dados - Cliente'!K40</f>
        <v>0</v>
      </c>
      <c r="N40" s="33">
        <f>'Dados - Cliente'!L40</f>
        <v>0</v>
      </c>
      <c r="O40" s="33">
        <f>'Dados - Cliente'!M40</f>
        <v>0</v>
      </c>
      <c r="P40" s="33">
        <f>'Dados - Cliente'!N40</f>
        <v>0</v>
      </c>
      <c r="Q40" s="33">
        <f>'Dados - Cliente'!O40</f>
        <v>0</v>
      </c>
      <c r="R40" s="33">
        <f>'Dados - Cliente'!P40</f>
        <v>0</v>
      </c>
      <c r="S40" s="33">
        <f>'Dados - Cliente'!Q40</f>
        <v>0</v>
      </c>
      <c r="T40" s="33">
        <f>'Dados - Cliente'!R40</f>
        <v>0</v>
      </c>
      <c r="U40" s="34">
        <f>'Dados - Cliente'!S40</f>
        <v>0</v>
      </c>
      <c r="V40" s="34">
        <f>'Dados - Cliente'!T40</f>
        <v>0</v>
      </c>
      <c r="W40" s="34">
        <f>'Dados - Cliente'!U40</f>
        <v>0</v>
      </c>
      <c r="X40" s="34">
        <f>'Dados - Cliente'!V40</f>
        <v>0</v>
      </c>
      <c r="Y40" s="34">
        <f>'Dados - Cliente'!W40</f>
        <v>0</v>
      </c>
      <c r="Z40" s="34">
        <f>'Dados - Cliente'!X40</f>
        <v>0</v>
      </c>
      <c r="AA40" s="33" t="e">
        <f t="shared" si="5"/>
        <v>#N/A</v>
      </c>
      <c r="AB40" s="33">
        <f>'Dados - Cliente'!Y40</f>
        <v>0</v>
      </c>
      <c r="AC40" s="33">
        <f>'Dados - Cliente'!Z40</f>
        <v>0</v>
      </c>
      <c r="AD40" s="33">
        <f>'Dados - Cliente'!AA40</f>
        <v>0</v>
      </c>
      <c r="AE40" s="33">
        <f>'Dados - Cliente'!AB40</f>
        <v>0</v>
      </c>
      <c r="AF40" s="33">
        <f>'Dados - Cliente'!AC40</f>
        <v>0</v>
      </c>
      <c r="AG40" s="35">
        <f>'Dados - Cliente'!AD40</f>
        <v>0</v>
      </c>
      <c r="AH40" s="33" t="e">
        <f>INDEX('Dados - Placas'!$A:$A,MATCH('1'!AG40,'Dados - Placas'!$D:$D,0))</f>
        <v>#N/A</v>
      </c>
      <c r="AI40" s="35" t="e">
        <f>INDEX('Dados - Placas'!$E:$E,MATCH('1'!AG40,'Dados - Placas'!$D:$D,0))</f>
        <v>#N/A</v>
      </c>
      <c r="AJ40" s="34" t="e">
        <f>INDEX('Dados - Placas'!$F:$F,MATCH('1'!AG40,'Dados - Placas'!$D:$D,0))*AF40</f>
        <v>#N/A</v>
      </c>
      <c r="AK40" s="33">
        <f>'Dados - Cliente'!AE40</f>
        <v>0</v>
      </c>
      <c r="AL40" s="33">
        <f>'Dados - Cliente'!AF40</f>
        <v>0</v>
      </c>
      <c r="AM40" s="36" t="e">
        <f>INDEX('Dados - Inversores'!$A:$A,MATCH('1'!AL40,'Dados - Inversores'!$C:$C,0))</f>
        <v>#N/A</v>
      </c>
      <c r="AN40" s="33">
        <f>'Dados - Cliente'!AG40</f>
        <v>0</v>
      </c>
      <c r="AO40" s="33" t="e">
        <f>AA40*1.25/(0.22*SQRT(INDEX('Dados - Inversores'!AK:AK,MATCH('1'!AL40,'Dados - Inversores'!C:C,0))))</f>
        <v>#N/A</v>
      </c>
      <c r="AP40" s="34">
        <f>INDEX(Dados!$E$2:$E$33,COUNTIF(Dados!$E$2:$E$33,"&lt;="&amp;AN40*1.25/(INDEX('Dados - Inversores'!AL:AL,MATCH('1'!AL40,'Dados - Inversores'!C:C,0))*SQRT(INDEX('Dados - Inversores'!AK:AK,MATCH('1'!AL40,'Dados - Inversores'!C:C,0)))))+1)</f>
        <v>2</v>
      </c>
      <c r="AQ40" s="33" t="s">
        <v>59</v>
      </c>
      <c r="AR40" s="33" t="str">
        <f t="shared" si="6"/>
        <v>Micro</v>
      </c>
      <c r="AS40" s="33">
        <f>'Dados - Cliente'!AH40</f>
        <v>0</v>
      </c>
      <c r="AT40" s="33">
        <f>'Dados - Cliente'!AI40</f>
        <v>0</v>
      </c>
      <c r="AU40" s="33" t="e">
        <f>INDEX('Dados - Placas'!$N:$N,MATCH('1'!AG40,'Dados - Placas'!$D:$D,0))-1</f>
        <v>#N/A</v>
      </c>
      <c r="AV40" s="33" t="e">
        <f>INDEX('Dados - Placas'!$O:$O,MATCH('1'!AG40,'Dados - Placas'!$D:$D,0))</f>
        <v>#N/A</v>
      </c>
      <c r="AW40" s="33" t="e">
        <f>INDEX('Dados - Inversores'!AM:AM,MATCH('1'!AL40,'Dados - Inversores'!$C:$C,0))-1</f>
        <v>#N/A</v>
      </c>
      <c r="AX40" s="33" t="e">
        <f>INDEX('Dados - Inversores'!AN:AN,MATCH('1'!AL40,'Dados - Inversores'!$C:$C,0))-1</f>
        <v>#N/A</v>
      </c>
      <c r="AY40" s="33" t="e">
        <f>MATCH('1'!H40,Dados!$D$89:$D$167,0)+1</f>
        <v>#N/A</v>
      </c>
      <c r="AZ40" s="33" t="e">
        <f>MATCH('1'!N40,'Dados - Solicitação de acesso'!$N$2:$N$8,0)</f>
        <v>#N/A</v>
      </c>
      <c r="BA40" s="33" t="e">
        <f>MATCH('1'!T40,'Dados - Solicitação de acesso'!$T$2:$T$20,0)</f>
        <v>#N/A</v>
      </c>
      <c r="BB40" s="34"/>
      <c r="BC40" s="33">
        <f>MATCH(AT40,'Dados - Solicitação de acesso'!$AT$2:$AT$28,0)</f>
        <v>1</v>
      </c>
      <c r="BD40" s="33" t="b">
        <f>IF(O40="TRIFASICO",INDEX(Dados!G:G,MATCH('1'!AP40,Dados!E:E,0)),IF(O40="BIFASICO",INDEX(Dados!F:F,MATCH('1'!AP40,Dados!E:E,0),)))</f>
        <v>0</v>
      </c>
      <c r="BE40" s="33">
        <f>'Dados - Cliente'!J40</f>
        <v>0</v>
      </c>
      <c r="BF40" s="34">
        <f>INDEX(Dados!$E$2:$E$33,COUNTIF(Dados!$E$2:$E$33,"&lt;="&amp;AN40*1.25*AK40/(0.22*SQRT(INDEX('Dados - Inversores'!AK:AK,MATCH('1'!AL40,'Dados - Inversores'!C:C,0)))))+1)</f>
        <v>2</v>
      </c>
      <c r="BG40" s="34" t="b">
        <f>IF(O40="TRIFASICO",INDEX(Dados!G:G,MATCH(BF40,Dados!E:E,0)),IF(O40="BIFASICO",INDEX(Dados!F:F,MATCH(BF40,Dados!E:E,0),)))</f>
        <v>0</v>
      </c>
    </row>
    <row r="41" spans="1:59" s="33" customFormat="1" x14ac:dyDescent="0.35">
      <c r="A41" s="33">
        <f>'Dados - Cliente'!A41</f>
        <v>0</v>
      </c>
      <c r="B41" s="33">
        <f>'Dados - Cliente'!B41</f>
        <v>0</v>
      </c>
      <c r="C41" s="33">
        <f>'Dados - Cliente'!C41</f>
        <v>0</v>
      </c>
      <c r="D41" s="33">
        <f>'Dados - Cliente'!D41</f>
        <v>0</v>
      </c>
      <c r="E41" s="33">
        <f>'Dados - Cliente'!E41</f>
        <v>0</v>
      </c>
      <c r="F41" s="33">
        <f>'Dados - Cliente'!F41</f>
        <v>0</v>
      </c>
      <c r="G41" s="33">
        <f>'Dados - Cliente'!G41</f>
        <v>0</v>
      </c>
      <c r="H41" s="33">
        <f>'Dados - Cliente'!H41</f>
        <v>0</v>
      </c>
      <c r="I41" s="75" t="s">
        <v>4313</v>
      </c>
      <c r="J41" s="52" t="s">
        <v>4314</v>
      </c>
      <c r="K41" s="52" t="s">
        <v>4314</v>
      </c>
      <c r="L41" s="33">
        <f>'Dados - Cliente'!I41</f>
        <v>0</v>
      </c>
      <c r="M41" s="33">
        <f>'Dados - Cliente'!K41</f>
        <v>0</v>
      </c>
      <c r="N41" s="33">
        <f>'Dados - Cliente'!L41</f>
        <v>0</v>
      </c>
      <c r="O41" s="33">
        <f>'Dados - Cliente'!M41</f>
        <v>0</v>
      </c>
      <c r="P41" s="33">
        <f>'Dados - Cliente'!N41</f>
        <v>0</v>
      </c>
      <c r="Q41" s="33">
        <f>'Dados - Cliente'!O41</f>
        <v>0</v>
      </c>
      <c r="R41" s="33">
        <f>'Dados - Cliente'!P41</f>
        <v>0</v>
      </c>
      <c r="S41" s="33">
        <f>'Dados - Cliente'!Q41</f>
        <v>0</v>
      </c>
      <c r="T41" s="33">
        <f>'Dados - Cliente'!R41</f>
        <v>0</v>
      </c>
      <c r="U41" s="34">
        <f>'Dados - Cliente'!S41</f>
        <v>0</v>
      </c>
      <c r="V41" s="34">
        <f>'Dados - Cliente'!T41</f>
        <v>0</v>
      </c>
      <c r="W41" s="34">
        <f>'Dados - Cliente'!U41</f>
        <v>0</v>
      </c>
      <c r="X41" s="34">
        <f>'Dados - Cliente'!V41</f>
        <v>0</v>
      </c>
      <c r="Y41" s="34">
        <f>'Dados - Cliente'!W41</f>
        <v>0</v>
      </c>
      <c r="Z41" s="34">
        <f>'Dados - Cliente'!X41</f>
        <v>0</v>
      </c>
      <c r="AA41" s="33" t="e">
        <f t="shared" si="5"/>
        <v>#N/A</v>
      </c>
      <c r="AB41" s="33">
        <f>'Dados - Cliente'!Y41</f>
        <v>0</v>
      </c>
      <c r="AC41" s="33">
        <f>'Dados - Cliente'!Z41</f>
        <v>0</v>
      </c>
      <c r="AD41" s="33">
        <f>'Dados - Cliente'!AA41</f>
        <v>0</v>
      </c>
      <c r="AE41" s="33">
        <f>'Dados - Cliente'!AB41</f>
        <v>0</v>
      </c>
      <c r="AF41" s="33">
        <f>'Dados - Cliente'!AC41</f>
        <v>0</v>
      </c>
      <c r="AG41" s="35">
        <f>'Dados - Cliente'!AD41</f>
        <v>0</v>
      </c>
      <c r="AH41" s="33" t="e">
        <f>INDEX('Dados - Placas'!$A:$A,MATCH('1'!AG41,'Dados - Placas'!$D:$D,0))</f>
        <v>#N/A</v>
      </c>
      <c r="AI41" s="35" t="e">
        <f>INDEX('Dados - Placas'!$E:$E,MATCH('1'!AG41,'Dados - Placas'!$D:$D,0))</f>
        <v>#N/A</v>
      </c>
      <c r="AJ41" s="34" t="e">
        <f>INDEX('Dados - Placas'!$F:$F,MATCH('1'!AG41,'Dados - Placas'!$D:$D,0))*AF41</f>
        <v>#N/A</v>
      </c>
      <c r="AK41" s="33">
        <f>'Dados - Cliente'!AE41</f>
        <v>0</v>
      </c>
      <c r="AL41" s="33">
        <f>'Dados - Cliente'!AF41</f>
        <v>0</v>
      </c>
      <c r="AM41" s="36" t="e">
        <f>INDEX('Dados - Inversores'!$A:$A,MATCH('1'!AL41,'Dados - Inversores'!$C:$C,0))</f>
        <v>#N/A</v>
      </c>
      <c r="AN41" s="33">
        <f>'Dados - Cliente'!AG41</f>
        <v>0</v>
      </c>
      <c r="AO41" s="33" t="e">
        <f>AA41*1.25/(0.22*SQRT(INDEX('Dados - Inversores'!AK:AK,MATCH('1'!AL41,'Dados - Inversores'!C:C,0))))</f>
        <v>#N/A</v>
      </c>
      <c r="AP41" s="34">
        <f>INDEX(Dados!$E$2:$E$33,COUNTIF(Dados!$E$2:$E$33,"&lt;="&amp;AN41*1.25/(INDEX('Dados - Inversores'!AL:AL,MATCH('1'!AL41,'Dados - Inversores'!C:C,0))*SQRT(INDEX('Dados - Inversores'!AK:AK,MATCH('1'!AL41,'Dados - Inversores'!C:C,0)))))+1)</f>
        <v>2</v>
      </c>
      <c r="AQ41" s="33" t="s">
        <v>59</v>
      </c>
      <c r="AR41" s="33" t="str">
        <f t="shared" si="6"/>
        <v>Micro</v>
      </c>
      <c r="AS41" s="33">
        <f>'Dados - Cliente'!AH41</f>
        <v>0</v>
      </c>
      <c r="AT41" s="33">
        <f>'Dados - Cliente'!AI41</f>
        <v>0</v>
      </c>
      <c r="AU41" s="33" t="e">
        <f>INDEX('Dados - Placas'!$N:$N,MATCH('1'!AG41,'Dados - Placas'!$D:$D,0))-1</f>
        <v>#N/A</v>
      </c>
      <c r="AV41" s="33" t="e">
        <f>INDEX('Dados - Placas'!$O:$O,MATCH('1'!AG41,'Dados - Placas'!$D:$D,0))</f>
        <v>#N/A</v>
      </c>
      <c r="AW41" s="33" t="e">
        <f>INDEX('Dados - Inversores'!AM:AM,MATCH('1'!AL41,'Dados - Inversores'!$C:$C,0))-1</f>
        <v>#N/A</v>
      </c>
      <c r="AX41" s="33" t="e">
        <f>INDEX('Dados - Inversores'!AN:AN,MATCH('1'!AL41,'Dados - Inversores'!$C:$C,0))-1</f>
        <v>#N/A</v>
      </c>
      <c r="AY41" s="33" t="e">
        <f>MATCH('1'!H41,Dados!$D$89:$D$167,0)+1</f>
        <v>#N/A</v>
      </c>
      <c r="AZ41" s="33" t="e">
        <f>MATCH('1'!N41,'Dados - Solicitação de acesso'!$N$2:$N$8,0)</f>
        <v>#N/A</v>
      </c>
      <c r="BA41" s="33" t="e">
        <f>MATCH('1'!T41,'Dados - Solicitação de acesso'!$T$2:$T$20,0)</f>
        <v>#N/A</v>
      </c>
      <c r="BB41" s="34"/>
      <c r="BC41" s="33">
        <f>MATCH(AT41,'Dados - Solicitação de acesso'!$AT$2:$AT$28,0)</f>
        <v>1</v>
      </c>
      <c r="BD41" s="33" t="b">
        <f>IF(O41="TRIFASICO",INDEX(Dados!G:G,MATCH('1'!AP41,Dados!E:E,0)),IF(O41="BIFASICO",INDEX(Dados!F:F,MATCH('1'!AP41,Dados!E:E,0),)))</f>
        <v>0</v>
      </c>
      <c r="BE41" s="33">
        <f>'Dados - Cliente'!J41</f>
        <v>0</v>
      </c>
      <c r="BF41" s="34">
        <f>INDEX(Dados!$E$2:$E$33,COUNTIF(Dados!$E$2:$E$33,"&lt;="&amp;AN41*1.25*AK41/(0.22*SQRT(INDEX('Dados - Inversores'!AK:AK,MATCH('1'!AL41,'Dados - Inversores'!C:C,0)))))+1)</f>
        <v>2</v>
      </c>
      <c r="BG41" s="34" t="b">
        <f>IF(O41="TRIFASICO",INDEX(Dados!G:G,MATCH(BF41,Dados!E:E,0)),IF(O41="BIFASICO",INDEX(Dados!F:F,MATCH(BF41,Dados!E:E,0),)))</f>
        <v>0</v>
      </c>
    </row>
    <row r="42" spans="1:59" s="33" customFormat="1" x14ac:dyDescent="0.35">
      <c r="A42" s="33">
        <f>'Dados - Cliente'!A42</f>
        <v>0</v>
      </c>
      <c r="B42" s="33">
        <f>'Dados - Cliente'!B42</f>
        <v>0</v>
      </c>
      <c r="C42" s="33">
        <f>'Dados - Cliente'!C42</f>
        <v>0</v>
      </c>
      <c r="D42" s="33">
        <f>'Dados - Cliente'!D42</f>
        <v>0</v>
      </c>
      <c r="E42" s="33">
        <f>'Dados - Cliente'!E42</f>
        <v>0</v>
      </c>
      <c r="F42" s="33">
        <f>'Dados - Cliente'!F42</f>
        <v>0</v>
      </c>
      <c r="G42" s="33">
        <f>'Dados - Cliente'!G42</f>
        <v>0</v>
      </c>
      <c r="H42" s="33">
        <f>'Dados - Cliente'!H42</f>
        <v>0</v>
      </c>
      <c r="I42" s="75" t="s">
        <v>4313</v>
      </c>
      <c r="J42" s="52" t="s">
        <v>4314</v>
      </c>
      <c r="K42" s="52" t="s">
        <v>4314</v>
      </c>
      <c r="L42" s="33">
        <f>'Dados - Cliente'!I42</f>
        <v>0</v>
      </c>
      <c r="M42" s="33">
        <f>'Dados - Cliente'!K42</f>
        <v>0</v>
      </c>
      <c r="N42" s="33">
        <f>'Dados - Cliente'!L42</f>
        <v>0</v>
      </c>
      <c r="O42" s="33">
        <f>'Dados - Cliente'!M42</f>
        <v>0</v>
      </c>
      <c r="P42" s="33">
        <f>'Dados - Cliente'!N42</f>
        <v>0</v>
      </c>
      <c r="Q42" s="33">
        <f>'Dados - Cliente'!O42</f>
        <v>0</v>
      </c>
      <c r="R42" s="33">
        <f>'Dados - Cliente'!P42</f>
        <v>0</v>
      </c>
      <c r="S42" s="33">
        <f>'Dados - Cliente'!Q42</f>
        <v>0</v>
      </c>
      <c r="T42" s="33">
        <f>'Dados - Cliente'!R42</f>
        <v>0</v>
      </c>
      <c r="U42" s="34">
        <f>'Dados - Cliente'!S42</f>
        <v>0</v>
      </c>
      <c r="V42" s="34">
        <f>'Dados - Cliente'!T42</f>
        <v>0</v>
      </c>
      <c r="W42" s="34">
        <f>'Dados - Cliente'!U42</f>
        <v>0</v>
      </c>
      <c r="X42" s="34">
        <f>'Dados - Cliente'!V42</f>
        <v>0</v>
      </c>
      <c r="Y42" s="34">
        <f>'Dados - Cliente'!W42</f>
        <v>0</v>
      </c>
      <c r="Z42" s="34">
        <f>'Dados - Cliente'!X42</f>
        <v>0</v>
      </c>
      <c r="AA42" s="33" t="e">
        <f t="shared" si="5"/>
        <v>#N/A</v>
      </c>
      <c r="AB42" s="33">
        <f>'Dados - Cliente'!Y42</f>
        <v>0</v>
      </c>
      <c r="AC42" s="33">
        <f>'Dados - Cliente'!Z42</f>
        <v>0</v>
      </c>
      <c r="AD42" s="33">
        <f>'Dados - Cliente'!AA42</f>
        <v>0</v>
      </c>
      <c r="AE42" s="33">
        <f>'Dados - Cliente'!AB42</f>
        <v>0</v>
      </c>
      <c r="AF42" s="33">
        <f>'Dados - Cliente'!AC42</f>
        <v>0</v>
      </c>
      <c r="AG42" s="35">
        <f>'Dados - Cliente'!AD42</f>
        <v>0</v>
      </c>
      <c r="AH42" s="33" t="e">
        <f>INDEX('Dados - Placas'!$A:$A,MATCH('1'!AG42,'Dados - Placas'!$D:$D,0))</f>
        <v>#N/A</v>
      </c>
      <c r="AI42" s="35" t="e">
        <f>INDEX('Dados - Placas'!$E:$E,MATCH('1'!AG42,'Dados - Placas'!$D:$D,0))</f>
        <v>#N/A</v>
      </c>
      <c r="AJ42" s="34" t="e">
        <f>INDEX('Dados - Placas'!$F:$F,MATCH('1'!AG42,'Dados - Placas'!$D:$D,0))*AF42</f>
        <v>#N/A</v>
      </c>
      <c r="AK42" s="33">
        <f>'Dados - Cliente'!AE42</f>
        <v>0</v>
      </c>
      <c r="AL42" s="33">
        <f>'Dados - Cliente'!AF42</f>
        <v>0</v>
      </c>
      <c r="AM42" s="36" t="e">
        <f>INDEX('Dados - Inversores'!$A:$A,MATCH('1'!AL42,'Dados - Inversores'!$C:$C,0))</f>
        <v>#N/A</v>
      </c>
      <c r="AN42" s="33">
        <f>'Dados - Cliente'!AG42</f>
        <v>0</v>
      </c>
      <c r="AO42" s="33" t="e">
        <f>AA42*1.25/(0.22*SQRT(INDEX('Dados - Inversores'!AK:AK,MATCH('1'!AL42,'Dados - Inversores'!C:C,0))))</f>
        <v>#N/A</v>
      </c>
      <c r="AP42" s="34">
        <f>INDEX(Dados!$E$2:$E$33,COUNTIF(Dados!$E$2:$E$33,"&lt;="&amp;AN42*1.25/(INDEX('Dados - Inversores'!AL:AL,MATCH('1'!AL42,'Dados - Inversores'!C:C,0))*SQRT(INDEX('Dados - Inversores'!AK:AK,MATCH('1'!AL42,'Dados - Inversores'!C:C,0)))))+1)</f>
        <v>2</v>
      </c>
      <c r="AQ42" s="33" t="s">
        <v>59</v>
      </c>
      <c r="AR42" s="33" t="str">
        <f t="shared" si="6"/>
        <v>Micro</v>
      </c>
      <c r="AS42" s="33">
        <f>'Dados - Cliente'!AH42</f>
        <v>0</v>
      </c>
      <c r="AT42" s="33">
        <f>'Dados - Cliente'!AI42</f>
        <v>0</v>
      </c>
      <c r="AU42" s="33" t="e">
        <f>INDEX('Dados - Placas'!$N:$N,MATCH('1'!AG42,'Dados - Placas'!$D:$D,0))-1</f>
        <v>#N/A</v>
      </c>
      <c r="AV42" s="33" t="e">
        <f>INDEX('Dados - Placas'!$O:$O,MATCH('1'!AG42,'Dados - Placas'!$D:$D,0))</f>
        <v>#N/A</v>
      </c>
      <c r="AW42" s="33" t="e">
        <f>INDEX('Dados - Inversores'!AM:AM,MATCH('1'!AL42,'Dados - Inversores'!$C:$C,0))-1</f>
        <v>#N/A</v>
      </c>
      <c r="AX42" s="33" t="e">
        <f>INDEX('Dados - Inversores'!AN:AN,MATCH('1'!AL42,'Dados - Inversores'!$C:$C,0))-1</f>
        <v>#N/A</v>
      </c>
      <c r="AY42" s="33" t="e">
        <f>MATCH('1'!H42,Dados!$D$89:$D$167,0)+1</f>
        <v>#N/A</v>
      </c>
      <c r="AZ42" s="33" t="e">
        <f>MATCH('1'!N42,'Dados - Solicitação de acesso'!$N$2:$N$8,0)</f>
        <v>#N/A</v>
      </c>
      <c r="BA42" s="33" t="e">
        <f>MATCH('1'!T42,'Dados - Solicitação de acesso'!$T$2:$T$20,0)</f>
        <v>#N/A</v>
      </c>
      <c r="BB42" s="34"/>
      <c r="BC42" s="33">
        <f>MATCH(AT42,'Dados - Solicitação de acesso'!$AT$2:$AT$28,0)</f>
        <v>1</v>
      </c>
      <c r="BD42" s="33" t="b">
        <f>IF(O42="TRIFASICO",INDEX(Dados!G:G,MATCH('1'!AP42,Dados!E:E,0)),IF(O42="BIFASICO",INDEX(Dados!F:F,MATCH('1'!AP42,Dados!E:E,0),)))</f>
        <v>0</v>
      </c>
      <c r="BE42" s="33">
        <f>'Dados - Cliente'!J42</f>
        <v>0</v>
      </c>
      <c r="BF42" s="34">
        <f>INDEX(Dados!$E$2:$E$33,COUNTIF(Dados!$E$2:$E$33,"&lt;="&amp;AN42*1.25*AK42/(0.22*SQRT(INDEX('Dados - Inversores'!AK:AK,MATCH('1'!AL42,'Dados - Inversores'!C:C,0)))))+1)</f>
        <v>2</v>
      </c>
      <c r="BG42" s="34" t="b">
        <f>IF(O42="TRIFASICO",INDEX(Dados!G:G,MATCH(BF42,Dados!E:E,0)),IF(O42="BIFASICO",INDEX(Dados!F:F,MATCH(BF42,Dados!E:E,0),)))</f>
        <v>0</v>
      </c>
    </row>
    <row r="43" spans="1:59" s="33" customFormat="1" x14ac:dyDescent="0.35">
      <c r="A43" s="33">
        <f>'Dados - Cliente'!A43</f>
        <v>0</v>
      </c>
      <c r="B43" s="33">
        <f>'Dados - Cliente'!B43</f>
        <v>0</v>
      </c>
      <c r="C43" s="33">
        <f>'Dados - Cliente'!C43</f>
        <v>0</v>
      </c>
      <c r="D43" s="33">
        <f>'Dados - Cliente'!D43</f>
        <v>0</v>
      </c>
      <c r="E43" s="33">
        <f>'Dados - Cliente'!E43</f>
        <v>0</v>
      </c>
      <c r="F43" s="33">
        <f>'Dados - Cliente'!F43</f>
        <v>0</v>
      </c>
      <c r="G43" s="33">
        <f>'Dados - Cliente'!G43</f>
        <v>0</v>
      </c>
      <c r="H43" s="33">
        <f>'Dados - Cliente'!H43</f>
        <v>0</v>
      </c>
      <c r="I43" s="75" t="s">
        <v>4313</v>
      </c>
      <c r="J43" s="52" t="s">
        <v>4314</v>
      </c>
      <c r="K43" s="52" t="s">
        <v>4314</v>
      </c>
      <c r="L43" s="33">
        <f>'Dados - Cliente'!I43</f>
        <v>0</v>
      </c>
      <c r="M43" s="33">
        <f>'Dados - Cliente'!K43</f>
        <v>0</v>
      </c>
      <c r="N43" s="33">
        <f>'Dados - Cliente'!L43</f>
        <v>0</v>
      </c>
      <c r="O43" s="33">
        <f>'Dados - Cliente'!M43</f>
        <v>0</v>
      </c>
      <c r="P43" s="33">
        <f>'Dados - Cliente'!N43</f>
        <v>0</v>
      </c>
      <c r="Q43" s="33">
        <f>'Dados - Cliente'!O43</f>
        <v>0</v>
      </c>
      <c r="R43" s="33">
        <f>'Dados - Cliente'!P43</f>
        <v>0</v>
      </c>
      <c r="S43" s="33">
        <f>'Dados - Cliente'!Q43</f>
        <v>0</v>
      </c>
      <c r="T43" s="33">
        <f>'Dados - Cliente'!R43</f>
        <v>0</v>
      </c>
      <c r="U43" s="34">
        <f>'Dados - Cliente'!S43</f>
        <v>0</v>
      </c>
      <c r="V43" s="34">
        <f>'Dados - Cliente'!T43</f>
        <v>0</v>
      </c>
      <c r="W43" s="34">
        <f>'Dados - Cliente'!U43</f>
        <v>0</v>
      </c>
      <c r="X43" s="34">
        <f>'Dados - Cliente'!V43</f>
        <v>0</v>
      </c>
      <c r="Y43" s="34">
        <f>'Dados - Cliente'!W43</f>
        <v>0</v>
      </c>
      <c r="Z43" s="34">
        <f>'Dados - Cliente'!X43</f>
        <v>0</v>
      </c>
      <c r="AA43" s="33" t="e">
        <f t="shared" si="5"/>
        <v>#N/A</v>
      </c>
      <c r="AB43" s="33">
        <f>'Dados - Cliente'!Y43</f>
        <v>0</v>
      </c>
      <c r="AC43" s="33">
        <f>'Dados - Cliente'!Z43</f>
        <v>0</v>
      </c>
      <c r="AD43" s="33">
        <f>'Dados - Cliente'!AA43</f>
        <v>0</v>
      </c>
      <c r="AE43" s="33">
        <f>'Dados - Cliente'!AB43</f>
        <v>0</v>
      </c>
      <c r="AF43" s="33">
        <f>'Dados - Cliente'!AC43</f>
        <v>0</v>
      </c>
      <c r="AG43" s="35">
        <f>'Dados - Cliente'!AD43</f>
        <v>0</v>
      </c>
      <c r="AH43" s="33" t="e">
        <f>INDEX('Dados - Placas'!$A:$A,MATCH('1'!AG43,'Dados - Placas'!$D:$D,0))</f>
        <v>#N/A</v>
      </c>
      <c r="AI43" s="35" t="e">
        <f>INDEX('Dados - Placas'!$E:$E,MATCH('1'!AG43,'Dados - Placas'!$D:$D,0))</f>
        <v>#N/A</v>
      </c>
      <c r="AJ43" s="34" t="e">
        <f>INDEX('Dados - Placas'!$F:$F,MATCH('1'!AG43,'Dados - Placas'!$D:$D,0))*AF43</f>
        <v>#N/A</v>
      </c>
      <c r="AK43" s="33">
        <f>'Dados - Cliente'!AE43</f>
        <v>0</v>
      </c>
      <c r="AL43" s="33">
        <f>'Dados - Cliente'!AF43</f>
        <v>0</v>
      </c>
      <c r="AM43" s="36" t="e">
        <f>INDEX('Dados - Inversores'!$A:$A,MATCH('1'!AL43,'Dados - Inversores'!$C:$C,0))</f>
        <v>#N/A</v>
      </c>
      <c r="AN43" s="33">
        <f>'Dados - Cliente'!AG43</f>
        <v>0</v>
      </c>
      <c r="AO43" s="33" t="e">
        <f>AA43*1.25/(0.22*SQRT(INDEX('Dados - Inversores'!AK:AK,MATCH('1'!AL43,'Dados - Inversores'!C:C,0))))</f>
        <v>#N/A</v>
      </c>
      <c r="AP43" s="34">
        <f>INDEX(Dados!$E$2:$E$33,COUNTIF(Dados!$E$2:$E$33,"&lt;="&amp;AN43*1.25/(INDEX('Dados - Inversores'!AL:AL,MATCH('1'!AL43,'Dados - Inversores'!C:C,0))*SQRT(INDEX('Dados - Inversores'!AK:AK,MATCH('1'!AL43,'Dados - Inversores'!C:C,0)))))+1)</f>
        <v>2</v>
      </c>
      <c r="AQ43" s="33" t="s">
        <v>59</v>
      </c>
      <c r="AR43" s="33" t="str">
        <f t="shared" si="6"/>
        <v>Micro</v>
      </c>
      <c r="AS43" s="33">
        <f>'Dados - Cliente'!AH43</f>
        <v>0</v>
      </c>
      <c r="AT43" s="33">
        <f>'Dados - Cliente'!AI43</f>
        <v>0</v>
      </c>
      <c r="AU43" s="33" t="e">
        <f>INDEX('Dados - Placas'!$N:$N,MATCH('1'!AG43,'Dados - Placas'!$D:$D,0))-1</f>
        <v>#N/A</v>
      </c>
      <c r="AV43" s="33" t="e">
        <f>INDEX('Dados - Placas'!$O:$O,MATCH('1'!AG43,'Dados - Placas'!$D:$D,0))</f>
        <v>#N/A</v>
      </c>
      <c r="AW43" s="33" t="e">
        <f>INDEX('Dados - Inversores'!AM:AM,MATCH('1'!AL43,'Dados - Inversores'!$C:$C,0))-1</f>
        <v>#N/A</v>
      </c>
      <c r="AX43" s="33" t="e">
        <f>INDEX('Dados - Inversores'!AN:AN,MATCH('1'!AL43,'Dados - Inversores'!$C:$C,0))-1</f>
        <v>#N/A</v>
      </c>
      <c r="AY43" s="33" t="e">
        <f>MATCH('1'!H43,Dados!$D$89:$D$167,0)+1</f>
        <v>#N/A</v>
      </c>
      <c r="AZ43" s="33" t="e">
        <f>MATCH('1'!N43,'Dados - Solicitação de acesso'!$N$2:$N$8,0)</f>
        <v>#N/A</v>
      </c>
      <c r="BA43" s="33" t="e">
        <f>MATCH('1'!T43,'Dados - Solicitação de acesso'!$T$2:$T$20,0)</f>
        <v>#N/A</v>
      </c>
      <c r="BB43" s="34"/>
      <c r="BC43" s="33">
        <f>MATCH(AT43,'Dados - Solicitação de acesso'!$AT$2:$AT$28,0)</f>
        <v>1</v>
      </c>
      <c r="BD43" s="33" t="b">
        <f>IF(O43="TRIFASICO",INDEX(Dados!G:G,MATCH('1'!AP43,Dados!E:E,0)),IF(O43="BIFASICO",INDEX(Dados!F:F,MATCH('1'!AP43,Dados!E:E,0),)))</f>
        <v>0</v>
      </c>
      <c r="BE43" s="33">
        <f>'Dados - Cliente'!J43</f>
        <v>0</v>
      </c>
      <c r="BF43" s="34">
        <f>INDEX(Dados!$E$2:$E$33,COUNTIF(Dados!$E$2:$E$33,"&lt;="&amp;AN43*1.25*AK43/(0.22*SQRT(INDEX('Dados - Inversores'!AK:AK,MATCH('1'!AL43,'Dados - Inversores'!C:C,0)))))+1)</f>
        <v>2</v>
      </c>
      <c r="BG43" s="34" t="b">
        <f>IF(O43="TRIFASICO",INDEX(Dados!G:G,MATCH(BF43,Dados!E:E,0)),IF(O43="BIFASICO",INDEX(Dados!F:F,MATCH(BF43,Dados!E:E,0),)))</f>
        <v>0</v>
      </c>
    </row>
    <row r="44" spans="1:59" s="33" customFormat="1" x14ac:dyDescent="0.35">
      <c r="A44" s="33">
        <f>'Dados - Cliente'!A44</f>
        <v>0</v>
      </c>
      <c r="B44" s="33">
        <f>'Dados - Cliente'!B44</f>
        <v>0</v>
      </c>
      <c r="C44" s="33">
        <f>'Dados - Cliente'!C44</f>
        <v>0</v>
      </c>
      <c r="D44" s="33">
        <f>'Dados - Cliente'!D44</f>
        <v>0</v>
      </c>
      <c r="E44" s="33">
        <f>'Dados - Cliente'!E44</f>
        <v>0</v>
      </c>
      <c r="F44" s="33">
        <f>'Dados - Cliente'!F44</f>
        <v>0</v>
      </c>
      <c r="G44" s="33">
        <f>'Dados - Cliente'!G44</f>
        <v>0</v>
      </c>
      <c r="H44" s="33">
        <f>'Dados - Cliente'!H44</f>
        <v>0</v>
      </c>
      <c r="I44" s="75" t="s">
        <v>4313</v>
      </c>
      <c r="J44" s="52" t="s">
        <v>4314</v>
      </c>
      <c r="K44" s="52" t="s">
        <v>4314</v>
      </c>
      <c r="L44" s="33">
        <f>'Dados - Cliente'!I44</f>
        <v>0</v>
      </c>
      <c r="M44" s="33">
        <f>'Dados - Cliente'!K44</f>
        <v>0</v>
      </c>
      <c r="N44" s="33">
        <f>'Dados - Cliente'!L44</f>
        <v>0</v>
      </c>
      <c r="O44" s="33">
        <f>'Dados - Cliente'!M44</f>
        <v>0</v>
      </c>
      <c r="P44" s="33">
        <f>'Dados - Cliente'!N44</f>
        <v>0</v>
      </c>
      <c r="Q44" s="33">
        <f>'Dados - Cliente'!O44</f>
        <v>0</v>
      </c>
      <c r="R44" s="33">
        <f>'Dados - Cliente'!P44</f>
        <v>0</v>
      </c>
      <c r="S44" s="33">
        <f>'Dados - Cliente'!Q44</f>
        <v>0</v>
      </c>
      <c r="T44" s="33">
        <f>'Dados - Cliente'!R44</f>
        <v>0</v>
      </c>
      <c r="U44" s="34">
        <f>'Dados - Cliente'!S44</f>
        <v>0</v>
      </c>
      <c r="V44" s="34">
        <f>'Dados - Cliente'!T44</f>
        <v>0</v>
      </c>
      <c r="W44" s="34">
        <f>'Dados - Cliente'!U44</f>
        <v>0</v>
      </c>
      <c r="X44" s="34">
        <f>'Dados - Cliente'!V44</f>
        <v>0</v>
      </c>
      <c r="Y44" s="34">
        <f>'Dados - Cliente'!W44</f>
        <v>0</v>
      </c>
      <c r="Z44" s="34">
        <f>'Dados - Cliente'!X44</f>
        <v>0</v>
      </c>
      <c r="AA44" s="33" t="e">
        <f t="shared" si="5"/>
        <v>#N/A</v>
      </c>
      <c r="AB44" s="33">
        <f>'Dados - Cliente'!Y44</f>
        <v>0</v>
      </c>
      <c r="AC44" s="33">
        <f>'Dados - Cliente'!Z44</f>
        <v>0</v>
      </c>
      <c r="AD44" s="33">
        <f>'Dados - Cliente'!AA44</f>
        <v>0</v>
      </c>
      <c r="AE44" s="33">
        <f>'Dados - Cliente'!AB44</f>
        <v>0</v>
      </c>
      <c r="AF44" s="33">
        <f>'Dados - Cliente'!AC44</f>
        <v>0</v>
      </c>
      <c r="AG44" s="35">
        <f>'Dados - Cliente'!AD44</f>
        <v>0</v>
      </c>
      <c r="AH44" s="33" t="e">
        <f>INDEX('Dados - Placas'!$A:$A,MATCH('1'!AG44,'Dados - Placas'!$D:$D,0))</f>
        <v>#N/A</v>
      </c>
      <c r="AI44" s="35" t="e">
        <f>INDEX('Dados - Placas'!$E:$E,MATCH('1'!AG44,'Dados - Placas'!$D:$D,0))</f>
        <v>#N/A</v>
      </c>
      <c r="AJ44" s="34" t="e">
        <f>INDEX('Dados - Placas'!$F:$F,MATCH('1'!AG44,'Dados - Placas'!$D:$D,0))*AF44</f>
        <v>#N/A</v>
      </c>
      <c r="AK44" s="33">
        <f>'Dados - Cliente'!AE44</f>
        <v>0</v>
      </c>
      <c r="AL44" s="33">
        <f>'Dados - Cliente'!AF44</f>
        <v>0</v>
      </c>
      <c r="AM44" s="36" t="e">
        <f>INDEX('Dados - Inversores'!$A:$A,MATCH('1'!AL44,'Dados - Inversores'!$C:$C,0))</f>
        <v>#N/A</v>
      </c>
      <c r="AN44" s="33">
        <f>'Dados - Cliente'!AG44</f>
        <v>0</v>
      </c>
      <c r="AO44" s="33" t="e">
        <f>AA44*1.25/(0.22*SQRT(INDEX('Dados - Inversores'!AK:AK,MATCH('1'!AL44,'Dados - Inversores'!C:C,0))))</f>
        <v>#N/A</v>
      </c>
      <c r="AP44" s="34">
        <f>INDEX(Dados!$E$2:$E$33,COUNTIF(Dados!$E$2:$E$33,"&lt;="&amp;AN44*1.25/(INDEX('Dados - Inversores'!AL:AL,MATCH('1'!AL44,'Dados - Inversores'!C:C,0))*SQRT(INDEX('Dados - Inversores'!AK:AK,MATCH('1'!AL44,'Dados - Inversores'!C:C,0)))))+1)</f>
        <v>2</v>
      </c>
      <c r="AQ44" s="33" t="s">
        <v>59</v>
      </c>
      <c r="AR44" s="33" t="str">
        <f t="shared" si="6"/>
        <v>Micro</v>
      </c>
      <c r="AS44" s="33">
        <f>'Dados - Cliente'!AH44</f>
        <v>0</v>
      </c>
      <c r="AT44" s="33">
        <f>'Dados - Cliente'!AI44</f>
        <v>0</v>
      </c>
      <c r="AU44" s="33" t="e">
        <f>INDEX('Dados - Placas'!$N:$N,MATCH('1'!AG44,'Dados - Placas'!$D:$D,0))-1</f>
        <v>#N/A</v>
      </c>
      <c r="AV44" s="33" t="e">
        <f>INDEX('Dados - Placas'!$O:$O,MATCH('1'!AG44,'Dados - Placas'!$D:$D,0))</f>
        <v>#N/A</v>
      </c>
      <c r="AW44" s="33" t="e">
        <f>INDEX('Dados - Inversores'!AM:AM,MATCH('1'!AL44,'Dados - Inversores'!$C:$C,0))-1</f>
        <v>#N/A</v>
      </c>
      <c r="AX44" s="33" t="e">
        <f>INDEX('Dados - Inversores'!AN:AN,MATCH('1'!AL44,'Dados - Inversores'!$C:$C,0))-1</f>
        <v>#N/A</v>
      </c>
      <c r="AY44" s="33" t="e">
        <f>MATCH('1'!H44,Dados!$D$89:$D$167,0)+1</f>
        <v>#N/A</v>
      </c>
      <c r="AZ44" s="33" t="e">
        <f>MATCH('1'!N44,'Dados - Solicitação de acesso'!$N$2:$N$8,0)</f>
        <v>#N/A</v>
      </c>
      <c r="BA44" s="33" t="e">
        <f>MATCH('1'!T44,'Dados - Solicitação de acesso'!$T$2:$T$20,0)</f>
        <v>#N/A</v>
      </c>
      <c r="BB44" s="34"/>
      <c r="BC44" s="33">
        <f>MATCH(AT44,'Dados - Solicitação de acesso'!$AT$2:$AT$28,0)</f>
        <v>1</v>
      </c>
      <c r="BD44" s="33" t="b">
        <f>IF(O44="TRIFASICO",INDEX(Dados!G:G,MATCH('1'!AP44,Dados!E:E,0)),IF(O44="BIFASICO",INDEX(Dados!F:F,MATCH('1'!AP44,Dados!E:E,0),)))</f>
        <v>0</v>
      </c>
      <c r="BE44" s="33">
        <f>'Dados - Cliente'!J44</f>
        <v>0</v>
      </c>
      <c r="BF44" s="34">
        <f>INDEX(Dados!$E$2:$E$33,COUNTIF(Dados!$E$2:$E$33,"&lt;="&amp;AN44*1.25*AK44/(0.22*SQRT(INDEX('Dados - Inversores'!AK:AK,MATCH('1'!AL44,'Dados - Inversores'!C:C,0)))))+1)</f>
        <v>2</v>
      </c>
      <c r="BG44" s="34" t="b">
        <f>IF(O44="TRIFASICO",INDEX(Dados!G:G,MATCH(BF44,Dados!E:E,0)),IF(O44="BIFASICO",INDEX(Dados!F:F,MATCH(BF44,Dados!E:E,0),)))</f>
        <v>0</v>
      </c>
    </row>
    <row r="45" spans="1:59" s="33" customFormat="1" x14ac:dyDescent="0.35">
      <c r="A45" s="33">
        <f>'Dados - Cliente'!A45</f>
        <v>0</v>
      </c>
      <c r="B45" s="33">
        <f>'Dados - Cliente'!B45</f>
        <v>0</v>
      </c>
      <c r="C45" s="33">
        <f>'Dados - Cliente'!C45</f>
        <v>0</v>
      </c>
      <c r="D45" s="33">
        <f>'Dados - Cliente'!D45</f>
        <v>0</v>
      </c>
      <c r="E45" s="33">
        <f>'Dados - Cliente'!E45</f>
        <v>0</v>
      </c>
      <c r="F45" s="33">
        <f>'Dados - Cliente'!F45</f>
        <v>0</v>
      </c>
      <c r="G45" s="33">
        <f>'Dados - Cliente'!G45</f>
        <v>0</v>
      </c>
      <c r="H45" s="33">
        <f>'Dados - Cliente'!H45</f>
        <v>0</v>
      </c>
      <c r="I45" s="75" t="s">
        <v>4313</v>
      </c>
      <c r="J45" s="52" t="s">
        <v>4314</v>
      </c>
      <c r="K45" s="52" t="s">
        <v>4314</v>
      </c>
      <c r="L45" s="33">
        <f>'Dados - Cliente'!I45</f>
        <v>0</v>
      </c>
      <c r="M45" s="33">
        <f>'Dados - Cliente'!K45</f>
        <v>0</v>
      </c>
      <c r="N45" s="33">
        <f>'Dados - Cliente'!L45</f>
        <v>0</v>
      </c>
      <c r="O45" s="33">
        <f>'Dados - Cliente'!M45</f>
        <v>0</v>
      </c>
      <c r="P45" s="33">
        <f>'Dados - Cliente'!N45</f>
        <v>0</v>
      </c>
      <c r="Q45" s="33">
        <f>'Dados - Cliente'!O45</f>
        <v>0</v>
      </c>
      <c r="R45" s="33">
        <f>'Dados - Cliente'!P45</f>
        <v>0</v>
      </c>
      <c r="S45" s="33">
        <f>'Dados - Cliente'!Q45</f>
        <v>0</v>
      </c>
      <c r="T45" s="33">
        <f>'Dados - Cliente'!R45</f>
        <v>0</v>
      </c>
      <c r="U45" s="34">
        <f>'Dados - Cliente'!S45</f>
        <v>0</v>
      </c>
      <c r="V45" s="34">
        <f>'Dados - Cliente'!T45</f>
        <v>0</v>
      </c>
      <c r="W45" s="34">
        <f>'Dados - Cliente'!U45</f>
        <v>0</v>
      </c>
      <c r="X45" s="34">
        <f>'Dados - Cliente'!V45</f>
        <v>0</v>
      </c>
      <c r="Y45" s="34">
        <f>'Dados - Cliente'!W45</f>
        <v>0</v>
      </c>
      <c r="Z45" s="34">
        <f>'Dados - Cliente'!X45</f>
        <v>0</v>
      </c>
      <c r="AA45" s="33" t="e">
        <f t="shared" si="5"/>
        <v>#N/A</v>
      </c>
      <c r="AB45" s="33">
        <f>'Dados - Cliente'!Y45</f>
        <v>0</v>
      </c>
      <c r="AC45" s="33">
        <f>'Dados - Cliente'!Z45</f>
        <v>0</v>
      </c>
      <c r="AD45" s="33">
        <f>'Dados - Cliente'!AA45</f>
        <v>0</v>
      </c>
      <c r="AE45" s="33">
        <f>'Dados - Cliente'!AB45</f>
        <v>0</v>
      </c>
      <c r="AF45" s="33">
        <f>'Dados - Cliente'!AC45</f>
        <v>0</v>
      </c>
      <c r="AG45" s="35">
        <f>'Dados - Cliente'!AD45</f>
        <v>0</v>
      </c>
      <c r="AH45" s="33" t="e">
        <f>INDEX('Dados - Placas'!$A:$A,MATCH('1'!AG45,'Dados - Placas'!$D:$D,0))</f>
        <v>#N/A</v>
      </c>
      <c r="AI45" s="35" t="e">
        <f>INDEX('Dados - Placas'!$E:$E,MATCH('1'!AG45,'Dados - Placas'!$D:$D,0))</f>
        <v>#N/A</v>
      </c>
      <c r="AJ45" s="34" t="e">
        <f>INDEX('Dados - Placas'!$F:$F,MATCH('1'!AG45,'Dados - Placas'!$D:$D,0))*AF45</f>
        <v>#N/A</v>
      </c>
      <c r="AK45" s="33">
        <f>'Dados - Cliente'!AE45</f>
        <v>0</v>
      </c>
      <c r="AL45" s="33">
        <f>'Dados - Cliente'!AF45</f>
        <v>0</v>
      </c>
      <c r="AM45" s="36" t="e">
        <f>INDEX('Dados - Inversores'!$A:$A,MATCH('1'!AL45,'Dados - Inversores'!$C:$C,0))</f>
        <v>#N/A</v>
      </c>
      <c r="AN45" s="33">
        <f>'Dados - Cliente'!AG45</f>
        <v>0</v>
      </c>
      <c r="AO45" s="33" t="e">
        <f>AA45*1.25/(0.22*SQRT(INDEX('Dados - Inversores'!AK:AK,MATCH('1'!AL45,'Dados - Inversores'!C:C,0))))</f>
        <v>#N/A</v>
      </c>
      <c r="AP45" s="34">
        <f>INDEX(Dados!$E$2:$E$33,COUNTIF(Dados!$E$2:$E$33,"&lt;="&amp;AN45*1.25/(INDEX('Dados - Inversores'!AL:AL,MATCH('1'!AL45,'Dados - Inversores'!C:C,0))*SQRT(INDEX('Dados - Inversores'!AK:AK,MATCH('1'!AL45,'Dados - Inversores'!C:C,0)))))+1)</f>
        <v>2</v>
      </c>
      <c r="AQ45" s="33" t="s">
        <v>59</v>
      </c>
      <c r="AR45" s="33" t="str">
        <f t="shared" si="6"/>
        <v>Micro</v>
      </c>
      <c r="AS45" s="33">
        <f>'Dados - Cliente'!AH45</f>
        <v>0</v>
      </c>
      <c r="AT45" s="33">
        <f>'Dados - Cliente'!AI45</f>
        <v>0</v>
      </c>
      <c r="AU45" s="33" t="e">
        <f>INDEX('Dados - Placas'!$N:$N,MATCH('1'!AG45,'Dados - Placas'!$D:$D,0))-1</f>
        <v>#N/A</v>
      </c>
      <c r="AV45" s="33" t="e">
        <f>INDEX('Dados - Placas'!$O:$O,MATCH('1'!AG45,'Dados - Placas'!$D:$D,0))</f>
        <v>#N/A</v>
      </c>
      <c r="AW45" s="33" t="e">
        <f>INDEX('Dados - Inversores'!AM:AM,MATCH('1'!AL45,'Dados - Inversores'!$C:$C,0))-1</f>
        <v>#N/A</v>
      </c>
      <c r="AX45" s="33" t="e">
        <f>INDEX('Dados - Inversores'!AN:AN,MATCH('1'!AL45,'Dados - Inversores'!$C:$C,0))-1</f>
        <v>#N/A</v>
      </c>
      <c r="AY45" s="33" t="e">
        <f>MATCH('1'!H45,Dados!$D$89:$D$167,0)+1</f>
        <v>#N/A</v>
      </c>
      <c r="AZ45" s="33" t="e">
        <f>MATCH('1'!N45,'Dados - Solicitação de acesso'!$N$2:$N$8,0)</f>
        <v>#N/A</v>
      </c>
      <c r="BA45" s="33" t="e">
        <f>MATCH('1'!T45,'Dados - Solicitação de acesso'!$T$2:$T$20,0)</f>
        <v>#N/A</v>
      </c>
      <c r="BB45" s="34"/>
      <c r="BC45" s="33">
        <f>MATCH(AT45,'Dados - Solicitação de acesso'!$AT$2:$AT$28,0)</f>
        <v>1</v>
      </c>
      <c r="BD45" s="33" t="b">
        <f>IF(O45="TRIFASICO",INDEX(Dados!G:G,MATCH('1'!AP45,Dados!E:E,0)),IF(O45="BIFASICO",INDEX(Dados!F:F,MATCH('1'!AP45,Dados!E:E,0),)))</f>
        <v>0</v>
      </c>
      <c r="BE45" s="33">
        <f>'Dados - Cliente'!J45</f>
        <v>0</v>
      </c>
      <c r="BF45" s="34">
        <f>INDEX(Dados!$E$2:$E$33,COUNTIF(Dados!$E$2:$E$33,"&lt;="&amp;AN45*1.25*AK45/(0.22*SQRT(INDEX('Dados - Inversores'!AK:AK,MATCH('1'!AL45,'Dados - Inversores'!C:C,0)))))+1)</f>
        <v>2</v>
      </c>
      <c r="BG45" s="34" t="b">
        <f>IF(O45="TRIFASICO",INDEX(Dados!G:G,MATCH(BF45,Dados!E:E,0)),IF(O45="BIFASICO",INDEX(Dados!F:F,MATCH(BF45,Dados!E:E,0),)))</f>
        <v>0</v>
      </c>
    </row>
    <row r="46" spans="1:59" s="33" customFormat="1" x14ac:dyDescent="0.35">
      <c r="A46" s="33">
        <f>'Dados - Cliente'!A46</f>
        <v>0</v>
      </c>
      <c r="B46" s="33">
        <f>'Dados - Cliente'!B46</f>
        <v>0</v>
      </c>
      <c r="C46" s="33">
        <f>'Dados - Cliente'!C46</f>
        <v>0</v>
      </c>
      <c r="D46" s="33">
        <f>'Dados - Cliente'!D46</f>
        <v>0</v>
      </c>
      <c r="E46" s="33">
        <f>'Dados - Cliente'!E46</f>
        <v>0</v>
      </c>
      <c r="F46" s="33">
        <f>'Dados - Cliente'!F46</f>
        <v>0</v>
      </c>
      <c r="G46" s="33">
        <f>'Dados - Cliente'!G46</f>
        <v>0</v>
      </c>
      <c r="H46" s="33">
        <f>'Dados - Cliente'!H46</f>
        <v>0</v>
      </c>
      <c r="I46" s="75" t="s">
        <v>4313</v>
      </c>
      <c r="J46" s="52" t="s">
        <v>4314</v>
      </c>
      <c r="K46" s="52" t="s">
        <v>4314</v>
      </c>
      <c r="L46" s="33">
        <f>'Dados - Cliente'!I46</f>
        <v>0</v>
      </c>
      <c r="M46" s="33">
        <f>'Dados - Cliente'!K46</f>
        <v>0</v>
      </c>
      <c r="N46" s="33">
        <f>'Dados - Cliente'!L46</f>
        <v>0</v>
      </c>
      <c r="O46" s="33">
        <f>'Dados - Cliente'!M46</f>
        <v>0</v>
      </c>
      <c r="P46" s="33">
        <f>'Dados - Cliente'!N46</f>
        <v>0</v>
      </c>
      <c r="Q46" s="33">
        <f>'Dados - Cliente'!O46</f>
        <v>0</v>
      </c>
      <c r="R46" s="33">
        <f>'Dados - Cliente'!P46</f>
        <v>0</v>
      </c>
      <c r="S46" s="33">
        <f>'Dados - Cliente'!Q46</f>
        <v>0</v>
      </c>
      <c r="T46" s="33">
        <f>'Dados - Cliente'!R46</f>
        <v>0</v>
      </c>
      <c r="U46" s="34">
        <f>'Dados - Cliente'!S46</f>
        <v>0</v>
      </c>
      <c r="V46" s="34">
        <f>'Dados - Cliente'!T46</f>
        <v>0</v>
      </c>
      <c r="W46" s="34">
        <f>'Dados - Cliente'!U46</f>
        <v>0</v>
      </c>
      <c r="X46" s="34">
        <f>'Dados - Cliente'!V46</f>
        <v>0</v>
      </c>
      <c r="Y46" s="34">
        <f>'Dados - Cliente'!W46</f>
        <v>0</v>
      </c>
      <c r="Z46" s="34">
        <f>'Dados - Cliente'!X46</f>
        <v>0</v>
      </c>
      <c r="AA46" s="33" t="e">
        <f t="shared" si="5"/>
        <v>#N/A</v>
      </c>
      <c r="AB46" s="33">
        <f>'Dados - Cliente'!Y46</f>
        <v>0</v>
      </c>
      <c r="AC46" s="33">
        <f>'Dados - Cliente'!Z46</f>
        <v>0</v>
      </c>
      <c r="AD46" s="33">
        <f>'Dados - Cliente'!AA46</f>
        <v>0</v>
      </c>
      <c r="AE46" s="33">
        <f>'Dados - Cliente'!AB46</f>
        <v>0</v>
      </c>
      <c r="AF46" s="33">
        <f>'Dados - Cliente'!AC46</f>
        <v>0</v>
      </c>
      <c r="AG46" s="35">
        <f>'Dados - Cliente'!AD46</f>
        <v>0</v>
      </c>
      <c r="AH46" s="33" t="e">
        <f>INDEX('Dados - Placas'!$A:$A,MATCH('1'!AG46,'Dados - Placas'!$D:$D,0))</f>
        <v>#N/A</v>
      </c>
      <c r="AI46" s="35" t="e">
        <f>INDEX('Dados - Placas'!$E:$E,MATCH('1'!AG46,'Dados - Placas'!$D:$D,0))</f>
        <v>#N/A</v>
      </c>
      <c r="AJ46" s="34" t="e">
        <f>INDEX('Dados - Placas'!$F:$F,MATCH('1'!AG46,'Dados - Placas'!$D:$D,0))*AF46</f>
        <v>#N/A</v>
      </c>
      <c r="AK46" s="33">
        <f>'Dados - Cliente'!AE46</f>
        <v>0</v>
      </c>
      <c r="AL46" s="33">
        <f>'Dados - Cliente'!AF46</f>
        <v>0</v>
      </c>
      <c r="AM46" s="36" t="e">
        <f>INDEX('Dados - Inversores'!$A:$A,MATCH('1'!AL46,'Dados - Inversores'!$C:$C,0))</f>
        <v>#N/A</v>
      </c>
      <c r="AN46" s="33">
        <f>'Dados - Cliente'!AG46</f>
        <v>0</v>
      </c>
      <c r="AO46" s="33" t="e">
        <f>AA46*1.25/(0.22*SQRT(INDEX('Dados - Inversores'!AK:AK,MATCH('1'!AL46,'Dados - Inversores'!C:C,0))))</f>
        <v>#N/A</v>
      </c>
      <c r="AP46" s="34">
        <f>INDEX(Dados!$E$2:$E$33,COUNTIF(Dados!$E$2:$E$33,"&lt;="&amp;AN46*1.25/(INDEX('Dados - Inversores'!AL:AL,MATCH('1'!AL46,'Dados - Inversores'!C:C,0))*SQRT(INDEX('Dados - Inversores'!AK:AK,MATCH('1'!AL46,'Dados - Inversores'!C:C,0)))))+1)</f>
        <v>2</v>
      </c>
      <c r="AQ46" s="33" t="s">
        <v>59</v>
      </c>
      <c r="AR46" s="33" t="str">
        <f t="shared" si="6"/>
        <v>Micro</v>
      </c>
      <c r="AS46" s="33">
        <f>'Dados - Cliente'!AH46</f>
        <v>0</v>
      </c>
      <c r="AT46" s="33">
        <f>'Dados - Cliente'!AI46</f>
        <v>0</v>
      </c>
      <c r="AU46" s="33" t="e">
        <f>INDEX('Dados - Placas'!$N:$N,MATCH('1'!AG46,'Dados - Placas'!$D:$D,0))-1</f>
        <v>#N/A</v>
      </c>
      <c r="AV46" s="33" t="e">
        <f>INDEX('Dados - Placas'!$O:$O,MATCH('1'!AG46,'Dados - Placas'!$D:$D,0))</f>
        <v>#N/A</v>
      </c>
      <c r="AW46" s="33" t="e">
        <f>INDEX('Dados - Inversores'!AM:AM,MATCH('1'!AL46,'Dados - Inversores'!$C:$C,0))-1</f>
        <v>#N/A</v>
      </c>
      <c r="AX46" s="33" t="e">
        <f>INDEX('Dados - Inversores'!AN:AN,MATCH('1'!AL46,'Dados - Inversores'!$C:$C,0))-1</f>
        <v>#N/A</v>
      </c>
      <c r="AY46" s="33" t="e">
        <f>MATCH('1'!H46,Dados!$D$89:$D$167,0)+1</f>
        <v>#N/A</v>
      </c>
      <c r="AZ46" s="33" t="e">
        <f>MATCH('1'!N46,'Dados - Solicitação de acesso'!$N$2:$N$8,0)</f>
        <v>#N/A</v>
      </c>
      <c r="BA46" s="33" t="e">
        <f>MATCH('1'!T46,'Dados - Solicitação de acesso'!$T$2:$T$20,0)</f>
        <v>#N/A</v>
      </c>
      <c r="BB46" s="34"/>
      <c r="BC46" s="33">
        <f>MATCH(AT46,'Dados - Solicitação de acesso'!$AT$2:$AT$28,0)</f>
        <v>1</v>
      </c>
      <c r="BD46" s="33" t="b">
        <f>IF(O46="TRIFASICO",INDEX(Dados!G:G,MATCH('1'!AP46,Dados!E:E,0)),IF(O46="BIFASICO",INDEX(Dados!F:F,MATCH('1'!AP46,Dados!E:E,0),)))</f>
        <v>0</v>
      </c>
      <c r="BE46" s="33">
        <f>'Dados - Cliente'!J46</f>
        <v>0</v>
      </c>
      <c r="BF46" s="34">
        <f>INDEX(Dados!$E$2:$E$33,COUNTIF(Dados!$E$2:$E$33,"&lt;="&amp;AN46*1.25*AK46/(0.22*SQRT(INDEX('Dados - Inversores'!AK:AK,MATCH('1'!AL46,'Dados - Inversores'!C:C,0)))))+1)</f>
        <v>2</v>
      </c>
      <c r="BG46" s="34" t="b">
        <f>IF(O46="TRIFASICO",INDEX(Dados!G:G,MATCH(BF46,Dados!E:E,0)),IF(O46="BIFASICO",INDEX(Dados!F:F,MATCH(BF46,Dados!E:E,0),)))</f>
        <v>0</v>
      </c>
    </row>
    <row r="47" spans="1:59" s="33" customFormat="1" x14ac:dyDescent="0.35">
      <c r="A47" s="33">
        <f>'Dados - Cliente'!A47</f>
        <v>0</v>
      </c>
      <c r="B47" s="33">
        <f>'Dados - Cliente'!B47</f>
        <v>0</v>
      </c>
      <c r="C47" s="33">
        <f>'Dados - Cliente'!C47</f>
        <v>0</v>
      </c>
      <c r="D47" s="33">
        <f>'Dados - Cliente'!D47</f>
        <v>0</v>
      </c>
      <c r="E47" s="33">
        <f>'Dados - Cliente'!E47</f>
        <v>0</v>
      </c>
      <c r="F47" s="33">
        <f>'Dados - Cliente'!F47</f>
        <v>0</v>
      </c>
      <c r="G47" s="33">
        <f>'Dados - Cliente'!G47</f>
        <v>0</v>
      </c>
      <c r="H47" s="33">
        <f>'Dados - Cliente'!H47</f>
        <v>0</v>
      </c>
      <c r="I47" s="75" t="s">
        <v>4313</v>
      </c>
      <c r="J47" s="52" t="s">
        <v>4314</v>
      </c>
      <c r="K47" s="52" t="s">
        <v>4314</v>
      </c>
      <c r="L47" s="33">
        <f>'Dados - Cliente'!I47</f>
        <v>0</v>
      </c>
      <c r="M47" s="33">
        <f>'Dados - Cliente'!K47</f>
        <v>0</v>
      </c>
      <c r="N47" s="33">
        <f>'Dados - Cliente'!L47</f>
        <v>0</v>
      </c>
      <c r="O47" s="33">
        <f>'Dados - Cliente'!M47</f>
        <v>0</v>
      </c>
      <c r="P47" s="33">
        <f>'Dados - Cliente'!N47</f>
        <v>0</v>
      </c>
      <c r="Q47" s="33">
        <f>'Dados - Cliente'!O47</f>
        <v>0</v>
      </c>
      <c r="R47" s="33">
        <f>'Dados - Cliente'!P47</f>
        <v>0</v>
      </c>
      <c r="S47" s="33">
        <f>'Dados - Cliente'!Q47</f>
        <v>0</v>
      </c>
      <c r="T47" s="33">
        <f>'Dados - Cliente'!R47</f>
        <v>0</v>
      </c>
      <c r="U47" s="34">
        <f>'Dados - Cliente'!S47</f>
        <v>0</v>
      </c>
      <c r="V47" s="34">
        <f>'Dados - Cliente'!T47</f>
        <v>0</v>
      </c>
      <c r="W47" s="34">
        <f>'Dados - Cliente'!U47</f>
        <v>0</v>
      </c>
      <c r="X47" s="34">
        <f>'Dados - Cliente'!V47</f>
        <v>0</v>
      </c>
      <c r="Y47" s="34">
        <f>'Dados - Cliente'!W47</f>
        <v>0</v>
      </c>
      <c r="Z47" s="34">
        <f>'Dados - Cliente'!X47</f>
        <v>0</v>
      </c>
      <c r="AA47" s="33" t="e">
        <f t="shared" si="5"/>
        <v>#N/A</v>
      </c>
      <c r="AB47" s="33">
        <f>'Dados - Cliente'!Y47</f>
        <v>0</v>
      </c>
      <c r="AC47" s="33">
        <f>'Dados - Cliente'!Z47</f>
        <v>0</v>
      </c>
      <c r="AD47" s="33">
        <f>'Dados - Cliente'!AA47</f>
        <v>0</v>
      </c>
      <c r="AE47" s="33">
        <f>'Dados - Cliente'!AB47</f>
        <v>0</v>
      </c>
      <c r="AF47" s="33">
        <f>'Dados - Cliente'!AC47</f>
        <v>0</v>
      </c>
      <c r="AG47" s="35">
        <f>'Dados - Cliente'!AD47</f>
        <v>0</v>
      </c>
      <c r="AH47" s="33" t="e">
        <f>INDEX('Dados - Placas'!$A:$A,MATCH('1'!AG47,'Dados - Placas'!$D:$D,0))</f>
        <v>#N/A</v>
      </c>
      <c r="AI47" s="35" t="e">
        <f>INDEX('Dados - Placas'!$E:$E,MATCH('1'!AG47,'Dados - Placas'!$D:$D,0))</f>
        <v>#N/A</v>
      </c>
      <c r="AJ47" s="34" t="e">
        <f>INDEX('Dados - Placas'!$F:$F,MATCH('1'!AG47,'Dados - Placas'!$D:$D,0))*AF47</f>
        <v>#N/A</v>
      </c>
      <c r="AK47" s="33">
        <f>'Dados - Cliente'!AE47</f>
        <v>0</v>
      </c>
      <c r="AL47" s="33">
        <f>'Dados - Cliente'!AF47</f>
        <v>0</v>
      </c>
      <c r="AM47" s="36" t="e">
        <f>INDEX('Dados - Inversores'!$A:$A,MATCH('1'!AL47,'Dados - Inversores'!$C:$C,0))</f>
        <v>#N/A</v>
      </c>
      <c r="AN47" s="33">
        <f>'Dados - Cliente'!AG47</f>
        <v>0</v>
      </c>
      <c r="AO47" s="33" t="e">
        <f>AA47*1.25/(0.22*SQRT(INDEX('Dados - Inversores'!AK:AK,MATCH('1'!AL47,'Dados - Inversores'!C:C,0))))</f>
        <v>#N/A</v>
      </c>
      <c r="AP47" s="34">
        <f>INDEX(Dados!$E$2:$E$33,COUNTIF(Dados!$E$2:$E$33,"&lt;="&amp;AN47*1.25/(INDEX('Dados - Inversores'!AL:AL,MATCH('1'!AL47,'Dados - Inversores'!C:C,0))*SQRT(INDEX('Dados - Inversores'!AK:AK,MATCH('1'!AL47,'Dados - Inversores'!C:C,0)))))+1)</f>
        <v>2</v>
      </c>
      <c r="AQ47" s="33" t="s">
        <v>59</v>
      </c>
      <c r="AR47" s="33" t="str">
        <f t="shared" si="6"/>
        <v>Micro</v>
      </c>
      <c r="AS47" s="33">
        <f>'Dados - Cliente'!AH47</f>
        <v>0</v>
      </c>
      <c r="AT47" s="33">
        <f>'Dados - Cliente'!AI47</f>
        <v>0</v>
      </c>
      <c r="AU47" s="33" t="e">
        <f>INDEX('Dados - Placas'!$N:$N,MATCH('1'!AG47,'Dados - Placas'!$D:$D,0))-1</f>
        <v>#N/A</v>
      </c>
      <c r="AV47" s="33" t="e">
        <f>INDEX('Dados - Placas'!$O:$O,MATCH('1'!AG47,'Dados - Placas'!$D:$D,0))</f>
        <v>#N/A</v>
      </c>
      <c r="AW47" s="33" t="e">
        <f>INDEX('Dados - Inversores'!AM:AM,MATCH('1'!AL47,'Dados - Inversores'!$C:$C,0))-1</f>
        <v>#N/A</v>
      </c>
      <c r="AX47" s="33" t="e">
        <f>INDEX('Dados - Inversores'!AN:AN,MATCH('1'!AL47,'Dados - Inversores'!$C:$C,0))-1</f>
        <v>#N/A</v>
      </c>
      <c r="AY47" s="33" t="e">
        <f>MATCH('1'!H47,Dados!$D$89:$D$167,0)+1</f>
        <v>#N/A</v>
      </c>
      <c r="AZ47" s="33" t="e">
        <f>MATCH('1'!N47,'Dados - Solicitação de acesso'!$N$2:$N$8,0)</f>
        <v>#N/A</v>
      </c>
      <c r="BA47" s="33" t="e">
        <f>MATCH('1'!T47,'Dados - Solicitação de acesso'!$T$2:$T$20,0)</f>
        <v>#N/A</v>
      </c>
      <c r="BB47" s="34"/>
      <c r="BC47" s="33">
        <f>MATCH(AT47,'Dados - Solicitação de acesso'!$AT$2:$AT$28,0)</f>
        <v>1</v>
      </c>
      <c r="BD47" s="33" t="b">
        <f>IF(O47="TRIFASICO",INDEX(Dados!G:G,MATCH('1'!AP47,Dados!E:E,0)),IF(O47="BIFASICO",INDEX(Dados!F:F,MATCH('1'!AP47,Dados!E:E,0),)))</f>
        <v>0</v>
      </c>
      <c r="BE47" s="33">
        <f>'Dados - Cliente'!J47</f>
        <v>0</v>
      </c>
      <c r="BF47" s="34">
        <f>INDEX(Dados!$E$2:$E$33,COUNTIF(Dados!$E$2:$E$33,"&lt;="&amp;AN47*1.25*AK47/(0.22*SQRT(INDEX('Dados - Inversores'!AK:AK,MATCH('1'!AL47,'Dados - Inversores'!C:C,0)))))+1)</f>
        <v>2</v>
      </c>
      <c r="BG47" s="34" t="b">
        <f>IF(O47="TRIFASICO",INDEX(Dados!G:G,MATCH(BF47,Dados!E:E,0)),IF(O47="BIFASICO",INDEX(Dados!F:F,MATCH(BF47,Dados!E:E,0),)))</f>
        <v>0</v>
      </c>
    </row>
    <row r="48" spans="1:59" s="33" customFormat="1" x14ac:dyDescent="0.35">
      <c r="A48" s="33">
        <f>'Dados - Cliente'!A48</f>
        <v>0</v>
      </c>
      <c r="B48" s="33">
        <f>'Dados - Cliente'!B48</f>
        <v>0</v>
      </c>
      <c r="C48" s="33">
        <f>'Dados - Cliente'!C48</f>
        <v>0</v>
      </c>
      <c r="D48" s="33">
        <f>'Dados - Cliente'!D48</f>
        <v>0</v>
      </c>
      <c r="E48" s="33">
        <f>'Dados - Cliente'!E48</f>
        <v>0</v>
      </c>
      <c r="F48" s="33">
        <f>'Dados - Cliente'!F48</f>
        <v>0</v>
      </c>
      <c r="G48" s="33">
        <f>'Dados - Cliente'!G48</f>
        <v>0</v>
      </c>
      <c r="H48" s="33">
        <f>'Dados - Cliente'!H48</f>
        <v>0</v>
      </c>
      <c r="I48" s="75" t="s">
        <v>4313</v>
      </c>
      <c r="J48" s="52" t="s">
        <v>4314</v>
      </c>
      <c r="K48" s="52" t="s">
        <v>4314</v>
      </c>
      <c r="L48" s="33">
        <f>'Dados - Cliente'!I48</f>
        <v>0</v>
      </c>
      <c r="M48" s="33">
        <f>'Dados - Cliente'!K48</f>
        <v>0</v>
      </c>
      <c r="N48" s="33">
        <f>'Dados - Cliente'!L48</f>
        <v>0</v>
      </c>
      <c r="O48" s="33">
        <f>'Dados - Cliente'!M48</f>
        <v>0</v>
      </c>
      <c r="P48" s="33">
        <f>'Dados - Cliente'!N48</f>
        <v>0</v>
      </c>
      <c r="Q48" s="33">
        <f>'Dados - Cliente'!O48</f>
        <v>0</v>
      </c>
      <c r="R48" s="33">
        <f>'Dados - Cliente'!P48</f>
        <v>0</v>
      </c>
      <c r="S48" s="33">
        <f>'Dados - Cliente'!Q48</f>
        <v>0</v>
      </c>
      <c r="T48" s="33">
        <f>'Dados - Cliente'!R48</f>
        <v>0</v>
      </c>
      <c r="U48" s="34">
        <f>'Dados - Cliente'!S48</f>
        <v>0</v>
      </c>
      <c r="V48" s="34">
        <f>'Dados - Cliente'!T48</f>
        <v>0</v>
      </c>
      <c r="W48" s="34">
        <f>'Dados - Cliente'!U48</f>
        <v>0</v>
      </c>
      <c r="X48" s="34">
        <f>'Dados - Cliente'!V48</f>
        <v>0</v>
      </c>
      <c r="Y48" s="34">
        <f>'Dados - Cliente'!W48</f>
        <v>0</v>
      </c>
      <c r="Z48" s="34">
        <f>'Dados - Cliente'!X48</f>
        <v>0</v>
      </c>
      <c r="AA48" s="33" t="e">
        <f t="shared" si="5"/>
        <v>#N/A</v>
      </c>
      <c r="AB48" s="33">
        <f>'Dados - Cliente'!Y48</f>
        <v>0</v>
      </c>
      <c r="AC48" s="33">
        <f>'Dados - Cliente'!Z48</f>
        <v>0</v>
      </c>
      <c r="AD48" s="33">
        <f>'Dados - Cliente'!AA48</f>
        <v>0</v>
      </c>
      <c r="AE48" s="33">
        <f>'Dados - Cliente'!AB48</f>
        <v>0</v>
      </c>
      <c r="AF48" s="33">
        <f>'Dados - Cliente'!AC48</f>
        <v>0</v>
      </c>
      <c r="AG48" s="35">
        <f>'Dados - Cliente'!AD48</f>
        <v>0</v>
      </c>
      <c r="AH48" s="33" t="e">
        <f>INDEX('Dados - Placas'!$A:$A,MATCH('1'!AG48,'Dados - Placas'!$D:$D,0))</f>
        <v>#N/A</v>
      </c>
      <c r="AI48" s="35" t="e">
        <f>INDEX('Dados - Placas'!$E:$E,MATCH('1'!AG48,'Dados - Placas'!$D:$D,0))</f>
        <v>#N/A</v>
      </c>
      <c r="AJ48" s="34" t="e">
        <f>INDEX('Dados - Placas'!$F:$F,MATCH('1'!AG48,'Dados - Placas'!$D:$D,0))*AF48</f>
        <v>#N/A</v>
      </c>
      <c r="AK48" s="33">
        <f>'Dados - Cliente'!AE48</f>
        <v>0</v>
      </c>
      <c r="AL48" s="33">
        <f>'Dados - Cliente'!AF48</f>
        <v>0</v>
      </c>
      <c r="AM48" s="36" t="e">
        <f>INDEX('Dados - Inversores'!$A:$A,MATCH('1'!AL48,'Dados - Inversores'!$C:$C,0))</f>
        <v>#N/A</v>
      </c>
      <c r="AN48" s="33">
        <f>'Dados - Cliente'!AG48</f>
        <v>0</v>
      </c>
      <c r="AO48" s="33" t="e">
        <f>AA48*1.25/(0.22*SQRT(INDEX('Dados - Inversores'!AK:AK,MATCH('1'!AL48,'Dados - Inversores'!C:C,0))))</f>
        <v>#N/A</v>
      </c>
      <c r="AP48" s="34">
        <f>INDEX(Dados!$E$2:$E$33,COUNTIF(Dados!$E$2:$E$33,"&lt;="&amp;AN48*1.25/(INDEX('Dados - Inversores'!AL:AL,MATCH('1'!AL48,'Dados - Inversores'!C:C,0))*SQRT(INDEX('Dados - Inversores'!AK:AK,MATCH('1'!AL48,'Dados - Inversores'!C:C,0)))))+1)</f>
        <v>2</v>
      </c>
      <c r="AQ48" s="33" t="s">
        <v>59</v>
      </c>
      <c r="AR48" s="33" t="str">
        <f t="shared" si="6"/>
        <v>Micro</v>
      </c>
      <c r="AS48" s="33">
        <f>'Dados - Cliente'!AH48</f>
        <v>0</v>
      </c>
      <c r="AT48" s="33">
        <f>'Dados - Cliente'!AI48</f>
        <v>0</v>
      </c>
      <c r="AU48" s="33" t="e">
        <f>INDEX('Dados - Placas'!$N:$N,MATCH('1'!AG48,'Dados - Placas'!$D:$D,0))-1</f>
        <v>#N/A</v>
      </c>
      <c r="AV48" s="33" t="e">
        <f>INDEX('Dados - Placas'!$O:$O,MATCH('1'!AG48,'Dados - Placas'!$D:$D,0))</f>
        <v>#N/A</v>
      </c>
      <c r="AW48" s="33" t="e">
        <f>INDEX('Dados - Inversores'!AM:AM,MATCH('1'!AL48,'Dados - Inversores'!$C:$C,0))-1</f>
        <v>#N/A</v>
      </c>
      <c r="AX48" s="33" t="e">
        <f>INDEX('Dados - Inversores'!AN:AN,MATCH('1'!AL48,'Dados - Inversores'!$C:$C,0))-1</f>
        <v>#N/A</v>
      </c>
      <c r="AY48" s="33" t="e">
        <f>MATCH('1'!H48,Dados!$D$89:$D$167,0)+1</f>
        <v>#N/A</v>
      </c>
      <c r="AZ48" s="33" t="e">
        <f>MATCH('1'!N48,'Dados - Solicitação de acesso'!$N$2:$N$8,0)</f>
        <v>#N/A</v>
      </c>
      <c r="BA48" s="33" t="e">
        <f>MATCH('1'!T48,'Dados - Solicitação de acesso'!$T$2:$T$20,0)</f>
        <v>#N/A</v>
      </c>
      <c r="BB48" s="34"/>
      <c r="BC48" s="33">
        <f>MATCH(AT48,'Dados - Solicitação de acesso'!$AT$2:$AT$28,0)</f>
        <v>1</v>
      </c>
      <c r="BD48" s="33" t="b">
        <f>IF(O48="TRIFASICO",INDEX(Dados!G:G,MATCH('1'!AP48,Dados!E:E,0)),IF(O48="BIFASICO",INDEX(Dados!F:F,MATCH('1'!AP48,Dados!E:E,0),)))</f>
        <v>0</v>
      </c>
      <c r="BE48" s="33">
        <f>'Dados - Cliente'!J48</f>
        <v>0</v>
      </c>
      <c r="BF48" s="34">
        <f>INDEX(Dados!$E$2:$E$33,COUNTIF(Dados!$E$2:$E$33,"&lt;="&amp;AN48*1.25*AK48/(0.22*SQRT(INDEX('Dados - Inversores'!AK:AK,MATCH('1'!AL48,'Dados - Inversores'!C:C,0)))))+1)</f>
        <v>2</v>
      </c>
      <c r="BG48" s="34" t="b">
        <f>IF(O48="TRIFASICO",INDEX(Dados!G:G,MATCH(BF48,Dados!E:E,0)),IF(O48="BIFASICO",INDEX(Dados!F:F,MATCH(BF48,Dados!E:E,0),)))</f>
        <v>0</v>
      </c>
    </row>
    <row r="49" spans="1:59" s="33" customFormat="1" x14ac:dyDescent="0.35">
      <c r="A49" s="33">
        <f>'Dados - Cliente'!A49</f>
        <v>0</v>
      </c>
      <c r="B49" s="33">
        <f>'Dados - Cliente'!B49</f>
        <v>0</v>
      </c>
      <c r="C49" s="33">
        <f>'Dados - Cliente'!C49</f>
        <v>0</v>
      </c>
      <c r="D49" s="33">
        <f>'Dados - Cliente'!D49</f>
        <v>0</v>
      </c>
      <c r="E49" s="33">
        <f>'Dados - Cliente'!E49</f>
        <v>0</v>
      </c>
      <c r="F49" s="33">
        <f>'Dados - Cliente'!F49</f>
        <v>0</v>
      </c>
      <c r="G49" s="33">
        <f>'Dados - Cliente'!G49</f>
        <v>0</v>
      </c>
      <c r="H49" s="33">
        <f>'Dados - Cliente'!H49</f>
        <v>0</v>
      </c>
      <c r="I49" s="75" t="s">
        <v>4313</v>
      </c>
      <c r="J49" s="52" t="s">
        <v>4314</v>
      </c>
      <c r="K49" s="52" t="s">
        <v>4314</v>
      </c>
      <c r="L49" s="33">
        <f>'Dados - Cliente'!I49</f>
        <v>0</v>
      </c>
      <c r="M49" s="33">
        <f>'Dados - Cliente'!K49</f>
        <v>0</v>
      </c>
      <c r="N49" s="33">
        <f>'Dados - Cliente'!L49</f>
        <v>0</v>
      </c>
      <c r="O49" s="33">
        <f>'Dados - Cliente'!M49</f>
        <v>0</v>
      </c>
      <c r="P49" s="33">
        <f>'Dados - Cliente'!N49</f>
        <v>0</v>
      </c>
      <c r="Q49" s="33">
        <f>'Dados - Cliente'!O49</f>
        <v>0</v>
      </c>
      <c r="R49" s="33">
        <f>'Dados - Cliente'!P49</f>
        <v>0</v>
      </c>
      <c r="S49" s="33">
        <f>'Dados - Cliente'!Q49</f>
        <v>0</v>
      </c>
      <c r="T49" s="33">
        <f>'Dados - Cliente'!R49</f>
        <v>0</v>
      </c>
      <c r="U49" s="34">
        <f>'Dados - Cliente'!S49</f>
        <v>0</v>
      </c>
      <c r="V49" s="34">
        <f>'Dados - Cliente'!T49</f>
        <v>0</v>
      </c>
      <c r="W49" s="34">
        <f>'Dados - Cliente'!U49</f>
        <v>0</v>
      </c>
      <c r="X49" s="34">
        <f>'Dados - Cliente'!V49</f>
        <v>0</v>
      </c>
      <c r="Y49" s="34">
        <f>'Dados - Cliente'!W49</f>
        <v>0</v>
      </c>
      <c r="Z49" s="34">
        <f>'Dados - Cliente'!X49</f>
        <v>0</v>
      </c>
      <c r="AA49" s="33" t="e">
        <f t="shared" si="5"/>
        <v>#N/A</v>
      </c>
      <c r="AB49" s="33">
        <f>'Dados - Cliente'!Y49</f>
        <v>0</v>
      </c>
      <c r="AC49" s="33">
        <f>'Dados - Cliente'!Z49</f>
        <v>0</v>
      </c>
      <c r="AD49" s="33">
        <f>'Dados - Cliente'!AA49</f>
        <v>0</v>
      </c>
      <c r="AE49" s="33">
        <f>'Dados - Cliente'!AB49</f>
        <v>0</v>
      </c>
      <c r="AF49" s="33">
        <f>'Dados - Cliente'!AC49</f>
        <v>0</v>
      </c>
      <c r="AG49" s="35">
        <f>'Dados - Cliente'!AD49</f>
        <v>0</v>
      </c>
      <c r="AH49" s="33" t="e">
        <f>INDEX('Dados - Placas'!$A:$A,MATCH('1'!AG49,'Dados - Placas'!$D:$D,0))</f>
        <v>#N/A</v>
      </c>
      <c r="AI49" s="35" t="e">
        <f>INDEX('Dados - Placas'!$E:$E,MATCH('1'!AG49,'Dados - Placas'!$D:$D,0))</f>
        <v>#N/A</v>
      </c>
      <c r="AJ49" s="34" t="e">
        <f>INDEX('Dados - Placas'!$F:$F,MATCH('1'!AG49,'Dados - Placas'!$D:$D,0))*AF49</f>
        <v>#N/A</v>
      </c>
      <c r="AK49" s="33">
        <f>'Dados - Cliente'!AE49</f>
        <v>0</v>
      </c>
      <c r="AL49" s="33">
        <f>'Dados - Cliente'!AF49</f>
        <v>0</v>
      </c>
      <c r="AM49" s="36" t="e">
        <f>INDEX('Dados - Inversores'!$A:$A,MATCH('1'!AL49,'Dados - Inversores'!$C:$C,0))</f>
        <v>#N/A</v>
      </c>
      <c r="AN49" s="33">
        <f>'Dados - Cliente'!AG49</f>
        <v>0</v>
      </c>
      <c r="AO49" s="33" t="e">
        <f>AA49*1.25/(0.22*SQRT(INDEX('Dados - Inversores'!AK:AK,MATCH('1'!AL49,'Dados - Inversores'!C:C,0))))</f>
        <v>#N/A</v>
      </c>
      <c r="AP49" s="34">
        <f>INDEX(Dados!$E$2:$E$33,COUNTIF(Dados!$E$2:$E$33,"&lt;="&amp;AN49*1.25/(INDEX('Dados - Inversores'!AL:AL,MATCH('1'!AL49,'Dados - Inversores'!C:C,0))*SQRT(INDEX('Dados - Inversores'!AK:AK,MATCH('1'!AL49,'Dados - Inversores'!C:C,0)))))+1)</f>
        <v>2</v>
      </c>
      <c r="AQ49" s="33" t="s">
        <v>59</v>
      </c>
      <c r="AR49" s="33" t="str">
        <f t="shared" si="6"/>
        <v>Micro</v>
      </c>
      <c r="AS49" s="33">
        <f>'Dados - Cliente'!AH49</f>
        <v>0</v>
      </c>
      <c r="AT49" s="33">
        <f>'Dados - Cliente'!AI49</f>
        <v>0</v>
      </c>
      <c r="AU49" s="33" t="e">
        <f>INDEX('Dados - Placas'!$N:$N,MATCH('1'!AG49,'Dados - Placas'!$D:$D,0))-1</f>
        <v>#N/A</v>
      </c>
      <c r="AV49" s="33" t="e">
        <f>INDEX('Dados - Placas'!$O:$O,MATCH('1'!AG49,'Dados - Placas'!$D:$D,0))</f>
        <v>#N/A</v>
      </c>
      <c r="AW49" s="33" t="e">
        <f>INDEX('Dados - Inversores'!AM:AM,MATCH('1'!AL49,'Dados - Inversores'!$C:$C,0))-1</f>
        <v>#N/A</v>
      </c>
      <c r="AX49" s="33" t="e">
        <f>INDEX('Dados - Inversores'!AN:AN,MATCH('1'!AL49,'Dados - Inversores'!$C:$C,0))-1</f>
        <v>#N/A</v>
      </c>
      <c r="AY49" s="33" t="e">
        <f>MATCH('1'!H49,Dados!$D$89:$D$167,0)+1</f>
        <v>#N/A</v>
      </c>
      <c r="AZ49" s="33" t="e">
        <f>MATCH('1'!N49,'Dados - Solicitação de acesso'!$N$2:$N$8,0)</f>
        <v>#N/A</v>
      </c>
      <c r="BA49" s="33" t="e">
        <f>MATCH('1'!T49,'Dados - Solicitação de acesso'!$T$2:$T$20,0)</f>
        <v>#N/A</v>
      </c>
      <c r="BB49" s="34"/>
      <c r="BC49" s="33">
        <f>MATCH(AT49,'Dados - Solicitação de acesso'!$AT$2:$AT$28,0)</f>
        <v>1</v>
      </c>
      <c r="BD49" s="33" t="b">
        <f>IF(O49="TRIFASICO",INDEX(Dados!G:G,MATCH('1'!AP49,Dados!E:E,0)),IF(O49="BIFASICO",INDEX(Dados!F:F,MATCH('1'!AP49,Dados!E:E,0),)))</f>
        <v>0</v>
      </c>
      <c r="BE49" s="33">
        <f>'Dados - Cliente'!J49</f>
        <v>0</v>
      </c>
      <c r="BF49" s="34">
        <f>INDEX(Dados!$E$2:$E$33,COUNTIF(Dados!$E$2:$E$33,"&lt;="&amp;AN49*1.25*AK49/(0.22*SQRT(INDEX('Dados - Inversores'!AK:AK,MATCH('1'!AL49,'Dados - Inversores'!C:C,0)))))+1)</f>
        <v>2</v>
      </c>
      <c r="BG49" s="34" t="b">
        <f>IF(O49="TRIFASICO",INDEX(Dados!G:G,MATCH(BF49,Dados!E:E,0)),IF(O49="BIFASICO",INDEX(Dados!F:F,MATCH(BF49,Dados!E:E,0),)))</f>
        <v>0</v>
      </c>
    </row>
    <row r="50" spans="1:59" s="33" customFormat="1" x14ac:dyDescent="0.35">
      <c r="A50" s="33">
        <f>'Dados - Cliente'!A50</f>
        <v>0</v>
      </c>
      <c r="B50" s="33">
        <f>'Dados - Cliente'!B50</f>
        <v>0</v>
      </c>
      <c r="C50" s="33">
        <f>'Dados - Cliente'!C50</f>
        <v>0</v>
      </c>
      <c r="D50" s="33">
        <f>'Dados - Cliente'!D50</f>
        <v>0</v>
      </c>
      <c r="E50" s="33">
        <f>'Dados - Cliente'!E50</f>
        <v>0</v>
      </c>
      <c r="F50" s="33">
        <f>'Dados - Cliente'!F50</f>
        <v>0</v>
      </c>
      <c r="G50" s="33">
        <f>'Dados - Cliente'!G50</f>
        <v>0</v>
      </c>
      <c r="H50" s="33">
        <f>'Dados - Cliente'!H50</f>
        <v>0</v>
      </c>
      <c r="I50" s="75" t="s">
        <v>4313</v>
      </c>
      <c r="J50" s="52" t="s">
        <v>4314</v>
      </c>
      <c r="K50" s="52" t="s">
        <v>4314</v>
      </c>
      <c r="L50" s="33">
        <f>'Dados - Cliente'!I50</f>
        <v>0</v>
      </c>
      <c r="M50" s="33">
        <f>'Dados - Cliente'!K50</f>
        <v>0</v>
      </c>
      <c r="N50" s="33">
        <f>'Dados - Cliente'!L50</f>
        <v>0</v>
      </c>
      <c r="O50" s="33">
        <f>'Dados - Cliente'!M50</f>
        <v>0</v>
      </c>
      <c r="P50" s="33">
        <f>'Dados - Cliente'!N50</f>
        <v>0</v>
      </c>
      <c r="Q50" s="33">
        <f>'Dados - Cliente'!O50</f>
        <v>0</v>
      </c>
      <c r="R50" s="33">
        <f>'Dados - Cliente'!P50</f>
        <v>0</v>
      </c>
      <c r="S50" s="33">
        <f>'Dados - Cliente'!Q50</f>
        <v>0</v>
      </c>
      <c r="T50" s="33">
        <f>'Dados - Cliente'!R50</f>
        <v>0</v>
      </c>
      <c r="U50" s="34">
        <f>'Dados - Cliente'!S50</f>
        <v>0</v>
      </c>
      <c r="V50" s="34">
        <f>'Dados - Cliente'!T50</f>
        <v>0</v>
      </c>
      <c r="W50" s="34">
        <f>'Dados - Cliente'!U50</f>
        <v>0</v>
      </c>
      <c r="X50" s="34">
        <f>'Dados - Cliente'!V50</f>
        <v>0</v>
      </c>
      <c r="Y50" s="34">
        <f>'Dados - Cliente'!W50</f>
        <v>0</v>
      </c>
      <c r="Z50" s="34">
        <f>'Dados - Cliente'!X50</f>
        <v>0</v>
      </c>
      <c r="AA50" s="33" t="e">
        <f t="shared" si="5"/>
        <v>#N/A</v>
      </c>
      <c r="AB50" s="33">
        <f>'Dados - Cliente'!Y50</f>
        <v>0</v>
      </c>
      <c r="AC50" s="33">
        <f>'Dados - Cliente'!Z50</f>
        <v>0</v>
      </c>
      <c r="AD50" s="33">
        <f>'Dados - Cliente'!AA50</f>
        <v>0</v>
      </c>
      <c r="AE50" s="33">
        <f>'Dados - Cliente'!AB50</f>
        <v>0</v>
      </c>
      <c r="AF50" s="33">
        <f>'Dados - Cliente'!AC50</f>
        <v>0</v>
      </c>
      <c r="AG50" s="35">
        <f>'Dados - Cliente'!AD50</f>
        <v>0</v>
      </c>
      <c r="AH50" s="33" t="e">
        <f>INDEX('Dados - Placas'!$A:$A,MATCH('1'!AG50,'Dados - Placas'!$D:$D,0))</f>
        <v>#N/A</v>
      </c>
      <c r="AI50" s="35" t="e">
        <f>INDEX('Dados - Placas'!$E:$E,MATCH('1'!AG50,'Dados - Placas'!$D:$D,0))</f>
        <v>#N/A</v>
      </c>
      <c r="AJ50" s="34" t="e">
        <f>INDEX('Dados - Placas'!$F:$F,MATCH('1'!AG50,'Dados - Placas'!$D:$D,0))*AF50</f>
        <v>#N/A</v>
      </c>
      <c r="AK50" s="33">
        <f>'Dados - Cliente'!AE50</f>
        <v>0</v>
      </c>
      <c r="AL50" s="33">
        <f>'Dados - Cliente'!AF50</f>
        <v>0</v>
      </c>
      <c r="AM50" s="36" t="e">
        <f>INDEX('Dados - Inversores'!$A:$A,MATCH('1'!AL50,'Dados - Inversores'!$C:$C,0))</f>
        <v>#N/A</v>
      </c>
      <c r="AN50" s="33">
        <f>'Dados - Cliente'!AG50</f>
        <v>0</v>
      </c>
      <c r="AO50" s="33" t="e">
        <f>AA50*1.25/(0.22*SQRT(INDEX('Dados - Inversores'!AK:AK,MATCH('1'!AL50,'Dados - Inversores'!C:C,0))))</f>
        <v>#N/A</v>
      </c>
      <c r="AP50" s="34">
        <f>INDEX(Dados!$E$2:$E$33,COUNTIF(Dados!$E$2:$E$33,"&lt;="&amp;AN50*1.25/(INDEX('Dados - Inversores'!AL:AL,MATCH('1'!AL50,'Dados - Inversores'!C:C,0))*SQRT(INDEX('Dados - Inversores'!AK:AK,MATCH('1'!AL50,'Dados - Inversores'!C:C,0)))))+1)</f>
        <v>2</v>
      </c>
      <c r="AQ50" s="33" t="s">
        <v>59</v>
      </c>
      <c r="AR50" s="33" t="str">
        <f t="shared" si="6"/>
        <v>Micro</v>
      </c>
      <c r="AS50" s="33">
        <f>'Dados - Cliente'!AH50</f>
        <v>0</v>
      </c>
      <c r="AT50" s="33">
        <f>'Dados - Cliente'!AI50</f>
        <v>0</v>
      </c>
      <c r="AU50" s="33" t="e">
        <f>INDEX('Dados - Placas'!$N:$N,MATCH('1'!AG50,'Dados - Placas'!$D:$D,0))-1</f>
        <v>#N/A</v>
      </c>
      <c r="AV50" s="33" t="e">
        <f>INDEX('Dados - Placas'!$O:$O,MATCH('1'!AG50,'Dados - Placas'!$D:$D,0))</f>
        <v>#N/A</v>
      </c>
      <c r="AW50" s="33" t="e">
        <f>INDEX('Dados - Inversores'!AM:AM,MATCH('1'!AL50,'Dados - Inversores'!$C:$C,0))-1</f>
        <v>#N/A</v>
      </c>
      <c r="AX50" s="33" t="e">
        <f>INDEX('Dados - Inversores'!AN:AN,MATCH('1'!AL50,'Dados - Inversores'!$C:$C,0))-1</f>
        <v>#N/A</v>
      </c>
      <c r="AY50" s="33" t="e">
        <f>MATCH('1'!H50,Dados!$D$89:$D$167,0)+1</f>
        <v>#N/A</v>
      </c>
      <c r="AZ50" s="33" t="e">
        <f>MATCH('1'!N50,'Dados - Solicitação de acesso'!$N$2:$N$8,0)</f>
        <v>#N/A</v>
      </c>
      <c r="BA50" s="33" t="e">
        <f>MATCH('1'!T50,'Dados - Solicitação de acesso'!$T$2:$T$20,0)</f>
        <v>#N/A</v>
      </c>
      <c r="BB50" s="34"/>
      <c r="BC50" s="33">
        <f>MATCH(AT50,'Dados - Solicitação de acesso'!$AT$2:$AT$28,0)</f>
        <v>1</v>
      </c>
      <c r="BD50" s="33" t="b">
        <f>IF(O50="TRIFASICO",INDEX(Dados!G:G,MATCH('1'!AP50,Dados!E:E,0)),IF(O50="BIFASICO",INDEX(Dados!F:F,MATCH('1'!AP50,Dados!E:E,0),)))</f>
        <v>0</v>
      </c>
      <c r="BE50" s="33">
        <f>'Dados - Cliente'!J50</f>
        <v>0</v>
      </c>
      <c r="BF50" s="34">
        <f>INDEX(Dados!$E$2:$E$33,COUNTIF(Dados!$E$2:$E$33,"&lt;="&amp;AN50*1.25*AK50/(0.22*SQRT(INDEX('Dados - Inversores'!AK:AK,MATCH('1'!AL50,'Dados - Inversores'!C:C,0)))))+1)</f>
        <v>2</v>
      </c>
      <c r="BG50" s="34" t="b">
        <f>IF(O50="TRIFASICO",INDEX(Dados!G:G,MATCH(BF50,Dados!E:E,0)),IF(O50="BIFASICO",INDEX(Dados!F:F,MATCH(BF50,Dados!E:E,0),)))</f>
        <v>0</v>
      </c>
    </row>
    <row r="51" spans="1:59" s="33" customFormat="1" x14ac:dyDescent="0.35">
      <c r="A51" s="33">
        <f>'Dados - Cliente'!A51</f>
        <v>0</v>
      </c>
      <c r="B51" s="33">
        <f>'Dados - Cliente'!B51</f>
        <v>0</v>
      </c>
      <c r="C51" s="33">
        <f>'Dados - Cliente'!C51</f>
        <v>0</v>
      </c>
      <c r="D51" s="33">
        <f>'Dados - Cliente'!D51</f>
        <v>0</v>
      </c>
      <c r="E51" s="33">
        <f>'Dados - Cliente'!E51</f>
        <v>0</v>
      </c>
      <c r="F51" s="33">
        <f>'Dados - Cliente'!F51</f>
        <v>0</v>
      </c>
      <c r="G51" s="33">
        <f>'Dados - Cliente'!G51</f>
        <v>0</v>
      </c>
      <c r="H51" s="33">
        <f>'Dados - Cliente'!H51</f>
        <v>0</v>
      </c>
      <c r="I51" s="75" t="s">
        <v>4313</v>
      </c>
      <c r="J51" s="52" t="s">
        <v>4314</v>
      </c>
      <c r="K51" s="52" t="s">
        <v>4314</v>
      </c>
      <c r="L51" s="33">
        <f>'Dados - Cliente'!I51</f>
        <v>0</v>
      </c>
      <c r="M51" s="33">
        <f>'Dados - Cliente'!K51</f>
        <v>0</v>
      </c>
      <c r="N51" s="33">
        <f>'Dados - Cliente'!L51</f>
        <v>0</v>
      </c>
      <c r="O51" s="33">
        <f>'Dados - Cliente'!M51</f>
        <v>0</v>
      </c>
      <c r="P51" s="33">
        <f>'Dados - Cliente'!N51</f>
        <v>0</v>
      </c>
      <c r="Q51" s="33">
        <f>'Dados - Cliente'!O51</f>
        <v>0</v>
      </c>
      <c r="R51" s="33">
        <f>'Dados - Cliente'!P51</f>
        <v>0</v>
      </c>
      <c r="S51" s="33">
        <f>'Dados - Cliente'!Q51</f>
        <v>0</v>
      </c>
      <c r="T51" s="33">
        <f>'Dados - Cliente'!R51</f>
        <v>0</v>
      </c>
      <c r="U51" s="34">
        <f>'Dados - Cliente'!S51</f>
        <v>0</v>
      </c>
      <c r="V51" s="34">
        <f>'Dados - Cliente'!T51</f>
        <v>0</v>
      </c>
      <c r="W51" s="34">
        <f>'Dados - Cliente'!U51</f>
        <v>0</v>
      </c>
      <c r="X51" s="34">
        <f>'Dados - Cliente'!V51</f>
        <v>0</v>
      </c>
      <c r="Y51" s="34">
        <f>'Dados - Cliente'!W51</f>
        <v>0</v>
      </c>
      <c r="Z51" s="34">
        <f>'Dados - Cliente'!X51</f>
        <v>0</v>
      </c>
      <c r="AA51" s="33" t="e">
        <f t="shared" si="5"/>
        <v>#N/A</v>
      </c>
      <c r="AB51" s="33">
        <f>'Dados - Cliente'!Y51</f>
        <v>0</v>
      </c>
      <c r="AC51" s="33">
        <f>'Dados - Cliente'!Z51</f>
        <v>0</v>
      </c>
      <c r="AD51" s="33">
        <f>'Dados - Cliente'!AA51</f>
        <v>0</v>
      </c>
      <c r="AE51" s="33">
        <f>'Dados - Cliente'!AB51</f>
        <v>0</v>
      </c>
      <c r="AF51" s="33">
        <f>'Dados - Cliente'!AC51</f>
        <v>0</v>
      </c>
      <c r="AG51" s="35">
        <f>'Dados - Cliente'!AD51</f>
        <v>0</v>
      </c>
      <c r="AH51" s="33" t="e">
        <f>INDEX('Dados - Placas'!$A:$A,MATCH('1'!AG51,'Dados - Placas'!$D:$D,0))</f>
        <v>#N/A</v>
      </c>
      <c r="AI51" s="35" t="e">
        <f>INDEX('Dados - Placas'!$E:$E,MATCH('1'!AG51,'Dados - Placas'!$D:$D,0))</f>
        <v>#N/A</v>
      </c>
      <c r="AJ51" s="34" t="e">
        <f>INDEX('Dados - Placas'!$F:$F,MATCH('1'!AG51,'Dados - Placas'!$D:$D,0))*AF51</f>
        <v>#N/A</v>
      </c>
      <c r="AK51" s="33">
        <f>'Dados - Cliente'!AE51</f>
        <v>0</v>
      </c>
      <c r="AL51" s="33">
        <f>'Dados - Cliente'!AF51</f>
        <v>0</v>
      </c>
      <c r="AM51" s="36" t="e">
        <f>INDEX('Dados - Inversores'!$A:$A,MATCH('1'!AL51,'Dados - Inversores'!$C:$C,0))</f>
        <v>#N/A</v>
      </c>
      <c r="AN51" s="33">
        <f>'Dados - Cliente'!AG51</f>
        <v>0</v>
      </c>
      <c r="AO51" s="33" t="e">
        <f>AA51*1.25/(0.22*SQRT(INDEX('Dados - Inversores'!AK:AK,MATCH('1'!AL51,'Dados - Inversores'!C:C,0))))</f>
        <v>#N/A</v>
      </c>
      <c r="AP51" s="34">
        <f>INDEX(Dados!$E$2:$E$33,COUNTIF(Dados!$E$2:$E$33,"&lt;="&amp;AN51*1.25/(INDEX('Dados - Inversores'!AL:AL,MATCH('1'!AL51,'Dados - Inversores'!C:C,0))*SQRT(INDEX('Dados - Inversores'!AK:AK,MATCH('1'!AL51,'Dados - Inversores'!C:C,0)))))+1)</f>
        <v>2</v>
      </c>
      <c r="AQ51" s="33" t="s">
        <v>59</v>
      </c>
      <c r="AR51" s="33" t="str">
        <f t="shared" si="6"/>
        <v>Micro</v>
      </c>
      <c r="AS51" s="33">
        <f>'Dados - Cliente'!AH51</f>
        <v>0</v>
      </c>
      <c r="AT51" s="33">
        <f>'Dados - Cliente'!AI51</f>
        <v>0</v>
      </c>
      <c r="AU51" s="33" t="e">
        <f>INDEX('Dados - Placas'!$N:$N,MATCH('1'!AG51,'Dados - Placas'!$D:$D,0))-1</f>
        <v>#N/A</v>
      </c>
      <c r="AV51" s="33" t="e">
        <f>INDEX('Dados - Placas'!$O:$O,MATCH('1'!AG51,'Dados - Placas'!$D:$D,0))</f>
        <v>#N/A</v>
      </c>
      <c r="AW51" s="33" t="e">
        <f>INDEX('Dados - Inversores'!AM:AM,MATCH('1'!AL51,'Dados - Inversores'!$C:$C,0))-1</f>
        <v>#N/A</v>
      </c>
      <c r="AX51" s="33" t="e">
        <f>INDEX('Dados - Inversores'!AN:AN,MATCH('1'!AL51,'Dados - Inversores'!$C:$C,0))-1</f>
        <v>#N/A</v>
      </c>
      <c r="AY51" s="33" t="e">
        <f>MATCH('1'!H51,Dados!$D$89:$D$167,0)+1</f>
        <v>#N/A</v>
      </c>
      <c r="AZ51" s="33" t="e">
        <f>MATCH('1'!N51,'Dados - Solicitação de acesso'!$N$2:$N$8,0)</f>
        <v>#N/A</v>
      </c>
      <c r="BA51" s="33" t="e">
        <f>MATCH('1'!T51,'Dados - Solicitação de acesso'!$T$2:$T$20,0)</f>
        <v>#N/A</v>
      </c>
      <c r="BB51" s="34"/>
      <c r="BC51" s="33">
        <f>MATCH(AT51,'Dados - Solicitação de acesso'!$AT$2:$AT$28,0)</f>
        <v>1</v>
      </c>
      <c r="BD51" s="33" t="b">
        <f>IF(O51="TRIFASICO",INDEX(Dados!G:G,MATCH('1'!AP51,Dados!E:E,0)),IF(O51="BIFASICO",INDEX(Dados!F:F,MATCH('1'!AP51,Dados!E:E,0),)))</f>
        <v>0</v>
      </c>
      <c r="BE51" s="33">
        <f>'Dados - Cliente'!J51</f>
        <v>0</v>
      </c>
      <c r="BF51" s="34">
        <f>INDEX(Dados!$E$2:$E$33,COUNTIF(Dados!$E$2:$E$33,"&lt;="&amp;AN51*1.25*AK51/(0.22*SQRT(INDEX('Dados - Inversores'!AK:AK,MATCH('1'!AL51,'Dados - Inversores'!C:C,0)))))+1)</f>
        <v>2</v>
      </c>
      <c r="BG51" s="34" t="b">
        <f>IF(O51="TRIFASICO",INDEX(Dados!G:G,MATCH(BF51,Dados!E:E,0)),IF(O51="BIFASICO",INDEX(Dados!F:F,MATCH(BF51,Dados!E:E,0),)))</f>
        <v>0</v>
      </c>
    </row>
    <row r="52" spans="1:59" s="33" customFormat="1" x14ac:dyDescent="0.35">
      <c r="A52" s="33">
        <f>'Dados - Cliente'!A52</f>
        <v>0</v>
      </c>
      <c r="B52" s="33">
        <f>'Dados - Cliente'!B52</f>
        <v>0</v>
      </c>
      <c r="C52" s="33">
        <f>'Dados - Cliente'!C52</f>
        <v>0</v>
      </c>
      <c r="D52" s="33">
        <f>'Dados - Cliente'!D52</f>
        <v>0</v>
      </c>
      <c r="E52" s="33">
        <f>'Dados - Cliente'!E52</f>
        <v>0</v>
      </c>
      <c r="F52" s="33">
        <f>'Dados - Cliente'!F52</f>
        <v>0</v>
      </c>
      <c r="G52" s="33">
        <f>'Dados - Cliente'!G52</f>
        <v>0</v>
      </c>
      <c r="H52" s="33">
        <f>'Dados - Cliente'!H52</f>
        <v>0</v>
      </c>
      <c r="I52" s="75" t="s">
        <v>4313</v>
      </c>
      <c r="J52" s="52" t="s">
        <v>4314</v>
      </c>
      <c r="K52" s="52" t="s">
        <v>4314</v>
      </c>
      <c r="L52" s="33">
        <f>'Dados - Cliente'!I52</f>
        <v>0</v>
      </c>
      <c r="M52" s="33">
        <f>'Dados - Cliente'!K52</f>
        <v>0</v>
      </c>
      <c r="N52" s="33">
        <f>'Dados - Cliente'!L52</f>
        <v>0</v>
      </c>
      <c r="O52" s="33">
        <f>'Dados - Cliente'!M52</f>
        <v>0</v>
      </c>
      <c r="P52" s="33">
        <f>'Dados - Cliente'!N52</f>
        <v>0</v>
      </c>
      <c r="Q52" s="33">
        <f>'Dados - Cliente'!O52</f>
        <v>0</v>
      </c>
      <c r="R52" s="33">
        <f>'Dados - Cliente'!P52</f>
        <v>0</v>
      </c>
      <c r="S52" s="33">
        <f>'Dados - Cliente'!Q52</f>
        <v>0</v>
      </c>
      <c r="T52" s="33">
        <f>'Dados - Cliente'!R52</f>
        <v>0</v>
      </c>
      <c r="U52" s="34">
        <f>'Dados - Cliente'!S52</f>
        <v>0</v>
      </c>
      <c r="V52" s="34">
        <f>'Dados - Cliente'!T52</f>
        <v>0</v>
      </c>
      <c r="W52" s="34">
        <f>'Dados - Cliente'!U52</f>
        <v>0</v>
      </c>
      <c r="X52" s="34">
        <f>'Dados - Cliente'!V52</f>
        <v>0</v>
      </c>
      <c r="Y52" s="34">
        <f>'Dados - Cliente'!W52</f>
        <v>0</v>
      </c>
      <c r="Z52" s="34">
        <f>'Dados - Cliente'!X52</f>
        <v>0</v>
      </c>
      <c r="AA52" s="33" t="e">
        <f t="shared" si="5"/>
        <v>#N/A</v>
      </c>
      <c r="AB52" s="33">
        <f>'Dados - Cliente'!Y52</f>
        <v>0</v>
      </c>
      <c r="AC52" s="33">
        <f>'Dados - Cliente'!Z52</f>
        <v>0</v>
      </c>
      <c r="AD52" s="33">
        <f>'Dados - Cliente'!AA52</f>
        <v>0</v>
      </c>
      <c r="AE52" s="33">
        <f>'Dados - Cliente'!AB52</f>
        <v>0</v>
      </c>
      <c r="AF52" s="33">
        <f>'Dados - Cliente'!AC52</f>
        <v>0</v>
      </c>
      <c r="AG52" s="35">
        <f>'Dados - Cliente'!AD52</f>
        <v>0</v>
      </c>
      <c r="AH52" s="33" t="e">
        <f>INDEX('Dados - Placas'!$A:$A,MATCH('1'!AG52,'Dados - Placas'!$D:$D,0))</f>
        <v>#N/A</v>
      </c>
      <c r="AI52" s="35" t="e">
        <f>INDEX('Dados - Placas'!$E:$E,MATCH('1'!AG52,'Dados - Placas'!$D:$D,0))</f>
        <v>#N/A</v>
      </c>
      <c r="AJ52" s="34" t="e">
        <f>INDEX('Dados - Placas'!$F:$F,MATCH('1'!AG52,'Dados - Placas'!$D:$D,0))*AF52</f>
        <v>#N/A</v>
      </c>
      <c r="AK52" s="33">
        <f>'Dados - Cliente'!AE52</f>
        <v>0</v>
      </c>
      <c r="AL52" s="33">
        <f>'Dados - Cliente'!AF52</f>
        <v>0</v>
      </c>
      <c r="AM52" s="36" t="e">
        <f>INDEX('Dados - Inversores'!$A:$A,MATCH('1'!AL52,'Dados - Inversores'!$C:$C,0))</f>
        <v>#N/A</v>
      </c>
      <c r="AN52" s="33">
        <f>'Dados - Cliente'!AG52</f>
        <v>0</v>
      </c>
      <c r="AO52" s="33" t="e">
        <f>AA52*1.25/(0.22*SQRT(INDEX('Dados - Inversores'!AK:AK,MATCH('1'!AL52,'Dados - Inversores'!C:C,0))))</f>
        <v>#N/A</v>
      </c>
      <c r="AP52" s="34">
        <f>INDEX(Dados!$E$2:$E$33,COUNTIF(Dados!$E$2:$E$33,"&lt;="&amp;AN52*1.25/(INDEX('Dados - Inversores'!AL:AL,MATCH('1'!AL52,'Dados - Inversores'!C:C,0))*SQRT(INDEX('Dados - Inversores'!AK:AK,MATCH('1'!AL52,'Dados - Inversores'!C:C,0)))))+1)</f>
        <v>2</v>
      </c>
      <c r="AQ52" s="33" t="s">
        <v>59</v>
      </c>
      <c r="AR52" s="33" t="str">
        <f t="shared" si="6"/>
        <v>Micro</v>
      </c>
      <c r="AS52" s="33">
        <f>'Dados - Cliente'!AH52</f>
        <v>0</v>
      </c>
      <c r="AT52" s="33">
        <f>'Dados - Cliente'!AI52</f>
        <v>0</v>
      </c>
      <c r="AU52" s="33" t="e">
        <f>INDEX('Dados - Placas'!$N:$N,MATCH('1'!AG52,'Dados - Placas'!$D:$D,0))-1</f>
        <v>#N/A</v>
      </c>
      <c r="AV52" s="33" t="e">
        <f>INDEX('Dados - Placas'!$O:$O,MATCH('1'!AG52,'Dados - Placas'!$D:$D,0))</f>
        <v>#N/A</v>
      </c>
      <c r="AW52" s="33" t="e">
        <f>INDEX('Dados - Inversores'!AM:AM,MATCH('1'!AL52,'Dados - Inversores'!$C:$C,0))-1</f>
        <v>#N/A</v>
      </c>
      <c r="AX52" s="33" t="e">
        <f>INDEX('Dados - Inversores'!AN:AN,MATCH('1'!AL52,'Dados - Inversores'!$C:$C,0))-1</f>
        <v>#N/A</v>
      </c>
      <c r="AY52" s="33" t="e">
        <f>MATCH('1'!H52,Dados!$D$89:$D$167,0)+1</f>
        <v>#N/A</v>
      </c>
      <c r="AZ52" s="33" t="e">
        <f>MATCH('1'!N52,'Dados - Solicitação de acesso'!$N$2:$N$8,0)</f>
        <v>#N/A</v>
      </c>
      <c r="BA52" s="33" t="e">
        <f>MATCH('1'!T52,'Dados - Solicitação de acesso'!$T$2:$T$20,0)</f>
        <v>#N/A</v>
      </c>
      <c r="BB52" s="34"/>
      <c r="BC52" s="33">
        <f>MATCH(AT52,'Dados - Solicitação de acesso'!$AT$2:$AT$28,0)</f>
        <v>1</v>
      </c>
      <c r="BD52" s="33" t="b">
        <f>IF(O52="TRIFASICO",INDEX(Dados!G:G,MATCH('1'!AP52,Dados!E:E,0)),IF(O52="BIFASICO",INDEX(Dados!F:F,MATCH('1'!AP52,Dados!E:E,0),)))</f>
        <v>0</v>
      </c>
      <c r="BE52" s="33">
        <f>'Dados - Cliente'!J52</f>
        <v>0</v>
      </c>
      <c r="BF52" s="34">
        <f>INDEX(Dados!$E$2:$E$33,COUNTIF(Dados!$E$2:$E$33,"&lt;="&amp;AN52*1.25*AK52/(0.22*SQRT(INDEX('Dados - Inversores'!AK:AK,MATCH('1'!AL52,'Dados - Inversores'!C:C,0)))))+1)</f>
        <v>2</v>
      </c>
      <c r="BG52" s="34" t="b">
        <f>IF(O52="TRIFASICO",INDEX(Dados!G:G,MATCH(BF52,Dados!E:E,0)),IF(O52="BIFASICO",INDEX(Dados!F:F,MATCH(BF52,Dados!E:E,0),)))</f>
        <v>0</v>
      </c>
    </row>
    <row r="53" spans="1:59" s="33" customFormat="1" x14ac:dyDescent="0.35">
      <c r="A53" s="33">
        <f>'Dados - Cliente'!A53</f>
        <v>0</v>
      </c>
      <c r="B53" s="33">
        <f>'Dados - Cliente'!B53</f>
        <v>0</v>
      </c>
      <c r="C53" s="33">
        <f>'Dados - Cliente'!C53</f>
        <v>0</v>
      </c>
      <c r="D53" s="33">
        <f>'Dados - Cliente'!D53</f>
        <v>0</v>
      </c>
      <c r="E53" s="33">
        <f>'Dados - Cliente'!E53</f>
        <v>0</v>
      </c>
      <c r="F53" s="33">
        <f>'Dados - Cliente'!F53</f>
        <v>0</v>
      </c>
      <c r="G53" s="33">
        <f>'Dados - Cliente'!G53</f>
        <v>0</v>
      </c>
      <c r="H53" s="33">
        <f>'Dados - Cliente'!H53</f>
        <v>0</v>
      </c>
      <c r="I53" s="75" t="s">
        <v>4313</v>
      </c>
      <c r="J53" s="52" t="s">
        <v>4314</v>
      </c>
      <c r="K53" s="52" t="s">
        <v>4314</v>
      </c>
      <c r="L53" s="33">
        <f>'Dados - Cliente'!I53</f>
        <v>0</v>
      </c>
      <c r="M53" s="33">
        <f>'Dados - Cliente'!K53</f>
        <v>0</v>
      </c>
      <c r="N53" s="33">
        <f>'Dados - Cliente'!L53</f>
        <v>0</v>
      </c>
      <c r="O53" s="33">
        <f>'Dados - Cliente'!M53</f>
        <v>0</v>
      </c>
      <c r="P53" s="33">
        <f>'Dados - Cliente'!N53</f>
        <v>0</v>
      </c>
      <c r="Q53" s="33">
        <f>'Dados - Cliente'!O53</f>
        <v>0</v>
      </c>
      <c r="R53" s="33">
        <f>'Dados - Cliente'!P53</f>
        <v>0</v>
      </c>
      <c r="S53" s="33">
        <f>'Dados - Cliente'!Q53</f>
        <v>0</v>
      </c>
      <c r="T53" s="33">
        <f>'Dados - Cliente'!R53</f>
        <v>0</v>
      </c>
      <c r="U53" s="34">
        <f>'Dados - Cliente'!S53</f>
        <v>0</v>
      </c>
      <c r="V53" s="34">
        <f>'Dados - Cliente'!T53</f>
        <v>0</v>
      </c>
      <c r="W53" s="34">
        <f>'Dados - Cliente'!U53</f>
        <v>0</v>
      </c>
      <c r="X53" s="34">
        <f>'Dados - Cliente'!V53</f>
        <v>0</v>
      </c>
      <c r="Y53" s="34">
        <f>'Dados - Cliente'!W53</f>
        <v>0</v>
      </c>
      <c r="Z53" s="34">
        <f>'Dados - Cliente'!X53</f>
        <v>0</v>
      </c>
      <c r="AA53" s="33" t="e">
        <f t="shared" si="5"/>
        <v>#N/A</v>
      </c>
      <c r="AB53" s="33">
        <f>'Dados - Cliente'!Y53</f>
        <v>0</v>
      </c>
      <c r="AC53" s="33">
        <f>'Dados - Cliente'!Z53</f>
        <v>0</v>
      </c>
      <c r="AD53" s="33">
        <f>'Dados - Cliente'!AA53</f>
        <v>0</v>
      </c>
      <c r="AE53" s="33">
        <f>'Dados - Cliente'!AB53</f>
        <v>0</v>
      </c>
      <c r="AF53" s="33">
        <f>'Dados - Cliente'!AC53</f>
        <v>0</v>
      </c>
      <c r="AG53" s="35">
        <f>'Dados - Cliente'!AD53</f>
        <v>0</v>
      </c>
      <c r="AH53" s="33" t="e">
        <f>INDEX('Dados - Placas'!$A:$A,MATCH('1'!AG53,'Dados - Placas'!$D:$D,0))</f>
        <v>#N/A</v>
      </c>
      <c r="AI53" s="35" t="e">
        <f>INDEX('Dados - Placas'!$E:$E,MATCH('1'!AG53,'Dados - Placas'!$D:$D,0))</f>
        <v>#N/A</v>
      </c>
      <c r="AJ53" s="34" t="e">
        <f>INDEX('Dados - Placas'!$F:$F,MATCH('1'!AG53,'Dados - Placas'!$D:$D,0))*AF53</f>
        <v>#N/A</v>
      </c>
      <c r="AK53" s="33">
        <f>'Dados - Cliente'!AE53</f>
        <v>0</v>
      </c>
      <c r="AL53" s="33">
        <f>'Dados - Cliente'!AF53</f>
        <v>0</v>
      </c>
      <c r="AM53" s="36" t="e">
        <f>INDEX('Dados - Inversores'!$A:$A,MATCH('1'!AL53,'Dados - Inversores'!$C:$C,0))</f>
        <v>#N/A</v>
      </c>
      <c r="AN53" s="33">
        <f>'Dados - Cliente'!AG53</f>
        <v>0</v>
      </c>
      <c r="AO53" s="33" t="e">
        <f>AA53*1.25/(0.22*SQRT(INDEX('Dados - Inversores'!AK:AK,MATCH('1'!AL53,'Dados - Inversores'!C:C,0))))</f>
        <v>#N/A</v>
      </c>
      <c r="AP53" s="34">
        <f>INDEX(Dados!$E$2:$E$33,COUNTIF(Dados!$E$2:$E$33,"&lt;="&amp;AN53*1.25/(INDEX('Dados - Inversores'!AL:AL,MATCH('1'!AL53,'Dados - Inversores'!C:C,0))*SQRT(INDEX('Dados - Inversores'!AK:AK,MATCH('1'!AL53,'Dados - Inversores'!C:C,0)))))+1)</f>
        <v>2</v>
      </c>
      <c r="AQ53" s="33" t="s">
        <v>59</v>
      </c>
      <c r="AR53" s="33" t="str">
        <f t="shared" si="6"/>
        <v>Micro</v>
      </c>
      <c r="AS53" s="33">
        <f>'Dados - Cliente'!AH53</f>
        <v>0</v>
      </c>
      <c r="AT53" s="33">
        <f>'Dados - Cliente'!AI53</f>
        <v>0</v>
      </c>
      <c r="AU53" s="33" t="e">
        <f>INDEX('Dados - Placas'!$N:$N,MATCH('1'!AG53,'Dados - Placas'!$D:$D,0))-1</f>
        <v>#N/A</v>
      </c>
      <c r="AV53" s="33" t="e">
        <f>INDEX('Dados - Placas'!$O:$O,MATCH('1'!AG53,'Dados - Placas'!$D:$D,0))</f>
        <v>#N/A</v>
      </c>
      <c r="AW53" s="33" t="e">
        <f>INDEX('Dados - Inversores'!AM:AM,MATCH('1'!AL53,'Dados - Inversores'!$C:$C,0))-1</f>
        <v>#N/A</v>
      </c>
      <c r="AX53" s="33" t="e">
        <f>INDEX('Dados - Inversores'!AN:AN,MATCH('1'!AL53,'Dados - Inversores'!$C:$C,0))-1</f>
        <v>#N/A</v>
      </c>
      <c r="AY53" s="33" t="e">
        <f>MATCH('1'!H53,Dados!$D$89:$D$167,0)+1</f>
        <v>#N/A</v>
      </c>
      <c r="AZ53" s="33" t="e">
        <f>MATCH('1'!N53,'Dados - Solicitação de acesso'!$N$2:$N$8,0)</f>
        <v>#N/A</v>
      </c>
      <c r="BA53" s="33" t="e">
        <f>MATCH('1'!T53,'Dados - Solicitação de acesso'!$T$2:$T$20,0)</f>
        <v>#N/A</v>
      </c>
      <c r="BB53" s="34"/>
      <c r="BC53" s="33">
        <f>MATCH(AT53,'Dados - Solicitação de acesso'!$AT$2:$AT$28,0)</f>
        <v>1</v>
      </c>
      <c r="BD53" s="33" t="b">
        <f>IF(O53="TRIFASICO",INDEX(Dados!G:G,MATCH('1'!AP53,Dados!E:E,0)),IF(O53="BIFASICO",INDEX(Dados!F:F,MATCH('1'!AP53,Dados!E:E,0),)))</f>
        <v>0</v>
      </c>
      <c r="BE53" s="33">
        <f>'Dados - Cliente'!J53</f>
        <v>0</v>
      </c>
      <c r="BF53" s="34">
        <f>INDEX(Dados!$E$2:$E$33,COUNTIF(Dados!$E$2:$E$33,"&lt;="&amp;AN53*1.25*AK53/(0.22*SQRT(INDEX('Dados - Inversores'!AK:AK,MATCH('1'!AL53,'Dados - Inversores'!C:C,0)))))+1)</f>
        <v>2</v>
      </c>
      <c r="BG53" s="34" t="b">
        <f>IF(O53="TRIFASICO",INDEX(Dados!G:G,MATCH(BF53,Dados!E:E,0)),IF(O53="BIFASICO",INDEX(Dados!F:F,MATCH(BF53,Dados!E:E,0),)))</f>
        <v>0</v>
      </c>
    </row>
    <row r="54" spans="1:59" s="33" customFormat="1" x14ac:dyDescent="0.35">
      <c r="A54" s="33">
        <f>'Dados - Cliente'!A54</f>
        <v>0</v>
      </c>
      <c r="B54" s="33">
        <f>'Dados - Cliente'!B54</f>
        <v>0</v>
      </c>
      <c r="C54" s="33">
        <f>'Dados - Cliente'!C54</f>
        <v>0</v>
      </c>
      <c r="D54" s="33">
        <f>'Dados - Cliente'!D54</f>
        <v>0</v>
      </c>
      <c r="E54" s="33">
        <f>'Dados - Cliente'!E54</f>
        <v>0</v>
      </c>
      <c r="F54" s="33">
        <f>'Dados - Cliente'!F54</f>
        <v>0</v>
      </c>
      <c r="G54" s="33">
        <f>'Dados - Cliente'!G54</f>
        <v>0</v>
      </c>
      <c r="H54" s="33">
        <f>'Dados - Cliente'!H54</f>
        <v>0</v>
      </c>
      <c r="I54" s="75" t="s">
        <v>4313</v>
      </c>
      <c r="J54" s="52" t="s">
        <v>4314</v>
      </c>
      <c r="K54" s="52" t="s">
        <v>4314</v>
      </c>
      <c r="L54" s="33">
        <f>'Dados - Cliente'!I54</f>
        <v>0</v>
      </c>
      <c r="M54" s="33">
        <f>'Dados - Cliente'!K54</f>
        <v>0</v>
      </c>
      <c r="N54" s="33">
        <f>'Dados - Cliente'!L54</f>
        <v>0</v>
      </c>
      <c r="O54" s="33">
        <f>'Dados - Cliente'!M54</f>
        <v>0</v>
      </c>
      <c r="P54" s="33">
        <f>'Dados - Cliente'!N54</f>
        <v>0</v>
      </c>
      <c r="Q54" s="33">
        <f>'Dados - Cliente'!O54</f>
        <v>0</v>
      </c>
      <c r="R54" s="33">
        <f>'Dados - Cliente'!P54</f>
        <v>0</v>
      </c>
      <c r="S54" s="33">
        <f>'Dados - Cliente'!Q54</f>
        <v>0</v>
      </c>
      <c r="T54" s="33">
        <f>'Dados - Cliente'!R54</f>
        <v>0</v>
      </c>
      <c r="U54" s="34">
        <f>'Dados - Cliente'!S54</f>
        <v>0</v>
      </c>
      <c r="V54" s="34">
        <f>'Dados - Cliente'!T54</f>
        <v>0</v>
      </c>
      <c r="W54" s="34">
        <f>'Dados - Cliente'!U54</f>
        <v>0</v>
      </c>
      <c r="X54" s="34">
        <f>'Dados - Cliente'!V54</f>
        <v>0</v>
      </c>
      <c r="Y54" s="34">
        <f>'Dados - Cliente'!W54</f>
        <v>0</v>
      </c>
      <c r="Z54" s="34">
        <f>'Dados - Cliente'!X54</f>
        <v>0</v>
      </c>
      <c r="AA54" s="33" t="e">
        <f t="shared" si="5"/>
        <v>#N/A</v>
      </c>
      <c r="AB54" s="33">
        <f>'Dados - Cliente'!Y54</f>
        <v>0</v>
      </c>
      <c r="AC54" s="33">
        <f>'Dados - Cliente'!Z54</f>
        <v>0</v>
      </c>
      <c r="AD54" s="33">
        <f>'Dados - Cliente'!AA54</f>
        <v>0</v>
      </c>
      <c r="AE54" s="33">
        <f>'Dados - Cliente'!AB54</f>
        <v>0</v>
      </c>
      <c r="AF54" s="33">
        <f>'Dados - Cliente'!AC54</f>
        <v>0</v>
      </c>
      <c r="AG54" s="35">
        <f>'Dados - Cliente'!AD54</f>
        <v>0</v>
      </c>
      <c r="AH54" s="33" t="e">
        <f>INDEX('Dados - Placas'!$A:$A,MATCH('1'!AG54,'Dados - Placas'!$D:$D,0))</f>
        <v>#N/A</v>
      </c>
      <c r="AI54" s="35" t="e">
        <f>INDEX('Dados - Placas'!$E:$E,MATCH('1'!AG54,'Dados - Placas'!$D:$D,0))</f>
        <v>#N/A</v>
      </c>
      <c r="AJ54" s="34" t="e">
        <f>INDEX('Dados - Placas'!$F:$F,MATCH('1'!AG54,'Dados - Placas'!$D:$D,0))*AF54</f>
        <v>#N/A</v>
      </c>
      <c r="AK54" s="33">
        <f>'Dados - Cliente'!AE54</f>
        <v>0</v>
      </c>
      <c r="AL54" s="33">
        <f>'Dados - Cliente'!AF54</f>
        <v>0</v>
      </c>
      <c r="AM54" s="36" t="e">
        <f>INDEX('Dados - Inversores'!$A:$A,MATCH('1'!AL54,'Dados - Inversores'!$C:$C,0))</f>
        <v>#N/A</v>
      </c>
      <c r="AN54" s="33">
        <f>'Dados - Cliente'!AG54</f>
        <v>0</v>
      </c>
      <c r="AO54" s="33" t="e">
        <f>AA54*1.25/(0.22*SQRT(INDEX('Dados - Inversores'!AK:AK,MATCH('1'!AL54,'Dados - Inversores'!C:C,0))))</f>
        <v>#N/A</v>
      </c>
      <c r="AP54" s="34">
        <f>INDEX(Dados!$E$2:$E$33,COUNTIF(Dados!$E$2:$E$33,"&lt;="&amp;AN54*1.25/(INDEX('Dados - Inversores'!AL:AL,MATCH('1'!AL54,'Dados - Inversores'!C:C,0))*SQRT(INDEX('Dados - Inversores'!AK:AK,MATCH('1'!AL54,'Dados - Inversores'!C:C,0)))))+1)</f>
        <v>2</v>
      </c>
      <c r="AQ54" s="33" t="s">
        <v>59</v>
      </c>
      <c r="AR54" s="33" t="str">
        <f t="shared" si="6"/>
        <v>Micro</v>
      </c>
      <c r="AS54" s="33">
        <f>'Dados - Cliente'!AH54</f>
        <v>0</v>
      </c>
      <c r="AT54" s="33">
        <f>'Dados - Cliente'!AI54</f>
        <v>0</v>
      </c>
      <c r="AU54" s="33" t="e">
        <f>INDEX('Dados - Placas'!$N:$N,MATCH('1'!AG54,'Dados - Placas'!$D:$D,0))-1</f>
        <v>#N/A</v>
      </c>
      <c r="AV54" s="33" t="e">
        <f>INDEX('Dados - Placas'!$O:$O,MATCH('1'!AG54,'Dados - Placas'!$D:$D,0))</f>
        <v>#N/A</v>
      </c>
      <c r="AW54" s="33" t="e">
        <f>INDEX('Dados - Inversores'!AM:AM,MATCH('1'!AL54,'Dados - Inversores'!$C:$C,0))-1</f>
        <v>#N/A</v>
      </c>
      <c r="AX54" s="33" t="e">
        <f>INDEX('Dados - Inversores'!AN:AN,MATCH('1'!AL54,'Dados - Inversores'!$C:$C,0))-1</f>
        <v>#N/A</v>
      </c>
      <c r="AY54" s="33" t="e">
        <f>MATCH('1'!H54,Dados!$D$89:$D$167,0)+1</f>
        <v>#N/A</v>
      </c>
      <c r="AZ54" s="33" t="e">
        <f>MATCH('1'!N54,'Dados - Solicitação de acesso'!$N$2:$N$8,0)</f>
        <v>#N/A</v>
      </c>
      <c r="BA54" s="33" t="e">
        <f>MATCH('1'!T54,'Dados - Solicitação de acesso'!$T$2:$T$20,0)</f>
        <v>#N/A</v>
      </c>
      <c r="BB54" s="34"/>
      <c r="BC54" s="33">
        <f>MATCH(AT54,'Dados - Solicitação de acesso'!$AT$2:$AT$28,0)</f>
        <v>1</v>
      </c>
      <c r="BD54" s="33" t="b">
        <f>IF(O54="TRIFASICO",INDEX(Dados!G:G,MATCH('1'!AP54,Dados!E:E,0)),IF(O54="BIFASICO",INDEX(Dados!F:F,MATCH('1'!AP54,Dados!E:E,0),)))</f>
        <v>0</v>
      </c>
      <c r="BE54" s="33">
        <f>'Dados - Cliente'!J54</f>
        <v>0</v>
      </c>
      <c r="BF54" s="34">
        <f>INDEX(Dados!$E$2:$E$33,COUNTIF(Dados!$E$2:$E$33,"&lt;="&amp;AN54*1.25*AK54/(0.22*SQRT(INDEX('Dados - Inversores'!AK:AK,MATCH('1'!AL54,'Dados - Inversores'!C:C,0)))))+1)</f>
        <v>2</v>
      </c>
      <c r="BG54" s="34" t="b">
        <f>IF(O54="TRIFASICO",INDEX(Dados!G:G,MATCH(BF54,Dados!E:E,0)),IF(O54="BIFASICO",INDEX(Dados!F:F,MATCH(BF54,Dados!E:E,0),)))</f>
        <v>0</v>
      </c>
    </row>
    <row r="55" spans="1:59" s="33" customFormat="1" x14ac:dyDescent="0.35">
      <c r="A55" s="33">
        <f>'Dados - Cliente'!A55</f>
        <v>0</v>
      </c>
      <c r="B55" s="33">
        <f>'Dados - Cliente'!B55</f>
        <v>0</v>
      </c>
      <c r="C55" s="33">
        <f>'Dados - Cliente'!C55</f>
        <v>0</v>
      </c>
      <c r="D55" s="33">
        <f>'Dados - Cliente'!D55</f>
        <v>0</v>
      </c>
      <c r="E55" s="33">
        <f>'Dados - Cliente'!E55</f>
        <v>0</v>
      </c>
      <c r="F55" s="33">
        <f>'Dados - Cliente'!F55</f>
        <v>0</v>
      </c>
      <c r="G55" s="33">
        <f>'Dados - Cliente'!G55</f>
        <v>0</v>
      </c>
      <c r="H55" s="33">
        <f>'Dados - Cliente'!H55</f>
        <v>0</v>
      </c>
      <c r="I55" s="75" t="s">
        <v>4313</v>
      </c>
      <c r="J55" s="52" t="s">
        <v>4314</v>
      </c>
      <c r="K55" s="52" t="s">
        <v>4314</v>
      </c>
      <c r="L55" s="33">
        <f>'Dados - Cliente'!I55</f>
        <v>0</v>
      </c>
      <c r="M55" s="33">
        <f>'Dados - Cliente'!K55</f>
        <v>0</v>
      </c>
      <c r="N55" s="33">
        <f>'Dados - Cliente'!L55</f>
        <v>0</v>
      </c>
      <c r="O55" s="33">
        <f>'Dados - Cliente'!M55</f>
        <v>0</v>
      </c>
      <c r="P55" s="33">
        <f>'Dados - Cliente'!N55</f>
        <v>0</v>
      </c>
      <c r="Q55" s="33">
        <f>'Dados - Cliente'!O55</f>
        <v>0</v>
      </c>
      <c r="R55" s="33">
        <f>'Dados - Cliente'!P55</f>
        <v>0</v>
      </c>
      <c r="S55" s="33">
        <f>'Dados - Cliente'!Q55</f>
        <v>0</v>
      </c>
      <c r="T55" s="33">
        <f>'Dados - Cliente'!R55</f>
        <v>0</v>
      </c>
      <c r="U55" s="34">
        <f>'Dados - Cliente'!S55</f>
        <v>0</v>
      </c>
      <c r="V55" s="34">
        <f>'Dados - Cliente'!T55</f>
        <v>0</v>
      </c>
      <c r="W55" s="34">
        <f>'Dados - Cliente'!U55</f>
        <v>0</v>
      </c>
      <c r="X55" s="34">
        <f>'Dados - Cliente'!V55</f>
        <v>0</v>
      </c>
      <c r="Y55" s="34">
        <f>'Dados - Cliente'!W55</f>
        <v>0</v>
      </c>
      <c r="Z55" s="34">
        <f>'Dados - Cliente'!X55</f>
        <v>0</v>
      </c>
      <c r="AA55" s="33" t="e">
        <f t="shared" si="5"/>
        <v>#N/A</v>
      </c>
      <c r="AB55" s="33">
        <f>'Dados - Cliente'!Y55</f>
        <v>0</v>
      </c>
      <c r="AC55" s="33">
        <f>'Dados - Cliente'!Z55</f>
        <v>0</v>
      </c>
      <c r="AD55" s="33">
        <f>'Dados - Cliente'!AA55</f>
        <v>0</v>
      </c>
      <c r="AE55" s="33">
        <f>'Dados - Cliente'!AB55</f>
        <v>0</v>
      </c>
      <c r="AF55" s="33">
        <f>'Dados - Cliente'!AC55</f>
        <v>0</v>
      </c>
      <c r="AG55" s="35">
        <f>'Dados - Cliente'!AD55</f>
        <v>0</v>
      </c>
      <c r="AH55" s="33" t="e">
        <f>INDEX('Dados - Placas'!$A:$A,MATCH('1'!AG55,'Dados - Placas'!$D:$D,0))</f>
        <v>#N/A</v>
      </c>
      <c r="AI55" s="35" t="e">
        <f>INDEX('Dados - Placas'!$E:$E,MATCH('1'!AG55,'Dados - Placas'!$D:$D,0))</f>
        <v>#N/A</v>
      </c>
      <c r="AJ55" s="34" t="e">
        <f>INDEX('Dados - Placas'!$F:$F,MATCH('1'!AG55,'Dados - Placas'!$D:$D,0))*AF55</f>
        <v>#N/A</v>
      </c>
      <c r="AK55" s="33">
        <f>'Dados - Cliente'!AE55</f>
        <v>0</v>
      </c>
      <c r="AL55" s="33">
        <f>'Dados - Cliente'!AF55</f>
        <v>0</v>
      </c>
      <c r="AM55" s="36" t="e">
        <f>INDEX('Dados - Inversores'!$A:$A,MATCH('1'!AL55,'Dados - Inversores'!$C:$C,0))</f>
        <v>#N/A</v>
      </c>
      <c r="AN55" s="33">
        <f>'Dados - Cliente'!AG55</f>
        <v>0</v>
      </c>
      <c r="AO55" s="33" t="e">
        <f>AA55*1.25/(0.22*SQRT(INDEX('Dados - Inversores'!AK:AK,MATCH('1'!AL55,'Dados - Inversores'!C:C,0))))</f>
        <v>#N/A</v>
      </c>
      <c r="AP55" s="34">
        <f>INDEX(Dados!$E$2:$E$33,COUNTIF(Dados!$E$2:$E$33,"&lt;="&amp;AN55*1.25/(INDEX('Dados - Inversores'!AL:AL,MATCH('1'!AL55,'Dados - Inversores'!C:C,0))*SQRT(INDEX('Dados - Inversores'!AK:AK,MATCH('1'!AL55,'Dados - Inversores'!C:C,0)))))+1)</f>
        <v>2</v>
      </c>
      <c r="AQ55" s="33" t="s">
        <v>59</v>
      </c>
      <c r="AR55" s="33" t="str">
        <f t="shared" si="6"/>
        <v>Micro</v>
      </c>
      <c r="AS55" s="33">
        <f>'Dados - Cliente'!AH55</f>
        <v>0</v>
      </c>
      <c r="AT55" s="33">
        <f>'Dados - Cliente'!AI55</f>
        <v>0</v>
      </c>
      <c r="AU55" s="33" t="e">
        <f>INDEX('Dados - Placas'!$N:$N,MATCH('1'!AG55,'Dados - Placas'!$D:$D,0))-1</f>
        <v>#N/A</v>
      </c>
      <c r="AV55" s="33" t="e">
        <f>INDEX('Dados - Placas'!$O:$O,MATCH('1'!AG55,'Dados - Placas'!$D:$D,0))</f>
        <v>#N/A</v>
      </c>
      <c r="AW55" s="33" t="e">
        <f>INDEX('Dados - Inversores'!AM:AM,MATCH('1'!AL55,'Dados - Inversores'!$C:$C,0))-1</f>
        <v>#N/A</v>
      </c>
      <c r="AX55" s="33" t="e">
        <f>INDEX('Dados - Inversores'!AN:AN,MATCH('1'!AL55,'Dados - Inversores'!$C:$C,0))-1</f>
        <v>#N/A</v>
      </c>
      <c r="AY55" s="33" t="e">
        <f>MATCH('1'!H55,Dados!$D$89:$D$167,0)+1</f>
        <v>#N/A</v>
      </c>
      <c r="AZ55" s="33" t="e">
        <f>MATCH('1'!N55,'Dados - Solicitação de acesso'!$N$2:$N$8,0)</f>
        <v>#N/A</v>
      </c>
      <c r="BA55" s="33" t="e">
        <f>MATCH('1'!T55,'Dados - Solicitação de acesso'!$T$2:$T$20,0)</f>
        <v>#N/A</v>
      </c>
      <c r="BB55" s="34"/>
      <c r="BC55" s="33">
        <f>MATCH(AT55,'Dados - Solicitação de acesso'!$AT$2:$AT$28,0)</f>
        <v>1</v>
      </c>
      <c r="BD55" s="33" t="b">
        <f>IF(O55="TRIFASICO",INDEX(Dados!G:G,MATCH('1'!AP55,Dados!E:E,0)),IF(O55="BIFASICO",INDEX(Dados!F:F,MATCH('1'!AP55,Dados!E:E,0),)))</f>
        <v>0</v>
      </c>
      <c r="BE55" s="33">
        <f>'Dados - Cliente'!J55</f>
        <v>0</v>
      </c>
      <c r="BF55" s="34">
        <f>INDEX(Dados!$E$2:$E$33,COUNTIF(Dados!$E$2:$E$33,"&lt;="&amp;AN55*1.25*AK55/(0.22*SQRT(INDEX('Dados - Inversores'!AK:AK,MATCH('1'!AL55,'Dados - Inversores'!C:C,0)))))+1)</f>
        <v>2</v>
      </c>
      <c r="BG55" s="34" t="b">
        <f>IF(O55="TRIFASICO",INDEX(Dados!G:G,MATCH(BF55,Dados!E:E,0)),IF(O55="BIFASICO",INDEX(Dados!F:F,MATCH(BF55,Dados!E:E,0),)))</f>
        <v>0</v>
      </c>
    </row>
    <row r="56" spans="1:59" s="33" customFormat="1" x14ac:dyDescent="0.35">
      <c r="A56" s="33">
        <f>'Dados - Cliente'!A56</f>
        <v>0</v>
      </c>
      <c r="B56" s="33">
        <f>'Dados - Cliente'!B56</f>
        <v>0</v>
      </c>
      <c r="C56" s="33">
        <f>'Dados - Cliente'!C56</f>
        <v>0</v>
      </c>
      <c r="D56" s="33">
        <f>'Dados - Cliente'!D56</f>
        <v>0</v>
      </c>
      <c r="E56" s="33">
        <f>'Dados - Cliente'!E56</f>
        <v>0</v>
      </c>
      <c r="F56" s="33">
        <f>'Dados - Cliente'!F56</f>
        <v>0</v>
      </c>
      <c r="G56" s="33">
        <f>'Dados - Cliente'!G56</f>
        <v>0</v>
      </c>
      <c r="H56" s="33">
        <f>'Dados - Cliente'!H56</f>
        <v>0</v>
      </c>
      <c r="I56" s="75" t="s">
        <v>4313</v>
      </c>
      <c r="J56" s="52" t="s">
        <v>4314</v>
      </c>
      <c r="K56" s="52" t="s">
        <v>4314</v>
      </c>
      <c r="L56" s="33">
        <f>'Dados - Cliente'!I56</f>
        <v>0</v>
      </c>
      <c r="M56" s="33">
        <f>'Dados - Cliente'!K56</f>
        <v>0</v>
      </c>
      <c r="N56" s="33">
        <f>'Dados - Cliente'!L56</f>
        <v>0</v>
      </c>
      <c r="O56" s="33">
        <f>'Dados - Cliente'!M56</f>
        <v>0</v>
      </c>
      <c r="P56" s="33">
        <f>'Dados - Cliente'!N56</f>
        <v>0</v>
      </c>
      <c r="Q56" s="33">
        <f>'Dados - Cliente'!O56</f>
        <v>0</v>
      </c>
      <c r="R56" s="33">
        <f>'Dados - Cliente'!P56</f>
        <v>0</v>
      </c>
      <c r="S56" s="33">
        <f>'Dados - Cliente'!Q56</f>
        <v>0</v>
      </c>
      <c r="T56" s="33">
        <f>'Dados - Cliente'!R56</f>
        <v>0</v>
      </c>
      <c r="U56" s="34">
        <f>'Dados - Cliente'!S56</f>
        <v>0</v>
      </c>
      <c r="V56" s="34">
        <f>'Dados - Cliente'!T56</f>
        <v>0</v>
      </c>
      <c r="W56" s="34">
        <f>'Dados - Cliente'!U56</f>
        <v>0</v>
      </c>
      <c r="X56" s="34">
        <f>'Dados - Cliente'!V56</f>
        <v>0</v>
      </c>
      <c r="Y56" s="34">
        <f>'Dados - Cliente'!W56</f>
        <v>0</v>
      </c>
      <c r="Z56" s="34">
        <f>'Dados - Cliente'!X56</f>
        <v>0</v>
      </c>
      <c r="AA56" s="33" t="e">
        <f t="shared" si="5"/>
        <v>#N/A</v>
      </c>
      <c r="AB56" s="33">
        <f>'Dados - Cliente'!Y56</f>
        <v>0</v>
      </c>
      <c r="AC56" s="33">
        <f>'Dados - Cliente'!Z56</f>
        <v>0</v>
      </c>
      <c r="AD56" s="33">
        <f>'Dados - Cliente'!AA56</f>
        <v>0</v>
      </c>
      <c r="AE56" s="33">
        <f>'Dados - Cliente'!AB56</f>
        <v>0</v>
      </c>
      <c r="AF56" s="33">
        <f>'Dados - Cliente'!AC56</f>
        <v>0</v>
      </c>
      <c r="AG56" s="35">
        <f>'Dados - Cliente'!AD56</f>
        <v>0</v>
      </c>
      <c r="AH56" s="33" t="e">
        <f>INDEX('Dados - Placas'!$A:$A,MATCH('1'!AG56,'Dados - Placas'!$D:$D,0))</f>
        <v>#N/A</v>
      </c>
      <c r="AI56" s="35" t="e">
        <f>INDEX('Dados - Placas'!$E:$E,MATCH('1'!AG56,'Dados - Placas'!$D:$D,0))</f>
        <v>#N/A</v>
      </c>
      <c r="AJ56" s="34" t="e">
        <f>INDEX('Dados - Placas'!$F:$F,MATCH('1'!AG56,'Dados - Placas'!$D:$D,0))*AF56</f>
        <v>#N/A</v>
      </c>
      <c r="AK56" s="33">
        <f>'Dados - Cliente'!AE56</f>
        <v>0</v>
      </c>
      <c r="AL56" s="33">
        <f>'Dados - Cliente'!AF56</f>
        <v>0</v>
      </c>
      <c r="AM56" s="36" t="e">
        <f>INDEX('Dados - Inversores'!$A:$A,MATCH('1'!AL56,'Dados - Inversores'!$C:$C,0))</f>
        <v>#N/A</v>
      </c>
      <c r="AN56" s="33">
        <f>'Dados - Cliente'!AG56</f>
        <v>0</v>
      </c>
      <c r="AO56" s="33" t="e">
        <f>AA56*1.25/(0.22*SQRT(INDEX('Dados - Inversores'!AK:AK,MATCH('1'!AL56,'Dados - Inversores'!C:C,0))))</f>
        <v>#N/A</v>
      </c>
      <c r="AP56" s="34">
        <f>INDEX(Dados!$E$2:$E$33,COUNTIF(Dados!$E$2:$E$33,"&lt;="&amp;AN56*1.25/(INDEX('Dados - Inversores'!AL:AL,MATCH('1'!AL56,'Dados - Inversores'!C:C,0))*SQRT(INDEX('Dados - Inversores'!AK:AK,MATCH('1'!AL56,'Dados - Inversores'!C:C,0)))))+1)</f>
        <v>2</v>
      </c>
      <c r="AQ56" s="33" t="s">
        <v>59</v>
      </c>
      <c r="AR56" s="33" t="str">
        <f t="shared" si="6"/>
        <v>Micro</v>
      </c>
      <c r="AS56" s="33">
        <f>'Dados - Cliente'!AH56</f>
        <v>0</v>
      </c>
      <c r="AT56" s="33">
        <f>'Dados - Cliente'!AI56</f>
        <v>0</v>
      </c>
      <c r="AU56" s="33" t="e">
        <f>INDEX('Dados - Placas'!$N:$N,MATCH('1'!AG56,'Dados - Placas'!$D:$D,0))-1</f>
        <v>#N/A</v>
      </c>
      <c r="AV56" s="33" t="e">
        <f>INDEX('Dados - Placas'!$O:$O,MATCH('1'!AG56,'Dados - Placas'!$D:$D,0))</f>
        <v>#N/A</v>
      </c>
      <c r="AW56" s="33" t="e">
        <f>INDEX('Dados - Inversores'!AM:AM,MATCH('1'!AL56,'Dados - Inversores'!$C:$C,0))-1</f>
        <v>#N/A</v>
      </c>
      <c r="AX56" s="33" t="e">
        <f>INDEX('Dados - Inversores'!AN:AN,MATCH('1'!AL56,'Dados - Inversores'!$C:$C,0))-1</f>
        <v>#N/A</v>
      </c>
      <c r="AY56" s="33" t="e">
        <f>MATCH('1'!H56,Dados!$D$89:$D$167,0)+1</f>
        <v>#N/A</v>
      </c>
      <c r="AZ56" s="33" t="e">
        <f>MATCH('1'!N56,'Dados - Solicitação de acesso'!$N$2:$N$8,0)</f>
        <v>#N/A</v>
      </c>
      <c r="BA56" s="33" t="e">
        <f>MATCH('1'!T56,'Dados - Solicitação de acesso'!$T$2:$T$20,0)</f>
        <v>#N/A</v>
      </c>
      <c r="BB56" s="34"/>
      <c r="BC56" s="33">
        <f>MATCH(AT56,'Dados - Solicitação de acesso'!$AT$2:$AT$28,0)</f>
        <v>1</v>
      </c>
      <c r="BD56" s="33" t="b">
        <f>IF(O56="TRIFASICO",INDEX(Dados!G:G,MATCH('1'!AP56,Dados!E:E,0)),IF(O56="BIFASICO",INDEX(Dados!F:F,MATCH('1'!AP56,Dados!E:E,0),)))</f>
        <v>0</v>
      </c>
      <c r="BE56" s="33">
        <f>'Dados - Cliente'!J56</f>
        <v>0</v>
      </c>
      <c r="BF56" s="34">
        <f>INDEX(Dados!$E$2:$E$33,COUNTIF(Dados!$E$2:$E$33,"&lt;="&amp;AN56*1.25*AK56/(0.22*SQRT(INDEX('Dados - Inversores'!AK:AK,MATCH('1'!AL56,'Dados - Inversores'!C:C,0)))))+1)</f>
        <v>2</v>
      </c>
      <c r="BG56" s="34" t="b">
        <f>IF(O56="TRIFASICO",INDEX(Dados!G:G,MATCH(BF56,Dados!E:E,0)),IF(O56="BIFASICO",INDEX(Dados!F:F,MATCH(BF56,Dados!E:E,0),)))</f>
        <v>0</v>
      </c>
    </row>
    <row r="57" spans="1:59" s="33" customFormat="1" x14ac:dyDescent="0.35">
      <c r="A57" s="33">
        <f>'Dados - Cliente'!A57</f>
        <v>0</v>
      </c>
      <c r="B57" s="33">
        <f>'Dados - Cliente'!B57</f>
        <v>0</v>
      </c>
      <c r="C57" s="33">
        <f>'Dados - Cliente'!C57</f>
        <v>0</v>
      </c>
      <c r="D57" s="33">
        <f>'Dados - Cliente'!D57</f>
        <v>0</v>
      </c>
      <c r="E57" s="33">
        <f>'Dados - Cliente'!E57</f>
        <v>0</v>
      </c>
      <c r="F57" s="33">
        <f>'Dados - Cliente'!F57</f>
        <v>0</v>
      </c>
      <c r="G57" s="33">
        <f>'Dados - Cliente'!G57</f>
        <v>0</v>
      </c>
      <c r="H57" s="33">
        <f>'Dados - Cliente'!H57</f>
        <v>0</v>
      </c>
      <c r="I57" s="75" t="s">
        <v>4313</v>
      </c>
      <c r="J57" s="52" t="s">
        <v>4314</v>
      </c>
      <c r="K57" s="52" t="s">
        <v>4314</v>
      </c>
      <c r="L57" s="33">
        <f>'Dados - Cliente'!I57</f>
        <v>0</v>
      </c>
      <c r="M57" s="33">
        <f>'Dados - Cliente'!K57</f>
        <v>0</v>
      </c>
      <c r="N57" s="33">
        <f>'Dados - Cliente'!L57</f>
        <v>0</v>
      </c>
      <c r="O57" s="33">
        <f>'Dados - Cliente'!M57</f>
        <v>0</v>
      </c>
      <c r="P57" s="33">
        <f>'Dados - Cliente'!N57</f>
        <v>0</v>
      </c>
      <c r="Q57" s="33">
        <f>'Dados - Cliente'!O57</f>
        <v>0</v>
      </c>
      <c r="R57" s="33">
        <f>'Dados - Cliente'!P57</f>
        <v>0</v>
      </c>
      <c r="S57" s="33">
        <f>'Dados - Cliente'!Q57</f>
        <v>0</v>
      </c>
      <c r="T57" s="33">
        <f>'Dados - Cliente'!R57</f>
        <v>0</v>
      </c>
      <c r="U57" s="34">
        <f>'Dados - Cliente'!S57</f>
        <v>0</v>
      </c>
      <c r="V57" s="34">
        <f>'Dados - Cliente'!T57</f>
        <v>0</v>
      </c>
      <c r="W57" s="34">
        <f>'Dados - Cliente'!U57</f>
        <v>0</v>
      </c>
      <c r="X57" s="34">
        <f>'Dados - Cliente'!V57</f>
        <v>0</v>
      </c>
      <c r="Y57" s="34">
        <f>'Dados - Cliente'!W57</f>
        <v>0</v>
      </c>
      <c r="Z57" s="34">
        <f>'Dados - Cliente'!X57</f>
        <v>0</v>
      </c>
      <c r="AA57" s="33" t="e">
        <f t="shared" si="5"/>
        <v>#N/A</v>
      </c>
      <c r="AB57" s="33">
        <f>'Dados - Cliente'!Y57</f>
        <v>0</v>
      </c>
      <c r="AC57" s="33">
        <f>'Dados - Cliente'!Z57</f>
        <v>0</v>
      </c>
      <c r="AD57" s="33">
        <f>'Dados - Cliente'!AA57</f>
        <v>0</v>
      </c>
      <c r="AE57" s="33">
        <f>'Dados - Cliente'!AB57</f>
        <v>0</v>
      </c>
      <c r="AF57" s="33">
        <f>'Dados - Cliente'!AC57</f>
        <v>0</v>
      </c>
      <c r="AG57" s="35">
        <f>'Dados - Cliente'!AD57</f>
        <v>0</v>
      </c>
      <c r="AH57" s="33" t="e">
        <f>INDEX('Dados - Placas'!$A:$A,MATCH('1'!AG57,'Dados - Placas'!$D:$D,0))</f>
        <v>#N/A</v>
      </c>
      <c r="AI57" s="35" t="e">
        <f>INDEX('Dados - Placas'!$E:$E,MATCH('1'!AG57,'Dados - Placas'!$D:$D,0))</f>
        <v>#N/A</v>
      </c>
      <c r="AJ57" s="34" t="e">
        <f>INDEX('Dados - Placas'!$F:$F,MATCH('1'!AG57,'Dados - Placas'!$D:$D,0))*AF57</f>
        <v>#N/A</v>
      </c>
      <c r="AK57" s="33">
        <f>'Dados - Cliente'!AE57</f>
        <v>0</v>
      </c>
      <c r="AL57" s="33">
        <f>'Dados - Cliente'!AF57</f>
        <v>0</v>
      </c>
      <c r="AM57" s="36" t="e">
        <f>INDEX('Dados - Inversores'!$A:$A,MATCH('1'!AL57,'Dados - Inversores'!$C:$C,0))</f>
        <v>#N/A</v>
      </c>
      <c r="AN57" s="33">
        <f>'Dados - Cliente'!AG57</f>
        <v>0</v>
      </c>
      <c r="AO57" s="33" t="e">
        <f>AA57*1.25/(0.22*SQRT(INDEX('Dados - Inversores'!AK:AK,MATCH('1'!AL57,'Dados - Inversores'!C:C,0))))</f>
        <v>#N/A</v>
      </c>
      <c r="AP57" s="34">
        <f>INDEX(Dados!$E$2:$E$33,COUNTIF(Dados!$E$2:$E$33,"&lt;="&amp;AN57*1.25/(INDEX('Dados - Inversores'!AL:AL,MATCH('1'!AL57,'Dados - Inversores'!C:C,0))*SQRT(INDEX('Dados - Inversores'!AK:AK,MATCH('1'!AL57,'Dados - Inversores'!C:C,0)))))+1)</f>
        <v>2</v>
      </c>
      <c r="AQ57" s="33" t="s">
        <v>59</v>
      </c>
      <c r="AR57" s="33" t="str">
        <f t="shared" si="6"/>
        <v>Micro</v>
      </c>
      <c r="AS57" s="33">
        <f>'Dados - Cliente'!AH57</f>
        <v>0</v>
      </c>
      <c r="AT57" s="33">
        <f>'Dados - Cliente'!AI57</f>
        <v>0</v>
      </c>
      <c r="AU57" s="33" t="e">
        <f>INDEX('Dados - Placas'!$N:$N,MATCH('1'!AG57,'Dados - Placas'!$D:$D,0))-1</f>
        <v>#N/A</v>
      </c>
      <c r="AV57" s="33" t="e">
        <f>INDEX('Dados - Placas'!$O:$O,MATCH('1'!AG57,'Dados - Placas'!$D:$D,0))</f>
        <v>#N/A</v>
      </c>
      <c r="AW57" s="33" t="e">
        <f>INDEX('Dados - Inversores'!AM:AM,MATCH('1'!AL57,'Dados - Inversores'!$C:$C,0))-1</f>
        <v>#N/A</v>
      </c>
      <c r="AX57" s="33" t="e">
        <f>INDEX('Dados - Inversores'!AN:AN,MATCH('1'!AL57,'Dados - Inversores'!$C:$C,0))-1</f>
        <v>#N/A</v>
      </c>
      <c r="AY57" s="33" t="e">
        <f>MATCH('1'!H57,Dados!$D$89:$D$167,0)+1</f>
        <v>#N/A</v>
      </c>
      <c r="AZ57" s="33" t="e">
        <f>MATCH('1'!N57,'Dados - Solicitação de acesso'!$N$2:$N$8,0)</f>
        <v>#N/A</v>
      </c>
      <c r="BA57" s="33" t="e">
        <f>MATCH('1'!T57,'Dados - Solicitação de acesso'!$T$2:$T$20,0)</f>
        <v>#N/A</v>
      </c>
      <c r="BB57" s="34"/>
      <c r="BC57" s="33">
        <f>MATCH(AT57,'Dados - Solicitação de acesso'!$AT$2:$AT$28,0)</f>
        <v>1</v>
      </c>
      <c r="BD57" s="33" t="b">
        <f>IF(O57="TRIFASICO",INDEX(Dados!G:G,MATCH('1'!AP57,Dados!E:E,0)),IF(O57="BIFASICO",INDEX(Dados!F:F,MATCH('1'!AP57,Dados!E:E,0),)))</f>
        <v>0</v>
      </c>
      <c r="BE57" s="33">
        <f>'Dados - Cliente'!J57</f>
        <v>0</v>
      </c>
      <c r="BF57" s="34">
        <f>INDEX(Dados!$E$2:$E$33,COUNTIF(Dados!$E$2:$E$33,"&lt;="&amp;AN57*1.25*AK57/(0.22*SQRT(INDEX('Dados - Inversores'!AK:AK,MATCH('1'!AL57,'Dados - Inversores'!C:C,0)))))+1)</f>
        <v>2</v>
      </c>
      <c r="BG57" s="34" t="b">
        <f>IF(O57="TRIFASICO",INDEX(Dados!G:G,MATCH(BF57,Dados!E:E,0)),IF(O57="BIFASICO",INDEX(Dados!F:F,MATCH(BF57,Dados!E:E,0),)))</f>
        <v>0</v>
      </c>
    </row>
    <row r="58" spans="1:59" s="33" customFormat="1" x14ac:dyDescent="0.35">
      <c r="A58" s="33">
        <f>'Dados - Cliente'!A58</f>
        <v>0</v>
      </c>
      <c r="B58" s="33">
        <f>'Dados - Cliente'!B58</f>
        <v>0</v>
      </c>
      <c r="C58" s="33">
        <f>'Dados - Cliente'!C58</f>
        <v>0</v>
      </c>
      <c r="D58" s="33">
        <f>'Dados - Cliente'!D58</f>
        <v>0</v>
      </c>
      <c r="E58" s="33">
        <f>'Dados - Cliente'!E58</f>
        <v>0</v>
      </c>
      <c r="F58" s="33">
        <f>'Dados - Cliente'!F58</f>
        <v>0</v>
      </c>
      <c r="G58" s="33">
        <f>'Dados - Cliente'!G58</f>
        <v>0</v>
      </c>
      <c r="H58" s="33">
        <f>'Dados - Cliente'!H58</f>
        <v>0</v>
      </c>
      <c r="I58" s="75" t="s">
        <v>4313</v>
      </c>
      <c r="J58" s="52" t="s">
        <v>4314</v>
      </c>
      <c r="K58" s="52" t="s">
        <v>4314</v>
      </c>
      <c r="L58" s="33">
        <f>'Dados - Cliente'!I58</f>
        <v>0</v>
      </c>
      <c r="M58" s="33">
        <f>'Dados - Cliente'!K58</f>
        <v>0</v>
      </c>
      <c r="N58" s="33">
        <f>'Dados - Cliente'!L58</f>
        <v>0</v>
      </c>
      <c r="O58" s="33">
        <f>'Dados - Cliente'!M58</f>
        <v>0</v>
      </c>
      <c r="P58" s="33">
        <f>'Dados - Cliente'!N58</f>
        <v>0</v>
      </c>
      <c r="Q58" s="33">
        <f>'Dados - Cliente'!O58</f>
        <v>0</v>
      </c>
      <c r="R58" s="33">
        <f>'Dados - Cliente'!P58</f>
        <v>0</v>
      </c>
      <c r="S58" s="33">
        <f>'Dados - Cliente'!Q58</f>
        <v>0</v>
      </c>
      <c r="T58" s="33">
        <f>'Dados - Cliente'!R58</f>
        <v>0</v>
      </c>
      <c r="U58" s="34">
        <f>'Dados - Cliente'!S58</f>
        <v>0</v>
      </c>
      <c r="V58" s="34">
        <f>'Dados - Cliente'!T58</f>
        <v>0</v>
      </c>
      <c r="W58" s="34">
        <f>'Dados - Cliente'!U58</f>
        <v>0</v>
      </c>
      <c r="X58" s="34">
        <f>'Dados - Cliente'!V58</f>
        <v>0</v>
      </c>
      <c r="Y58" s="34">
        <f>'Dados - Cliente'!W58</f>
        <v>0</v>
      </c>
      <c r="Z58" s="34">
        <f>'Dados - Cliente'!X58</f>
        <v>0</v>
      </c>
      <c r="AA58" s="33" t="e">
        <f t="shared" si="5"/>
        <v>#N/A</v>
      </c>
      <c r="AB58" s="33">
        <f>'Dados - Cliente'!Y58</f>
        <v>0</v>
      </c>
      <c r="AC58" s="33">
        <f>'Dados - Cliente'!Z58</f>
        <v>0</v>
      </c>
      <c r="AD58" s="33">
        <f>'Dados - Cliente'!AA58</f>
        <v>0</v>
      </c>
      <c r="AE58" s="33">
        <f>'Dados - Cliente'!AB58</f>
        <v>0</v>
      </c>
      <c r="AF58" s="33">
        <f>'Dados - Cliente'!AC58</f>
        <v>0</v>
      </c>
      <c r="AG58" s="35">
        <f>'Dados - Cliente'!AD58</f>
        <v>0</v>
      </c>
      <c r="AH58" s="33" t="e">
        <f>INDEX('Dados - Placas'!$A:$A,MATCH('1'!AG58,'Dados - Placas'!$D:$D,0))</f>
        <v>#N/A</v>
      </c>
      <c r="AI58" s="35" t="e">
        <f>INDEX('Dados - Placas'!$E:$E,MATCH('1'!AG58,'Dados - Placas'!$D:$D,0))</f>
        <v>#N/A</v>
      </c>
      <c r="AJ58" s="34" t="e">
        <f>INDEX('Dados - Placas'!$F:$F,MATCH('1'!AG58,'Dados - Placas'!$D:$D,0))*AF58</f>
        <v>#N/A</v>
      </c>
      <c r="AK58" s="33">
        <f>'Dados - Cliente'!AE58</f>
        <v>0</v>
      </c>
      <c r="AL58" s="33">
        <f>'Dados - Cliente'!AF58</f>
        <v>0</v>
      </c>
      <c r="AM58" s="36" t="e">
        <f>INDEX('Dados - Inversores'!$A:$A,MATCH('1'!AL58,'Dados - Inversores'!$C:$C,0))</f>
        <v>#N/A</v>
      </c>
      <c r="AN58" s="33">
        <f>'Dados - Cliente'!AG58</f>
        <v>0</v>
      </c>
      <c r="AO58" s="33" t="e">
        <f>AA58*1.25/(0.22*SQRT(INDEX('Dados - Inversores'!AK:AK,MATCH('1'!AL58,'Dados - Inversores'!C:C,0))))</f>
        <v>#N/A</v>
      </c>
      <c r="AP58" s="34">
        <f>INDEX(Dados!$E$2:$E$33,COUNTIF(Dados!$E$2:$E$33,"&lt;="&amp;AN58*1.25/(INDEX('Dados - Inversores'!AL:AL,MATCH('1'!AL58,'Dados - Inversores'!C:C,0))*SQRT(INDEX('Dados - Inversores'!AK:AK,MATCH('1'!AL58,'Dados - Inversores'!C:C,0)))))+1)</f>
        <v>2</v>
      </c>
      <c r="AQ58" s="33" t="s">
        <v>59</v>
      </c>
      <c r="AR58" s="33" t="str">
        <f t="shared" si="6"/>
        <v>Micro</v>
      </c>
      <c r="AS58" s="33">
        <f>'Dados - Cliente'!AH58</f>
        <v>0</v>
      </c>
      <c r="AT58" s="33">
        <f>'Dados - Cliente'!AI58</f>
        <v>0</v>
      </c>
      <c r="AU58" s="33" t="e">
        <f>INDEX('Dados - Placas'!$N:$N,MATCH('1'!AG58,'Dados - Placas'!$D:$D,0))-1</f>
        <v>#N/A</v>
      </c>
      <c r="AV58" s="33" t="e">
        <f>INDEX('Dados - Placas'!$O:$O,MATCH('1'!AG58,'Dados - Placas'!$D:$D,0))</f>
        <v>#N/A</v>
      </c>
      <c r="AW58" s="33" t="e">
        <f>INDEX('Dados - Inversores'!AM:AM,MATCH('1'!AL58,'Dados - Inversores'!$C:$C,0))-1</f>
        <v>#N/A</v>
      </c>
      <c r="AX58" s="33" t="e">
        <f>INDEX('Dados - Inversores'!AN:AN,MATCH('1'!AL58,'Dados - Inversores'!$C:$C,0))-1</f>
        <v>#N/A</v>
      </c>
      <c r="AY58" s="33" t="e">
        <f>MATCH('1'!H58,Dados!$D$89:$D$167,0)+1</f>
        <v>#N/A</v>
      </c>
      <c r="AZ58" s="33" t="e">
        <f>MATCH('1'!N58,'Dados - Solicitação de acesso'!$N$2:$N$8,0)</f>
        <v>#N/A</v>
      </c>
      <c r="BA58" s="33" t="e">
        <f>MATCH('1'!T58,'Dados - Solicitação de acesso'!$T$2:$T$20,0)</f>
        <v>#N/A</v>
      </c>
      <c r="BB58" s="34"/>
      <c r="BC58" s="33">
        <f>MATCH(AT58,'Dados - Solicitação de acesso'!$AT$2:$AT$28,0)</f>
        <v>1</v>
      </c>
      <c r="BD58" s="33" t="b">
        <f>IF(O58="TRIFASICO",INDEX(Dados!G:G,MATCH('1'!AP58,Dados!E:E,0)),IF(O58="BIFASICO",INDEX(Dados!F:F,MATCH('1'!AP58,Dados!E:E,0),)))</f>
        <v>0</v>
      </c>
      <c r="BE58" s="33">
        <f>'Dados - Cliente'!J58</f>
        <v>0</v>
      </c>
      <c r="BF58" s="34">
        <f>INDEX(Dados!$E$2:$E$33,COUNTIF(Dados!$E$2:$E$33,"&lt;="&amp;AN58*1.25*AK58/(0.22*SQRT(INDEX('Dados - Inversores'!AK:AK,MATCH('1'!AL58,'Dados - Inversores'!C:C,0)))))+1)</f>
        <v>2</v>
      </c>
      <c r="BG58" s="34" t="b">
        <f>IF(O58="TRIFASICO",INDEX(Dados!G:G,MATCH(BF58,Dados!E:E,0)),IF(O58="BIFASICO",INDEX(Dados!F:F,MATCH(BF58,Dados!E:E,0),)))</f>
        <v>0</v>
      </c>
    </row>
    <row r="59" spans="1:59" s="33" customFormat="1" x14ac:dyDescent="0.35">
      <c r="A59" s="33">
        <f>'Dados - Cliente'!A59</f>
        <v>0</v>
      </c>
      <c r="B59" s="33">
        <f>'Dados - Cliente'!B59</f>
        <v>0</v>
      </c>
      <c r="C59" s="33">
        <f>'Dados - Cliente'!C59</f>
        <v>0</v>
      </c>
      <c r="D59" s="33">
        <f>'Dados - Cliente'!D59</f>
        <v>0</v>
      </c>
      <c r="E59" s="33">
        <f>'Dados - Cliente'!E59</f>
        <v>0</v>
      </c>
      <c r="F59" s="33">
        <f>'Dados - Cliente'!F59</f>
        <v>0</v>
      </c>
      <c r="G59" s="33">
        <f>'Dados - Cliente'!G59</f>
        <v>0</v>
      </c>
      <c r="H59" s="33">
        <f>'Dados - Cliente'!H59</f>
        <v>0</v>
      </c>
      <c r="I59" s="75" t="s">
        <v>4313</v>
      </c>
      <c r="J59" s="52" t="s">
        <v>4314</v>
      </c>
      <c r="K59" s="52" t="s">
        <v>4314</v>
      </c>
      <c r="L59" s="33">
        <f>'Dados - Cliente'!I59</f>
        <v>0</v>
      </c>
      <c r="M59" s="33">
        <f>'Dados - Cliente'!K59</f>
        <v>0</v>
      </c>
      <c r="N59" s="33">
        <f>'Dados - Cliente'!L59</f>
        <v>0</v>
      </c>
      <c r="O59" s="33">
        <f>'Dados - Cliente'!M59</f>
        <v>0</v>
      </c>
      <c r="P59" s="33">
        <f>'Dados - Cliente'!N59</f>
        <v>0</v>
      </c>
      <c r="Q59" s="33">
        <f>'Dados - Cliente'!O59</f>
        <v>0</v>
      </c>
      <c r="R59" s="33">
        <f>'Dados - Cliente'!P59</f>
        <v>0</v>
      </c>
      <c r="S59" s="33">
        <f>'Dados - Cliente'!Q59</f>
        <v>0</v>
      </c>
      <c r="T59" s="33">
        <f>'Dados - Cliente'!R59</f>
        <v>0</v>
      </c>
      <c r="U59" s="34">
        <f>'Dados - Cliente'!S59</f>
        <v>0</v>
      </c>
      <c r="V59" s="34">
        <f>'Dados - Cliente'!T59</f>
        <v>0</v>
      </c>
      <c r="W59" s="34">
        <f>'Dados - Cliente'!U59</f>
        <v>0</v>
      </c>
      <c r="X59" s="34">
        <f>'Dados - Cliente'!V59</f>
        <v>0</v>
      </c>
      <c r="Y59" s="34">
        <f>'Dados - Cliente'!W59</f>
        <v>0</v>
      </c>
      <c r="Z59" s="34">
        <f>'Dados - Cliente'!X59</f>
        <v>0</v>
      </c>
      <c r="AA59" s="33" t="e">
        <f t="shared" si="5"/>
        <v>#N/A</v>
      </c>
      <c r="AB59" s="33">
        <f>'Dados - Cliente'!Y59</f>
        <v>0</v>
      </c>
      <c r="AC59" s="33">
        <f>'Dados - Cliente'!Z59</f>
        <v>0</v>
      </c>
      <c r="AD59" s="33">
        <f>'Dados - Cliente'!AA59</f>
        <v>0</v>
      </c>
      <c r="AE59" s="33">
        <f>'Dados - Cliente'!AB59</f>
        <v>0</v>
      </c>
      <c r="AF59" s="33">
        <f>'Dados - Cliente'!AC59</f>
        <v>0</v>
      </c>
      <c r="AG59" s="35">
        <f>'Dados - Cliente'!AD59</f>
        <v>0</v>
      </c>
      <c r="AH59" s="33" t="e">
        <f>INDEX('Dados - Placas'!$A:$A,MATCH('1'!AG59,'Dados - Placas'!$D:$D,0))</f>
        <v>#N/A</v>
      </c>
      <c r="AI59" s="35" t="e">
        <f>INDEX('Dados - Placas'!$E:$E,MATCH('1'!AG59,'Dados - Placas'!$D:$D,0))</f>
        <v>#N/A</v>
      </c>
      <c r="AJ59" s="34" t="e">
        <f>INDEX('Dados - Placas'!$F:$F,MATCH('1'!AG59,'Dados - Placas'!$D:$D,0))*AF59</f>
        <v>#N/A</v>
      </c>
      <c r="AK59" s="33">
        <f>'Dados - Cliente'!AE59</f>
        <v>0</v>
      </c>
      <c r="AL59" s="33">
        <f>'Dados - Cliente'!AF59</f>
        <v>0</v>
      </c>
      <c r="AM59" s="36" t="e">
        <f>INDEX('Dados - Inversores'!$A:$A,MATCH('1'!AL59,'Dados - Inversores'!$C:$C,0))</f>
        <v>#N/A</v>
      </c>
      <c r="AN59" s="33">
        <f>'Dados - Cliente'!AG59</f>
        <v>0</v>
      </c>
      <c r="AO59" s="33" t="e">
        <f>AA59*1.25/(0.22*SQRT(INDEX('Dados - Inversores'!AK:AK,MATCH('1'!AL59,'Dados - Inversores'!C:C,0))))</f>
        <v>#N/A</v>
      </c>
      <c r="AP59" s="34">
        <f>INDEX(Dados!$E$2:$E$33,COUNTIF(Dados!$E$2:$E$33,"&lt;="&amp;AN59*1.25/(INDEX('Dados - Inversores'!AL:AL,MATCH('1'!AL59,'Dados - Inversores'!C:C,0))*SQRT(INDEX('Dados - Inversores'!AK:AK,MATCH('1'!AL59,'Dados - Inversores'!C:C,0)))))+1)</f>
        <v>2</v>
      </c>
      <c r="AQ59" s="33" t="s">
        <v>59</v>
      </c>
      <c r="AR59" s="33" t="str">
        <f t="shared" si="6"/>
        <v>Micro</v>
      </c>
      <c r="AS59" s="33">
        <f>'Dados - Cliente'!AH59</f>
        <v>0</v>
      </c>
      <c r="AT59" s="33">
        <f>'Dados - Cliente'!AI59</f>
        <v>0</v>
      </c>
      <c r="AU59" s="33" t="e">
        <f>INDEX('Dados - Placas'!$N:$N,MATCH('1'!AG59,'Dados - Placas'!$D:$D,0))-1</f>
        <v>#N/A</v>
      </c>
      <c r="AV59" s="33" t="e">
        <f>INDEX('Dados - Placas'!$O:$O,MATCH('1'!AG59,'Dados - Placas'!$D:$D,0))</f>
        <v>#N/A</v>
      </c>
      <c r="AW59" s="33" t="e">
        <f>INDEX('Dados - Inversores'!AM:AM,MATCH('1'!AL59,'Dados - Inversores'!$C:$C,0))-1</f>
        <v>#N/A</v>
      </c>
      <c r="AX59" s="33" t="e">
        <f>INDEX('Dados - Inversores'!AN:AN,MATCH('1'!AL59,'Dados - Inversores'!$C:$C,0))-1</f>
        <v>#N/A</v>
      </c>
      <c r="AY59" s="33" t="e">
        <f>MATCH('1'!H59,Dados!$D$89:$D$167,0)+1</f>
        <v>#N/A</v>
      </c>
      <c r="AZ59" s="33" t="e">
        <f>MATCH('1'!N59,'Dados - Solicitação de acesso'!$N$2:$N$8,0)</f>
        <v>#N/A</v>
      </c>
      <c r="BA59" s="33" t="e">
        <f>MATCH('1'!T59,'Dados - Solicitação de acesso'!$T$2:$T$20,0)</f>
        <v>#N/A</v>
      </c>
      <c r="BB59" s="34"/>
      <c r="BC59" s="33">
        <f>MATCH(AT59,'Dados - Solicitação de acesso'!$AT$2:$AT$28,0)</f>
        <v>1</v>
      </c>
      <c r="BD59" s="33" t="b">
        <f>IF(O59="TRIFASICO",INDEX(Dados!G:G,MATCH('1'!AP59,Dados!E:E,0)),IF(O59="BIFASICO",INDEX(Dados!F:F,MATCH('1'!AP59,Dados!E:E,0),)))</f>
        <v>0</v>
      </c>
      <c r="BE59" s="33">
        <f>'Dados - Cliente'!J59</f>
        <v>0</v>
      </c>
      <c r="BF59" s="34">
        <f>INDEX(Dados!$E$2:$E$33,COUNTIF(Dados!$E$2:$E$33,"&lt;="&amp;AN59*1.25*AK59/(0.22*SQRT(INDEX('Dados - Inversores'!AK:AK,MATCH('1'!AL59,'Dados - Inversores'!C:C,0)))))+1)</f>
        <v>2</v>
      </c>
      <c r="BG59" s="34" t="b">
        <f>IF(O59="TRIFASICO",INDEX(Dados!G:G,MATCH(BF59,Dados!E:E,0)),IF(O59="BIFASICO",INDEX(Dados!F:F,MATCH(BF59,Dados!E:E,0),)))</f>
        <v>0</v>
      </c>
    </row>
    <row r="60" spans="1:59" s="33" customFormat="1" x14ac:dyDescent="0.35">
      <c r="A60" s="33">
        <f>'Dados - Cliente'!A60</f>
        <v>0</v>
      </c>
      <c r="B60" s="33">
        <f>'Dados - Cliente'!B60</f>
        <v>0</v>
      </c>
      <c r="C60" s="33">
        <f>'Dados - Cliente'!C60</f>
        <v>0</v>
      </c>
      <c r="D60" s="33">
        <f>'Dados - Cliente'!D60</f>
        <v>0</v>
      </c>
      <c r="E60" s="33">
        <f>'Dados - Cliente'!E60</f>
        <v>0</v>
      </c>
      <c r="F60" s="33">
        <f>'Dados - Cliente'!F60</f>
        <v>0</v>
      </c>
      <c r="G60" s="33">
        <f>'Dados - Cliente'!G60</f>
        <v>0</v>
      </c>
      <c r="H60" s="33">
        <f>'Dados - Cliente'!H60</f>
        <v>0</v>
      </c>
      <c r="I60" s="75" t="s">
        <v>4313</v>
      </c>
      <c r="J60" s="52" t="s">
        <v>4314</v>
      </c>
      <c r="K60" s="52" t="s">
        <v>4314</v>
      </c>
      <c r="L60" s="33">
        <f>'Dados - Cliente'!I60</f>
        <v>0</v>
      </c>
      <c r="M60" s="33">
        <f>'Dados - Cliente'!K60</f>
        <v>0</v>
      </c>
      <c r="N60" s="33">
        <f>'Dados - Cliente'!L60</f>
        <v>0</v>
      </c>
      <c r="O60" s="33">
        <f>'Dados - Cliente'!M60</f>
        <v>0</v>
      </c>
      <c r="P60" s="33">
        <f>'Dados - Cliente'!N60</f>
        <v>0</v>
      </c>
      <c r="Q60" s="33">
        <f>'Dados - Cliente'!O60</f>
        <v>0</v>
      </c>
      <c r="R60" s="33">
        <f>'Dados - Cliente'!P60</f>
        <v>0</v>
      </c>
      <c r="S60" s="33">
        <f>'Dados - Cliente'!Q60</f>
        <v>0</v>
      </c>
      <c r="T60" s="33">
        <f>'Dados - Cliente'!R60</f>
        <v>0</v>
      </c>
      <c r="U60" s="34">
        <f>'Dados - Cliente'!S60</f>
        <v>0</v>
      </c>
      <c r="V60" s="34">
        <f>'Dados - Cliente'!T60</f>
        <v>0</v>
      </c>
      <c r="W60" s="34">
        <f>'Dados - Cliente'!U60</f>
        <v>0</v>
      </c>
      <c r="X60" s="34">
        <f>'Dados - Cliente'!V60</f>
        <v>0</v>
      </c>
      <c r="Y60" s="34">
        <f>'Dados - Cliente'!W60</f>
        <v>0</v>
      </c>
      <c r="Z60" s="34">
        <f>'Dados - Cliente'!X60</f>
        <v>0</v>
      </c>
      <c r="AA60" s="33" t="e">
        <f t="shared" si="5"/>
        <v>#N/A</v>
      </c>
      <c r="AB60" s="33">
        <f>'Dados - Cliente'!Y60</f>
        <v>0</v>
      </c>
      <c r="AC60" s="33">
        <f>'Dados - Cliente'!Z60</f>
        <v>0</v>
      </c>
      <c r="AD60" s="33">
        <f>'Dados - Cliente'!AA60</f>
        <v>0</v>
      </c>
      <c r="AE60" s="33">
        <f>'Dados - Cliente'!AB60</f>
        <v>0</v>
      </c>
      <c r="AF60" s="33">
        <f>'Dados - Cliente'!AC60</f>
        <v>0</v>
      </c>
      <c r="AG60" s="35">
        <f>'Dados - Cliente'!AD60</f>
        <v>0</v>
      </c>
      <c r="AH60" s="33" t="e">
        <f>INDEX('Dados - Placas'!$A:$A,MATCH('1'!AG60,'Dados - Placas'!$D:$D,0))</f>
        <v>#N/A</v>
      </c>
      <c r="AI60" s="35" t="e">
        <f>INDEX('Dados - Placas'!$E:$E,MATCH('1'!AG60,'Dados - Placas'!$D:$D,0))</f>
        <v>#N/A</v>
      </c>
      <c r="AJ60" s="34" t="e">
        <f>INDEX('Dados - Placas'!$F:$F,MATCH('1'!AG60,'Dados - Placas'!$D:$D,0))*AF60</f>
        <v>#N/A</v>
      </c>
      <c r="AK60" s="33">
        <f>'Dados - Cliente'!AE60</f>
        <v>0</v>
      </c>
      <c r="AL60" s="33">
        <f>'Dados - Cliente'!AF60</f>
        <v>0</v>
      </c>
      <c r="AM60" s="36" t="e">
        <f>INDEX('Dados - Inversores'!$A:$A,MATCH('1'!AL60,'Dados - Inversores'!$C:$C,0))</f>
        <v>#N/A</v>
      </c>
      <c r="AN60" s="33">
        <f>'Dados - Cliente'!AG60</f>
        <v>0</v>
      </c>
      <c r="AO60" s="33" t="e">
        <f>AA60*1.25/(0.22*SQRT(INDEX('Dados - Inversores'!AK:AK,MATCH('1'!AL60,'Dados - Inversores'!C:C,0))))</f>
        <v>#N/A</v>
      </c>
      <c r="AP60" s="34">
        <f>INDEX(Dados!$E$2:$E$33,COUNTIF(Dados!$E$2:$E$33,"&lt;="&amp;AN60*1.25/(INDEX('Dados - Inversores'!AL:AL,MATCH('1'!AL60,'Dados - Inversores'!C:C,0))*SQRT(INDEX('Dados - Inversores'!AK:AK,MATCH('1'!AL60,'Dados - Inversores'!C:C,0)))))+1)</f>
        <v>2</v>
      </c>
      <c r="AQ60" s="33" t="s">
        <v>59</v>
      </c>
      <c r="AR60" s="33" t="str">
        <f t="shared" si="6"/>
        <v>Micro</v>
      </c>
      <c r="AS60" s="33">
        <f>'Dados - Cliente'!AH60</f>
        <v>0</v>
      </c>
      <c r="AT60" s="33">
        <f>'Dados - Cliente'!AI60</f>
        <v>0</v>
      </c>
      <c r="AU60" s="33" t="e">
        <f>INDEX('Dados - Placas'!$N:$N,MATCH('1'!AG60,'Dados - Placas'!$D:$D,0))-1</f>
        <v>#N/A</v>
      </c>
      <c r="AV60" s="33" t="e">
        <f>INDEX('Dados - Placas'!$O:$O,MATCH('1'!AG60,'Dados - Placas'!$D:$D,0))</f>
        <v>#N/A</v>
      </c>
      <c r="AW60" s="33" t="e">
        <f>INDEX('Dados - Inversores'!AM:AM,MATCH('1'!AL60,'Dados - Inversores'!$C:$C,0))-1</f>
        <v>#N/A</v>
      </c>
      <c r="AX60" s="33" t="e">
        <f>INDEX('Dados - Inversores'!AN:AN,MATCH('1'!AL60,'Dados - Inversores'!$C:$C,0))-1</f>
        <v>#N/A</v>
      </c>
      <c r="AY60" s="33" t="e">
        <f>MATCH('1'!H60,Dados!$D$89:$D$167,0)+1</f>
        <v>#N/A</v>
      </c>
      <c r="AZ60" s="33" t="e">
        <f>MATCH('1'!N60,'Dados - Solicitação de acesso'!$N$2:$N$8,0)</f>
        <v>#N/A</v>
      </c>
      <c r="BA60" s="33" t="e">
        <f>MATCH('1'!T60,'Dados - Solicitação de acesso'!$T$2:$T$20,0)</f>
        <v>#N/A</v>
      </c>
      <c r="BB60" s="34"/>
      <c r="BC60" s="33">
        <f>MATCH(AT60,'Dados - Solicitação de acesso'!$AT$2:$AT$28,0)</f>
        <v>1</v>
      </c>
      <c r="BD60" s="33" t="b">
        <f>IF(O60="TRIFASICO",INDEX(Dados!G:G,MATCH('1'!AP60,Dados!E:E,0)),IF(O60="BIFASICO",INDEX(Dados!F:F,MATCH('1'!AP60,Dados!E:E,0),)))</f>
        <v>0</v>
      </c>
      <c r="BE60" s="33">
        <f>'Dados - Cliente'!J60</f>
        <v>0</v>
      </c>
      <c r="BF60" s="34">
        <f>INDEX(Dados!$E$2:$E$33,COUNTIF(Dados!$E$2:$E$33,"&lt;="&amp;AN60*1.25*AK60/(0.22*SQRT(INDEX('Dados - Inversores'!AK:AK,MATCH('1'!AL60,'Dados - Inversores'!C:C,0)))))+1)</f>
        <v>2</v>
      </c>
      <c r="BG60" s="34" t="b">
        <f>IF(O60="TRIFASICO",INDEX(Dados!G:G,MATCH(BF60,Dados!E:E,0)),IF(O60="BIFASICO",INDEX(Dados!F:F,MATCH(BF60,Dados!E:E,0),)))</f>
        <v>0</v>
      </c>
    </row>
    <row r="61" spans="1:59" s="33" customFormat="1" x14ac:dyDescent="0.35">
      <c r="A61" s="33">
        <f>'Dados - Cliente'!A61</f>
        <v>0</v>
      </c>
      <c r="B61" s="33">
        <f>'Dados - Cliente'!B61</f>
        <v>0</v>
      </c>
      <c r="C61" s="33">
        <f>'Dados - Cliente'!C61</f>
        <v>0</v>
      </c>
      <c r="D61" s="33">
        <f>'Dados - Cliente'!D61</f>
        <v>0</v>
      </c>
      <c r="E61" s="33">
        <f>'Dados - Cliente'!E61</f>
        <v>0</v>
      </c>
      <c r="F61" s="33">
        <f>'Dados - Cliente'!F61</f>
        <v>0</v>
      </c>
      <c r="G61" s="33">
        <f>'Dados - Cliente'!G61</f>
        <v>0</v>
      </c>
      <c r="H61" s="33">
        <f>'Dados - Cliente'!H61</f>
        <v>0</v>
      </c>
      <c r="I61" s="75" t="s">
        <v>4313</v>
      </c>
      <c r="J61" s="52" t="s">
        <v>4314</v>
      </c>
      <c r="K61" s="52" t="s">
        <v>4314</v>
      </c>
      <c r="L61" s="33">
        <f>'Dados - Cliente'!I61</f>
        <v>0</v>
      </c>
      <c r="M61" s="33">
        <f>'Dados - Cliente'!K61</f>
        <v>0</v>
      </c>
      <c r="N61" s="33">
        <f>'Dados - Cliente'!L61</f>
        <v>0</v>
      </c>
      <c r="O61" s="33">
        <f>'Dados - Cliente'!M61</f>
        <v>0</v>
      </c>
      <c r="P61" s="33">
        <f>'Dados - Cliente'!N61</f>
        <v>0</v>
      </c>
      <c r="Q61" s="33">
        <f>'Dados - Cliente'!O61</f>
        <v>0</v>
      </c>
      <c r="R61" s="33">
        <f>'Dados - Cliente'!P61</f>
        <v>0</v>
      </c>
      <c r="S61" s="33">
        <f>'Dados - Cliente'!Q61</f>
        <v>0</v>
      </c>
      <c r="T61" s="33">
        <f>'Dados - Cliente'!R61</f>
        <v>0</v>
      </c>
      <c r="U61" s="34">
        <f>'Dados - Cliente'!S61</f>
        <v>0</v>
      </c>
      <c r="V61" s="34">
        <f>'Dados - Cliente'!T61</f>
        <v>0</v>
      </c>
      <c r="W61" s="34">
        <f>'Dados - Cliente'!U61</f>
        <v>0</v>
      </c>
      <c r="X61" s="34">
        <f>'Dados - Cliente'!V61</f>
        <v>0</v>
      </c>
      <c r="Y61" s="34">
        <f>'Dados - Cliente'!W61</f>
        <v>0</v>
      </c>
      <c r="Z61" s="34">
        <f>'Dados - Cliente'!X61</f>
        <v>0</v>
      </c>
      <c r="AA61" s="33" t="e">
        <f t="shared" si="5"/>
        <v>#N/A</v>
      </c>
      <c r="AB61" s="33">
        <f>'Dados - Cliente'!Y61</f>
        <v>0</v>
      </c>
      <c r="AC61" s="33">
        <f>'Dados - Cliente'!Z61</f>
        <v>0</v>
      </c>
      <c r="AD61" s="33">
        <f>'Dados - Cliente'!AA61</f>
        <v>0</v>
      </c>
      <c r="AE61" s="33">
        <f>'Dados - Cliente'!AB61</f>
        <v>0</v>
      </c>
      <c r="AF61" s="33">
        <f>'Dados - Cliente'!AC61</f>
        <v>0</v>
      </c>
      <c r="AG61" s="35">
        <f>'Dados - Cliente'!AD61</f>
        <v>0</v>
      </c>
      <c r="AH61" s="33" t="e">
        <f>INDEX('Dados - Placas'!$A:$A,MATCH('1'!AG61,'Dados - Placas'!$D:$D,0))</f>
        <v>#N/A</v>
      </c>
      <c r="AI61" s="35" t="e">
        <f>INDEX('Dados - Placas'!$E:$E,MATCH('1'!AG61,'Dados - Placas'!$D:$D,0))</f>
        <v>#N/A</v>
      </c>
      <c r="AJ61" s="34" t="e">
        <f>INDEX('Dados - Placas'!$F:$F,MATCH('1'!AG61,'Dados - Placas'!$D:$D,0))*AF61</f>
        <v>#N/A</v>
      </c>
      <c r="AK61" s="33">
        <f>'Dados - Cliente'!AE61</f>
        <v>0</v>
      </c>
      <c r="AL61" s="33">
        <f>'Dados - Cliente'!AF61</f>
        <v>0</v>
      </c>
      <c r="AM61" s="36" t="e">
        <f>INDEX('Dados - Inversores'!$A:$A,MATCH('1'!AL61,'Dados - Inversores'!$C:$C,0))</f>
        <v>#N/A</v>
      </c>
      <c r="AN61" s="33">
        <f>'Dados - Cliente'!AG61</f>
        <v>0</v>
      </c>
      <c r="AO61" s="33" t="e">
        <f>AA61*1.25/(0.22*SQRT(INDEX('Dados - Inversores'!AK:AK,MATCH('1'!AL61,'Dados - Inversores'!C:C,0))))</f>
        <v>#N/A</v>
      </c>
      <c r="AP61" s="34">
        <f>INDEX(Dados!$E$2:$E$33,COUNTIF(Dados!$E$2:$E$33,"&lt;="&amp;AN61*1.25/(INDEX('Dados - Inversores'!AL:AL,MATCH('1'!AL61,'Dados - Inversores'!C:C,0))*SQRT(INDEX('Dados - Inversores'!AK:AK,MATCH('1'!AL61,'Dados - Inversores'!C:C,0)))))+1)</f>
        <v>2</v>
      </c>
      <c r="AQ61" s="33" t="s">
        <v>59</v>
      </c>
      <c r="AR61" s="33" t="str">
        <f t="shared" si="6"/>
        <v>Micro</v>
      </c>
      <c r="AS61" s="33">
        <f>'Dados - Cliente'!AH61</f>
        <v>0</v>
      </c>
      <c r="AT61" s="33">
        <f>'Dados - Cliente'!AI61</f>
        <v>0</v>
      </c>
      <c r="AU61" s="33" t="e">
        <f>INDEX('Dados - Placas'!$N:$N,MATCH('1'!AG61,'Dados - Placas'!$D:$D,0))-1</f>
        <v>#N/A</v>
      </c>
      <c r="AV61" s="33" t="e">
        <f>INDEX('Dados - Placas'!$O:$O,MATCH('1'!AG61,'Dados - Placas'!$D:$D,0))</f>
        <v>#N/A</v>
      </c>
      <c r="AW61" s="33" t="e">
        <f>INDEX('Dados - Inversores'!AM:AM,MATCH('1'!AL61,'Dados - Inversores'!$C:$C,0))-1</f>
        <v>#N/A</v>
      </c>
      <c r="AX61" s="33" t="e">
        <f>INDEX('Dados - Inversores'!AN:AN,MATCH('1'!AL61,'Dados - Inversores'!$C:$C,0))-1</f>
        <v>#N/A</v>
      </c>
      <c r="AY61" s="33" t="e">
        <f>MATCH('1'!H61,Dados!$D$89:$D$167,0)+1</f>
        <v>#N/A</v>
      </c>
      <c r="AZ61" s="33" t="e">
        <f>MATCH('1'!N61,'Dados - Solicitação de acesso'!$N$2:$N$8,0)</f>
        <v>#N/A</v>
      </c>
      <c r="BA61" s="33" t="e">
        <f>MATCH('1'!T61,'Dados - Solicitação de acesso'!$T$2:$T$20,0)</f>
        <v>#N/A</v>
      </c>
      <c r="BB61" s="34"/>
      <c r="BC61" s="33">
        <f>MATCH(AT61,'Dados - Solicitação de acesso'!$AT$2:$AT$28,0)</f>
        <v>1</v>
      </c>
      <c r="BD61" s="33" t="b">
        <f>IF(O61="TRIFASICO",INDEX(Dados!G:G,MATCH('1'!AP61,Dados!E:E,0)),IF(O61="BIFASICO",INDEX(Dados!F:F,MATCH('1'!AP61,Dados!E:E,0),)))</f>
        <v>0</v>
      </c>
      <c r="BE61" s="33">
        <f>'Dados - Cliente'!J61</f>
        <v>0</v>
      </c>
      <c r="BF61" s="34">
        <f>INDEX(Dados!$E$2:$E$33,COUNTIF(Dados!$E$2:$E$33,"&lt;="&amp;AN61*1.25*AK61/(0.22*SQRT(INDEX('Dados - Inversores'!AK:AK,MATCH('1'!AL61,'Dados - Inversores'!C:C,0)))))+1)</f>
        <v>2</v>
      </c>
      <c r="BG61" s="34" t="b">
        <f>IF(O61="TRIFASICO",INDEX(Dados!G:G,MATCH(BF61,Dados!E:E,0)),IF(O61="BIFASICO",INDEX(Dados!F:F,MATCH(BF61,Dados!E:E,0),)))</f>
        <v>0</v>
      </c>
    </row>
    <row r="62" spans="1:59" s="33" customFormat="1" x14ac:dyDescent="0.35">
      <c r="A62" s="33">
        <f>'Dados - Cliente'!A62</f>
        <v>0</v>
      </c>
      <c r="B62" s="33">
        <f>'Dados - Cliente'!B62</f>
        <v>0</v>
      </c>
      <c r="C62" s="33">
        <f>'Dados - Cliente'!C62</f>
        <v>0</v>
      </c>
      <c r="D62" s="33">
        <f>'Dados - Cliente'!D62</f>
        <v>0</v>
      </c>
      <c r="E62" s="33">
        <f>'Dados - Cliente'!E62</f>
        <v>0</v>
      </c>
      <c r="F62" s="33">
        <f>'Dados - Cliente'!F62</f>
        <v>0</v>
      </c>
      <c r="G62" s="33">
        <f>'Dados - Cliente'!G62</f>
        <v>0</v>
      </c>
      <c r="H62" s="33">
        <f>'Dados - Cliente'!H62</f>
        <v>0</v>
      </c>
      <c r="I62" s="75" t="s">
        <v>4313</v>
      </c>
      <c r="J62" s="52" t="s">
        <v>4314</v>
      </c>
      <c r="K62" s="52" t="s">
        <v>4314</v>
      </c>
      <c r="L62" s="33">
        <f>'Dados - Cliente'!I62</f>
        <v>0</v>
      </c>
      <c r="M62" s="33">
        <f>'Dados - Cliente'!K62</f>
        <v>0</v>
      </c>
      <c r="N62" s="33">
        <f>'Dados - Cliente'!L62</f>
        <v>0</v>
      </c>
      <c r="O62" s="33">
        <f>'Dados - Cliente'!M62</f>
        <v>0</v>
      </c>
      <c r="P62" s="33">
        <f>'Dados - Cliente'!N62</f>
        <v>0</v>
      </c>
      <c r="Q62" s="33">
        <f>'Dados - Cliente'!O62</f>
        <v>0</v>
      </c>
      <c r="R62" s="33">
        <f>'Dados - Cliente'!P62</f>
        <v>0</v>
      </c>
      <c r="S62" s="33">
        <f>'Dados - Cliente'!Q62</f>
        <v>0</v>
      </c>
      <c r="T62" s="33">
        <f>'Dados - Cliente'!R62</f>
        <v>0</v>
      </c>
      <c r="U62" s="34">
        <f>'Dados - Cliente'!S62</f>
        <v>0</v>
      </c>
      <c r="V62" s="34">
        <f>'Dados - Cliente'!T62</f>
        <v>0</v>
      </c>
      <c r="W62" s="34">
        <f>'Dados - Cliente'!U62</f>
        <v>0</v>
      </c>
      <c r="X62" s="34">
        <f>'Dados - Cliente'!V62</f>
        <v>0</v>
      </c>
      <c r="Y62" s="34">
        <f>'Dados - Cliente'!W62</f>
        <v>0</v>
      </c>
      <c r="Z62" s="34">
        <f>'Dados - Cliente'!X62</f>
        <v>0</v>
      </c>
      <c r="AA62" s="33" t="e">
        <f t="shared" si="5"/>
        <v>#N/A</v>
      </c>
      <c r="AB62" s="33">
        <f>'Dados - Cliente'!Y62</f>
        <v>0</v>
      </c>
      <c r="AC62" s="33">
        <f>'Dados - Cliente'!Z62</f>
        <v>0</v>
      </c>
      <c r="AD62" s="33">
        <f>'Dados - Cliente'!AA62</f>
        <v>0</v>
      </c>
      <c r="AE62" s="33">
        <f>'Dados - Cliente'!AB62</f>
        <v>0</v>
      </c>
      <c r="AF62" s="33">
        <f>'Dados - Cliente'!AC62</f>
        <v>0</v>
      </c>
      <c r="AG62" s="35">
        <f>'Dados - Cliente'!AD62</f>
        <v>0</v>
      </c>
      <c r="AH62" s="33" t="e">
        <f>INDEX('Dados - Placas'!$A:$A,MATCH('1'!AG62,'Dados - Placas'!$D:$D,0))</f>
        <v>#N/A</v>
      </c>
      <c r="AI62" s="35" t="e">
        <f>INDEX('Dados - Placas'!$E:$E,MATCH('1'!AG62,'Dados - Placas'!$D:$D,0))</f>
        <v>#N/A</v>
      </c>
      <c r="AJ62" s="34" t="e">
        <f>INDEX('Dados - Placas'!$F:$F,MATCH('1'!AG62,'Dados - Placas'!$D:$D,0))*AF62</f>
        <v>#N/A</v>
      </c>
      <c r="AK62" s="33">
        <f>'Dados - Cliente'!AE62</f>
        <v>0</v>
      </c>
      <c r="AL62" s="33">
        <f>'Dados - Cliente'!AF62</f>
        <v>0</v>
      </c>
      <c r="AM62" s="36" t="e">
        <f>INDEX('Dados - Inversores'!$A:$A,MATCH('1'!AL62,'Dados - Inversores'!$C:$C,0))</f>
        <v>#N/A</v>
      </c>
      <c r="AN62" s="33">
        <f>'Dados - Cliente'!AG62</f>
        <v>0</v>
      </c>
      <c r="AO62" s="33" t="e">
        <f>AA62*1.25/(0.22*SQRT(INDEX('Dados - Inversores'!AK:AK,MATCH('1'!AL62,'Dados - Inversores'!C:C,0))))</f>
        <v>#N/A</v>
      </c>
      <c r="AP62" s="34">
        <f>INDEX(Dados!$E$2:$E$33,COUNTIF(Dados!$E$2:$E$33,"&lt;="&amp;AN62*1.25/(INDEX('Dados - Inversores'!AL:AL,MATCH('1'!AL62,'Dados - Inversores'!C:C,0))*SQRT(INDEX('Dados - Inversores'!AK:AK,MATCH('1'!AL62,'Dados - Inversores'!C:C,0)))))+1)</f>
        <v>2</v>
      </c>
      <c r="AQ62" s="33" t="s">
        <v>59</v>
      </c>
      <c r="AR62" s="33" t="str">
        <f t="shared" si="6"/>
        <v>Micro</v>
      </c>
      <c r="AS62" s="33">
        <f>'Dados - Cliente'!AH62</f>
        <v>0</v>
      </c>
      <c r="AT62" s="33">
        <f>'Dados - Cliente'!AI62</f>
        <v>0</v>
      </c>
      <c r="AU62" s="33" t="e">
        <f>INDEX('Dados - Placas'!$N:$N,MATCH('1'!AG62,'Dados - Placas'!$D:$D,0))-1</f>
        <v>#N/A</v>
      </c>
      <c r="AV62" s="33" t="e">
        <f>INDEX('Dados - Placas'!$O:$O,MATCH('1'!AG62,'Dados - Placas'!$D:$D,0))</f>
        <v>#N/A</v>
      </c>
      <c r="AW62" s="33" t="e">
        <f>INDEX('Dados - Inversores'!AM:AM,MATCH('1'!AL62,'Dados - Inversores'!$C:$C,0))-1</f>
        <v>#N/A</v>
      </c>
      <c r="AX62" s="33" t="e">
        <f>INDEX('Dados - Inversores'!AN:AN,MATCH('1'!AL62,'Dados - Inversores'!$C:$C,0))-1</f>
        <v>#N/A</v>
      </c>
      <c r="AY62" s="33" t="e">
        <f>MATCH('1'!H62,Dados!$D$89:$D$167,0)+1</f>
        <v>#N/A</v>
      </c>
      <c r="AZ62" s="33" t="e">
        <f>MATCH('1'!N62,'Dados - Solicitação de acesso'!$N$2:$N$8,0)</f>
        <v>#N/A</v>
      </c>
      <c r="BA62" s="33" t="e">
        <f>MATCH('1'!T62,'Dados - Solicitação de acesso'!$T$2:$T$20,0)</f>
        <v>#N/A</v>
      </c>
      <c r="BB62" s="34"/>
      <c r="BC62" s="33">
        <f>MATCH(AT62,'Dados - Solicitação de acesso'!$AT$2:$AT$28,0)</f>
        <v>1</v>
      </c>
      <c r="BD62" s="33" t="b">
        <f>IF(O62="TRIFASICO",INDEX(Dados!G:G,MATCH('1'!AP62,Dados!E:E,0)),IF(O62="BIFASICO",INDEX(Dados!F:F,MATCH('1'!AP62,Dados!E:E,0),)))</f>
        <v>0</v>
      </c>
      <c r="BE62" s="33">
        <f>'Dados - Cliente'!J62</f>
        <v>0</v>
      </c>
      <c r="BF62" s="34">
        <f>INDEX(Dados!$E$2:$E$33,COUNTIF(Dados!$E$2:$E$33,"&lt;="&amp;AN62*1.25*AK62/(0.22*SQRT(INDEX('Dados - Inversores'!AK:AK,MATCH('1'!AL62,'Dados - Inversores'!C:C,0)))))+1)</f>
        <v>2</v>
      </c>
      <c r="BG62" s="34" t="b">
        <f>IF(O62="TRIFASICO",INDEX(Dados!G:G,MATCH(BF62,Dados!E:E,0)),IF(O62="BIFASICO",INDEX(Dados!F:F,MATCH(BF62,Dados!E:E,0),)))</f>
        <v>0</v>
      </c>
    </row>
    <row r="63" spans="1:59" s="33" customFormat="1" x14ac:dyDescent="0.35">
      <c r="A63" s="33">
        <f>'Dados - Cliente'!A63</f>
        <v>0</v>
      </c>
      <c r="B63" s="33">
        <f>'Dados - Cliente'!B63</f>
        <v>0</v>
      </c>
      <c r="C63" s="33">
        <f>'Dados - Cliente'!C63</f>
        <v>0</v>
      </c>
      <c r="D63" s="33">
        <f>'Dados - Cliente'!D63</f>
        <v>0</v>
      </c>
      <c r="E63" s="33">
        <f>'Dados - Cliente'!E63</f>
        <v>0</v>
      </c>
      <c r="F63" s="33">
        <f>'Dados - Cliente'!F63</f>
        <v>0</v>
      </c>
      <c r="G63" s="33">
        <f>'Dados - Cliente'!G63</f>
        <v>0</v>
      </c>
      <c r="H63" s="33">
        <f>'Dados - Cliente'!H63</f>
        <v>0</v>
      </c>
      <c r="I63" s="75" t="s">
        <v>4313</v>
      </c>
      <c r="J63" s="52" t="s">
        <v>4314</v>
      </c>
      <c r="K63" s="52" t="s">
        <v>4314</v>
      </c>
      <c r="L63" s="33">
        <f>'Dados - Cliente'!I63</f>
        <v>0</v>
      </c>
      <c r="M63" s="33">
        <f>'Dados - Cliente'!K63</f>
        <v>0</v>
      </c>
      <c r="N63" s="33">
        <f>'Dados - Cliente'!L63</f>
        <v>0</v>
      </c>
      <c r="O63" s="33">
        <f>'Dados - Cliente'!M63</f>
        <v>0</v>
      </c>
      <c r="P63" s="33">
        <f>'Dados - Cliente'!N63</f>
        <v>0</v>
      </c>
      <c r="Q63" s="33">
        <f>'Dados - Cliente'!O63</f>
        <v>0</v>
      </c>
      <c r="R63" s="33">
        <f>'Dados - Cliente'!P63</f>
        <v>0</v>
      </c>
      <c r="S63" s="33">
        <f>'Dados - Cliente'!Q63</f>
        <v>0</v>
      </c>
      <c r="T63" s="33">
        <f>'Dados - Cliente'!R63</f>
        <v>0</v>
      </c>
      <c r="U63" s="34">
        <f>'Dados - Cliente'!S63</f>
        <v>0</v>
      </c>
      <c r="V63" s="34">
        <f>'Dados - Cliente'!T63</f>
        <v>0</v>
      </c>
      <c r="W63" s="34">
        <f>'Dados - Cliente'!U63</f>
        <v>0</v>
      </c>
      <c r="X63" s="34">
        <f>'Dados - Cliente'!V63</f>
        <v>0</v>
      </c>
      <c r="Y63" s="34">
        <f>'Dados - Cliente'!W63</f>
        <v>0</v>
      </c>
      <c r="Z63" s="34">
        <f>'Dados - Cliente'!X63</f>
        <v>0</v>
      </c>
      <c r="AA63" s="33" t="e">
        <f t="shared" si="5"/>
        <v>#N/A</v>
      </c>
      <c r="AB63" s="33">
        <f>'Dados - Cliente'!Y63</f>
        <v>0</v>
      </c>
      <c r="AC63" s="33">
        <f>'Dados - Cliente'!Z63</f>
        <v>0</v>
      </c>
      <c r="AD63" s="33">
        <f>'Dados - Cliente'!AA63</f>
        <v>0</v>
      </c>
      <c r="AE63" s="33">
        <f>'Dados - Cliente'!AB63</f>
        <v>0</v>
      </c>
      <c r="AF63" s="33">
        <f>'Dados - Cliente'!AC63</f>
        <v>0</v>
      </c>
      <c r="AG63" s="35">
        <f>'Dados - Cliente'!AD63</f>
        <v>0</v>
      </c>
      <c r="AH63" s="33" t="e">
        <f>INDEX('Dados - Placas'!$A:$A,MATCH('1'!AG63,'Dados - Placas'!$D:$D,0))</f>
        <v>#N/A</v>
      </c>
      <c r="AI63" s="35" t="e">
        <f>INDEX('Dados - Placas'!$E:$E,MATCH('1'!AG63,'Dados - Placas'!$D:$D,0))</f>
        <v>#N/A</v>
      </c>
      <c r="AJ63" s="34" t="e">
        <f>INDEX('Dados - Placas'!$F:$F,MATCH('1'!AG63,'Dados - Placas'!$D:$D,0))*AF63</f>
        <v>#N/A</v>
      </c>
      <c r="AK63" s="33">
        <f>'Dados - Cliente'!AE63</f>
        <v>0</v>
      </c>
      <c r="AL63" s="33">
        <f>'Dados - Cliente'!AF63</f>
        <v>0</v>
      </c>
      <c r="AM63" s="36" t="e">
        <f>INDEX('Dados - Inversores'!$A:$A,MATCH('1'!AL63,'Dados - Inversores'!$C:$C,0))</f>
        <v>#N/A</v>
      </c>
      <c r="AN63" s="33">
        <f>'Dados - Cliente'!AG63</f>
        <v>0</v>
      </c>
      <c r="AO63" s="33" t="e">
        <f>AA63*1.25/(0.22*SQRT(INDEX('Dados - Inversores'!AK:AK,MATCH('1'!AL63,'Dados - Inversores'!C:C,0))))</f>
        <v>#N/A</v>
      </c>
      <c r="AP63" s="34">
        <f>INDEX(Dados!$E$2:$E$33,COUNTIF(Dados!$E$2:$E$33,"&lt;="&amp;AN63*1.25/(INDEX('Dados - Inversores'!AL:AL,MATCH('1'!AL63,'Dados - Inversores'!C:C,0))*SQRT(INDEX('Dados - Inversores'!AK:AK,MATCH('1'!AL63,'Dados - Inversores'!C:C,0)))))+1)</f>
        <v>2</v>
      </c>
      <c r="AQ63" s="33" t="s">
        <v>59</v>
      </c>
      <c r="AR63" s="33" t="str">
        <f t="shared" si="6"/>
        <v>Micro</v>
      </c>
      <c r="AS63" s="33">
        <f>'Dados - Cliente'!AH63</f>
        <v>0</v>
      </c>
      <c r="AT63" s="33">
        <f>'Dados - Cliente'!AI63</f>
        <v>0</v>
      </c>
      <c r="AU63" s="33" t="e">
        <f>INDEX('Dados - Placas'!$N:$N,MATCH('1'!AG63,'Dados - Placas'!$D:$D,0))-1</f>
        <v>#N/A</v>
      </c>
      <c r="AV63" s="33" t="e">
        <f>INDEX('Dados - Placas'!$O:$O,MATCH('1'!AG63,'Dados - Placas'!$D:$D,0))</f>
        <v>#N/A</v>
      </c>
      <c r="AW63" s="33" t="e">
        <f>INDEX('Dados - Inversores'!AM:AM,MATCH('1'!AL63,'Dados - Inversores'!$C:$C,0))-1</f>
        <v>#N/A</v>
      </c>
      <c r="AX63" s="33" t="e">
        <f>INDEX('Dados - Inversores'!AN:AN,MATCH('1'!AL63,'Dados - Inversores'!$C:$C,0))-1</f>
        <v>#N/A</v>
      </c>
      <c r="AY63" s="33" t="e">
        <f>MATCH('1'!H63,Dados!$D$89:$D$167,0)+1</f>
        <v>#N/A</v>
      </c>
      <c r="AZ63" s="33" t="e">
        <f>MATCH('1'!N63,'Dados - Solicitação de acesso'!$N$2:$N$8,0)</f>
        <v>#N/A</v>
      </c>
      <c r="BA63" s="33" t="e">
        <f>MATCH('1'!T63,'Dados - Solicitação de acesso'!$T$2:$T$20,0)</f>
        <v>#N/A</v>
      </c>
      <c r="BB63" s="34"/>
      <c r="BC63" s="33">
        <f>MATCH(AT63,'Dados - Solicitação de acesso'!$AT$2:$AT$28,0)</f>
        <v>1</v>
      </c>
      <c r="BD63" s="33" t="b">
        <f>IF(O63="TRIFASICO",INDEX(Dados!G:G,MATCH('1'!AP63,Dados!E:E,0)),IF(O63="BIFASICO",INDEX(Dados!F:F,MATCH('1'!AP63,Dados!E:E,0),)))</f>
        <v>0</v>
      </c>
      <c r="BE63" s="33">
        <f>'Dados - Cliente'!J63</f>
        <v>0</v>
      </c>
      <c r="BF63" s="34">
        <f>INDEX(Dados!$E$2:$E$33,COUNTIF(Dados!$E$2:$E$33,"&lt;="&amp;AN63*1.25*AK63/(0.22*SQRT(INDEX('Dados - Inversores'!AK:AK,MATCH('1'!AL63,'Dados - Inversores'!C:C,0)))))+1)</f>
        <v>2</v>
      </c>
      <c r="BG63" s="34" t="b">
        <f>IF(O63="TRIFASICO",INDEX(Dados!G:G,MATCH(BF63,Dados!E:E,0)),IF(O63="BIFASICO",INDEX(Dados!F:F,MATCH(BF63,Dados!E:E,0),)))</f>
        <v>0</v>
      </c>
    </row>
    <row r="64" spans="1:59" s="33" customFormat="1" x14ac:dyDescent="0.35">
      <c r="A64" s="33">
        <f>'Dados - Cliente'!A64</f>
        <v>0</v>
      </c>
      <c r="B64" s="33">
        <f>'Dados - Cliente'!B64</f>
        <v>0</v>
      </c>
      <c r="C64" s="33">
        <f>'Dados - Cliente'!C64</f>
        <v>0</v>
      </c>
      <c r="D64" s="33">
        <f>'Dados - Cliente'!D64</f>
        <v>0</v>
      </c>
      <c r="E64" s="33">
        <f>'Dados - Cliente'!E64</f>
        <v>0</v>
      </c>
      <c r="F64" s="33">
        <f>'Dados - Cliente'!F64</f>
        <v>0</v>
      </c>
      <c r="G64" s="33">
        <f>'Dados - Cliente'!G64</f>
        <v>0</v>
      </c>
      <c r="H64" s="33">
        <f>'Dados - Cliente'!H64</f>
        <v>0</v>
      </c>
      <c r="I64" s="75" t="s">
        <v>4313</v>
      </c>
      <c r="J64" s="52" t="s">
        <v>4314</v>
      </c>
      <c r="K64" s="52" t="s">
        <v>4314</v>
      </c>
      <c r="L64" s="33">
        <f>'Dados - Cliente'!I64</f>
        <v>0</v>
      </c>
      <c r="M64" s="33">
        <f>'Dados - Cliente'!K64</f>
        <v>0</v>
      </c>
      <c r="N64" s="33">
        <f>'Dados - Cliente'!L64</f>
        <v>0</v>
      </c>
      <c r="O64" s="33">
        <f>'Dados - Cliente'!M64</f>
        <v>0</v>
      </c>
      <c r="P64" s="33">
        <f>'Dados - Cliente'!N64</f>
        <v>0</v>
      </c>
      <c r="Q64" s="33">
        <f>'Dados - Cliente'!O64</f>
        <v>0</v>
      </c>
      <c r="R64" s="33">
        <f>'Dados - Cliente'!P64</f>
        <v>0</v>
      </c>
      <c r="S64" s="33">
        <f>'Dados - Cliente'!Q64</f>
        <v>0</v>
      </c>
      <c r="T64" s="33">
        <f>'Dados - Cliente'!R64</f>
        <v>0</v>
      </c>
      <c r="U64" s="34">
        <f>'Dados - Cliente'!S64</f>
        <v>0</v>
      </c>
      <c r="V64" s="34">
        <f>'Dados - Cliente'!T64</f>
        <v>0</v>
      </c>
      <c r="W64" s="34">
        <f>'Dados - Cliente'!U64</f>
        <v>0</v>
      </c>
      <c r="X64" s="34">
        <f>'Dados - Cliente'!V64</f>
        <v>0</v>
      </c>
      <c r="Y64" s="34">
        <f>'Dados - Cliente'!W64</f>
        <v>0</v>
      </c>
      <c r="Z64" s="34">
        <f>'Dados - Cliente'!X64</f>
        <v>0</v>
      </c>
      <c r="AA64" s="33" t="e">
        <f t="shared" si="5"/>
        <v>#N/A</v>
      </c>
      <c r="AB64" s="33">
        <f>'Dados - Cliente'!Y64</f>
        <v>0</v>
      </c>
      <c r="AC64" s="33">
        <f>'Dados - Cliente'!Z64</f>
        <v>0</v>
      </c>
      <c r="AD64" s="33">
        <f>'Dados - Cliente'!AA64</f>
        <v>0</v>
      </c>
      <c r="AE64" s="33">
        <f>'Dados - Cliente'!AB64</f>
        <v>0</v>
      </c>
      <c r="AF64" s="33">
        <f>'Dados - Cliente'!AC64</f>
        <v>0</v>
      </c>
      <c r="AG64" s="35">
        <f>'Dados - Cliente'!AD64</f>
        <v>0</v>
      </c>
      <c r="AH64" s="33" t="e">
        <f>INDEX('Dados - Placas'!$A:$A,MATCH('1'!AG64,'Dados - Placas'!$D:$D,0))</f>
        <v>#N/A</v>
      </c>
      <c r="AI64" s="35" t="e">
        <f>INDEX('Dados - Placas'!$E:$E,MATCH('1'!AG64,'Dados - Placas'!$D:$D,0))</f>
        <v>#N/A</v>
      </c>
      <c r="AJ64" s="34" t="e">
        <f>INDEX('Dados - Placas'!$F:$F,MATCH('1'!AG64,'Dados - Placas'!$D:$D,0))*AF64</f>
        <v>#N/A</v>
      </c>
      <c r="AK64" s="33">
        <f>'Dados - Cliente'!AE64</f>
        <v>0</v>
      </c>
      <c r="AL64" s="33">
        <f>'Dados - Cliente'!AF64</f>
        <v>0</v>
      </c>
      <c r="AM64" s="36" t="e">
        <f>INDEX('Dados - Inversores'!$A:$A,MATCH('1'!AL64,'Dados - Inversores'!$C:$C,0))</f>
        <v>#N/A</v>
      </c>
      <c r="AN64" s="33">
        <f>'Dados - Cliente'!AG64</f>
        <v>0</v>
      </c>
      <c r="AO64" s="33" t="e">
        <f>AA64*1.25/(0.22*SQRT(INDEX('Dados - Inversores'!AK:AK,MATCH('1'!AL64,'Dados - Inversores'!C:C,0))))</f>
        <v>#N/A</v>
      </c>
      <c r="AP64" s="34">
        <f>INDEX(Dados!$E$2:$E$33,COUNTIF(Dados!$E$2:$E$33,"&lt;="&amp;AN64*1.25/(INDEX('Dados - Inversores'!AL:AL,MATCH('1'!AL64,'Dados - Inversores'!C:C,0))*SQRT(INDEX('Dados - Inversores'!AK:AK,MATCH('1'!AL64,'Dados - Inversores'!C:C,0)))))+1)</f>
        <v>2</v>
      </c>
      <c r="AQ64" s="33" t="s">
        <v>59</v>
      </c>
      <c r="AR64" s="33" t="str">
        <f t="shared" si="6"/>
        <v>Micro</v>
      </c>
      <c r="AS64" s="33">
        <f>'Dados - Cliente'!AH64</f>
        <v>0</v>
      </c>
      <c r="AT64" s="33">
        <f>'Dados - Cliente'!AI64</f>
        <v>0</v>
      </c>
      <c r="AU64" s="33" t="e">
        <f>INDEX('Dados - Placas'!$N:$N,MATCH('1'!AG64,'Dados - Placas'!$D:$D,0))-1</f>
        <v>#N/A</v>
      </c>
      <c r="AV64" s="33" t="e">
        <f>INDEX('Dados - Placas'!$O:$O,MATCH('1'!AG64,'Dados - Placas'!$D:$D,0))</f>
        <v>#N/A</v>
      </c>
      <c r="AW64" s="33" t="e">
        <f>INDEX('Dados - Inversores'!AM:AM,MATCH('1'!AL64,'Dados - Inversores'!$C:$C,0))-1</f>
        <v>#N/A</v>
      </c>
      <c r="AX64" s="33" t="e">
        <f>INDEX('Dados - Inversores'!AN:AN,MATCH('1'!AL64,'Dados - Inversores'!$C:$C,0))-1</f>
        <v>#N/A</v>
      </c>
      <c r="AY64" s="33" t="e">
        <f>MATCH('1'!H64,Dados!$D$89:$D$167,0)+1</f>
        <v>#N/A</v>
      </c>
      <c r="AZ64" s="33" t="e">
        <f>MATCH('1'!N64,'Dados - Solicitação de acesso'!$N$2:$N$8,0)</f>
        <v>#N/A</v>
      </c>
      <c r="BA64" s="33" t="e">
        <f>MATCH('1'!T64,'Dados - Solicitação de acesso'!$T$2:$T$20,0)</f>
        <v>#N/A</v>
      </c>
      <c r="BB64" s="34"/>
      <c r="BC64" s="33">
        <f>MATCH(AT64,'Dados - Solicitação de acesso'!$AT$2:$AT$28,0)</f>
        <v>1</v>
      </c>
      <c r="BD64" s="33" t="b">
        <f>IF(O64="TRIFASICO",INDEX(Dados!G:G,MATCH('1'!AP64,Dados!E:E,0)),IF(O64="BIFASICO",INDEX(Dados!F:F,MATCH('1'!AP64,Dados!E:E,0),)))</f>
        <v>0</v>
      </c>
      <c r="BE64" s="33">
        <f>'Dados - Cliente'!J64</f>
        <v>0</v>
      </c>
      <c r="BF64" s="34">
        <f>INDEX(Dados!$E$2:$E$33,COUNTIF(Dados!$E$2:$E$33,"&lt;="&amp;AN64*1.25*AK64/(0.22*SQRT(INDEX('Dados - Inversores'!AK:AK,MATCH('1'!AL64,'Dados - Inversores'!C:C,0)))))+1)</f>
        <v>2</v>
      </c>
      <c r="BG64" s="34" t="b">
        <f>IF(O64="TRIFASICO",INDEX(Dados!G:G,MATCH(BF64,Dados!E:E,0)),IF(O64="BIFASICO",INDEX(Dados!F:F,MATCH(BF64,Dados!E:E,0),)))</f>
        <v>0</v>
      </c>
    </row>
    <row r="65" spans="1:59" s="33" customFormat="1" x14ac:dyDescent="0.35">
      <c r="A65" s="33">
        <f>'Dados - Cliente'!A65</f>
        <v>0</v>
      </c>
      <c r="B65" s="33">
        <f>'Dados - Cliente'!B65</f>
        <v>0</v>
      </c>
      <c r="C65" s="33">
        <f>'Dados - Cliente'!C65</f>
        <v>0</v>
      </c>
      <c r="D65" s="33">
        <f>'Dados - Cliente'!D65</f>
        <v>0</v>
      </c>
      <c r="E65" s="33">
        <f>'Dados - Cliente'!E65</f>
        <v>0</v>
      </c>
      <c r="F65" s="33">
        <f>'Dados - Cliente'!F65</f>
        <v>0</v>
      </c>
      <c r="G65" s="33">
        <f>'Dados - Cliente'!G65</f>
        <v>0</v>
      </c>
      <c r="H65" s="33">
        <f>'Dados - Cliente'!H65</f>
        <v>0</v>
      </c>
      <c r="I65" s="75" t="s">
        <v>4313</v>
      </c>
      <c r="J65" s="52" t="s">
        <v>4314</v>
      </c>
      <c r="K65" s="52" t="s">
        <v>4314</v>
      </c>
      <c r="L65" s="33">
        <f>'Dados - Cliente'!I65</f>
        <v>0</v>
      </c>
      <c r="M65" s="33">
        <f>'Dados - Cliente'!K65</f>
        <v>0</v>
      </c>
      <c r="N65" s="33">
        <f>'Dados - Cliente'!L65</f>
        <v>0</v>
      </c>
      <c r="O65" s="33">
        <f>'Dados - Cliente'!M65</f>
        <v>0</v>
      </c>
      <c r="P65" s="33">
        <f>'Dados - Cliente'!N65</f>
        <v>0</v>
      </c>
      <c r="Q65" s="33">
        <f>'Dados - Cliente'!O65</f>
        <v>0</v>
      </c>
      <c r="R65" s="33">
        <f>'Dados - Cliente'!P65</f>
        <v>0</v>
      </c>
      <c r="S65" s="33">
        <f>'Dados - Cliente'!Q65</f>
        <v>0</v>
      </c>
      <c r="T65" s="33">
        <f>'Dados - Cliente'!R65</f>
        <v>0</v>
      </c>
      <c r="U65" s="34">
        <f>'Dados - Cliente'!S65</f>
        <v>0</v>
      </c>
      <c r="V65" s="34">
        <f>'Dados - Cliente'!T65</f>
        <v>0</v>
      </c>
      <c r="W65" s="34">
        <f>'Dados - Cliente'!U65</f>
        <v>0</v>
      </c>
      <c r="X65" s="34">
        <f>'Dados - Cliente'!V65</f>
        <v>0</v>
      </c>
      <c r="Y65" s="34">
        <f>'Dados - Cliente'!W65</f>
        <v>0</v>
      </c>
      <c r="Z65" s="34">
        <f>'Dados - Cliente'!X65</f>
        <v>0</v>
      </c>
      <c r="AA65" s="33" t="e">
        <f t="shared" si="5"/>
        <v>#N/A</v>
      </c>
      <c r="AB65" s="33">
        <f>'Dados - Cliente'!Y65</f>
        <v>0</v>
      </c>
      <c r="AC65" s="33">
        <f>'Dados - Cliente'!Z65</f>
        <v>0</v>
      </c>
      <c r="AD65" s="33">
        <f>'Dados - Cliente'!AA65</f>
        <v>0</v>
      </c>
      <c r="AE65" s="33">
        <f>'Dados - Cliente'!AB65</f>
        <v>0</v>
      </c>
      <c r="AF65" s="33">
        <f>'Dados - Cliente'!AC65</f>
        <v>0</v>
      </c>
      <c r="AG65" s="35">
        <f>'Dados - Cliente'!AD65</f>
        <v>0</v>
      </c>
      <c r="AH65" s="33" t="e">
        <f>INDEX('Dados - Placas'!$A:$A,MATCH('1'!AG65,'Dados - Placas'!$D:$D,0))</f>
        <v>#N/A</v>
      </c>
      <c r="AI65" s="35" t="e">
        <f>INDEX('Dados - Placas'!$E:$E,MATCH('1'!AG65,'Dados - Placas'!$D:$D,0))</f>
        <v>#N/A</v>
      </c>
      <c r="AJ65" s="34" t="e">
        <f>INDEX('Dados - Placas'!$F:$F,MATCH('1'!AG65,'Dados - Placas'!$D:$D,0))*AF65</f>
        <v>#N/A</v>
      </c>
      <c r="AK65" s="33">
        <f>'Dados - Cliente'!AE65</f>
        <v>0</v>
      </c>
      <c r="AL65" s="33">
        <f>'Dados - Cliente'!AF65</f>
        <v>0</v>
      </c>
      <c r="AM65" s="36" t="e">
        <f>INDEX('Dados - Inversores'!$A:$A,MATCH('1'!AL65,'Dados - Inversores'!$C:$C,0))</f>
        <v>#N/A</v>
      </c>
      <c r="AN65" s="33">
        <f>'Dados - Cliente'!AG65</f>
        <v>0</v>
      </c>
      <c r="AO65" s="33" t="e">
        <f>AA65*1.25/(0.22*SQRT(INDEX('Dados - Inversores'!AK:AK,MATCH('1'!AL65,'Dados - Inversores'!C:C,0))))</f>
        <v>#N/A</v>
      </c>
      <c r="AP65" s="34">
        <f>INDEX(Dados!$E$2:$E$33,COUNTIF(Dados!$E$2:$E$33,"&lt;="&amp;AN65*1.25/(INDEX('Dados - Inversores'!AL:AL,MATCH('1'!AL65,'Dados - Inversores'!C:C,0))*SQRT(INDEX('Dados - Inversores'!AK:AK,MATCH('1'!AL65,'Dados - Inversores'!C:C,0)))))+1)</f>
        <v>2</v>
      </c>
      <c r="AQ65" s="33" t="s">
        <v>59</v>
      </c>
      <c r="AR65" s="33" t="str">
        <f t="shared" si="6"/>
        <v>Micro</v>
      </c>
      <c r="AS65" s="33">
        <f>'Dados - Cliente'!AH65</f>
        <v>0</v>
      </c>
      <c r="AT65" s="33">
        <f>'Dados - Cliente'!AI65</f>
        <v>0</v>
      </c>
      <c r="AU65" s="33" t="e">
        <f>INDEX('Dados - Placas'!$N:$N,MATCH('1'!AG65,'Dados - Placas'!$D:$D,0))-1</f>
        <v>#N/A</v>
      </c>
      <c r="AV65" s="33" t="e">
        <f>INDEX('Dados - Placas'!$O:$O,MATCH('1'!AG65,'Dados - Placas'!$D:$D,0))</f>
        <v>#N/A</v>
      </c>
      <c r="AW65" s="33" t="e">
        <f>INDEX('Dados - Inversores'!AM:AM,MATCH('1'!AL65,'Dados - Inversores'!$C:$C,0))-1</f>
        <v>#N/A</v>
      </c>
      <c r="AX65" s="33" t="e">
        <f>INDEX('Dados - Inversores'!AN:AN,MATCH('1'!AL65,'Dados - Inversores'!$C:$C,0))-1</f>
        <v>#N/A</v>
      </c>
      <c r="AY65" s="33" t="e">
        <f>MATCH('1'!H65,Dados!$D$89:$D$167,0)+1</f>
        <v>#N/A</v>
      </c>
      <c r="AZ65" s="33" t="e">
        <f>MATCH('1'!N65,'Dados - Solicitação de acesso'!$N$2:$N$8,0)</f>
        <v>#N/A</v>
      </c>
      <c r="BA65" s="33" t="e">
        <f>MATCH('1'!T65,'Dados - Solicitação de acesso'!$T$2:$T$20,0)</f>
        <v>#N/A</v>
      </c>
      <c r="BB65" s="34"/>
      <c r="BC65" s="33">
        <f>MATCH(AT65,'Dados - Solicitação de acesso'!$AT$2:$AT$28,0)</f>
        <v>1</v>
      </c>
      <c r="BD65" s="33" t="b">
        <f>IF(O65="TRIFASICO",INDEX(Dados!G:G,MATCH('1'!AP65,Dados!E:E,0)),IF(O65="BIFASICO",INDEX(Dados!F:F,MATCH('1'!AP65,Dados!E:E,0),)))</f>
        <v>0</v>
      </c>
      <c r="BE65" s="33">
        <f>'Dados - Cliente'!J65</f>
        <v>0</v>
      </c>
      <c r="BF65" s="34">
        <f>INDEX(Dados!$E$2:$E$33,COUNTIF(Dados!$E$2:$E$33,"&lt;="&amp;AN65*1.25*AK65/(0.22*SQRT(INDEX('Dados - Inversores'!AK:AK,MATCH('1'!AL65,'Dados - Inversores'!C:C,0)))))+1)</f>
        <v>2</v>
      </c>
      <c r="BG65" s="34" t="b">
        <f>IF(O65="TRIFASICO",INDEX(Dados!G:G,MATCH(BF65,Dados!E:E,0)),IF(O65="BIFASICO",INDEX(Dados!F:F,MATCH(BF65,Dados!E:E,0),)))</f>
        <v>0</v>
      </c>
    </row>
    <row r="66" spans="1:59" s="33" customFormat="1" x14ac:dyDescent="0.35">
      <c r="A66" s="33">
        <f>'Dados - Cliente'!A66</f>
        <v>0</v>
      </c>
      <c r="B66" s="33">
        <f>'Dados - Cliente'!B66</f>
        <v>0</v>
      </c>
      <c r="C66" s="33">
        <f>'Dados - Cliente'!C66</f>
        <v>0</v>
      </c>
      <c r="D66" s="33">
        <f>'Dados - Cliente'!D66</f>
        <v>0</v>
      </c>
      <c r="E66" s="33">
        <f>'Dados - Cliente'!E66</f>
        <v>0</v>
      </c>
      <c r="F66" s="33">
        <f>'Dados - Cliente'!F66</f>
        <v>0</v>
      </c>
      <c r="G66" s="33">
        <f>'Dados - Cliente'!G66</f>
        <v>0</v>
      </c>
      <c r="H66" s="33">
        <f>'Dados - Cliente'!H66</f>
        <v>0</v>
      </c>
      <c r="I66" s="75" t="s">
        <v>4313</v>
      </c>
      <c r="J66" s="52" t="s">
        <v>4314</v>
      </c>
      <c r="K66" s="52" t="s">
        <v>4314</v>
      </c>
      <c r="L66" s="33">
        <f>'Dados - Cliente'!I66</f>
        <v>0</v>
      </c>
      <c r="M66" s="33">
        <f>'Dados - Cliente'!K66</f>
        <v>0</v>
      </c>
      <c r="N66" s="33">
        <f>'Dados - Cliente'!L66</f>
        <v>0</v>
      </c>
      <c r="O66" s="33">
        <f>'Dados - Cliente'!M66</f>
        <v>0</v>
      </c>
      <c r="P66" s="33">
        <f>'Dados - Cliente'!N66</f>
        <v>0</v>
      </c>
      <c r="Q66" s="33">
        <f>'Dados - Cliente'!O66</f>
        <v>0</v>
      </c>
      <c r="R66" s="33">
        <f>'Dados - Cliente'!P66</f>
        <v>0</v>
      </c>
      <c r="S66" s="33">
        <f>'Dados - Cliente'!Q66</f>
        <v>0</v>
      </c>
      <c r="T66" s="33">
        <f>'Dados - Cliente'!R66</f>
        <v>0</v>
      </c>
      <c r="U66" s="34">
        <f>'Dados - Cliente'!S66</f>
        <v>0</v>
      </c>
      <c r="V66" s="34">
        <f>'Dados - Cliente'!T66</f>
        <v>0</v>
      </c>
      <c r="W66" s="34">
        <f>'Dados - Cliente'!U66</f>
        <v>0</v>
      </c>
      <c r="X66" s="34">
        <f>'Dados - Cliente'!V66</f>
        <v>0</v>
      </c>
      <c r="Y66" s="34">
        <f>'Dados - Cliente'!W66</f>
        <v>0</v>
      </c>
      <c r="Z66" s="34">
        <f>'Dados - Cliente'!X66</f>
        <v>0</v>
      </c>
      <c r="AA66" s="33" t="e">
        <f t="shared" si="5"/>
        <v>#N/A</v>
      </c>
      <c r="AB66" s="33">
        <f>'Dados - Cliente'!Y66</f>
        <v>0</v>
      </c>
      <c r="AC66" s="33">
        <f>'Dados - Cliente'!Z66</f>
        <v>0</v>
      </c>
      <c r="AD66" s="33">
        <f>'Dados - Cliente'!AA66</f>
        <v>0</v>
      </c>
      <c r="AE66" s="33">
        <f>'Dados - Cliente'!AB66</f>
        <v>0</v>
      </c>
      <c r="AF66" s="33">
        <f>'Dados - Cliente'!AC66</f>
        <v>0</v>
      </c>
      <c r="AG66" s="35">
        <f>'Dados - Cliente'!AD66</f>
        <v>0</v>
      </c>
      <c r="AH66" s="33" t="e">
        <f>INDEX('Dados - Placas'!$A:$A,MATCH('1'!AG66,'Dados - Placas'!$D:$D,0))</f>
        <v>#N/A</v>
      </c>
      <c r="AI66" s="35" t="e">
        <f>INDEX('Dados - Placas'!$E:$E,MATCH('1'!AG66,'Dados - Placas'!$D:$D,0))</f>
        <v>#N/A</v>
      </c>
      <c r="AJ66" s="34" t="e">
        <f>INDEX('Dados - Placas'!$F:$F,MATCH('1'!AG66,'Dados - Placas'!$D:$D,0))*AF66</f>
        <v>#N/A</v>
      </c>
      <c r="AK66" s="33">
        <f>'Dados - Cliente'!AE66</f>
        <v>0</v>
      </c>
      <c r="AL66" s="33">
        <f>'Dados - Cliente'!AF66</f>
        <v>0</v>
      </c>
      <c r="AM66" s="36" t="e">
        <f>INDEX('Dados - Inversores'!$A:$A,MATCH('1'!AL66,'Dados - Inversores'!$C:$C,0))</f>
        <v>#N/A</v>
      </c>
      <c r="AN66" s="33">
        <f>'Dados - Cliente'!AG66</f>
        <v>0</v>
      </c>
      <c r="AO66" s="33" t="e">
        <f>AA66*1.25/(0.22*SQRT(INDEX('Dados - Inversores'!AK:AK,MATCH('1'!AL66,'Dados - Inversores'!C:C,0))))</f>
        <v>#N/A</v>
      </c>
      <c r="AP66" s="34">
        <f>INDEX(Dados!$E$2:$E$33,COUNTIF(Dados!$E$2:$E$33,"&lt;="&amp;AN66*1.25/(INDEX('Dados - Inversores'!AL:AL,MATCH('1'!AL66,'Dados - Inversores'!C:C,0))*SQRT(INDEX('Dados - Inversores'!AK:AK,MATCH('1'!AL66,'Dados - Inversores'!C:C,0)))))+1)</f>
        <v>2</v>
      </c>
      <c r="AQ66" s="33" t="s">
        <v>59</v>
      </c>
      <c r="AR66" s="33" t="str">
        <f t="shared" si="6"/>
        <v>Micro</v>
      </c>
      <c r="AS66" s="33">
        <f>'Dados - Cliente'!AH66</f>
        <v>0</v>
      </c>
      <c r="AT66" s="33">
        <f>'Dados - Cliente'!AI66</f>
        <v>0</v>
      </c>
      <c r="AU66" s="33" t="e">
        <f>INDEX('Dados - Placas'!$N:$N,MATCH('1'!AG66,'Dados - Placas'!$D:$D,0))-1</f>
        <v>#N/A</v>
      </c>
      <c r="AV66" s="33" t="e">
        <f>INDEX('Dados - Placas'!$O:$O,MATCH('1'!AG66,'Dados - Placas'!$D:$D,0))</f>
        <v>#N/A</v>
      </c>
      <c r="AW66" s="33" t="e">
        <f>INDEX('Dados - Inversores'!AM:AM,MATCH('1'!AL66,'Dados - Inversores'!$C:$C,0))-1</f>
        <v>#N/A</v>
      </c>
      <c r="AX66" s="33" t="e">
        <f>INDEX('Dados - Inversores'!AN:AN,MATCH('1'!AL66,'Dados - Inversores'!$C:$C,0))-1</f>
        <v>#N/A</v>
      </c>
      <c r="AY66" s="33" t="e">
        <f>MATCH('1'!H66,Dados!$D$89:$D$167,0)+1</f>
        <v>#N/A</v>
      </c>
      <c r="AZ66" s="33" t="e">
        <f>MATCH('1'!N66,'Dados - Solicitação de acesso'!$N$2:$N$8,0)</f>
        <v>#N/A</v>
      </c>
      <c r="BA66" s="33" t="e">
        <f>MATCH('1'!T66,'Dados - Solicitação de acesso'!$T$2:$T$20,0)</f>
        <v>#N/A</v>
      </c>
      <c r="BB66" s="34"/>
      <c r="BC66" s="33">
        <f>MATCH(AT66,'Dados - Solicitação de acesso'!$AT$2:$AT$28,0)</f>
        <v>1</v>
      </c>
      <c r="BD66" s="33" t="b">
        <f>IF(O66="TRIFASICO",INDEX(Dados!G:G,MATCH('1'!AP66,Dados!E:E,0)),IF(O66="BIFASICO",INDEX(Dados!F:F,MATCH('1'!AP66,Dados!E:E,0),)))</f>
        <v>0</v>
      </c>
      <c r="BE66" s="33">
        <f>'Dados - Cliente'!J66</f>
        <v>0</v>
      </c>
      <c r="BF66" s="34">
        <f>INDEX(Dados!$E$2:$E$33,COUNTIF(Dados!$E$2:$E$33,"&lt;="&amp;AN66*1.25*AK66/(0.22*SQRT(INDEX('Dados - Inversores'!AK:AK,MATCH('1'!AL66,'Dados - Inversores'!C:C,0)))))+1)</f>
        <v>2</v>
      </c>
      <c r="BG66" s="34" t="b">
        <f>IF(O66="TRIFASICO",INDEX(Dados!G:G,MATCH(BF66,Dados!E:E,0)),IF(O66="BIFASICO",INDEX(Dados!F:F,MATCH(BF66,Dados!E:E,0),)))</f>
        <v>0</v>
      </c>
    </row>
    <row r="67" spans="1:59" s="33" customFormat="1" x14ac:dyDescent="0.35">
      <c r="A67" s="33">
        <f>'Dados - Cliente'!A67</f>
        <v>0</v>
      </c>
      <c r="B67" s="33">
        <f>'Dados - Cliente'!B67</f>
        <v>0</v>
      </c>
      <c r="C67" s="33">
        <f>'Dados - Cliente'!C67</f>
        <v>0</v>
      </c>
      <c r="D67" s="33">
        <f>'Dados - Cliente'!D67</f>
        <v>0</v>
      </c>
      <c r="E67" s="33">
        <f>'Dados - Cliente'!E67</f>
        <v>0</v>
      </c>
      <c r="F67" s="33">
        <f>'Dados - Cliente'!F67</f>
        <v>0</v>
      </c>
      <c r="G67" s="33">
        <f>'Dados - Cliente'!G67</f>
        <v>0</v>
      </c>
      <c r="H67" s="33">
        <f>'Dados - Cliente'!H67</f>
        <v>0</v>
      </c>
      <c r="I67" s="75" t="s">
        <v>4313</v>
      </c>
      <c r="J67" s="52" t="s">
        <v>4314</v>
      </c>
      <c r="K67" s="52" t="s">
        <v>4314</v>
      </c>
      <c r="L67" s="33">
        <f>'Dados - Cliente'!I67</f>
        <v>0</v>
      </c>
      <c r="M67" s="33">
        <f>'Dados - Cliente'!K67</f>
        <v>0</v>
      </c>
      <c r="N67" s="33">
        <f>'Dados - Cliente'!L67</f>
        <v>0</v>
      </c>
      <c r="O67" s="33">
        <f>'Dados - Cliente'!M67</f>
        <v>0</v>
      </c>
      <c r="P67" s="33">
        <f>'Dados - Cliente'!N67</f>
        <v>0</v>
      </c>
      <c r="Q67" s="33">
        <f>'Dados - Cliente'!O67</f>
        <v>0</v>
      </c>
      <c r="R67" s="33">
        <f>'Dados - Cliente'!P67</f>
        <v>0</v>
      </c>
      <c r="S67" s="33">
        <f>'Dados - Cliente'!Q67</f>
        <v>0</v>
      </c>
      <c r="T67" s="33">
        <f>'Dados - Cliente'!R67</f>
        <v>0</v>
      </c>
      <c r="U67" s="34">
        <f>'Dados - Cliente'!S67</f>
        <v>0</v>
      </c>
      <c r="V67" s="34">
        <f>'Dados - Cliente'!T67</f>
        <v>0</v>
      </c>
      <c r="W67" s="34">
        <f>'Dados - Cliente'!U67</f>
        <v>0</v>
      </c>
      <c r="X67" s="34">
        <f>'Dados - Cliente'!V67</f>
        <v>0</v>
      </c>
      <c r="Y67" s="34">
        <f>'Dados - Cliente'!W67</f>
        <v>0</v>
      </c>
      <c r="Z67" s="34">
        <f>'Dados - Cliente'!X67</f>
        <v>0</v>
      </c>
      <c r="AA67" s="33" t="e">
        <f t="shared" si="5"/>
        <v>#N/A</v>
      </c>
      <c r="AB67" s="33">
        <f>'Dados - Cliente'!Y67</f>
        <v>0</v>
      </c>
      <c r="AC67" s="33">
        <f>'Dados - Cliente'!Z67</f>
        <v>0</v>
      </c>
      <c r="AD67" s="33">
        <f>'Dados - Cliente'!AA67</f>
        <v>0</v>
      </c>
      <c r="AE67" s="33">
        <f>'Dados - Cliente'!AB67</f>
        <v>0</v>
      </c>
      <c r="AF67" s="33">
        <f>'Dados - Cliente'!AC67</f>
        <v>0</v>
      </c>
      <c r="AG67" s="35">
        <f>'Dados - Cliente'!AD67</f>
        <v>0</v>
      </c>
      <c r="AH67" s="33" t="e">
        <f>INDEX('Dados - Placas'!$A:$A,MATCH('1'!AG67,'Dados - Placas'!$D:$D,0))</f>
        <v>#N/A</v>
      </c>
      <c r="AI67" s="35" t="e">
        <f>INDEX('Dados - Placas'!$E:$E,MATCH('1'!AG67,'Dados - Placas'!$D:$D,0))</f>
        <v>#N/A</v>
      </c>
      <c r="AJ67" s="34" t="e">
        <f>INDEX('Dados - Placas'!$F:$F,MATCH('1'!AG67,'Dados - Placas'!$D:$D,0))*AF67</f>
        <v>#N/A</v>
      </c>
      <c r="AK67" s="33">
        <f>'Dados - Cliente'!AE67</f>
        <v>0</v>
      </c>
      <c r="AL67" s="33">
        <f>'Dados - Cliente'!AF67</f>
        <v>0</v>
      </c>
      <c r="AM67" s="36" t="e">
        <f>INDEX('Dados - Inversores'!$A:$A,MATCH('1'!AL67,'Dados - Inversores'!$C:$C,0))</f>
        <v>#N/A</v>
      </c>
      <c r="AN67" s="33">
        <f>'Dados - Cliente'!AG67</f>
        <v>0</v>
      </c>
      <c r="AO67" s="33" t="e">
        <f>AA67*1.25/(0.22*SQRT(INDEX('Dados - Inversores'!AK:AK,MATCH('1'!AL67,'Dados - Inversores'!C:C,0))))</f>
        <v>#N/A</v>
      </c>
      <c r="AP67" s="34">
        <f>INDEX(Dados!$E$2:$E$33,COUNTIF(Dados!$E$2:$E$33,"&lt;="&amp;AN67*1.25/(INDEX('Dados - Inversores'!AL:AL,MATCH('1'!AL67,'Dados - Inversores'!C:C,0))*SQRT(INDEX('Dados - Inversores'!AK:AK,MATCH('1'!AL67,'Dados - Inversores'!C:C,0)))))+1)</f>
        <v>2</v>
      </c>
      <c r="AQ67" s="33" t="s">
        <v>59</v>
      </c>
      <c r="AR67" s="33" t="str">
        <f t="shared" si="6"/>
        <v>Micro</v>
      </c>
      <c r="AS67" s="33">
        <f>'Dados - Cliente'!AH67</f>
        <v>0</v>
      </c>
      <c r="AT67" s="33">
        <f>'Dados - Cliente'!AI67</f>
        <v>0</v>
      </c>
      <c r="AU67" s="33" t="e">
        <f>INDEX('Dados - Placas'!$N:$N,MATCH('1'!AG67,'Dados - Placas'!$D:$D,0))-1</f>
        <v>#N/A</v>
      </c>
      <c r="AV67" s="33" t="e">
        <f>INDEX('Dados - Placas'!$O:$O,MATCH('1'!AG67,'Dados - Placas'!$D:$D,0))</f>
        <v>#N/A</v>
      </c>
      <c r="AW67" s="33" t="e">
        <f>INDEX('Dados - Inversores'!AM:AM,MATCH('1'!AL67,'Dados - Inversores'!$C:$C,0))-1</f>
        <v>#N/A</v>
      </c>
      <c r="AX67" s="33" t="e">
        <f>INDEX('Dados - Inversores'!AN:AN,MATCH('1'!AL67,'Dados - Inversores'!$C:$C,0))-1</f>
        <v>#N/A</v>
      </c>
      <c r="AY67" s="33" t="e">
        <f>MATCH('1'!H67,Dados!$D$89:$D$167,0)+1</f>
        <v>#N/A</v>
      </c>
      <c r="AZ67" s="33" t="e">
        <f>MATCH('1'!N67,'Dados - Solicitação de acesso'!$N$2:$N$8,0)</f>
        <v>#N/A</v>
      </c>
      <c r="BA67" s="33" t="e">
        <f>MATCH('1'!T67,'Dados - Solicitação de acesso'!$T$2:$T$20,0)</f>
        <v>#N/A</v>
      </c>
      <c r="BB67" s="34"/>
      <c r="BC67" s="33">
        <f>MATCH(AT67,'Dados - Solicitação de acesso'!$AT$2:$AT$28,0)</f>
        <v>1</v>
      </c>
      <c r="BD67" s="33" t="b">
        <f>IF(O67="TRIFASICO",INDEX(Dados!G:G,MATCH('1'!AP67,Dados!E:E,0)),IF(O67="BIFASICO",INDEX(Dados!F:F,MATCH('1'!AP67,Dados!E:E,0),)))</f>
        <v>0</v>
      </c>
      <c r="BE67" s="33">
        <f>'Dados - Cliente'!J67</f>
        <v>0</v>
      </c>
      <c r="BF67" s="34">
        <f>INDEX(Dados!$E$2:$E$33,COUNTIF(Dados!$E$2:$E$33,"&lt;="&amp;AN67*1.25*AK67/(0.22*SQRT(INDEX('Dados - Inversores'!AK:AK,MATCH('1'!AL67,'Dados - Inversores'!C:C,0)))))+1)</f>
        <v>2</v>
      </c>
      <c r="BG67" s="34" t="b">
        <f>IF(O67="TRIFASICO",INDEX(Dados!G:G,MATCH(BF67,Dados!E:E,0)),IF(O67="BIFASICO",INDEX(Dados!F:F,MATCH(BF67,Dados!E:E,0),)))</f>
        <v>0</v>
      </c>
    </row>
    <row r="68" spans="1:59" s="33" customFormat="1" x14ac:dyDescent="0.35">
      <c r="A68" s="33">
        <f>'Dados - Cliente'!A68</f>
        <v>0</v>
      </c>
      <c r="B68" s="33">
        <f>'Dados - Cliente'!B68</f>
        <v>0</v>
      </c>
      <c r="C68" s="33">
        <f>'Dados - Cliente'!C68</f>
        <v>0</v>
      </c>
      <c r="D68" s="33">
        <f>'Dados - Cliente'!D68</f>
        <v>0</v>
      </c>
      <c r="E68" s="33">
        <f>'Dados - Cliente'!E68</f>
        <v>0</v>
      </c>
      <c r="F68" s="33">
        <f>'Dados - Cliente'!F68</f>
        <v>0</v>
      </c>
      <c r="G68" s="33">
        <f>'Dados - Cliente'!G68</f>
        <v>0</v>
      </c>
      <c r="H68" s="33">
        <f>'Dados - Cliente'!H68</f>
        <v>0</v>
      </c>
      <c r="I68" s="75" t="s">
        <v>4313</v>
      </c>
      <c r="J68" s="52" t="s">
        <v>4314</v>
      </c>
      <c r="K68" s="52" t="s">
        <v>4314</v>
      </c>
      <c r="L68" s="33">
        <f>'Dados - Cliente'!I68</f>
        <v>0</v>
      </c>
      <c r="M68" s="33">
        <f>'Dados - Cliente'!K68</f>
        <v>0</v>
      </c>
      <c r="N68" s="33">
        <f>'Dados - Cliente'!L68</f>
        <v>0</v>
      </c>
      <c r="O68" s="33">
        <f>'Dados - Cliente'!M68</f>
        <v>0</v>
      </c>
      <c r="P68" s="33">
        <f>'Dados - Cliente'!N68</f>
        <v>0</v>
      </c>
      <c r="Q68" s="33">
        <f>'Dados - Cliente'!O68</f>
        <v>0</v>
      </c>
      <c r="R68" s="33">
        <f>'Dados - Cliente'!P68</f>
        <v>0</v>
      </c>
      <c r="S68" s="33">
        <f>'Dados - Cliente'!Q68</f>
        <v>0</v>
      </c>
      <c r="T68" s="33">
        <f>'Dados - Cliente'!R68</f>
        <v>0</v>
      </c>
      <c r="U68" s="34">
        <f>'Dados - Cliente'!S68</f>
        <v>0</v>
      </c>
      <c r="V68" s="34">
        <f>'Dados - Cliente'!T68</f>
        <v>0</v>
      </c>
      <c r="W68" s="34">
        <f>'Dados - Cliente'!U68</f>
        <v>0</v>
      </c>
      <c r="X68" s="34">
        <f>'Dados - Cliente'!V68</f>
        <v>0</v>
      </c>
      <c r="Y68" s="34">
        <f>'Dados - Cliente'!W68</f>
        <v>0</v>
      </c>
      <c r="Z68" s="34">
        <f>'Dados - Cliente'!X68</f>
        <v>0</v>
      </c>
      <c r="AA68" s="33" t="e">
        <f t="shared" si="5"/>
        <v>#N/A</v>
      </c>
      <c r="AB68" s="33">
        <f>'Dados - Cliente'!Y68</f>
        <v>0</v>
      </c>
      <c r="AC68" s="33">
        <f>'Dados - Cliente'!Z68</f>
        <v>0</v>
      </c>
      <c r="AD68" s="33">
        <f>'Dados - Cliente'!AA68</f>
        <v>0</v>
      </c>
      <c r="AE68" s="33">
        <f>'Dados - Cliente'!AB68</f>
        <v>0</v>
      </c>
      <c r="AF68" s="33">
        <f>'Dados - Cliente'!AC68</f>
        <v>0</v>
      </c>
      <c r="AG68" s="35">
        <f>'Dados - Cliente'!AD68</f>
        <v>0</v>
      </c>
      <c r="AH68" s="33" t="e">
        <f>INDEX('Dados - Placas'!$A:$A,MATCH('1'!AG68,'Dados - Placas'!$D:$D,0))</f>
        <v>#N/A</v>
      </c>
      <c r="AI68" s="35" t="e">
        <f>INDEX('Dados - Placas'!$E:$E,MATCH('1'!AG68,'Dados - Placas'!$D:$D,0))</f>
        <v>#N/A</v>
      </c>
      <c r="AJ68" s="34" t="e">
        <f>INDEX('Dados - Placas'!$F:$F,MATCH('1'!AG68,'Dados - Placas'!$D:$D,0))*AF68</f>
        <v>#N/A</v>
      </c>
      <c r="AK68" s="33">
        <f>'Dados - Cliente'!AE68</f>
        <v>0</v>
      </c>
      <c r="AL68" s="33">
        <f>'Dados - Cliente'!AF68</f>
        <v>0</v>
      </c>
      <c r="AM68" s="36" t="e">
        <f>INDEX('Dados - Inversores'!$A:$A,MATCH('1'!AL68,'Dados - Inversores'!$C:$C,0))</f>
        <v>#N/A</v>
      </c>
      <c r="AN68" s="33">
        <f>'Dados - Cliente'!AG68</f>
        <v>0</v>
      </c>
      <c r="AO68" s="33" t="e">
        <f>AA68*1.25/(0.22*SQRT(INDEX('Dados - Inversores'!AK:AK,MATCH('1'!AL68,'Dados - Inversores'!C:C,0))))</f>
        <v>#N/A</v>
      </c>
      <c r="AP68" s="34">
        <f>INDEX(Dados!$E$2:$E$33,COUNTIF(Dados!$E$2:$E$33,"&lt;="&amp;AN68*1.25/(INDEX('Dados - Inversores'!AL:AL,MATCH('1'!AL68,'Dados - Inversores'!C:C,0))*SQRT(INDEX('Dados - Inversores'!AK:AK,MATCH('1'!AL68,'Dados - Inversores'!C:C,0)))))+1)</f>
        <v>2</v>
      </c>
      <c r="AQ68" s="33" t="s">
        <v>59</v>
      </c>
      <c r="AR68" s="33" t="str">
        <f t="shared" si="6"/>
        <v>Micro</v>
      </c>
      <c r="AS68" s="33">
        <f>'Dados - Cliente'!AH68</f>
        <v>0</v>
      </c>
      <c r="AT68" s="33">
        <f>'Dados - Cliente'!AI68</f>
        <v>0</v>
      </c>
      <c r="AU68" s="33" t="e">
        <f>INDEX('Dados - Placas'!$N:$N,MATCH('1'!AG68,'Dados - Placas'!$D:$D,0))-1</f>
        <v>#N/A</v>
      </c>
      <c r="AV68" s="33" t="e">
        <f>INDEX('Dados - Placas'!$O:$O,MATCH('1'!AG68,'Dados - Placas'!$D:$D,0))</f>
        <v>#N/A</v>
      </c>
      <c r="AW68" s="33" t="e">
        <f>INDEX('Dados - Inversores'!AM:AM,MATCH('1'!AL68,'Dados - Inversores'!$C:$C,0))-1</f>
        <v>#N/A</v>
      </c>
      <c r="AX68" s="33" t="e">
        <f>INDEX('Dados - Inversores'!AN:AN,MATCH('1'!AL68,'Dados - Inversores'!$C:$C,0))-1</f>
        <v>#N/A</v>
      </c>
      <c r="AY68" s="33" t="e">
        <f>MATCH('1'!H68,Dados!$D$89:$D$167,0)+1</f>
        <v>#N/A</v>
      </c>
      <c r="AZ68" s="33" t="e">
        <f>MATCH('1'!N68,'Dados - Solicitação de acesso'!$N$2:$N$8,0)</f>
        <v>#N/A</v>
      </c>
      <c r="BA68" s="33" t="e">
        <f>MATCH('1'!T68,'Dados - Solicitação de acesso'!$T$2:$T$20,0)</f>
        <v>#N/A</v>
      </c>
      <c r="BB68" s="34"/>
      <c r="BC68" s="33">
        <f>MATCH(AT68,'Dados - Solicitação de acesso'!$AT$2:$AT$28,0)</f>
        <v>1</v>
      </c>
      <c r="BD68" s="33" t="b">
        <f>IF(O68="TRIFASICO",INDEX(Dados!G:G,MATCH('1'!AP68,Dados!E:E,0)),IF(O68="BIFASICO",INDEX(Dados!F:F,MATCH('1'!AP68,Dados!E:E,0),)))</f>
        <v>0</v>
      </c>
      <c r="BE68" s="33">
        <f>'Dados - Cliente'!J68</f>
        <v>0</v>
      </c>
      <c r="BF68" s="34">
        <f>INDEX(Dados!$E$2:$E$33,COUNTIF(Dados!$E$2:$E$33,"&lt;="&amp;AN68*1.25*AK68/(0.22*SQRT(INDEX('Dados - Inversores'!AK:AK,MATCH('1'!AL68,'Dados - Inversores'!C:C,0)))))+1)</f>
        <v>2</v>
      </c>
      <c r="BG68" s="34" t="b">
        <f>IF(O68="TRIFASICO",INDEX(Dados!G:G,MATCH(BF68,Dados!E:E,0)),IF(O68="BIFASICO",INDEX(Dados!F:F,MATCH(BF68,Dados!E:E,0),)))</f>
        <v>0</v>
      </c>
    </row>
    <row r="69" spans="1:59" s="33" customFormat="1" x14ac:dyDescent="0.35">
      <c r="A69" s="33">
        <f>'Dados - Cliente'!A69</f>
        <v>0</v>
      </c>
      <c r="B69" s="33">
        <f>'Dados - Cliente'!B69</f>
        <v>0</v>
      </c>
      <c r="C69" s="33">
        <f>'Dados - Cliente'!C69</f>
        <v>0</v>
      </c>
      <c r="D69" s="33">
        <f>'Dados - Cliente'!D69</f>
        <v>0</v>
      </c>
      <c r="E69" s="33">
        <f>'Dados - Cliente'!E69</f>
        <v>0</v>
      </c>
      <c r="F69" s="33">
        <f>'Dados - Cliente'!F69</f>
        <v>0</v>
      </c>
      <c r="G69" s="33">
        <f>'Dados - Cliente'!G69</f>
        <v>0</v>
      </c>
      <c r="H69" s="33">
        <f>'Dados - Cliente'!H69</f>
        <v>0</v>
      </c>
      <c r="I69" s="75" t="s">
        <v>4313</v>
      </c>
      <c r="J69" s="52" t="s">
        <v>4314</v>
      </c>
      <c r="K69" s="52" t="s">
        <v>4314</v>
      </c>
      <c r="L69" s="33">
        <f>'Dados - Cliente'!I69</f>
        <v>0</v>
      </c>
      <c r="M69" s="33">
        <f>'Dados - Cliente'!K69</f>
        <v>0</v>
      </c>
      <c r="N69" s="33">
        <f>'Dados - Cliente'!L69</f>
        <v>0</v>
      </c>
      <c r="O69" s="33">
        <f>'Dados - Cliente'!M69</f>
        <v>0</v>
      </c>
      <c r="P69" s="33">
        <f>'Dados - Cliente'!N69</f>
        <v>0</v>
      </c>
      <c r="Q69" s="33">
        <f>'Dados - Cliente'!O69</f>
        <v>0</v>
      </c>
      <c r="R69" s="33">
        <f>'Dados - Cliente'!P69</f>
        <v>0</v>
      </c>
      <c r="S69" s="33">
        <f>'Dados - Cliente'!Q69</f>
        <v>0</v>
      </c>
      <c r="T69" s="33">
        <f>'Dados - Cliente'!R69</f>
        <v>0</v>
      </c>
      <c r="U69" s="34">
        <f>'Dados - Cliente'!S69</f>
        <v>0</v>
      </c>
      <c r="V69" s="34">
        <f>'Dados - Cliente'!T69</f>
        <v>0</v>
      </c>
      <c r="W69" s="34">
        <f>'Dados - Cliente'!U69</f>
        <v>0</v>
      </c>
      <c r="X69" s="34">
        <f>'Dados - Cliente'!V69</f>
        <v>0</v>
      </c>
      <c r="Y69" s="34">
        <f>'Dados - Cliente'!W69</f>
        <v>0</v>
      </c>
      <c r="Z69" s="34">
        <f>'Dados - Cliente'!X69</f>
        <v>0</v>
      </c>
      <c r="AA69" s="33" t="e">
        <f t="shared" si="5"/>
        <v>#N/A</v>
      </c>
      <c r="AB69" s="33">
        <f>'Dados - Cliente'!Y69</f>
        <v>0</v>
      </c>
      <c r="AC69" s="33">
        <f>'Dados - Cliente'!Z69</f>
        <v>0</v>
      </c>
      <c r="AD69" s="33">
        <f>'Dados - Cliente'!AA69</f>
        <v>0</v>
      </c>
      <c r="AE69" s="33">
        <f>'Dados - Cliente'!AB69</f>
        <v>0</v>
      </c>
      <c r="AF69" s="33">
        <f>'Dados - Cliente'!AC69</f>
        <v>0</v>
      </c>
      <c r="AG69" s="35">
        <f>'Dados - Cliente'!AD69</f>
        <v>0</v>
      </c>
      <c r="AH69" s="33" t="e">
        <f>INDEX('Dados - Placas'!$A:$A,MATCH('1'!AG69,'Dados - Placas'!$D:$D,0))</f>
        <v>#N/A</v>
      </c>
      <c r="AI69" s="35" t="e">
        <f>INDEX('Dados - Placas'!$E:$E,MATCH('1'!AG69,'Dados - Placas'!$D:$D,0))</f>
        <v>#N/A</v>
      </c>
      <c r="AJ69" s="34" t="e">
        <f>INDEX('Dados - Placas'!$F:$F,MATCH('1'!AG69,'Dados - Placas'!$D:$D,0))*AF69</f>
        <v>#N/A</v>
      </c>
      <c r="AK69" s="33">
        <f>'Dados - Cliente'!AE69</f>
        <v>0</v>
      </c>
      <c r="AL69" s="33">
        <f>'Dados - Cliente'!AF69</f>
        <v>0</v>
      </c>
      <c r="AM69" s="36" t="e">
        <f>INDEX('Dados - Inversores'!$A:$A,MATCH('1'!AL69,'Dados - Inversores'!$C:$C,0))</f>
        <v>#N/A</v>
      </c>
      <c r="AN69" s="33">
        <f>'Dados - Cliente'!AG69</f>
        <v>0</v>
      </c>
      <c r="AO69" s="33" t="e">
        <f>AA69*1.25/(0.22*SQRT(INDEX('Dados - Inversores'!AK:AK,MATCH('1'!AL69,'Dados - Inversores'!C:C,0))))</f>
        <v>#N/A</v>
      </c>
      <c r="AP69" s="34">
        <f>INDEX(Dados!$E$2:$E$33,COUNTIF(Dados!$E$2:$E$33,"&lt;="&amp;AN69*1.25/(INDEX('Dados - Inversores'!AL:AL,MATCH('1'!AL69,'Dados - Inversores'!C:C,0))*SQRT(INDEX('Dados - Inversores'!AK:AK,MATCH('1'!AL69,'Dados - Inversores'!C:C,0)))))+1)</f>
        <v>2</v>
      </c>
      <c r="AQ69" s="33" t="s">
        <v>59</v>
      </c>
      <c r="AR69" s="33" t="str">
        <f t="shared" si="6"/>
        <v>Micro</v>
      </c>
      <c r="AS69" s="33">
        <f>'Dados - Cliente'!AH69</f>
        <v>0</v>
      </c>
      <c r="AT69" s="33">
        <f>'Dados - Cliente'!AI69</f>
        <v>0</v>
      </c>
      <c r="AU69" s="33" t="e">
        <f>INDEX('Dados - Placas'!$N:$N,MATCH('1'!AG69,'Dados - Placas'!$D:$D,0))-1</f>
        <v>#N/A</v>
      </c>
      <c r="AV69" s="33" t="e">
        <f>INDEX('Dados - Placas'!$O:$O,MATCH('1'!AG69,'Dados - Placas'!$D:$D,0))</f>
        <v>#N/A</v>
      </c>
      <c r="AW69" s="33" t="e">
        <f>INDEX('Dados - Inversores'!AM:AM,MATCH('1'!AL69,'Dados - Inversores'!$C:$C,0))-1</f>
        <v>#N/A</v>
      </c>
      <c r="AX69" s="33" t="e">
        <f>INDEX('Dados - Inversores'!AN:AN,MATCH('1'!AL69,'Dados - Inversores'!$C:$C,0))-1</f>
        <v>#N/A</v>
      </c>
      <c r="AY69" s="33" t="e">
        <f>MATCH('1'!H69,Dados!$D$89:$D$167,0)+1</f>
        <v>#N/A</v>
      </c>
      <c r="AZ69" s="33" t="e">
        <f>MATCH('1'!N69,'Dados - Solicitação de acesso'!$N$2:$N$8,0)</f>
        <v>#N/A</v>
      </c>
      <c r="BA69" s="33" t="e">
        <f>MATCH('1'!T69,'Dados - Solicitação de acesso'!$T$2:$T$20,0)</f>
        <v>#N/A</v>
      </c>
      <c r="BB69" s="34"/>
      <c r="BC69" s="33">
        <f>MATCH(AT69,'Dados - Solicitação de acesso'!$AT$2:$AT$28,0)</f>
        <v>1</v>
      </c>
      <c r="BD69" s="33" t="b">
        <f>IF(O69="TRIFASICO",INDEX(Dados!G:G,MATCH('1'!AP69,Dados!E:E,0)),IF(O69="BIFASICO",INDEX(Dados!F:F,MATCH('1'!AP69,Dados!E:E,0),)))</f>
        <v>0</v>
      </c>
      <c r="BE69" s="33">
        <f>'Dados - Cliente'!J69</f>
        <v>0</v>
      </c>
      <c r="BF69" s="34">
        <f>INDEX(Dados!$E$2:$E$33,COUNTIF(Dados!$E$2:$E$33,"&lt;="&amp;AN69*1.25*AK69/(0.22*SQRT(INDEX('Dados - Inversores'!AK:AK,MATCH('1'!AL69,'Dados - Inversores'!C:C,0)))))+1)</f>
        <v>2</v>
      </c>
      <c r="BG69" s="34" t="b">
        <f>IF(O69="TRIFASICO",INDEX(Dados!G:G,MATCH(BF69,Dados!E:E,0)),IF(O69="BIFASICO",INDEX(Dados!F:F,MATCH(BF69,Dados!E:E,0),)))</f>
        <v>0</v>
      </c>
    </row>
    <row r="70" spans="1:59" s="33" customFormat="1" x14ac:dyDescent="0.35">
      <c r="A70" s="33">
        <f>'Dados - Cliente'!A70</f>
        <v>0</v>
      </c>
      <c r="B70" s="33">
        <f>'Dados - Cliente'!B70</f>
        <v>0</v>
      </c>
      <c r="C70" s="33">
        <f>'Dados - Cliente'!C70</f>
        <v>0</v>
      </c>
      <c r="D70" s="33">
        <f>'Dados - Cliente'!D70</f>
        <v>0</v>
      </c>
      <c r="E70" s="33">
        <f>'Dados - Cliente'!E70</f>
        <v>0</v>
      </c>
      <c r="F70" s="33">
        <f>'Dados - Cliente'!F70</f>
        <v>0</v>
      </c>
      <c r="G70" s="33">
        <f>'Dados - Cliente'!G70</f>
        <v>0</v>
      </c>
      <c r="H70" s="33">
        <f>'Dados - Cliente'!H70</f>
        <v>0</v>
      </c>
      <c r="I70" s="75" t="s">
        <v>4313</v>
      </c>
      <c r="J70" s="52" t="s">
        <v>4314</v>
      </c>
      <c r="K70" s="52" t="s">
        <v>4314</v>
      </c>
      <c r="L70" s="33">
        <f>'Dados - Cliente'!I70</f>
        <v>0</v>
      </c>
      <c r="M70" s="33">
        <f>'Dados - Cliente'!K70</f>
        <v>0</v>
      </c>
      <c r="N70" s="33">
        <f>'Dados - Cliente'!L70</f>
        <v>0</v>
      </c>
      <c r="O70" s="33">
        <f>'Dados - Cliente'!M70</f>
        <v>0</v>
      </c>
      <c r="P70" s="33">
        <f>'Dados - Cliente'!N70</f>
        <v>0</v>
      </c>
      <c r="Q70" s="33">
        <f>'Dados - Cliente'!O70</f>
        <v>0</v>
      </c>
      <c r="R70" s="33">
        <f>'Dados - Cliente'!P70</f>
        <v>0</v>
      </c>
      <c r="S70" s="33">
        <f>'Dados - Cliente'!Q70</f>
        <v>0</v>
      </c>
      <c r="T70" s="33">
        <f>'Dados - Cliente'!R70</f>
        <v>0</v>
      </c>
      <c r="U70" s="34">
        <f>'Dados - Cliente'!S70</f>
        <v>0</v>
      </c>
      <c r="V70" s="34">
        <f>'Dados - Cliente'!T70</f>
        <v>0</v>
      </c>
      <c r="W70" s="34">
        <f>'Dados - Cliente'!U70</f>
        <v>0</v>
      </c>
      <c r="X70" s="34">
        <f>'Dados - Cliente'!V70</f>
        <v>0</v>
      </c>
      <c r="Y70" s="34">
        <f>'Dados - Cliente'!W70</f>
        <v>0</v>
      </c>
      <c r="Z70" s="34">
        <f>'Dados - Cliente'!X70</f>
        <v>0</v>
      </c>
      <c r="AA70" s="33" t="e">
        <f t="shared" si="5"/>
        <v>#N/A</v>
      </c>
      <c r="AB70" s="33">
        <f>'Dados - Cliente'!Y70</f>
        <v>0</v>
      </c>
      <c r="AC70" s="33">
        <f>'Dados - Cliente'!Z70</f>
        <v>0</v>
      </c>
      <c r="AD70" s="33">
        <f>'Dados - Cliente'!AA70</f>
        <v>0</v>
      </c>
      <c r="AE70" s="33">
        <f>'Dados - Cliente'!AB70</f>
        <v>0</v>
      </c>
      <c r="AF70" s="33">
        <f>'Dados - Cliente'!AC70</f>
        <v>0</v>
      </c>
      <c r="AG70" s="35">
        <f>'Dados - Cliente'!AD70</f>
        <v>0</v>
      </c>
      <c r="AH70" s="33" t="e">
        <f>INDEX('Dados - Placas'!$A:$A,MATCH('1'!AG70,'Dados - Placas'!$D:$D,0))</f>
        <v>#N/A</v>
      </c>
      <c r="AI70" s="35" t="e">
        <f>INDEX('Dados - Placas'!$E:$E,MATCH('1'!AG70,'Dados - Placas'!$D:$D,0))</f>
        <v>#N/A</v>
      </c>
      <c r="AJ70" s="34" t="e">
        <f>INDEX('Dados - Placas'!$F:$F,MATCH('1'!AG70,'Dados - Placas'!$D:$D,0))*AF70</f>
        <v>#N/A</v>
      </c>
      <c r="AK70" s="33">
        <f>'Dados - Cliente'!AE70</f>
        <v>0</v>
      </c>
      <c r="AL70" s="33">
        <f>'Dados - Cliente'!AF70</f>
        <v>0</v>
      </c>
      <c r="AM70" s="36" t="e">
        <f>INDEX('Dados - Inversores'!$A:$A,MATCH('1'!AL70,'Dados - Inversores'!$C:$C,0))</f>
        <v>#N/A</v>
      </c>
      <c r="AN70" s="33">
        <f>'Dados - Cliente'!AG70</f>
        <v>0</v>
      </c>
      <c r="AO70" s="33" t="e">
        <f>AA70*1.25/(0.22*SQRT(INDEX('Dados - Inversores'!AK:AK,MATCH('1'!AL70,'Dados - Inversores'!C:C,0))))</f>
        <v>#N/A</v>
      </c>
      <c r="AP70" s="34">
        <f>INDEX(Dados!$E$2:$E$33,COUNTIF(Dados!$E$2:$E$33,"&lt;="&amp;AN70*1.25/(INDEX('Dados - Inversores'!AL:AL,MATCH('1'!AL70,'Dados - Inversores'!C:C,0))*SQRT(INDEX('Dados - Inversores'!AK:AK,MATCH('1'!AL70,'Dados - Inversores'!C:C,0)))))+1)</f>
        <v>2</v>
      </c>
      <c r="AQ70" s="33" t="s">
        <v>59</v>
      </c>
      <c r="AR70" s="33" t="str">
        <f t="shared" si="6"/>
        <v>Micro</v>
      </c>
      <c r="AS70" s="33">
        <f>'Dados - Cliente'!AH70</f>
        <v>0</v>
      </c>
      <c r="AT70" s="33">
        <f>'Dados - Cliente'!AI70</f>
        <v>0</v>
      </c>
      <c r="AU70" s="33" t="e">
        <f>INDEX('Dados - Placas'!$N:$N,MATCH('1'!AG70,'Dados - Placas'!$D:$D,0))-1</f>
        <v>#N/A</v>
      </c>
      <c r="AV70" s="33" t="e">
        <f>INDEX('Dados - Placas'!$O:$O,MATCH('1'!AG70,'Dados - Placas'!$D:$D,0))</f>
        <v>#N/A</v>
      </c>
      <c r="AW70" s="33" t="e">
        <f>INDEX('Dados - Inversores'!AM:AM,MATCH('1'!AL70,'Dados - Inversores'!$C:$C,0))-1</f>
        <v>#N/A</v>
      </c>
      <c r="AX70" s="33" t="e">
        <f>INDEX('Dados - Inversores'!AN:AN,MATCH('1'!AL70,'Dados - Inversores'!$C:$C,0))-1</f>
        <v>#N/A</v>
      </c>
      <c r="AY70" s="33" t="e">
        <f>MATCH('1'!H70,Dados!$D$89:$D$167,0)+1</f>
        <v>#N/A</v>
      </c>
      <c r="AZ70" s="33" t="e">
        <f>MATCH('1'!N70,'Dados - Solicitação de acesso'!$N$2:$N$8,0)</f>
        <v>#N/A</v>
      </c>
      <c r="BA70" s="33" t="e">
        <f>MATCH('1'!T70,'Dados - Solicitação de acesso'!$T$2:$T$20,0)</f>
        <v>#N/A</v>
      </c>
      <c r="BB70" s="34"/>
      <c r="BC70" s="33">
        <f>MATCH(AT70,'Dados - Solicitação de acesso'!$AT$2:$AT$28,0)</f>
        <v>1</v>
      </c>
      <c r="BD70" s="33" t="b">
        <f>IF(O70="TRIFASICO",INDEX(Dados!G:G,MATCH('1'!AP70,Dados!E:E,0)),IF(O70="BIFASICO",INDEX(Dados!F:F,MATCH('1'!AP70,Dados!E:E,0),)))</f>
        <v>0</v>
      </c>
      <c r="BE70" s="33">
        <f>'Dados - Cliente'!J70</f>
        <v>0</v>
      </c>
      <c r="BF70" s="34">
        <f>INDEX(Dados!$E$2:$E$33,COUNTIF(Dados!$E$2:$E$33,"&lt;="&amp;AN70*1.25*AK70/(0.22*SQRT(INDEX('Dados - Inversores'!AK:AK,MATCH('1'!AL70,'Dados - Inversores'!C:C,0)))))+1)</f>
        <v>2</v>
      </c>
      <c r="BG70" s="34" t="b">
        <f>IF(O70="TRIFASICO",INDEX(Dados!G:G,MATCH(BF70,Dados!E:E,0)),IF(O70="BIFASICO",INDEX(Dados!F:F,MATCH(BF70,Dados!E:E,0),)))</f>
        <v>0</v>
      </c>
    </row>
    <row r="71" spans="1:59" s="33" customFormat="1" x14ac:dyDescent="0.35">
      <c r="A71" s="33">
        <f>'Dados - Cliente'!A71</f>
        <v>0</v>
      </c>
      <c r="B71" s="33">
        <f>'Dados - Cliente'!B71</f>
        <v>0</v>
      </c>
      <c r="C71" s="33">
        <f>'Dados - Cliente'!C71</f>
        <v>0</v>
      </c>
      <c r="D71" s="33">
        <f>'Dados - Cliente'!D71</f>
        <v>0</v>
      </c>
      <c r="E71" s="33">
        <f>'Dados - Cliente'!E71</f>
        <v>0</v>
      </c>
      <c r="F71" s="33">
        <f>'Dados - Cliente'!F71</f>
        <v>0</v>
      </c>
      <c r="G71" s="33">
        <f>'Dados - Cliente'!G71</f>
        <v>0</v>
      </c>
      <c r="H71" s="33">
        <f>'Dados - Cliente'!H71</f>
        <v>0</v>
      </c>
      <c r="I71" s="75" t="s">
        <v>4313</v>
      </c>
      <c r="J71" s="52" t="s">
        <v>4314</v>
      </c>
      <c r="K71" s="52" t="s">
        <v>4314</v>
      </c>
      <c r="L71" s="33">
        <f>'Dados - Cliente'!I71</f>
        <v>0</v>
      </c>
      <c r="M71" s="33">
        <f>'Dados - Cliente'!K71</f>
        <v>0</v>
      </c>
      <c r="N71" s="33">
        <f>'Dados - Cliente'!L71</f>
        <v>0</v>
      </c>
      <c r="O71" s="33">
        <f>'Dados - Cliente'!M71</f>
        <v>0</v>
      </c>
      <c r="P71" s="33">
        <f>'Dados - Cliente'!N71</f>
        <v>0</v>
      </c>
      <c r="Q71" s="33">
        <f>'Dados - Cliente'!O71</f>
        <v>0</v>
      </c>
      <c r="R71" s="33">
        <f>'Dados - Cliente'!P71</f>
        <v>0</v>
      </c>
      <c r="S71" s="33">
        <f>'Dados - Cliente'!Q71</f>
        <v>0</v>
      </c>
      <c r="T71" s="33">
        <f>'Dados - Cliente'!R71</f>
        <v>0</v>
      </c>
      <c r="U71" s="34">
        <f>'Dados - Cliente'!S71</f>
        <v>0</v>
      </c>
      <c r="V71" s="34">
        <f>'Dados - Cliente'!T71</f>
        <v>0</v>
      </c>
      <c r="W71" s="34">
        <f>'Dados - Cliente'!U71</f>
        <v>0</v>
      </c>
      <c r="X71" s="34">
        <f>'Dados - Cliente'!V71</f>
        <v>0</v>
      </c>
      <c r="Y71" s="34">
        <f>'Dados - Cliente'!W71</f>
        <v>0</v>
      </c>
      <c r="Z71" s="34">
        <f>'Dados - Cliente'!X71</f>
        <v>0</v>
      </c>
      <c r="AA71" s="33" t="e">
        <f t="shared" si="5"/>
        <v>#N/A</v>
      </c>
      <c r="AB71" s="33">
        <f>'Dados - Cliente'!Y71</f>
        <v>0</v>
      </c>
      <c r="AC71" s="33">
        <f>'Dados - Cliente'!Z71</f>
        <v>0</v>
      </c>
      <c r="AD71" s="33">
        <f>'Dados - Cliente'!AA71</f>
        <v>0</v>
      </c>
      <c r="AE71" s="33">
        <f>'Dados - Cliente'!AB71</f>
        <v>0</v>
      </c>
      <c r="AF71" s="33">
        <f>'Dados - Cliente'!AC71</f>
        <v>0</v>
      </c>
      <c r="AG71" s="35">
        <f>'Dados - Cliente'!AD71</f>
        <v>0</v>
      </c>
      <c r="AH71" s="33" t="e">
        <f>INDEX('Dados - Placas'!$A:$A,MATCH('1'!AG71,'Dados - Placas'!$D:$D,0))</f>
        <v>#N/A</v>
      </c>
      <c r="AI71" s="35" t="e">
        <f>INDEX('Dados - Placas'!$E:$E,MATCH('1'!AG71,'Dados - Placas'!$D:$D,0))</f>
        <v>#N/A</v>
      </c>
      <c r="AJ71" s="34" t="e">
        <f>INDEX('Dados - Placas'!$F:$F,MATCH('1'!AG71,'Dados - Placas'!$D:$D,0))*AF71</f>
        <v>#N/A</v>
      </c>
      <c r="AK71" s="33">
        <f>'Dados - Cliente'!AE71</f>
        <v>0</v>
      </c>
      <c r="AL71" s="33">
        <f>'Dados - Cliente'!AF71</f>
        <v>0</v>
      </c>
      <c r="AM71" s="36" t="e">
        <f>INDEX('Dados - Inversores'!$A:$A,MATCH('1'!AL71,'Dados - Inversores'!$C:$C,0))</f>
        <v>#N/A</v>
      </c>
      <c r="AN71" s="33">
        <f>'Dados - Cliente'!AG71</f>
        <v>0</v>
      </c>
      <c r="AO71" s="33" t="e">
        <f>AA71*1.25/(0.22*SQRT(INDEX('Dados - Inversores'!AK:AK,MATCH('1'!AL71,'Dados - Inversores'!C:C,0))))</f>
        <v>#N/A</v>
      </c>
      <c r="AP71" s="34">
        <f>INDEX(Dados!$E$2:$E$33,COUNTIF(Dados!$E$2:$E$33,"&lt;="&amp;AN71*1.25/(INDEX('Dados - Inversores'!AL:AL,MATCH('1'!AL71,'Dados - Inversores'!C:C,0))*SQRT(INDEX('Dados - Inversores'!AK:AK,MATCH('1'!AL71,'Dados - Inversores'!C:C,0)))))+1)</f>
        <v>2</v>
      </c>
      <c r="AQ71" s="33" t="s">
        <v>59</v>
      </c>
      <c r="AR71" s="33" t="str">
        <f t="shared" si="6"/>
        <v>Micro</v>
      </c>
      <c r="AS71" s="33">
        <f>'Dados - Cliente'!AH71</f>
        <v>0</v>
      </c>
      <c r="AT71" s="33">
        <f>'Dados - Cliente'!AI71</f>
        <v>0</v>
      </c>
      <c r="AU71" s="33" t="e">
        <f>INDEX('Dados - Placas'!$N:$N,MATCH('1'!AG71,'Dados - Placas'!$D:$D,0))-1</f>
        <v>#N/A</v>
      </c>
      <c r="AV71" s="33" t="e">
        <f>INDEX('Dados - Placas'!$O:$O,MATCH('1'!AG71,'Dados - Placas'!$D:$D,0))</f>
        <v>#N/A</v>
      </c>
      <c r="AW71" s="33" t="e">
        <f>INDEX('Dados - Inversores'!AM:AM,MATCH('1'!AL71,'Dados - Inversores'!$C:$C,0))-1</f>
        <v>#N/A</v>
      </c>
      <c r="AX71" s="33" t="e">
        <f>INDEX('Dados - Inversores'!AN:AN,MATCH('1'!AL71,'Dados - Inversores'!$C:$C,0))-1</f>
        <v>#N/A</v>
      </c>
      <c r="AY71" s="33" t="e">
        <f>MATCH('1'!H71,Dados!$D$89:$D$167,0)+1</f>
        <v>#N/A</v>
      </c>
      <c r="AZ71" s="33" t="e">
        <f>MATCH('1'!N71,'Dados - Solicitação de acesso'!$N$2:$N$8,0)</f>
        <v>#N/A</v>
      </c>
      <c r="BA71" s="33" t="e">
        <f>MATCH('1'!T71,'Dados - Solicitação de acesso'!$T$2:$T$20,0)</f>
        <v>#N/A</v>
      </c>
      <c r="BB71" s="34"/>
      <c r="BC71" s="33">
        <f>MATCH(AT71,'Dados - Solicitação de acesso'!$AT$2:$AT$28,0)</f>
        <v>1</v>
      </c>
      <c r="BD71" s="33" t="b">
        <f>IF(O71="TRIFASICO",INDEX(Dados!G:G,MATCH('1'!AP71,Dados!E:E,0)),IF(O71="BIFASICO",INDEX(Dados!F:F,MATCH('1'!AP71,Dados!E:E,0),)))</f>
        <v>0</v>
      </c>
      <c r="BE71" s="33">
        <f>'Dados - Cliente'!J71</f>
        <v>0</v>
      </c>
      <c r="BF71" s="34">
        <f>INDEX(Dados!$E$2:$E$33,COUNTIF(Dados!$E$2:$E$33,"&lt;="&amp;AN71*1.25*AK71/(0.22*SQRT(INDEX('Dados - Inversores'!AK:AK,MATCH('1'!AL71,'Dados - Inversores'!C:C,0)))))+1)</f>
        <v>2</v>
      </c>
      <c r="BG71" s="34" t="b">
        <f>IF(O71="TRIFASICO",INDEX(Dados!G:G,MATCH(BF71,Dados!E:E,0)),IF(O71="BIFASICO",INDEX(Dados!F:F,MATCH(BF71,Dados!E:E,0),)))</f>
        <v>0</v>
      </c>
    </row>
    <row r="72" spans="1:59" s="33" customFormat="1" x14ac:dyDescent="0.35">
      <c r="A72" s="33">
        <f>'Dados - Cliente'!A72</f>
        <v>0</v>
      </c>
      <c r="B72" s="33">
        <f>'Dados - Cliente'!B72</f>
        <v>0</v>
      </c>
      <c r="C72" s="33">
        <f>'Dados - Cliente'!C72</f>
        <v>0</v>
      </c>
      <c r="D72" s="33">
        <f>'Dados - Cliente'!D72</f>
        <v>0</v>
      </c>
      <c r="E72" s="33">
        <f>'Dados - Cliente'!E72</f>
        <v>0</v>
      </c>
      <c r="F72" s="33">
        <f>'Dados - Cliente'!F72</f>
        <v>0</v>
      </c>
      <c r="G72" s="33">
        <f>'Dados - Cliente'!G72</f>
        <v>0</v>
      </c>
      <c r="H72" s="33">
        <f>'Dados - Cliente'!H72</f>
        <v>0</v>
      </c>
      <c r="I72" s="75" t="s">
        <v>4313</v>
      </c>
      <c r="J72" s="52" t="s">
        <v>4314</v>
      </c>
      <c r="K72" s="52" t="s">
        <v>4314</v>
      </c>
      <c r="L72" s="33">
        <f>'Dados - Cliente'!I72</f>
        <v>0</v>
      </c>
      <c r="M72" s="33">
        <f>'Dados - Cliente'!K72</f>
        <v>0</v>
      </c>
      <c r="N72" s="33">
        <f>'Dados - Cliente'!L72</f>
        <v>0</v>
      </c>
      <c r="O72" s="33">
        <f>'Dados - Cliente'!M72</f>
        <v>0</v>
      </c>
      <c r="P72" s="33">
        <f>'Dados - Cliente'!N72</f>
        <v>0</v>
      </c>
      <c r="Q72" s="33">
        <f>'Dados - Cliente'!O72</f>
        <v>0</v>
      </c>
      <c r="R72" s="33">
        <f>'Dados - Cliente'!P72</f>
        <v>0</v>
      </c>
      <c r="S72" s="33">
        <f>'Dados - Cliente'!Q72</f>
        <v>0</v>
      </c>
      <c r="T72" s="33">
        <f>'Dados - Cliente'!R72</f>
        <v>0</v>
      </c>
      <c r="U72" s="34">
        <f>'Dados - Cliente'!S72</f>
        <v>0</v>
      </c>
      <c r="V72" s="34">
        <f>'Dados - Cliente'!T72</f>
        <v>0</v>
      </c>
      <c r="W72" s="34">
        <f>'Dados - Cliente'!U72</f>
        <v>0</v>
      </c>
      <c r="X72" s="34">
        <f>'Dados - Cliente'!V72</f>
        <v>0</v>
      </c>
      <c r="Y72" s="34">
        <f>'Dados - Cliente'!W72</f>
        <v>0</v>
      </c>
      <c r="Z72" s="34">
        <f>'Dados - Cliente'!X72</f>
        <v>0</v>
      </c>
      <c r="AA72" s="33" t="e">
        <f t="shared" si="5"/>
        <v>#N/A</v>
      </c>
      <c r="AB72" s="33">
        <f>'Dados - Cliente'!Y72</f>
        <v>0</v>
      </c>
      <c r="AC72" s="33">
        <f>'Dados - Cliente'!Z72</f>
        <v>0</v>
      </c>
      <c r="AD72" s="33">
        <f>'Dados - Cliente'!AA72</f>
        <v>0</v>
      </c>
      <c r="AE72" s="33">
        <f>'Dados - Cliente'!AB72</f>
        <v>0</v>
      </c>
      <c r="AF72" s="33">
        <f>'Dados - Cliente'!AC72</f>
        <v>0</v>
      </c>
      <c r="AG72" s="35">
        <f>'Dados - Cliente'!AD72</f>
        <v>0</v>
      </c>
      <c r="AH72" s="33" t="e">
        <f>INDEX('Dados - Placas'!$A:$A,MATCH('1'!AG72,'Dados - Placas'!$D:$D,0))</f>
        <v>#N/A</v>
      </c>
      <c r="AI72" s="35" t="e">
        <f>INDEX('Dados - Placas'!$E:$E,MATCH('1'!AG72,'Dados - Placas'!$D:$D,0))</f>
        <v>#N/A</v>
      </c>
      <c r="AJ72" s="34" t="e">
        <f>INDEX('Dados - Placas'!$F:$F,MATCH('1'!AG72,'Dados - Placas'!$D:$D,0))*AF72</f>
        <v>#N/A</v>
      </c>
      <c r="AK72" s="33">
        <f>'Dados - Cliente'!AE72</f>
        <v>0</v>
      </c>
      <c r="AL72" s="33">
        <f>'Dados - Cliente'!AF72</f>
        <v>0</v>
      </c>
      <c r="AM72" s="36" t="e">
        <f>INDEX('Dados - Inversores'!$A:$A,MATCH('1'!AL72,'Dados - Inversores'!$C:$C,0))</f>
        <v>#N/A</v>
      </c>
      <c r="AN72" s="33">
        <f>'Dados - Cliente'!AG72</f>
        <v>0</v>
      </c>
      <c r="AO72" s="33" t="e">
        <f>AA72*1.25/(0.22*SQRT(INDEX('Dados - Inversores'!AK:AK,MATCH('1'!AL72,'Dados - Inversores'!C:C,0))))</f>
        <v>#N/A</v>
      </c>
      <c r="AP72" s="34">
        <f>INDEX(Dados!$E$2:$E$33,COUNTIF(Dados!$E$2:$E$33,"&lt;="&amp;AN72*1.25/(INDEX('Dados - Inversores'!AL:AL,MATCH('1'!AL72,'Dados - Inversores'!C:C,0))*SQRT(INDEX('Dados - Inversores'!AK:AK,MATCH('1'!AL72,'Dados - Inversores'!C:C,0)))))+1)</f>
        <v>2</v>
      </c>
      <c r="AQ72" s="33" t="s">
        <v>59</v>
      </c>
      <c r="AR72" s="33" t="str">
        <f t="shared" si="6"/>
        <v>Micro</v>
      </c>
      <c r="AS72" s="33">
        <f>'Dados - Cliente'!AH72</f>
        <v>0</v>
      </c>
      <c r="AT72" s="33">
        <f>'Dados - Cliente'!AI72</f>
        <v>0</v>
      </c>
      <c r="AU72" s="33" t="e">
        <f>INDEX('Dados - Placas'!$N:$N,MATCH('1'!AG72,'Dados - Placas'!$D:$D,0))-1</f>
        <v>#N/A</v>
      </c>
      <c r="AV72" s="33" t="e">
        <f>INDEX('Dados - Placas'!$O:$O,MATCH('1'!AG72,'Dados - Placas'!$D:$D,0))</f>
        <v>#N/A</v>
      </c>
      <c r="AW72" s="33" t="e">
        <f>INDEX('Dados - Inversores'!AM:AM,MATCH('1'!AL72,'Dados - Inversores'!$C:$C,0))-1</f>
        <v>#N/A</v>
      </c>
      <c r="AX72" s="33" t="e">
        <f>INDEX('Dados - Inversores'!AN:AN,MATCH('1'!AL72,'Dados - Inversores'!$C:$C,0))-1</f>
        <v>#N/A</v>
      </c>
      <c r="AY72" s="33" t="e">
        <f>MATCH('1'!H72,Dados!$D$89:$D$167,0)+1</f>
        <v>#N/A</v>
      </c>
      <c r="AZ72" s="33" t="e">
        <f>MATCH('1'!N72,'Dados - Solicitação de acesso'!$N$2:$N$8,0)</f>
        <v>#N/A</v>
      </c>
      <c r="BA72" s="33" t="e">
        <f>MATCH('1'!T72,'Dados - Solicitação de acesso'!$T$2:$T$20,0)</f>
        <v>#N/A</v>
      </c>
      <c r="BB72" s="34"/>
      <c r="BC72" s="33">
        <f>MATCH(AT72,'Dados - Solicitação de acesso'!$AT$2:$AT$28,0)</f>
        <v>1</v>
      </c>
      <c r="BD72" s="33" t="b">
        <f>IF(O72="TRIFASICO",INDEX(Dados!G:G,MATCH('1'!AP72,Dados!E:E,0)),IF(O72="BIFASICO",INDEX(Dados!F:F,MATCH('1'!AP72,Dados!E:E,0),)))</f>
        <v>0</v>
      </c>
      <c r="BE72" s="33">
        <f>'Dados - Cliente'!J72</f>
        <v>0</v>
      </c>
      <c r="BF72" s="34">
        <f>INDEX(Dados!$E$2:$E$33,COUNTIF(Dados!$E$2:$E$33,"&lt;="&amp;AN72*1.25*AK72/(0.22*SQRT(INDEX('Dados - Inversores'!AK:AK,MATCH('1'!AL72,'Dados - Inversores'!C:C,0)))))+1)</f>
        <v>2</v>
      </c>
      <c r="BG72" s="34" t="b">
        <f>IF(O72="TRIFASICO",INDEX(Dados!G:G,MATCH(BF72,Dados!E:E,0)),IF(O72="BIFASICO",INDEX(Dados!F:F,MATCH(BF72,Dados!E:E,0),)))</f>
        <v>0</v>
      </c>
    </row>
    <row r="73" spans="1:59" s="33" customFormat="1" x14ac:dyDescent="0.35">
      <c r="A73" s="33">
        <f>'Dados - Cliente'!A73</f>
        <v>0</v>
      </c>
      <c r="B73" s="33">
        <f>'Dados - Cliente'!B73</f>
        <v>0</v>
      </c>
      <c r="C73" s="33">
        <f>'Dados - Cliente'!C73</f>
        <v>0</v>
      </c>
      <c r="D73" s="33">
        <f>'Dados - Cliente'!D73</f>
        <v>0</v>
      </c>
      <c r="E73" s="33">
        <f>'Dados - Cliente'!E73</f>
        <v>0</v>
      </c>
      <c r="F73" s="33">
        <f>'Dados - Cliente'!F73</f>
        <v>0</v>
      </c>
      <c r="G73" s="33">
        <f>'Dados - Cliente'!G73</f>
        <v>0</v>
      </c>
      <c r="H73" s="33">
        <f>'Dados - Cliente'!H73</f>
        <v>0</v>
      </c>
      <c r="I73" s="75" t="s">
        <v>4313</v>
      </c>
      <c r="J73" s="52" t="s">
        <v>4314</v>
      </c>
      <c r="K73" s="52" t="s">
        <v>4314</v>
      </c>
      <c r="L73" s="33">
        <f>'Dados - Cliente'!I73</f>
        <v>0</v>
      </c>
      <c r="M73" s="33">
        <f>'Dados - Cliente'!K73</f>
        <v>0</v>
      </c>
      <c r="N73" s="33">
        <f>'Dados - Cliente'!L73</f>
        <v>0</v>
      </c>
      <c r="O73" s="33">
        <f>'Dados - Cliente'!M73</f>
        <v>0</v>
      </c>
      <c r="P73" s="33">
        <f>'Dados - Cliente'!N73</f>
        <v>0</v>
      </c>
      <c r="Q73" s="33">
        <f>'Dados - Cliente'!O73</f>
        <v>0</v>
      </c>
      <c r="R73" s="33">
        <f>'Dados - Cliente'!P73</f>
        <v>0</v>
      </c>
      <c r="S73" s="33">
        <f>'Dados - Cliente'!Q73</f>
        <v>0</v>
      </c>
      <c r="T73" s="33">
        <f>'Dados - Cliente'!R73</f>
        <v>0</v>
      </c>
      <c r="U73" s="34">
        <f>'Dados - Cliente'!S73</f>
        <v>0</v>
      </c>
      <c r="V73" s="34">
        <f>'Dados - Cliente'!T73</f>
        <v>0</v>
      </c>
      <c r="W73" s="34">
        <f>'Dados - Cliente'!U73</f>
        <v>0</v>
      </c>
      <c r="X73" s="34">
        <f>'Dados - Cliente'!V73</f>
        <v>0</v>
      </c>
      <c r="Y73" s="34">
        <f>'Dados - Cliente'!W73</f>
        <v>0</v>
      </c>
      <c r="Z73" s="34">
        <f>'Dados - Cliente'!X73</f>
        <v>0</v>
      </c>
      <c r="AA73" s="33" t="e">
        <f t="shared" si="5"/>
        <v>#N/A</v>
      </c>
      <c r="AB73" s="33">
        <f>'Dados - Cliente'!Y73</f>
        <v>0</v>
      </c>
      <c r="AC73" s="33">
        <f>'Dados - Cliente'!Z73</f>
        <v>0</v>
      </c>
      <c r="AD73" s="33">
        <f>'Dados - Cliente'!AA73</f>
        <v>0</v>
      </c>
      <c r="AE73" s="33">
        <f>'Dados - Cliente'!AB73</f>
        <v>0</v>
      </c>
      <c r="AF73" s="33">
        <f>'Dados - Cliente'!AC73</f>
        <v>0</v>
      </c>
      <c r="AG73" s="35">
        <f>'Dados - Cliente'!AD73</f>
        <v>0</v>
      </c>
      <c r="AH73" s="33" t="e">
        <f>INDEX('Dados - Placas'!$A:$A,MATCH('1'!AG73,'Dados - Placas'!$D:$D,0))</f>
        <v>#N/A</v>
      </c>
      <c r="AI73" s="35" t="e">
        <f>INDEX('Dados - Placas'!$E:$E,MATCH('1'!AG73,'Dados - Placas'!$D:$D,0))</f>
        <v>#N/A</v>
      </c>
      <c r="AJ73" s="34" t="e">
        <f>INDEX('Dados - Placas'!$F:$F,MATCH('1'!AG73,'Dados - Placas'!$D:$D,0))*AF73</f>
        <v>#N/A</v>
      </c>
      <c r="AK73" s="33">
        <f>'Dados - Cliente'!AE73</f>
        <v>0</v>
      </c>
      <c r="AL73" s="33">
        <f>'Dados - Cliente'!AF73</f>
        <v>0</v>
      </c>
      <c r="AM73" s="36" t="e">
        <f>INDEX('Dados - Inversores'!$A:$A,MATCH('1'!AL73,'Dados - Inversores'!$C:$C,0))</f>
        <v>#N/A</v>
      </c>
      <c r="AN73" s="33">
        <f>'Dados - Cliente'!AG73</f>
        <v>0</v>
      </c>
      <c r="AO73" s="33" t="e">
        <f>AA73*1.25/(0.22*SQRT(INDEX('Dados - Inversores'!AK:AK,MATCH('1'!AL73,'Dados - Inversores'!C:C,0))))</f>
        <v>#N/A</v>
      </c>
      <c r="AP73" s="34">
        <f>INDEX(Dados!$E$2:$E$33,COUNTIF(Dados!$E$2:$E$33,"&lt;="&amp;AN73*1.25/(INDEX('Dados - Inversores'!AL:AL,MATCH('1'!AL73,'Dados - Inversores'!C:C,0))*SQRT(INDEX('Dados - Inversores'!AK:AK,MATCH('1'!AL73,'Dados - Inversores'!C:C,0)))))+1)</f>
        <v>2</v>
      </c>
      <c r="AQ73" s="33" t="s">
        <v>59</v>
      </c>
      <c r="AR73" s="33" t="str">
        <f t="shared" si="6"/>
        <v>Micro</v>
      </c>
      <c r="AS73" s="33">
        <f>'Dados - Cliente'!AH73</f>
        <v>0</v>
      </c>
      <c r="AT73" s="33">
        <f>'Dados - Cliente'!AI73</f>
        <v>0</v>
      </c>
      <c r="AU73" s="33" t="e">
        <f>INDEX('Dados - Placas'!$N:$N,MATCH('1'!AG73,'Dados - Placas'!$D:$D,0))-1</f>
        <v>#N/A</v>
      </c>
      <c r="AV73" s="33" t="e">
        <f>INDEX('Dados - Placas'!$O:$O,MATCH('1'!AG73,'Dados - Placas'!$D:$D,0))</f>
        <v>#N/A</v>
      </c>
      <c r="AW73" s="33" t="e">
        <f>INDEX('Dados - Inversores'!AM:AM,MATCH('1'!AL73,'Dados - Inversores'!$C:$C,0))-1</f>
        <v>#N/A</v>
      </c>
      <c r="AX73" s="33" t="e">
        <f>INDEX('Dados - Inversores'!AN:AN,MATCH('1'!AL73,'Dados - Inversores'!$C:$C,0))-1</f>
        <v>#N/A</v>
      </c>
      <c r="AY73" s="33" t="e">
        <f>MATCH('1'!H73,Dados!$D$89:$D$167,0)+1</f>
        <v>#N/A</v>
      </c>
      <c r="AZ73" s="33" t="e">
        <f>MATCH('1'!N73,'Dados - Solicitação de acesso'!$N$2:$N$8,0)</f>
        <v>#N/A</v>
      </c>
      <c r="BA73" s="33" t="e">
        <f>MATCH('1'!T73,'Dados - Solicitação de acesso'!$T$2:$T$20,0)</f>
        <v>#N/A</v>
      </c>
      <c r="BB73" s="34"/>
      <c r="BC73" s="33">
        <f>MATCH(AT73,'Dados - Solicitação de acesso'!$AT$2:$AT$28,0)</f>
        <v>1</v>
      </c>
      <c r="BD73" s="33" t="b">
        <f>IF(O73="TRIFASICO",INDEX(Dados!G:G,MATCH('1'!AP73,Dados!E:E,0)),IF(O73="BIFASICO",INDEX(Dados!F:F,MATCH('1'!AP73,Dados!E:E,0),)))</f>
        <v>0</v>
      </c>
      <c r="BE73" s="33">
        <f>'Dados - Cliente'!J73</f>
        <v>0</v>
      </c>
      <c r="BF73" s="34">
        <f>INDEX(Dados!$E$2:$E$33,COUNTIF(Dados!$E$2:$E$33,"&lt;="&amp;AN73*1.25*AK73/(0.22*SQRT(INDEX('Dados - Inversores'!AK:AK,MATCH('1'!AL73,'Dados - Inversores'!C:C,0)))))+1)</f>
        <v>2</v>
      </c>
      <c r="BG73" s="34" t="b">
        <f>IF(O73="TRIFASICO",INDEX(Dados!G:G,MATCH(BF73,Dados!E:E,0)),IF(O73="BIFASICO",INDEX(Dados!F:F,MATCH(BF73,Dados!E:E,0),)))</f>
        <v>0</v>
      </c>
    </row>
    <row r="74" spans="1:59" s="33" customFormat="1" x14ac:dyDescent="0.35">
      <c r="A74" s="33">
        <f>'Dados - Cliente'!A74</f>
        <v>0</v>
      </c>
      <c r="B74" s="33">
        <f>'Dados - Cliente'!B74</f>
        <v>0</v>
      </c>
      <c r="C74" s="33">
        <f>'Dados - Cliente'!C74</f>
        <v>0</v>
      </c>
      <c r="D74" s="33">
        <f>'Dados - Cliente'!D74</f>
        <v>0</v>
      </c>
      <c r="E74" s="33">
        <f>'Dados - Cliente'!E74</f>
        <v>0</v>
      </c>
      <c r="F74" s="33">
        <f>'Dados - Cliente'!F74</f>
        <v>0</v>
      </c>
      <c r="G74" s="33">
        <f>'Dados - Cliente'!G74</f>
        <v>0</v>
      </c>
      <c r="H74" s="33">
        <f>'Dados - Cliente'!H74</f>
        <v>0</v>
      </c>
      <c r="I74" s="75" t="s">
        <v>4313</v>
      </c>
      <c r="J74" s="52" t="s">
        <v>4314</v>
      </c>
      <c r="K74" s="52" t="s">
        <v>4314</v>
      </c>
      <c r="L74" s="33">
        <f>'Dados - Cliente'!I74</f>
        <v>0</v>
      </c>
      <c r="M74" s="33">
        <f>'Dados - Cliente'!K74</f>
        <v>0</v>
      </c>
      <c r="N74" s="33">
        <f>'Dados - Cliente'!L74</f>
        <v>0</v>
      </c>
      <c r="O74" s="33">
        <f>'Dados - Cliente'!M74</f>
        <v>0</v>
      </c>
      <c r="P74" s="33">
        <f>'Dados - Cliente'!N74</f>
        <v>0</v>
      </c>
      <c r="Q74" s="33">
        <f>'Dados - Cliente'!O74</f>
        <v>0</v>
      </c>
      <c r="R74" s="33">
        <f>'Dados - Cliente'!P74</f>
        <v>0</v>
      </c>
      <c r="S74" s="33">
        <f>'Dados - Cliente'!Q74</f>
        <v>0</v>
      </c>
      <c r="T74" s="33">
        <f>'Dados - Cliente'!R74</f>
        <v>0</v>
      </c>
      <c r="U74" s="34">
        <f>'Dados - Cliente'!S74</f>
        <v>0</v>
      </c>
      <c r="V74" s="34">
        <f>'Dados - Cliente'!T74</f>
        <v>0</v>
      </c>
      <c r="W74" s="34">
        <f>'Dados - Cliente'!U74</f>
        <v>0</v>
      </c>
      <c r="X74" s="34">
        <f>'Dados - Cliente'!V74</f>
        <v>0</v>
      </c>
      <c r="Y74" s="34">
        <f>'Dados - Cliente'!W74</f>
        <v>0</v>
      </c>
      <c r="Z74" s="34">
        <f>'Dados - Cliente'!X74</f>
        <v>0</v>
      </c>
      <c r="AA74" s="33" t="e">
        <f t="shared" si="5"/>
        <v>#N/A</v>
      </c>
      <c r="AB74" s="33">
        <f>'Dados - Cliente'!Y74</f>
        <v>0</v>
      </c>
      <c r="AC74" s="33">
        <f>'Dados - Cliente'!Z74</f>
        <v>0</v>
      </c>
      <c r="AD74" s="33">
        <f>'Dados - Cliente'!AA74</f>
        <v>0</v>
      </c>
      <c r="AE74" s="33">
        <f>'Dados - Cliente'!AB74</f>
        <v>0</v>
      </c>
      <c r="AF74" s="33">
        <f>'Dados - Cliente'!AC74</f>
        <v>0</v>
      </c>
      <c r="AG74" s="35">
        <f>'Dados - Cliente'!AD74</f>
        <v>0</v>
      </c>
      <c r="AH74" s="33" t="e">
        <f>INDEX('Dados - Placas'!$A:$A,MATCH('1'!AG74,'Dados - Placas'!$D:$D,0))</f>
        <v>#N/A</v>
      </c>
      <c r="AI74" s="35" t="e">
        <f>INDEX('Dados - Placas'!$E:$E,MATCH('1'!AG74,'Dados - Placas'!$D:$D,0))</f>
        <v>#N/A</v>
      </c>
      <c r="AJ74" s="34" t="e">
        <f>INDEX('Dados - Placas'!$F:$F,MATCH('1'!AG74,'Dados - Placas'!$D:$D,0))*AF74</f>
        <v>#N/A</v>
      </c>
      <c r="AK74" s="33">
        <f>'Dados - Cliente'!AE74</f>
        <v>0</v>
      </c>
      <c r="AL74" s="33">
        <f>'Dados - Cliente'!AF74</f>
        <v>0</v>
      </c>
      <c r="AM74" s="36" t="e">
        <f>INDEX('Dados - Inversores'!$A:$A,MATCH('1'!AL74,'Dados - Inversores'!$C:$C,0))</f>
        <v>#N/A</v>
      </c>
      <c r="AN74" s="33">
        <f>'Dados - Cliente'!AG74</f>
        <v>0</v>
      </c>
      <c r="AO74" s="33" t="e">
        <f>AA74*1.25/(0.22*SQRT(INDEX('Dados - Inversores'!AK:AK,MATCH('1'!AL74,'Dados - Inversores'!C:C,0))))</f>
        <v>#N/A</v>
      </c>
      <c r="AP74" s="34">
        <f>INDEX(Dados!$E$2:$E$33,COUNTIF(Dados!$E$2:$E$33,"&lt;="&amp;AN74*1.25/(INDEX('Dados - Inversores'!AL:AL,MATCH('1'!AL74,'Dados - Inversores'!C:C,0))*SQRT(INDEX('Dados - Inversores'!AK:AK,MATCH('1'!AL74,'Dados - Inversores'!C:C,0)))))+1)</f>
        <v>2</v>
      </c>
      <c r="AQ74" s="33" t="s">
        <v>59</v>
      </c>
      <c r="AR74" s="33" t="str">
        <f t="shared" si="6"/>
        <v>Micro</v>
      </c>
      <c r="AS74" s="33">
        <f>'Dados - Cliente'!AH74</f>
        <v>0</v>
      </c>
      <c r="AT74" s="33">
        <f>'Dados - Cliente'!AI74</f>
        <v>0</v>
      </c>
      <c r="AU74" s="33" t="e">
        <f>INDEX('Dados - Placas'!$N:$N,MATCH('1'!AG74,'Dados - Placas'!$D:$D,0))-1</f>
        <v>#N/A</v>
      </c>
      <c r="AV74" s="33" t="e">
        <f>INDEX('Dados - Placas'!$O:$O,MATCH('1'!AG74,'Dados - Placas'!$D:$D,0))</f>
        <v>#N/A</v>
      </c>
      <c r="AW74" s="33" t="e">
        <f>INDEX('Dados - Inversores'!AM:AM,MATCH('1'!AL74,'Dados - Inversores'!$C:$C,0))-1</f>
        <v>#N/A</v>
      </c>
      <c r="AX74" s="33" t="e">
        <f>INDEX('Dados - Inversores'!AN:AN,MATCH('1'!AL74,'Dados - Inversores'!$C:$C,0))-1</f>
        <v>#N/A</v>
      </c>
      <c r="AY74" s="33" t="e">
        <f>MATCH('1'!H74,Dados!$D$89:$D$167,0)+1</f>
        <v>#N/A</v>
      </c>
      <c r="AZ74" s="33" t="e">
        <f>MATCH('1'!N74,'Dados - Solicitação de acesso'!$N$2:$N$8,0)</f>
        <v>#N/A</v>
      </c>
      <c r="BA74" s="33" t="e">
        <f>MATCH('1'!T74,'Dados - Solicitação de acesso'!$T$2:$T$20,0)</f>
        <v>#N/A</v>
      </c>
      <c r="BB74" s="34"/>
      <c r="BC74" s="33">
        <f>MATCH(AT74,'Dados - Solicitação de acesso'!$AT$2:$AT$28,0)</f>
        <v>1</v>
      </c>
      <c r="BD74" s="33" t="b">
        <f>IF(O74="TRIFASICO",INDEX(Dados!G:G,MATCH('1'!AP74,Dados!E:E,0)),IF(O74="BIFASICO",INDEX(Dados!F:F,MATCH('1'!AP74,Dados!E:E,0),)))</f>
        <v>0</v>
      </c>
      <c r="BE74" s="33">
        <f>'Dados - Cliente'!J74</f>
        <v>0</v>
      </c>
      <c r="BF74" s="34">
        <f>INDEX(Dados!$E$2:$E$33,COUNTIF(Dados!$E$2:$E$33,"&lt;="&amp;AN74*1.25*AK74/(0.22*SQRT(INDEX('Dados - Inversores'!AK:AK,MATCH('1'!AL74,'Dados - Inversores'!C:C,0)))))+1)</f>
        <v>2</v>
      </c>
      <c r="BG74" s="34" t="b">
        <f>IF(O74="TRIFASICO",INDEX(Dados!G:G,MATCH(BF74,Dados!E:E,0)),IF(O74="BIFASICO",INDEX(Dados!F:F,MATCH(BF74,Dados!E:E,0),)))</f>
        <v>0</v>
      </c>
    </row>
    <row r="75" spans="1:59" s="33" customFormat="1" x14ac:dyDescent="0.35">
      <c r="A75" s="33">
        <f>'Dados - Cliente'!A75</f>
        <v>0</v>
      </c>
      <c r="B75" s="33">
        <f>'Dados - Cliente'!B75</f>
        <v>0</v>
      </c>
      <c r="C75" s="33">
        <f>'Dados - Cliente'!C75</f>
        <v>0</v>
      </c>
      <c r="D75" s="33">
        <f>'Dados - Cliente'!D75</f>
        <v>0</v>
      </c>
      <c r="E75" s="33">
        <f>'Dados - Cliente'!E75</f>
        <v>0</v>
      </c>
      <c r="F75" s="33">
        <f>'Dados - Cliente'!F75</f>
        <v>0</v>
      </c>
      <c r="G75" s="33">
        <f>'Dados - Cliente'!G75</f>
        <v>0</v>
      </c>
      <c r="H75" s="33">
        <f>'Dados - Cliente'!H75</f>
        <v>0</v>
      </c>
      <c r="I75" s="75" t="s">
        <v>4313</v>
      </c>
      <c r="J75" s="52" t="s">
        <v>4314</v>
      </c>
      <c r="K75" s="52" t="s">
        <v>4314</v>
      </c>
      <c r="L75" s="33">
        <f>'Dados - Cliente'!I75</f>
        <v>0</v>
      </c>
      <c r="M75" s="33">
        <f>'Dados - Cliente'!K75</f>
        <v>0</v>
      </c>
      <c r="N75" s="33">
        <f>'Dados - Cliente'!L75</f>
        <v>0</v>
      </c>
      <c r="O75" s="33">
        <f>'Dados - Cliente'!M75</f>
        <v>0</v>
      </c>
      <c r="P75" s="33">
        <f>'Dados - Cliente'!N75</f>
        <v>0</v>
      </c>
      <c r="Q75" s="33">
        <f>'Dados - Cliente'!O75</f>
        <v>0</v>
      </c>
      <c r="R75" s="33">
        <f>'Dados - Cliente'!P75</f>
        <v>0</v>
      </c>
      <c r="S75" s="33">
        <f>'Dados - Cliente'!Q75</f>
        <v>0</v>
      </c>
      <c r="T75" s="33">
        <f>'Dados - Cliente'!R75</f>
        <v>0</v>
      </c>
      <c r="U75" s="34">
        <f>'Dados - Cliente'!S75</f>
        <v>0</v>
      </c>
      <c r="V75" s="34">
        <f>'Dados - Cliente'!T75</f>
        <v>0</v>
      </c>
      <c r="W75" s="34">
        <f>'Dados - Cliente'!U75</f>
        <v>0</v>
      </c>
      <c r="X75" s="34">
        <f>'Dados - Cliente'!V75</f>
        <v>0</v>
      </c>
      <c r="Y75" s="34">
        <f>'Dados - Cliente'!W75</f>
        <v>0</v>
      </c>
      <c r="Z75" s="34">
        <f>'Dados - Cliente'!X75</f>
        <v>0</v>
      </c>
      <c r="AA75" s="33" t="e">
        <f t="shared" si="5"/>
        <v>#N/A</v>
      </c>
      <c r="AB75" s="33">
        <f>'Dados - Cliente'!Y75</f>
        <v>0</v>
      </c>
      <c r="AC75" s="33">
        <f>'Dados - Cliente'!Z75</f>
        <v>0</v>
      </c>
      <c r="AD75" s="33">
        <f>'Dados - Cliente'!AA75</f>
        <v>0</v>
      </c>
      <c r="AE75" s="33">
        <f>'Dados - Cliente'!AB75</f>
        <v>0</v>
      </c>
      <c r="AF75" s="33">
        <f>'Dados - Cliente'!AC75</f>
        <v>0</v>
      </c>
      <c r="AG75" s="35">
        <f>'Dados - Cliente'!AD75</f>
        <v>0</v>
      </c>
      <c r="AH75" s="33" t="e">
        <f>INDEX('Dados - Placas'!$A:$A,MATCH('1'!AG75,'Dados - Placas'!$D:$D,0))</f>
        <v>#N/A</v>
      </c>
      <c r="AI75" s="35" t="e">
        <f>INDEX('Dados - Placas'!$E:$E,MATCH('1'!AG75,'Dados - Placas'!$D:$D,0))</f>
        <v>#N/A</v>
      </c>
      <c r="AJ75" s="34" t="e">
        <f>INDEX('Dados - Placas'!$F:$F,MATCH('1'!AG75,'Dados - Placas'!$D:$D,0))*AF75</f>
        <v>#N/A</v>
      </c>
      <c r="AK75" s="33">
        <f>'Dados - Cliente'!AE75</f>
        <v>0</v>
      </c>
      <c r="AL75" s="33">
        <f>'Dados - Cliente'!AF75</f>
        <v>0</v>
      </c>
      <c r="AM75" s="36" t="e">
        <f>INDEX('Dados - Inversores'!$A:$A,MATCH('1'!AL75,'Dados - Inversores'!$C:$C,0))</f>
        <v>#N/A</v>
      </c>
      <c r="AN75" s="33">
        <f>'Dados - Cliente'!AG75</f>
        <v>0</v>
      </c>
      <c r="AO75" s="33" t="e">
        <f>AA75*1.25/(0.22*SQRT(INDEX('Dados - Inversores'!AK:AK,MATCH('1'!AL75,'Dados - Inversores'!C:C,0))))</f>
        <v>#N/A</v>
      </c>
      <c r="AP75" s="34">
        <f>INDEX(Dados!$E$2:$E$33,COUNTIF(Dados!$E$2:$E$33,"&lt;="&amp;AN75*1.25/(INDEX('Dados - Inversores'!AL:AL,MATCH('1'!AL75,'Dados - Inversores'!C:C,0))*SQRT(INDEX('Dados - Inversores'!AK:AK,MATCH('1'!AL75,'Dados - Inversores'!C:C,0)))))+1)</f>
        <v>2</v>
      </c>
      <c r="AQ75" s="33" t="s">
        <v>59</v>
      </c>
      <c r="AR75" s="33" t="str">
        <f t="shared" si="6"/>
        <v>Micro</v>
      </c>
      <c r="AS75" s="33">
        <f>'Dados - Cliente'!AH75</f>
        <v>0</v>
      </c>
      <c r="AT75" s="33">
        <f>'Dados - Cliente'!AI75</f>
        <v>0</v>
      </c>
      <c r="AU75" s="33" t="e">
        <f>INDEX('Dados - Placas'!$N:$N,MATCH('1'!AG75,'Dados - Placas'!$D:$D,0))-1</f>
        <v>#N/A</v>
      </c>
      <c r="AV75" s="33" t="e">
        <f>INDEX('Dados - Placas'!$O:$O,MATCH('1'!AG75,'Dados - Placas'!$D:$D,0))</f>
        <v>#N/A</v>
      </c>
      <c r="AW75" s="33" t="e">
        <f>INDEX('Dados - Inversores'!AM:AM,MATCH('1'!AL75,'Dados - Inversores'!$C:$C,0))-1</f>
        <v>#N/A</v>
      </c>
      <c r="AX75" s="33" t="e">
        <f>INDEX('Dados - Inversores'!AN:AN,MATCH('1'!AL75,'Dados - Inversores'!$C:$C,0))-1</f>
        <v>#N/A</v>
      </c>
      <c r="AY75" s="33" t="e">
        <f>MATCH('1'!H75,Dados!$D$89:$D$167,0)+1</f>
        <v>#N/A</v>
      </c>
      <c r="AZ75" s="33" t="e">
        <f>MATCH('1'!N75,'Dados - Solicitação de acesso'!$N$2:$N$8,0)</f>
        <v>#N/A</v>
      </c>
      <c r="BA75" s="33" t="e">
        <f>MATCH('1'!T75,'Dados - Solicitação de acesso'!$T$2:$T$20,0)</f>
        <v>#N/A</v>
      </c>
      <c r="BB75" s="34"/>
      <c r="BC75" s="33">
        <f>MATCH(AT75,'Dados - Solicitação de acesso'!$AT$2:$AT$28,0)</f>
        <v>1</v>
      </c>
      <c r="BD75" s="33" t="b">
        <f>IF(O75="TRIFASICO",INDEX(Dados!G:G,MATCH('1'!AP75,Dados!E:E,0)),IF(O75="BIFASICO",INDEX(Dados!F:F,MATCH('1'!AP75,Dados!E:E,0),)))</f>
        <v>0</v>
      </c>
      <c r="BE75" s="33">
        <f>'Dados - Cliente'!J75</f>
        <v>0</v>
      </c>
      <c r="BF75" s="34">
        <f>INDEX(Dados!$E$2:$E$33,COUNTIF(Dados!$E$2:$E$33,"&lt;="&amp;AN75*1.25*AK75/(0.22*SQRT(INDEX('Dados - Inversores'!AK:AK,MATCH('1'!AL75,'Dados - Inversores'!C:C,0)))))+1)</f>
        <v>2</v>
      </c>
      <c r="BG75" s="34" t="b">
        <f>IF(O75="TRIFASICO",INDEX(Dados!G:G,MATCH(BF75,Dados!E:E,0)),IF(O75="BIFASICO",INDEX(Dados!F:F,MATCH(BF75,Dados!E:E,0),)))</f>
        <v>0</v>
      </c>
    </row>
    <row r="76" spans="1:59" s="33" customFormat="1" x14ac:dyDescent="0.35">
      <c r="A76" s="33">
        <f>'Dados - Cliente'!A76</f>
        <v>0</v>
      </c>
      <c r="B76" s="33">
        <f>'Dados - Cliente'!B76</f>
        <v>0</v>
      </c>
      <c r="C76" s="33">
        <f>'Dados - Cliente'!C76</f>
        <v>0</v>
      </c>
      <c r="D76" s="33">
        <f>'Dados - Cliente'!D76</f>
        <v>0</v>
      </c>
      <c r="E76" s="33">
        <f>'Dados - Cliente'!E76</f>
        <v>0</v>
      </c>
      <c r="F76" s="33">
        <f>'Dados - Cliente'!F76</f>
        <v>0</v>
      </c>
      <c r="G76" s="33">
        <f>'Dados - Cliente'!G76</f>
        <v>0</v>
      </c>
      <c r="H76" s="33">
        <f>'Dados - Cliente'!H76</f>
        <v>0</v>
      </c>
      <c r="I76" s="75" t="s">
        <v>4313</v>
      </c>
      <c r="J76" s="52" t="s">
        <v>4314</v>
      </c>
      <c r="K76" s="52" t="s">
        <v>4314</v>
      </c>
      <c r="L76" s="33">
        <f>'Dados - Cliente'!I76</f>
        <v>0</v>
      </c>
      <c r="M76" s="33">
        <f>'Dados - Cliente'!K76</f>
        <v>0</v>
      </c>
      <c r="N76" s="33">
        <f>'Dados - Cliente'!L76</f>
        <v>0</v>
      </c>
      <c r="O76" s="33">
        <f>'Dados - Cliente'!M76</f>
        <v>0</v>
      </c>
      <c r="P76" s="33">
        <f>'Dados - Cliente'!N76</f>
        <v>0</v>
      </c>
      <c r="Q76" s="33">
        <f>'Dados - Cliente'!O76</f>
        <v>0</v>
      </c>
      <c r="R76" s="33">
        <f>'Dados - Cliente'!P76</f>
        <v>0</v>
      </c>
      <c r="S76" s="33">
        <f>'Dados - Cliente'!Q76</f>
        <v>0</v>
      </c>
      <c r="T76" s="33">
        <f>'Dados - Cliente'!R76</f>
        <v>0</v>
      </c>
      <c r="U76" s="34">
        <f>'Dados - Cliente'!S76</f>
        <v>0</v>
      </c>
      <c r="V76" s="34">
        <f>'Dados - Cliente'!T76</f>
        <v>0</v>
      </c>
      <c r="W76" s="34">
        <f>'Dados - Cliente'!U76</f>
        <v>0</v>
      </c>
      <c r="X76" s="34">
        <f>'Dados - Cliente'!V76</f>
        <v>0</v>
      </c>
      <c r="Y76" s="34">
        <f>'Dados - Cliente'!W76</f>
        <v>0</v>
      </c>
      <c r="Z76" s="34">
        <f>'Dados - Cliente'!X76</f>
        <v>0</v>
      </c>
      <c r="AA76" s="33" t="e">
        <f t="shared" si="5"/>
        <v>#N/A</v>
      </c>
      <c r="AB76" s="33">
        <f>'Dados - Cliente'!Y76</f>
        <v>0</v>
      </c>
      <c r="AC76" s="33">
        <f>'Dados - Cliente'!Z76</f>
        <v>0</v>
      </c>
      <c r="AD76" s="33">
        <f>'Dados - Cliente'!AA76</f>
        <v>0</v>
      </c>
      <c r="AE76" s="33">
        <f>'Dados - Cliente'!AB76</f>
        <v>0</v>
      </c>
      <c r="AF76" s="33">
        <f>'Dados - Cliente'!AC76</f>
        <v>0</v>
      </c>
      <c r="AG76" s="35">
        <f>'Dados - Cliente'!AD76</f>
        <v>0</v>
      </c>
      <c r="AH76" s="33" t="e">
        <f>INDEX('Dados - Placas'!$A:$A,MATCH('1'!AG76,'Dados - Placas'!$D:$D,0))</f>
        <v>#N/A</v>
      </c>
      <c r="AI76" s="35" t="e">
        <f>INDEX('Dados - Placas'!$E:$E,MATCH('1'!AG76,'Dados - Placas'!$D:$D,0))</f>
        <v>#N/A</v>
      </c>
      <c r="AJ76" s="34" t="e">
        <f>INDEX('Dados - Placas'!$F:$F,MATCH('1'!AG76,'Dados - Placas'!$D:$D,0))*AF76</f>
        <v>#N/A</v>
      </c>
      <c r="AK76" s="33">
        <f>'Dados - Cliente'!AE76</f>
        <v>0</v>
      </c>
      <c r="AL76" s="33">
        <f>'Dados - Cliente'!AF76</f>
        <v>0</v>
      </c>
      <c r="AM76" s="36" t="e">
        <f>INDEX('Dados - Inversores'!$A:$A,MATCH('1'!AL76,'Dados - Inversores'!$C:$C,0))</f>
        <v>#N/A</v>
      </c>
      <c r="AN76" s="33">
        <f>'Dados - Cliente'!AG76</f>
        <v>0</v>
      </c>
      <c r="AO76" s="33" t="e">
        <f>AA76*1.25/(0.22*SQRT(INDEX('Dados - Inversores'!AK:AK,MATCH('1'!AL76,'Dados - Inversores'!C:C,0))))</f>
        <v>#N/A</v>
      </c>
      <c r="AP76" s="34">
        <f>INDEX(Dados!$E$2:$E$33,COUNTIF(Dados!$E$2:$E$33,"&lt;="&amp;AN76*1.25/(INDEX('Dados - Inversores'!AL:AL,MATCH('1'!AL76,'Dados - Inversores'!C:C,0))*SQRT(INDEX('Dados - Inversores'!AK:AK,MATCH('1'!AL76,'Dados - Inversores'!C:C,0)))))+1)</f>
        <v>2</v>
      </c>
      <c r="AQ76" s="33" t="s">
        <v>59</v>
      </c>
      <c r="AR76" s="33" t="str">
        <f t="shared" si="6"/>
        <v>Micro</v>
      </c>
      <c r="AS76" s="33">
        <f>'Dados - Cliente'!AH76</f>
        <v>0</v>
      </c>
      <c r="AT76" s="33">
        <f>'Dados - Cliente'!AI76</f>
        <v>0</v>
      </c>
      <c r="AU76" s="33" t="e">
        <f>INDEX('Dados - Placas'!$N:$N,MATCH('1'!AG76,'Dados - Placas'!$D:$D,0))-1</f>
        <v>#N/A</v>
      </c>
      <c r="AV76" s="33" t="e">
        <f>INDEX('Dados - Placas'!$O:$O,MATCH('1'!AG76,'Dados - Placas'!$D:$D,0))</f>
        <v>#N/A</v>
      </c>
      <c r="AW76" s="33" t="e">
        <f>INDEX('Dados - Inversores'!AM:AM,MATCH('1'!AL76,'Dados - Inversores'!$C:$C,0))-1</f>
        <v>#N/A</v>
      </c>
      <c r="AX76" s="33" t="e">
        <f>INDEX('Dados - Inversores'!AN:AN,MATCH('1'!AL76,'Dados - Inversores'!$C:$C,0))-1</f>
        <v>#N/A</v>
      </c>
      <c r="AY76" s="33" t="e">
        <f>MATCH('1'!H76,Dados!$D$89:$D$167,0)+1</f>
        <v>#N/A</v>
      </c>
      <c r="AZ76" s="33" t="e">
        <f>MATCH('1'!N76,'Dados - Solicitação de acesso'!$N$2:$N$8,0)</f>
        <v>#N/A</v>
      </c>
      <c r="BA76" s="33" t="e">
        <f>MATCH('1'!T76,'Dados - Solicitação de acesso'!$T$2:$T$20,0)</f>
        <v>#N/A</v>
      </c>
      <c r="BB76" s="34"/>
      <c r="BC76" s="33">
        <f>MATCH(AT76,'Dados - Solicitação de acesso'!$AT$2:$AT$28,0)</f>
        <v>1</v>
      </c>
      <c r="BD76" s="33" t="b">
        <f>IF(O76="TRIFASICO",INDEX(Dados!G:G,MATCH('1'!AP76,Dados!E:E,0)),IF(O76="BIFASICO",INDEX(Dados!F:F,MATCH('1'!AP76,Dados!E:E,0),)))</f>
        <v>0</v>
      </c>
      <c r="BE76" s="33">
        <f>'Dados - Cliente'!J76</f>
        <v>0</v>
      </c>
      <c r="BF76" s="34">
        <f>INDEX(Dados!$E$2:$E$33,COUNTIF(Dados!$E$2:$E$33,"&lt;="&amp;AN76*1.25*AK76/(0.22*SQRT(INDEX('Dados - Inversores'!AK:AK,MATCH('1'!AL76,'Dados - Inversores'!C:C,0)))))+1)</f>
        <v>2</v>
      </c>
      <c r="BG76" s="34" t="b">
        <f>IF(O76="TRIFASICO",INDEX(Dados!G:G,MATCH(BF76,Dados!E:E,0)),IF(O76="BIFASICO",INDEX(Dados!F:F,MATCH(BF76,Dados!E:E,0),)))</f>
        <v>0</v>
      </c>
    </row>
    <row r="77" spans="1:59" s="33" customFormat="1" x14ac:dyDescent="0.35">
      <c r="A77" s="33">
        <f>'Dados - Cliente'!A77</f>
        <v>0</v>
      </c>
      <c r="B77" s="33">
        <f>'Dados - Cliente'!B77</f>
        <v>0</v>
      </c>
      <c r="C77" s="33">
        <f>'Dados - Cliente'!C77</f>
        <v>0</v>
      </c>
      <c r="D77" s="33">
        <f>'Dados - Cliente'!D77</f>
        <v>0</v>
      </c>
      <c r="E77" s="33">
        <f>'Dados - Cliente'!E77</f>
        <v>0</v>
      </c>
      <c r="F77" s="33">
        <f>'Dados - Cliente'!F77</f>
        <v>0</v>
      </c>
      <c r="G77" s="33">
        <f>'Dados - Cliente'!G77</f>
        <v>0</v>
      </c>
      <c r="H77" s="33">
        <f>'Dados - Cliente'!H77</f>
        <v>0</v>
      </c>
      <c r="I77" s="75" t="s">
        <v>4313</v>
      </c>
      <c r="J77" s="52" t="s">
        <v>4314</v>
      </c>
      <c r="K77" s="52" t="s">
        <v>4314</v>
      </c>
      <c r="L77" s="33">
        <f>'Dados - Cliente'!I77</f>
        <v>0</v>
      </c>
      <c r="M77" s="33">
        <f>'Dados - Cliente'!K77</f>
        <v>0</v>
      </c>
      <c r="N77" s="33">
        <f>'Dados - Cliente'!L77</f>
        <v>0</v>
      </c>
      <c r="O77" s="33">
        <f>'Dados - Cliente'!M77</f>
        <v>0</v>
      </c>
      <c r="P77" s="33">
        <f>'Dados - Cliente'!N77</f>
        <v>0</v>
      </c>
      <c r="Q77" s="33">
        <f>'Dados - Cliente'!O77</f>
        <v>0</v>
      </c>
      <c r="R77" s="33">
        <f>'Dados - Cliente'!P77</f>
        <v>0</v>
      </c>
      <c r="S77" s="33">
        <f>'Dados - Cliente'!Q77</f>
        <v>0</v>
      </c>
      <c r="T77" s="33">
        <f>'Dados - Cliente'!R77</f>
        <v>0</v>
      </c>
      <c r="U77" s="34">
        <f>'Dados - Cliente'!S77</f>
        <v>0</v>
      </c>
      <c r="V77" s="34">
        <f>'Dados - Cliente'!T77</f>
        <v>0</v>
      </c>
      <c r="W77" s="34">
        <f>'Dados - Cliente'!U77</f>
        <v>0</v>
      </c>
      <c r="X77" s="34">
        <f>'Dados - Cliente'!V77</f>
        <v>0</v>
      </c>
      <c r="Y77" s="34">
        <f>'Dados - Cliente'!W77</f>
        <v>0</v>
      </c>
      <c r="Z77" s="34">
        <f>'Dados - Cliente'!X77</f>
        <v>0</v>
      </c>
      <c r="AA77" s="33" t="e">
        <f t="shared" ref="AA77:AA112" si="7">AI77*AF77</f>
        <v>#N/A</v>
      </c>
      <c r="AB77" s="33">
        <f>'Dados - Cliente'!Y77</f>
        <v>0</v>
      </c>
      <c r="AC77" s="33">
        <f>'Dados - Cliente'!Z77</f>
        <v>0</v>
      </c>
      <c r="AD77" s="33">
        <f>'Dados - Cliente'!AA77</f>
        <v>0</v>
      </c>
      <c r="AE77" s="33">
        <f>'Dados - Cliente'!AB77</f>
        <v>0</v>
      </c>
      <c r="AF77" s="33">
        <f>'Dados - Cliente'!AC77</f>
        <v>0</v>
      </c>
      <c r="AG77" s="35">
        <f>'Dados - Cliente'!AD77</f>
        <v>0</v>
      </c>
      <c r="AH77" s="33" t="e">
        <f>INDEX('Dados - Placas'!$A:$A,MATCH('1'!AG77,'Dados - Placas'!$D:$D,0))</f>
        <v>#N/A</v>
      </c>
      <c r="AI77" s="35" t="e">
        <f>INDEX('Dados - Placas'!$E:$E,MATCH('1'!AG77,'Dados - Placas'!$D:$D,0))</f>
        <v>#N/A</v>
      </c>
      <c r="AJ77" s="34" t="e">
        <f>INDEX('Dados - Placas'!$F:$F,MATCH('1'!AG77,'Dados - Placas'!$D:$D,0))*AF77</f>
        <v>#N/A</v>
      </c>
      <c r="AK77" s="33">
        <f>'Dados - Cliente'!AE77</f>
        <v>0</v>
      </c>
      <c r="AL77" s="33">
        <f>'Dados - Cliente'!AF77</f>
        <v>0</v>
      </c>
      <c r="AM77" s="36" t="e">
        <f>INDEX('Dados - Inversores'!$A:$A,MATCH('1'!AL77,'Dados - Inversores'!$C:$C,0))</f>
        <v>#N/A</v>
      </c>
      <c r="AN77" s="33">
        <f>'Dados - Cliente'!AG77</f>
        <v>0</v>
      </c>
      <c r="AO77" s="33" t="e">
        <f>AA77*1.25/(0.22*SQRT(INDEX('Dados - Inversores'!AK:AK,MATCH('1'!AL77,'Dados - Inversores'!C:C,0))))</f>
        <v>#N/A</v>
      </c>
      <c r="AP77" s="34">
        <f>INDEX(Dados!$E$2:$E$33,COUNTIF(Dados!$E$2:$E$33,"&lt;="&amp;AN77*1.25/(INDEX('Dados - Inversores'!AL:AL,MATCH('1'!AL77,'Dados - Inversores'!C:C,0))*SQRT(INDEX('Dados - Inversores'!AK:AK,MATCH('1'!AL77,'Dados - Inversores'!C:C,0)))))+1)</f>
        <v>2</v>
      </c>
      <c r="AQ77" s="33" t="s">
        <v>59</v>
      </c>
      <c r="AR77" s="33" t="str">
        <f t="shared" ref="AR77:AR112" si="8">IF((AN77*AK77)&gt;10,"Mini","Micro")</f>
        <v>Micro</v>
      </c>
      <c r="AS77" s="33">
        <f>'Dados - Cliente'!AH77</f>
        <v>0</v>
      </c>
      <c r="AT77" s="33">
        <f>'Dados - Cliente'!AI77</f>
        <v>0</v>
      </c>
      <c r="AU77" s="33" t="e">
        <f>INDEX('Dados - Placas'!$N:$N,MATCH('1'!AG77,'Dados - Placas'!$D:$D,0))-1</f>
        <v>#N/A</v>
      </c>
      <c r="AV77" s="33" t="e">
        <f>INDEX('Dados - Placas'!$O:$O,MATCH('1'!AG77,'Dados - Placas'!$D:$D,0))</f>
        <v>#N/A</v>
      </c>
      <c r="AW77" s="33" t="e">
        <f>INDEX('Dados - Inversores'!AM:AM,MATCH('1'!AL77,'Dados - Inversores'!$C:$C,0))-1</f>
        <v>#N/A</v>
      </c>
      <c r="AX77" s="33" t="e">
        <f>INDEX('Dados - Inversores'!AN:AN,MATCH('1'!AL77,'Dados - Inversores'!$C:$C,0))-1</f>
        <v>#N/A</v>
      </c>
      <c r="AY77" s="33" t="e">
        <f>MATCH('1'!H77,Dados!$D$89:$D$167,0)+1</f>
        <v>#N/A</v>
      </c>
      <c r="AZ77" s="33" t="e">
        <f>MATCH('1'!N77,'Dados - Solicitação de acesso'!$N$2:$N$8,0)</f>
        <v>#N/A</v>
      </c>
      <c r="BA77" s="33" t="e">
        <f>MATCH('1'!T77,'Dados - Solicitação de acesso'!$T$2:$T$20,0)</f>
        <v>#N/A</v>
      </c>
      <c r="BB77" s="34"/>
      <c r="BC77" s="33">
        <f>MATCH(AT77,'Dados - Solicitação de acesso'!$AT$2:$AT$28,0)</f>
        <v>1</v>
      </c>
      <c r="BD77" s="33" t="b">
        <f>IF(O77="TRIFASICO",INDEX(Dados!G:G,MATCH('1'!AP77,Dados!E:E,0)),IF(O77="BIFASICO",INDEX(Dados!F:F,MATCH('1'!AP77,Dados!E:E,0),)))</f>
        <v>0</v>
      </c>
      <c r="BE77" s="33">
        <f>'Dados - Cliente'!J77</f>
        <v>0</v>
      </c>
      <c r="BF77" s="34">
        <f>INDEX(Dados!$E$2:$E$33,COUNTIF(Dados!$E$2:$E$33,"&lt;="&amp;AN77*1.25*AK77/(0.22*SQRT(INDEX('Dados - Inversores'!AK:AK,MATCH('1'!AL77,'Dados - Inversores'!C:C,0)))))+1)</f>
        <v>2</v>
      </c>
      <c r="BG77" s="34" t="b">
        <f>IF(O77="TRIFASICO",INDEX(Dados!G:G,MATCH(BF77,Dados!E:E,0)),IF(O77="BIFASICO",INDEX(Dados!F:F,MATCH(BF77,Dados!E:E,0),)))</f>
        <v>0</v>
      </c>
    </row>
    <row r="78" spans="1:59" s="33" customFormat="1" x14ac:dyDescent="0.35">
      <c r="A78" s="33">
        <f>'Dados - Cliente'!A78</f>
        <v>0</v>
      </c>
      <c r="B78" s="33">
        <f>'Dados - Cliente'!B78</f>
        <v>0</v>
      </c>
      <c r="C78" s="33">
        <f>'Dados - Cliente'!C78</f>
        <v>0</v>
      </c>
      <c r="D78" s="33">
        <f>'Dados - Cliente'!D78</f>
        <v>0</v>
      </c>
      <c r="E78" s="33">
        <f>'Dados - Cliente'!E78</f>
        <v>0</v>
      </c>
      <c r="F78" s="33">
        <f>'Dados - Cliente'!F78</f>
        <v>0</v>
      </c>
      <c r="G78" s="33">
        <f>'Dados - Cliente'!G78</f>
        <v>0</v>
      </c>
      <c r="H78" s="33">
        <f>'Dados - Cliente'!H78</f>
        <v>0</v>
      </c>
      <c r="I78" s="75" t="s">
        <v>4313</v>
      </c>
      <c r="J78" s="52" t="s">
        <v>4314</v>
      </c>
      <c r="K78" s="52" t="s">
        <v>4314</v>
      </c>
      <c r="L78" s="33">
        <f>'Dados - Cliente'!I78</f>
        <v>0</v>
      </c>
      <c r="M78" s="33">
        <f>'Dados - Cliente'!K78</f>
        <v>0</v>
      </c>
      <c r="N78" s="33">
        <f>'Dados - Cliente'!L78</f>
        <v>0</v>
      </c>
      <c r="O78" s="33">
        <f>'Dados - Cliente'!M78</f>
        <v>0</v>
      </c>
      <c r="P78" s="33">
        <f>'Dados - Cliente'!N78</f>
        <v>0</v>
      </c>
      <c r="Q78" s="33">
        <f>'Dados - Cliente'!O78</f>
        <v>0</v>
      </c>
      <c r="R78" s="33">
        <f>'Dados - Cliente'!P78</f>
        <v>0</v>
      </c>
      <c r="S78" s="33">
        <f>'Dados - Cliente'!Q78</f>
        <v>0</v>
      </c>
      <c r="T78" s="33">
        <f>'Dados - Cliente'!R78</f>
        <v>0</v>
      </c>
      <c r="U78" s="34">
        <f>'Dados - Cliente'!S78</f>
        <v>0</v>
      </c>
      <c r="V78" s="34">
        <f>'Dados - Cliente'!T78</f>
        <v>0</v>
      </c>
      <c r="W78" s="34">
        <f>'Dados - Cliente'!U78</f>
        <v>0</v>
      </c>
      <c r="X78" s="34">
        <f>'Dados - Cliente'!V78</f>
        <v>0</v>
      </c>
      <c r="Y78" s="34">
        <f>'Dados - Cliente'!W78</f>
        <v>0</v>
      </c>
      <c r="Z78" s="34">
        <f>'Dados - Cliente'!X78</f>
        <v>0</v>
      </c>
      <c r="AA78" s="33" t="e">
        <f t="shared" si="7"/>
        <v>#N/A</v>
      </c>
      <c r="AB78" s="33">
        <f>'Dados - Cliente'!Y78</f>
        <v>0</v>
      </c>
      <c r="AC78" s="33">
        <f>'Dados - Cliente'!Z78</f>
        <v>0</v>
      </c>
      <c r="AD78" s="33">
        <f>'Dados - Cliente'!AA78</f>
        <v>0</v>
      </c>
      <c r="AE78" s="33">
        <f>'Dados - Cliente'!AB78</f>
        <v>0</v>
      </c>
      <c r="AF78" s="33">
        <f>'Dados - Cliente'!AC78</f>
        <v>0</v>
      </c>
      <c r="AG78" s="35">
        <f>'Dados - Cliente'!AD78</f>
        <v>0</v>
      </c>
      <c r="AH78" s="33" t="e">
        <f>INDEX('Dados - Placas'!$A:$A,MATCH('1'!AG78,'Dados - Placas'!$D:$D,0))</f>
        <v>#N/A</v>
      </c>
      <c r="AI78" s="35" t="e">
        <f>INDEX('Dados - Placas'!$E:$E,MATCH('1'!AG78,'Dados - Placas'!$D:$D,0))</f>
        <v>#N/A</v>
      </c>
      <c r="AJ78" s="34" t="e">
        <f>INDEX('Dados - Placas'!$F:$F,MATCH('1'!AG78,'Dados - Placas'!$D:$D,0))*AF78</f>
        <v>#N/A</v>
      </c>
      <c r="AK78" s="33">
        <f>'Dados - Cliente'!AE78</f>
        <v>0</v>
      </c>
      <c r="AL78" s="33">
        <f>'Dados - Cliente'!AF78</f>
        <v>0</v>
      </c>
      <c r="AM78" s="36" t="e">
        <f>INDEX('Dados - Inversores'!$A:$A,MATCH('1'!AL78,'Dados - Inversores'!$C:$C,0))</f>
        <v>#N/A</v>
      </c>
      <c r="AN78" s="33">
        <f>'Dados - Cliente'!AG78</f>
        <v>0</v>
      </c>
      <c r="AO78" s="33" t="e">
        <f>AA78*1.25/(0.22*SQRT(INDEX('Dados - Inversores'!AK:AK,MATCH('1'!AL78,'Dados - Inversores'!C:C,0))))</f>
        <v>#N/A</v>
      </c>
      <c r="AP78" s="34">
        <f>INDEX(Dados!$E$2:$E$33,COUNTIF(Dados!$E$2:$E$33,"&lt;="&amp;AN78*1.25/(INDEX('Dados - Inversores'!AL:AL,MATCH('1'!AL78,'Dados - Inversores'!C:C,0))*SQRT(INDEX('Dados - Inversores'!AK:AK,MATCH('1'!AL78,'Dados - Inversores'!C:C,0)))))+1)</f>
        <v>2</v>
      </c>
      <c r="AQ78" s="33" t="s">
        <v>59</v>
      </c>
      <c r="AR78" s="33" t="str">
        <f t="shared" si="8"/>
        <v>Micro</v>
      </c>
      <c r="AS78" s="33">
        <f>'Dados - Cliente'!AH78</f>
        <v>0</v>
      </c>
      <c r="AT78" s="33">
        <f>'Dados - Cliente'!AI78</f>
        <v>0</v>
      </c>
      <c r="AU78" s="33" t="e">
        <f>INDEX('Dados - Placas'!$N:$N,MATCH('1'!AG78,'Dados - Placas'!$D:$D,0))-1</f>
        <v>#N/A</v>
      </c>
      <c r="AV78" s="33" t="e">
        <f>INDEX('Dados - Placas'!$O:$O,MATCH('1'!AG78,'Dados - Placas'!$D:$D,0))</f>
        <v>#N/A</v>
      </c>
      <c r="AW78" s="33" t="e">
        <f>INDEX('Dados - Inversores'!AM:AM,MATCH('1'!AL78,'Dados - Inversores'!$C:$C,0))-1</f>
        <v>#N/A</v>
      </c>
      <c r="AX78" s="33" t="e">
        <f>INDEX('Dados - Inversores'!AN:AN,MATCH('1'!AL78,'Dados - Inversores'!$C:$C,0))-1</f>
        <v>#N/A</v>
      </c>
      <c r="AY78" s="33" t="e">
        <f>MATCH('1'!H78,Dados!$D$89:$D$167,0)+1</f>
        <v>#N/A</v>
      </c>
      <c r="AZ78" s="33" t="e">
        <f>MATCH('1'!N78,'Dados - Solicitação de acesso'!$N$2:$N$8,0)</f>
        <v>#N/A</v>
      </c>
      <c r="BA78" s="33" t="e">
        <f>MATCH('1'!T78,'Dados - Solicitação de acesso'!$T$2:$T$20,0)</f>
        <v>#N/A</v>
      </c>
      <c r="BB78" s="34"/>
      <c r="BC78" s="33">
        <f>MATCH(AT78,'Dados - Solicitação de acesso'!$AT$2:$AT$28,0)</f>
        <v>1</v>
      </c>
      <c r="BD78" s="33" t="b">
        <f>IF(O78="TRIFASICO",INDEX(Dados!G:G,MATCH('1'!AP78,Dados!E:E,0)),IF(O78="BIFASICO",INDEX(Dados!F:F,MATCH('1'!AP78,Dados!E:E,0),)))</f>
        <v>0</v>
      </c>
      <c r="BE78" s="33">
        <f>'Dados - Cliente'!J78</f>
        <v>0</v>
      </c>
      <c r="BF78" s="34">
        <f>INDEX(Dados!$E$2:$E$33,COUNTIF(Dados!$E$2:$E$33,"&lt;="&amp;AN78*1.25*AK78/(0.22*SQRT(INDEX('Dados - Inversores'!AK:AK,MATCH('1'!AL78,'Dados - Inversores'!C:C,0)))))+1)</f>
        <v>2</v>
      </c>
      <c r="BG78" s="34" t="b">
        <f>IF(O78="TRIFASICO",INDEX(Dados!G:G,MATCH(BF78,Dados!E:E,0)),IF(O78="BIFASICO",INDEX(Dados!F:F,MATCH(BF78,Dados!E:E,0),)))</f>
        <v>0</v>
      </c>
    </row>
    <row r="79" spans="1:59" s="33" customFormat="1" x14ac:dyDescent="0.35">
      <c r="A79" s="33">
        <f>'Dados - Cliente'!A79</f>
        <v>0</v>
      </c>
      <c r="B79" s="33">
        <f>'Dados - Cliente'!B79</f>
        <v>0</v>
      </c>
      <c r="C79" s="33">
        <f>'Dados - Cliente'!C79</f>
        <v>0</v>
      </c>
      <c r="D79" s="33">
        <f>'Dados - Cliente'!D79</f>
        <v>0</v>
      </c>
      <c r="E79" s="33">
        <f>'Dados - Cliente'!E79</f>
        <v>0</v>
      </c>
      <c r="F79" s="33">
        <f>'Dados - Cliente'!F79</f>
        <v>0</v>
      </c>
      <c r="G79" s="33">
        <f>'Dados - Cliente'!G79</f>
        <v>0</v>
      </c>
      <c r="H79" s="33">
        <f>'Dados - Cliente'!H79</f>
        <v>0</v>
      </c>
      <c r="I79" s="75" t="s">
        <v>4313</v>
      </c>
      <c r="J79" s="52" t="s">
        <v>4314</v>
      </c>
      <c r="K79" s="52" t="s">
        <v>4314</v>
      </c>
      <c r="L79" s="33">
        <f>'Dados - Cliente'!I79</f>
        <v>0</v>
      </c>
      <c r="M79" s="33">
        <f>'Dados - Cliente'!K79</f>
        <v>0</v>
      </c>
      <c r="N79" s="33">
        <f>'Dados - Cliente'!L79</f>
        <v>0</v>
      </c>
      <c r="O79" s="33">
        <f>'Dados - Cliente'!M79</f>
        <v>0</v>
      </c>
      <c r="P79" s="33">
        <f>'Dados - Cliente'!N79</f>
        <v>0</v>
      </c>
      <c r="Q79" s="33">
        <f>'Dados - Cliente'!O79</f>
        <v>0</v>
      </c>
      <c r="R79" s="33">
        <f>'Dados - Cliente'!P79</f>
        <v>0</v>
      </c>
      <c r="S79" s="33">
        <f>'Dados - Cliente'!Q79</f>
        <v>0</v>
      </c>
      <c r="T79" s="33">
        <f>'Dados - Cliente'!R79</f>
        <v>0</v>
      </c>
      <c r="U79" s="34">
        <f>'Dados - Cliente'!S79</f>
        <v>0</v>
      </c>
      <c r="V79" s="34">
        <f>'Dados - Cliente'!T79</f>
        <v>0</v>
      </c>
      <c r="W79" s="34">
        <f>'Dados - Cliente'!U79</f>
        <v>0</v>
      </c>
      <c r="X79" s="34">
        <f>'Dados - Cliente'!V79</f>
        <v>0</v>
      </c>
      <c r="Y79" s="34">
        <f>'Dados - Cliente'!W79</f>
        <v>0</v>
      </c>
      <c r="Z79" s="34">
        <f>'Dados - Cliente'!X79</f>
        <v>0</v>
      </c>
      <c r="AA79" s="33" t="e">
        <f t="shared" si="7"/>
        <v>#N/A</v>
      </c>
      <c r="AB79" s="33">
        <f>'Dados - Cliente'!Y79</f>
        <v>0</v>
      </c>
      <c r="AC79" s="33">
        <f>'Dados - Cliente'!Z79</f>
        <v>0</v>
      </c>
      <c r="AD79" s="33">
        <f>'Dados - Cliente'!AA79</f>
        <v>0</v>
      </c>
      <c r="AE79" s="33">
        <f>'Dados - Cliente'!AB79</f>
        <v>0</v>
      </c>
      <c r="AF79" s="33">
        <f>'Dados - Cliente'!AC79</f>
        <v>0</v>
      </c>
      <c r="AG79" s="35">
        <f>'Dados - Cliente'!AD79</f>
        <v>0</v>
      </c>
      <c r="AH79" s="33" t="e">
        <f>INDEX('Dados - Placas'!$A:$A,MATCH('1'!AG79,'Dados - Placas'!$D:$D,0))</f>
        <v>#N/A</v>
      </c>
      <c r="AI79" s="35" t="e">
        <f>INDEX('Dados - Placas'!$E:$E,MATCH('1'!AG79,'Dados - Placas'!$D:$D,0))</f>
        <v>#N/A</v>
      </c>
      <c r="AJ79" s="34" t="e">
        <f>INDEX('Dados - Placas'!$F:$F,MATCH('1'!AG79,'Dados - Placas'!$D:$D,0))*AF79</f>
        <v>#N/A</v>
      </c>
      <c r="AK79" s="33">
        <f>'Dados - Cliente'!AE79</f>
        <v>0</v>
      </c>
      <c r="AL79" s="33">
        <f>'Dados - Cliente'!AF79</f>
        <v>0</v>
      </c>
      <c r="AM79" s="36" t="e">
        <f>INDEX('Dados - Inversores'!$A:$A,MATCH('1'!AL79,'Dados - Inversores'!$C:$C,0))</f>
        <v>#N/A</v>
      </c>
      <c r="AN79" s="33">
        <f>'Dados - Cliente'!AG79</f>
        <v>0</v>
      </c>
      <c r="AO79" s="33" t="e">
        <f>AA79*1.25/(0.22*SQRT(INDEX('Dados - Inversores'!AK:AK,MATCH('1'!AL79,'Dados - Inversores'!C:C,0))))</f>
        <v>#N/A</v>
      </c>
      <c r="AP79" s="34">
        <f>INDEX(Dados!$E$2:$E$33,COUNTIF(Dados!$E$2:$E$33,"&lt;="&amp;AN79*1.25/(INDEX('Dados - Inversores'!AL:AL,MATCH('1'!AL79,'Dados - Inversores'!C:C,0))*SQRT(INDEX('Dados - Inversores'!AK:AK,MATCH('1'!AL79,'Dados - Inversores'!C:C,0)))))+1)</f>
        <v>2</v>
      </c>
      <c r="AQ79" s="33" t="s">
        <v>59</v>
      </c>
      <c r="AR79" s="33" t="str">
        <f t="shared" si="8"/>
        <v>Micro</v>
      </c>
      <c r="AS79" s="33">
        <f>'Dados - Cliente'!AH79</f>
        <v>0</v>
      </c>
      <c r="AT79" s="33">
        <f>'Dados - Cliente'!AI79</f>
        <v>0</v>
      </c>
      <c r="AU79" s="33" t="e">
        <f>INDEX('Dados - Placas'!$N:$N,MATCH('1'!AG79,'Dados - Placas'!$D:$D,0))-1</f>
        <v>#N/A</v>
      </c>
      <c r="AV79" s="33" t="e">
        <f>INDEX('Dados - Placas'!$O:$O,MATCH('1'!AG79,'Dados - Placas'!$D:$D,0))</f>
        <v>#N/A</v>
      </c>
      <c r="AW79" s="33" t="e">
        <f>INDEX('Dados - Inversores'!AM:AM,MATCH('1'!AL79,'Dados - Inversores'!$C:$C,0))-1</f>
        <v>#N/A</v>
      </c>
      <c r="AX79" s="33" t="e">
        <f>INDEX('Dados - Inversores'!AN:AN,MATCH('1'!AL79,'Dados - Inversores'!$C:$C,0))-1</f>
        <v>#N/A</v>
      </c>
      <c r="AY79" s="33" t="e">
        <f>MATCH('1'!H79,Dados!$D$89:$D$167,0)+1</f>
        <v>#N/A</v>
      </c>
      <c r="AZ79" s="33" t="e">
        <f>MATCH('1'!N79,'Dados - Solicitação de acesso'!$N$2:$N$8,0)</f>
        <v>#N/A</v>
      </c>
      <c r="BA79" s="33" t="e">
        <f>MATCH('1'!T79,'Dados - Solicitação de acesso'!$T$2:$T$20,0)</f>
        <v>#N/A</v>
      </c>
      <c r="BB79" s="34"/>
      <c r="BC79" s="33">
        <f>MATCH(AT79,'Dados - Solicitação de acesso'!$AT$2:$AT$28,0)</f>
        <v>1</v>
      </c>
      <c r="BD79" s="33" t="b">
        <f>IF(O79="TRIFASICO",INDEX(Dados!G:G,MATCH('1'!AP79,Dados!E:E,0)),IF(O79="BIFASICO",INDEX(Dados!F:F,MATCH('1'!AP79,Dados!E:E,0),)))</f>
        <v>0</v>
      </c>
      <c r="BE79" s="33">
        <f>'Dados - Cliente'!J79</f>
        <v>0</v>
      </c>
      <c r="BF79" s="34">
        <f>INDEX(Dados!$E$2:$E$33,COUNTIF(Dados!$E$2:$E$33,"&lt;="&amp;AN79*1.25*AK79/(0.22*SQRT(INDEX('Dados - Inversores'!AK:AK,MATCH('1'!AL79,'Dados - Inversores'!C:C,0)))))+1)</f>
        <v>2</v>
      </c>
      <c r="BG79" s="34" t="b">
        <f>IF(O79="TRIFASICO",INDEX(Dados!G:G,MATCH(BF79,Dados!E:E,0)),IF(O79="BIFASICO",INDEX(Dados!F:F,MATCH(BF79,Dados!E:E,0),)))</f>
        <v>0</v>
      </c>
    </row>
    <row r="80" spans="1:59" s="33" customFormat="1" x14ac:dyDescent="0.35">
      <c r="A80" s="33">
        <f>'Dados - Cliente'!A80</f>
        <v>0</v>
      </c>
      <c r="B80" s="33">
        <f>'Dados - Cliente'!B80</f>
        <v>0</v>
      </c>
      <c r="C80" s="33">
        <f>'Dados - Cliente'!C80</f>
        <v>0</v>
      </c>
      <c r="D80" s="33">
        <f>'Dados - Cliente'!D80</f>
        <v>0</v>
      </c>
      <c r="E80" s="33">
        <f>'Dados - Cliente'!E80</f>
        <v>0</v>
      </c>
      <c r="F80" s="33">
        <f>'Dados - Cliente'!F80</f>
        <v>0</v>
      </c>
      <c r="G80" s="33">
        <f>'Dados - Cliente'!G80</f>
        <v>0</v>
      </c>
      <c r="H80" s="33">
        <f>'Dados - Cliente'!H80</f>
        <v>0</v>
      </c>
      <c r="I80" s="75" t="s">
        <v>4313</v>
      </c>
      <c r="J80" s="52" t="s">
        <v>4314</v>
      </c>
      <c r="K80" s="52" t="s">
        <v>4314</v>
      </c>
      <c r="L80" s="33">
        <f>'Dados - Cliente'!I80</f>
        <v>0</v>
      </c>
      <c r="M80" s="33">
        <f>'Dados - Cliente'!K80</f>
        <v>0</v>
      </c>
      <c r="N80" s="33">
        <f>'Dados - Cliente'!L80</f>
        <v>0</v>
      </c>
      <c r="O80" s="33">
        <f>'Dados - Cliente'!M80</f>
        <v>0</v>
      </c>
      <c r="P80" s="33">
        <f>'Dados - Cliente'!N80</f>
        <v>0</v>
      </c>
      <c r="Q80" s="33">
        <f>'Dados - Cliente'!O80</f>
        <v>0</v>
      </c>
      <c r="R80" s="33">
        <f>'Dados - Cliente'!P80</f>
        <v>0</v>
      </c>
      <c r="S80" s="33">
        <f>'Dados - Cliente'!Q80</f>
        <v>0</v>
      </c>
      <c r="T80" s="33">
        <f>'Dados - Cliente'!R80</f>
        <v>0</v>
      </c>
      <c r="U80" s="34">
        <f>'Dados - Cliente'!S80</f>
        <v>0</v>
      </c>
      <c r="V80" s="34">
        <f>'Dados - Cliente'!T80</f>
        <v>0</v>
      </c>
      <c r="W80" s="34">
        <f>'Dados - Cliente'!U80</f>
        <v>0</v>
      </c>
      <c r="X80" s="34">
        <f>'Dados - Cliente'!V80</f>
        <v>0</v>
      </c>
      <c r="Y80" s="34">
        <f>'Dados - Cliente'!W80</f>
        <v>0</v>
      </c>
      <c r="Z80" s="34">
        <f>'Dados - Cliente'!X80</f>
        <v>0</v>
      </c>
      <c r="AA80" s="33" t="e">
        <f t="shared" si="7"/>
        <v>#N/A</v>
      </c>
      <c r="AB80" s="33">
        <f>'Dados - Cliente'!Y80</f>
        <v>0</v>
      </c>
      <c r="AC80" s="33">
        <f>'Dados - Cliente'!Z80</f>
        <v>0</v>
      </c>
      <c r="AD80" s="33">
        <f>'Dados - Cliente'!AA80</f>
        <v>0</v>
      </c>
      <c r="AE80" s="33">
        <f>'Dados - Cliente'!AB80</f>
        <v>0</v>
      </c>
      <c r="AF80" s="33">
        <f>'Dados - Cliente'!AC80</f>
        <v>0</v>
      </c>
      <c r="AG80" s="35">
        <f>'Dados - Cliente'!AD80</f>
        <v>0</v>
      </c>
      <c r="AH80" s="33" t="e">
        <f>INDEX('Dados - Placas'!$A:$A,MATCH('1'!AG80,'Dados - Placas'!$D:$D,0))</f>
        <v>#N/A</v>
      </c>
      <c r="AI80" s="35" t="e">
        <f>INDEX('Dados - Placas'!$E:$E,MATCH('1'!AG80,'Dados - Placas'!$D:$D,0))</f>
        <v>#N/A</v>
      </c>
      <c r="AJ80" s="34" t="e">
        <f>INDEX('Dados - Placas'!$F:$F,MATCH('1'!AG80,'Dados - Placas'!$D:$D,0))*AF80</f>
        <v>#N/A</v>
      </c>
      <c r="AK80" s="33">
        <f>'Dados - Cliente'!AE80</f>
        <v>0</v>
      </c>
      <c r="AL80" s="33">
        <f>'Dados - Cliente'!AF80</f>
        <v>0</v>
      </c>
      <c r="AM80" s="36" t="e">
        <f>INDEX('Dados - Inversores'!$A:$A,MATCH('1'!AL80,'Dados - Inversores'!$C:$C,0))</f>
        <v>#N/A</v>
      </c>
      <c r="AN80" s="33">
        <f>'Dados - Cliente'!AG80</f>
        <v>0</v>
      </c>
      <c r="AO80" s="33" t="e">
        <f>AA80*1.25/(0.22*SQRT(INDEX('Dados - Inversores'!AK:AK,MATCH('1'!AL80,'Dados - Inversores'!C:C,0))))</f>
        <v>#N/A</v>
      </c>
      <c r="AP80" s="34">
        <f>INDEX(Dados!$E$2:$E$33,COUNTIF(Dados!$E$2:$E$33,"&lt;="&amp;AN80*1.25/(INDEX('Dados - Inversores'!AL:AL,MATCH('1'!AL80,'Dados - Inversores'!C:C,0))*SQRT(INDEX('Dados - Inversores'!AK:AK,MATCH('1'!AL80,'Dados - Inversores'!C:C,0)))))+1)</f>
        <v>2</v>
      </c>
      <c r="AQ80" s="33" t="s">
        <v>59</v>
      </c>
      <c r="AR80" s="33" t="str">
        <f t="shared" si="8"/>
        <v>Micro</v>
      </c>
      <c r="AS80" s="33">
        <f>'Dados - Cliente'!AH80</f>
        <v>0</v>
      </c>
      <c r="AT80" s="33">
        <f>'Dados - Cliente'!AI80</f>
        <v>0</v>
      </c>
      <c r="AU80" s="33" t="e">
        <f>INDEX('Dados - Placas'!$N:$N,MATCH('1'!AG80,'Dados - Placas'!$D:$D,0))-1</f>
        <v>#N/A</v>
      </c>
      <c r="AV80" s="33" t="e">
        <f>INDEX('Dados - Placas'!$O:$O,MATCH('1'!AG80,'Dados - Placas'!$D:$D,0))</f>
        <v>#N/A</v>
      </c>
      <c r="AW80" s="33" t="e">
        <f>INDEX('Dados - Inversores'!AM:AM,MATCH('1'!AL80,'Dados - Inversores'!$C:$C,0))-1</f>
        <v>#N/A</v>
      </c>
      <c r="AX80" s="33" t="e">
        <f>INDEX('Dados - Inversores'!AN:AN,MATCH('1'!AL80,'Dados - Inversores'!$C:$C,0))-1</f>
        <v>#N/A</v>
      </c>
      <c r="AY80" s="33" t="e">
        <f>MATCH('1'!H80,Dados!$D$89:$D$167,0)+1</f>
        <v>#N/A</v>
      </c>
      <c r="AZ80" s="33" t="e">
        <f>MATCH('1'!N80,'Dados - Solicitação de acesso'!$N$2:$N$8,0)</f>
        <v>#N/A</v>
      </c>
      <c r="BA80" s="33" t="e">
        <f>MATCH('1'!T80,'Dados - Solicitação de acesso'!$T$2:$T$20,0)</f>
        <v>#N/A</v>
      </c>
      <c r="BB80" s="34"/>
      <c r="BC80" s="33">
        <f>MATCH(AT80,'Dados - Solicitação de acesso'!$AT$2:$AT$28,0)</f>
        <v>1</v>
      </c>
      <c r="BD80" s="33" t="b">
        <f>IF(O80="TRIFASICO",INDEX(Dados!G:G,MATCH('1'!AP80,Dados!E:E,0)),IF(O80="BIFASICO",INDEX(Dados!F:F,MATCH('1'!AP80,Dados!E:E,0),)))</f>
        <v>0</v>
      </c>
      <c r="BE80" s="33">
        <f>'Dados - Cliente'!J80</f>
        <v>0</v>
      </c>
      <c r="BF80" s="34">
        <f>INDEX(Dados!$E$2:$E$33,COUNTIF(Dados!$E$2:$E$33,"&lt;="&amp;AN80*1.25*AK80/(0.22*SQRT(INDEX('Dados - Inversores'!AK:AK,MATCH('1'!AL80,'Dados - Inversores'!C:C,0)))))+1)</f>
        <v>2</v>
      </c>
      <c r="BG80" s="34" t="b">
        <f>IF(O80="TRIFASICO",INDEX(Dados!G:G,MATCH(BF80,Dados!E:E,0)),IF(O80="BIFASICO",INDEX(Dados!F:F,MATCH(BF80,Dados!E:E,0),)))</f>
        <v>0</v>
      </c>
    </row>
    <row r="81" spans="1:59" s="33" customFormat="1" x14ac:dyDescent="0.35">
      <c r="A81" s="33">
        <f>'Dados - Cliente'!A81</f>
        <v>0</v>
      </c>
      <c r="B81" s="33">
        <f>'Dados - Cliente'!B81</f>
        <v>0</v>
      </c>
      <c r="C81" s="33">
        <f>'Dados - Cliente'!C81</f>
        <v>0</v>
      </c>
      <c r="D81" s="33">
        <f>'Dados - Cliente'!D81</f>
        <v>0</v>
      </c>
      <c r="E81" s="33">
        <f>'Dados - Cliente'!E81</f>
        <v>0</v>
      </c>
      <c r="F81" s="33">
        <f>'Dados - Cliente'!F81</f>
        <v>0</v>
      </c>
      <c r="G81" s="33">
        <f>'Dados - Cliente'!G81</f>
        <v>0</v>
      </c>
      <c r="H81" s="33">
        <f>'Dados - Cliente'!H81</f>
        <v>0</v>
      </c>
      <c r="I81" s="75" t="s">
        <v>4313</v>
      </c>
      <c r="J81" s="52" t="s">
        <v>4314</v>
      </c>
      <c r="K81" s="52" t="s">
        <v>4314</v>
      </c>
      <c r="L81" s="33">
        <f>'Dados - Cliente'!I81</f>
        <v>0</v>
      </c>
      <c r="M81" s="33">
        <f>'Dados - Cliente'!K81</f>
        <v>0</v>
      </c>
      <c r="N81" s="33">
        <f>'Dados - Cliente'!L81</f>
        <v>0</v>
      </c>
      <c r="O81" s="33">
        <f>'Dados - Cliente'!M81</f>
        <v>0</v>
      </c>
      <c r="P81" s="33">
        <f>'Dados - Cliente'!N81</f>
        <v>0</v>
      </c>
      <c r="Q81" s="33">
        <f>'Dados - Cliente'!O81</f>
        <v>0</v>
      </c>
      <c r="R81" s="33">
        <f>'Dados - Cliente'!P81</f>
        <v>0</v>
      </c>
      <c r="S81" s="33">
        <f>'Dados - Cliente'!Q81</f>
        <v>0</v>
      </c>
      <c r="T81" s="33">
        <f>'Dados - Cliente'!R81</f>
        <v>0</v>
      </c>
      <c r="U81" s="34">
        <f>'Dados - Cliente'!S81</f>
        <v>0</v>
      </c>
      <c r="V81" s="34">
        <f>'Dados - Cliente'!T81</f>
        <v>0</v>
      </c>
      <c r="W81" s="34">
        <f>'Dados - Cliente'!U81</f>
        <v>0</v>
      </c>
      <c r="X81" s="34">
        <f>'Dados - Cliente'!V81</f>
        <v>0</v>
      </c>
      <c r="Y81" s="34">
        <f>'Dados - Cliente'!W81</f>
        <v>0</v>
      </c>
      <c r="Z81" s="34">
        <f>'Dados - Cliente'!X81</f>
        <v>0</v>
      </c>
      <c r="AA81" s="33" t="e">
        <f t="shared" si="7"/>
        <v>#N/A</v>
      </c>
      <c r="AB81" s="33">
        <f>'Dados - Cliente'!Y81</f>
        <v>0</v>
      </c>
      <c r="AC81" s="33">
        <f>'Dados - Cliente'!Z81</f>
        <v>0</v>
      </c>
      <c r="AD81" s="33">
        <f>'Dados - Cliente'!AA81</f>
        <v>0</v>
      </c>
      <c r="AE81" s="33">
        <f>'Dados - Cliente'!AB81</f>
        <v>0</v>
      </c>
      <c r="AF81" s="33">
        <f>'Dados - Cliente'!AC81</f>
        <v>0</v>
      </c>
      <c r="AG81" s="35">
        <f>'Dados - Cliente'!AD81</f>
        <v>0</v>
      </c>
      <c r="AH81" s="33" t="e">
        <f>INDEX('Dados - Placas'!$A:$A,MATCH('1'!AG81,'Dados - Placas'!$D:$D,0))</f>
        <v>#N/A</v>
      </c>
      <c r="AI81" s="35" t="e">
        <f>INDEX('Dados - Placas'!$E:$E,MATCH('1'!AG81,'Dados - Placas'!$D:$D,0))</f>
        <v>#N/A</v>
      </c>
      <c r="AJ81" s="34" t="e">
        <f>INDEX('Dados - Placas'!$F:$F,MATCH('1'!AG81,'Dados - Placas'!$D:$D,0))*AF81</f>
        <v>#N/A</v>
      </c>
      <c r="AK81" s="33">
        <f>'Dados - Cliente'!AE81</f>
        <v>0</v>
      </c>
      <c r="AL81" s="33">
        <f>'Dados - Cliente'!AF81</f>
        <v>0</v>
      </c>
      <c r="AM81" s="36" t="e">
        <f>INDEX('Dados - Inversores'!$A:$A,MATCH('1'!AL81,'Dados - Inversores'!$C:$C,0))</f>
        <v>#N/A</v>
      </c>
      <c r="AN81" s="33">
        <f>'Dados - Cliente'!AG81</f>
        <v>0</v>
      </c>
      <c r="AO81" s="33" t="e">
        <f>AA81*1.25/(0.22*SQRT(INDEX('Dados - Inversores'!AK:AK,MATCH('1'!AL81,'Dados - Inversores'!C:C,0))))</f>
        <v>#N/A</v>
      </c>
      <c r="AP81" s="34">
        <f>INDEX(Dados!$E$2:$E$33,COUNTIF(Dados!$E$2:$E$33,"&lt;="&amp;AN81*1.25/(INDEX('Dados - Inversores'!AL:AL,MATCH('1'!AL81,'Dados - Inversores'!C:C,0))*SQRT(INDEX('Dados - Inversores'!AK:AK,MATCH('1'!AL81,'Dados - Inversores'!C:C,0)))))+1)</f>
        <v>2</v>
      </c>
      <c r="AQ81" s="33" t="s">
        <v>59</v>
      </c>
      <c r="AR81" s="33" t="str">
        <f t="shared" si="8"/>
        <v>Micro</v>
      </c>
      <c r="AS81" s="33">
        <f>'Dados - Cliente'!AH81</f>
        <v>0</v>
      </c>
      <c r="AT81" s="33">
        <f>'Dados - Cliente'!AI81</f>
        <v>0</v>
      </c>
      <c r="AU81" s="33" t="e">
        <f>INDEX('Dados - Placas'!$N:$N,MATCH('1'!AG81,'Dados - Placas'!$D:$D,0))-1</f>
        <v>#N/A</v>
      </c>
      <c r="AV81" s="33" t="e">
        <f>INDEX('Dados - Placas'!$O:$O,MATCH('1'!AG81,'Dados - Placas'!$D:$D,0))</f>
        <v>#N/A</v>
      </c>
      <c r="AW81" s="33" t="e">
        <f>INDEX('Dados - Inversores'!AM:AM,MATCH('1'!AL81,'Dados - Inversores'!$C:$C,0))-1</f>
        <v>#N/A</v>
      </c>
      <c r="AX81" s="33" t="e">
        <f>INDEX('Dados - Inversores'!AN:AN,MATCH('1'!AL81,'Dados - Inversores'!$C:$C,0))-1</f>
        <v>#N/A</v>
      </c>
      <c r="AY81" s="33" t="e">
        <f>MATCH('1'!H81,Dados!$D$89:$D$167,0)+1</f>
        <v>#N/A</v>
      </c>
      <c r="AZ81" s="33" t="e">
        <f>MATCH('1'!N81,'Dados - Solicitação de acesso'!$N$2:$N$8,0)</f>
        <v>#N/A</v>
      </c>
      <c r="BA81" s="33" t="e">
        <f>MATCH('1'!T81,'Dados - Solicitação de acesso'!$T$2:$T$20,0)</f>
        <v>#N/A</v>
      </c>
      <c r="BB81" s="34"/>
      <c r="BC81" s="33">
        <f>MATCH(AT81,'Dados - Solicitação de acesso'!$AT$2:$AT$28,0)</f>
        <v>1</v>
      </c>
      <c r="BD81" s="33" t="b">
        <f>IF(O81="TRIFASICO",INDEX(Dados!G:G,MATCH('1'!AP81,Dados!E:E,0)),IF(O81="BIFASICO",INDEX(Dados!F:F,MATCH('1'!AP81,Dados!E:E,0),)))</f>
        <v>0</v>
      </c>
      <c r="BE81" s="33">
        <f>'Dados - Cliente'!J81</f>
        <v>0</v>
      </c>
      <c r="BF81" s="34">
        <f>INDEX(Dados!$E$2:$E$33,COUNTIF(Dados!$E$2:$E$33,"&lt;="&amp;AN81*1.25*AK81/(0.22*SQRT(INDEX('Dados - Inversores'!AK:AK,MATCH('1'!AL81,'Dados - Inversores'!C:C,0)))))+1)</f>
        <v>2</v>
      </c>
      <c r="BG81" s="34" t="b">
        <f>IF(O81="TRIFASICO",INDEX(Dados!G:G,MATCH(BF81,Dados!E:E,0)),IF(O81="BIFASICO",INDEX(Dados!F:F,MATCH(BF81,Dados!E:E,0),)))</f>
        <v>0</v>
      </c>
    </row>
    <row r="82" spans="1:59" s="33" customFormat="1" x14ac:dyDescent="0.35">
      <c r="A82" s="33">
        <f>'Dados - Cliente'!A82</f>
        <v>0</v>
      </c>
      <c r="B82" s="33">
        <f>'Dados - Cliente'!B82</f>
        <v>0</v>
      </c>
      <c r="C82" s="33">
        <f>'Dados - Cliente'!C82</f>
        <v>0</v>
      </c>
      <c r="D82" s="33">
        <f>'Dados - Cliente'!D82</f>
        <v>0</v>
      </c>
      <c r="E82" s="33">
        <f>'Dados - Cliente'!E82</f>
        <v>0</v>
      </c>
      <c r="F82" s="33">
        <f>'Dados - Cliente'!F82</f>
        <v>0</v>
      </c>
      <c r="G82" s="33">
        <f>'Dados - Cliente'!G82</f>
        <v>0</v>
      </c>
      <c r="H82" s="33">
        <f>'Dados - Cliente'!H82</f>
        <v>0</v>
      </c>
      <c r="I82" s="75" t="s">
        <v>4313</v>
      </c>
      <c r="J82" s="52" t="s">
        <v>4314</v>
      </c>
      <c r="K82" s="52" t="s">
        <v>4314</v>
      </c>
      <c r="L82" s="33">
        <f>'Dados - Cliente'!I82</f>
        <v>0</v>
      </c>
      <c r="M82" s="33">
        <f>'Dados - Cliente'!K82</f>
        <v>0</v>
      </c>
      <c r="N82" s="33">
        <f>'Dados - Cliente'!L82</f>
        <v>0</v>
      </c>
      <c r="O82" s="33">
        <f>'Dados - Cliente'!M82</f>
        <v>0</v>
      </c>
      <c r="P82" s="33">
        <f>'Dados - Cliente'!N82</f>
        <v>0</v>
      </c>
      <c r="Q82" s="33">
        <f>'Dados - Cliente'!O82</f>
        <v>0</v>
      </c>
      <c r="R82" s="33">
        <f>'Dados - Cliente'!P82</f>
        <v>0</v>
      </c>
      <c r="S82" s="33">
        <f>'Dados - Cliente'!Q82</f>
        <v>0</v>
      </c>
      <c r="T82" s="33">
        <f>'Dados - Cliente'!R82</f>
        <v>0</v>
      </c>
      <c r="U82" s="34">
        <f>'Dados - Cliente'!S82</f>
        <v>0</v>
      </c>
      <c r="V82" s="34">
        <f>'Dados - Cliente'!T82</f>
        <v>0</v>
      </c>
      <c r="W82" s="34">
        <f>'Dados - Cliente'!U82</f>
        <v>0</v>
      </c>
      <c r="X82" s="34">
        <f>'Dados - Cliente'!V82</f>
        <v>0</v>
      </c>
      <c r="Y82" s="34">
        <f>'Dados - Cliente'!W82</f>
        <v>0</v>
      </c>
      <c r="Z82" s="34">
        <f>'Dados - Cliente'!X82</f>
        <v>0</v>
      </c>
      <c r="AA82" s="33" t="e">
        <f t="shared" si="7"/>
        <v>#N/A</v>
      </c>
      <c r="AB82" s="33">
        <f>'Dados - Cliente'!Y82</f>
        <v>0</v>
      </c>
      <c r="AC82" s="33">
        <f>'Dados - Cliente'!Z82</f>
        <v>0</v>
      </c>
      <c r="AD82" s="33">
        <f>'Dados - Cliente'!AA82</f>
        <v>0</v>
      </c>
      <c r="AE82" s="33">
        <f>'Dados - Cliente'!AB82</f>
        <v>0</v>
      </c>
      <c r="AF82" s="33">
        <f>'Dados - Cliente'!AC82</f>
        <v>0</v>
      </c>
      <c r="AG82" s="35">
        <f>'Dados - Cliente'!AD82</f>
        <v>0</v>
      </c>
      <c r="AH82" s="33" t="e">
        <f>INDEX('Dados - Placas'!$A:$A,MATCH('1'!AG82,'Dados - Placas'!$D:$D,0))</f>
        <v>#N/A</v>
      </c>
      <c r="AI82" s="35" t="e">
        <f>INDEX('Dados - Placas'!$E:$E,MATCH('1'!AG82,'Dados - Placas'!$D:$D,0))</f>
        <v>#N/A</v>
      </c>
      <c r="AJ82" s="34" t="e">
        <f>INDEX('Dados - Placas'!$F:$F,MATCH('1'!AG82,'Dados - Placas'!$D:$D,0))*AF82</f>
        <v>#N/A</v>
      </c>
      <c r="AK82" s="33">
        <f>'Dados - Cliente'!AE82</f>
        <v>0</v>
      </c>
      <c r="AL82" s="33">
        <f>'Dados - Cliente'!AF82</f>
        <v>0</v>
      </c>
      <c r="AM82" s="36" t="e">
        <f>INDEX('Dados - Inversores'!$A:$A,MATCH('1'!AL82,'Dados - Inversores'!$C:$C,0))</f>
        <v>#N/A</v>
      </c>
      <c r="AN82" s="33">
        <f>'Dados - Cliente'!AG82</f>
        <v>0</v>
      </c>
      <c r="AO82" s="33" t="e">
        <f>AA82*1.25/(0.22*SQRT(INDEX('Dados - Inversores'!AK:AK,MATCH('1'!AL82,'Dados - Inversores'!C:C,0))))</f>
        <v>#N/A</v>
      </c>
      <c r="AP82" s="34">
        <f>INDEX(Dados!$E$2:$E$33,COUNTIF(Dados!$E$2:$E$33,"&lt;="&amp;AN82*1.25/(INDEX('Dados - Inversores'!AL:AL,MATCH('1'!AL82,'Dados - Inversores'!C:C,0))*SQRT(INDEX('Dados - Inversores'!AK:AK,MATCH('1'!AL82,'Dados - Inversores'!C:C,0)))))+1)</f>
        <v>2</v>
      </c>
      <c r="AQ82" s="33" t="s">
        <v>59</v>
      </c>
      <c r="AR82" s="33" t="str">
        <f t="shared" si="8"/>
        <v>Micro</v>
      </c>
      <c r="AS82" s="33">
        <f>'Dados - Cliente'!AH82</f>
        <v>0</v>
      </c>
      <c r="AT82" s="33">
        <f>'Dados - Cliente'!AI82</f>
        <v>0</v>
      </c>
      <c r="AU82" s="33" t="e">
        <f>INDEX('Dados - Placas'!$N:$N,MATCH('1'!AG82,'Dados - Placas'!$D:$D,0))-1</f>
        <v>#N/A</v>
      </c>
      <c r="AV82" s="33" t="e">
        <f>INDEX('Dados - Placas'!$O:$O,MATCH('1'!AG82,'Dados - Placas'!$D:$D,0))</f>
        <v>#N/A</v>
      </c>
      <c r="AW82" s="33" t="e">
        <f>INDEX('Dados - Inversores'!AM:AM,MATCH('1'!AL82,'Dados - Inversores'!$C:$C,0))-1</f>
        <v>#N/A</v>
      </c>
      <c r="AX82" s="33" t="e">
        <f>INDEX('Dados - Inversores'!AN:AN,MATCH('1'!AL82,'Dados - Inversores'!$C:$C,0))-1</f>
        <v>#N/A</v>
      </c>
      <c r="AY82" s="33" t="e">
        <f>MATCH('1'!H82,Dados!$D$89:$D$167,0)+1</f>
        <v>#N/A</v>
      </c>
      <c r="AZ82" s="33" t="e">
        <f>MATCH('1'!N82,'Dados - Solicitação de acesso'!$N$2:$N$8,0)</f>
        <v>#N/A</v>
      </c>
      <c r="BA82" s="33" t="e">
        <f>MATCH('1'!T82,'Dados - Solicitação de acesso'!$T$2:$T$20,0)</f>
        <v>#N/A</v>
      </c>
      <c r="BB82" s="34"/>
      <c r="BC82" s="33">
        <f>MATCH(AT82,'Dados - Solicitação de acesso'!$AT$2:$AT$28,0)</f>
        <v>1</v>
      </c>
      <c r="BD82" s="33" t="b">
        <f>IF(O82="TRIFASICO",INDEX(Dados!G:G,MATCH('1'!AP82,Dados!E:E,0)),IF(O82="BIFASICO",INDEX(Dados!F:F,MATCH('1'!AP82,Dados!E:E,0),)))</f>
        <v>0</v>
      </c>
      <c r="BE82" s="33">
        <f>'Dados - Cliente'!J82</f>
        <v>0</v>
      </c>
      <c r="BF82" s="34">
        <f>INDEX(Dados!$E$2:$E$33,COUNTIF(Dados!$E$2:$E$33,"&lt;="&amp;AN82*1.25*AK82/(0.22*SQRT(INDEX('Dados - Inversores'!AK:AK,MATCH('1'!AL82,'Dados - Inversores'!C:C,0)))))+1)</f>
        <v>2</v>
      </c>
      <c r="BG82" s="34" t="b">
        <f>IF(O82="TRIFASICO",INDEX(Dados!G:G,MATCH(BF82,Dados!E:E,0)),IF(O82="BIFASICO",INDEX(Dados!F:F,MATCH(BF82,Dados!E:E,0),)))</f>
        <v>0</v>
      </c>
    </row>
    <row r="83" spans="1:59" s="33" customFormat="1" x14ac:dyDescent="0.35">
      <c r="A83" s="33">
        <f>'Dados - Cliente'!A83</f>
        <v>0</v>
      </c>
      <c r="B83" s="33">
        <f>'Dados - Cliente'!B83</f>
        <v>0</v>
      </c>
      <c r="C83" s="33">
        <f>'Dados - Cliente'!C83</f>
        <v>0</v>
      </c>
      <c r="D83" s="33">
        <f>'Dados - Cliente'!D83</f>
        <v>0</v>
      </c>
      <c r="E83" s="33">
        <f>'Dados - Cliente'!E83</f>
        <v>0</v>
      </c>
      <c r="F83" s="33">
        <f>'Dados - Cliente'!F83</f>
        <v>0</v>
      </c>
      <c r="G83" s="33">
        <f>'Dados - Cliente'!G83</f>
        <v>0</v>
      </c>
      <c r="H83" s="33">
        <f>'Dados - Cliente'!H83</f>
        <v>0</v>
      </c>
      <c r="I83" s="75" t="s">
        <v>4313</v>
      </c>
      <c r="J83" s="52" t="s">
        <v>4314</v>
      </c>
      <c r="K83" s="52" t="s">
        <v>4314</v>
      </c>
      <c r="L83" s="33">
        <f>'Dados - Cliente'!I83</f>
        <v>0</v>
      </c>
      <c r="M83" s="33">
        <f>'Dados - Cliente'!K83</f>
        <v>0</v>
      </c>
      <c r="N83" s="33">
        <f>'Dados - Cliente'!L83</f>
        <v>0</v>
      </c>
      <c r="O83" s="33">
        <f>'Dados - Cliente'!M83</f>
        <v>0</v>
      </c>
      <c r="P83" s="33">
        <f>'Dados - Cliente'!N83</f>
        <v>0</v>
      </c>
      <c r="Q83" s="33">
        <f>'Dados - Cliente'!O83</f>
        <v>0</v>
      </c>
      <c r="R83" s="33">
        <f>'Dados - Cliente'!P83</f>
        <v>0</v>
      </c>
      <c r="S83" s="33">
        <f>'Dados - Cliente'!Q83</f>
        <v>0</v>
      </c>
      <c r="T83" s="33">
        <f>'Dados - Cliente'!R83</f>
        <v>0</v>
      </c>
      <c r="U83" s="34">
        <f>'Dados - Cliente'!S83</f>
        <v>0</v>
      </c>
      <c r="V83" s="34">
        <f>'Dados - Cliente'!T83</f>
        <v>0</v>
      </c>
      <c r="W83" s="34">
        <f>'Dados - Cliente'!U83</f>
        <v>0</v>
      </c>
      <c r="X83" s="34">
        <f>'Dados - Cliente'!V83</f>
        <v>0</v>
      </c>
      <c r="Y83" s="34">
        <f>'Dados - Cliente'!W83</f>
        <v>0</v>
      </c>
      <c r="Z83" s="34">
        <f>'Dados - Cliente'!X83</f>
        <v>0</v>
      </c>
      <c r="AA83" s="33" t="e">
        <f t="shared" si="7"/>
        <v>#N/A</v>
      </c>
      <c r="AB83" s="33">
        <f>'Dados - Cliente'!Y83</f>
        <v>0</v>
      </c>
      <c r="AC83" s="33">
        <f>'Dados - Cliente'!Z83</f>
        <v>0</v>
      </c>
      <c r="AD83" s="33">
        <f>'Dados - Cliente'!AA83</f>
        <v>0</v>
      </c>
      <c r="AE83" s="33">
        <f>'Dados - Cliente'!AB83</f>
        <v>0</v>
      </c>
      <c r="AF83" s="33">
        <f>'Dados - Cliente'!AC83</f>
        <v>0</v>
      </c>
      <c r="AG83" s="35">
        <f>'Dados - Cliente'!AD83</f>
        <v>0</v>
      </c>
      <c r="AH83" s="33" t="e">
        <f>INDEX('Dados - Placas'!$A:$A,MATCH('1'!AG83,'Dados - Placas'!$D:$D,0))</f>
        <v>#N/A</v>
      </c>
      <c r="AI83" s="35" t="e">
        <f>INDEX('Dados - Placas'!$E:$E,MATCH('1'!AG83,'Dados - Placas'!$D:$D,0))</f>
        <v>#N/A</v>
      </c>
      <c r="AJ83" s="34" t="e">
        <f>INDEX('Dados - Placas'!$F:$F,MATCH('1'!AG83,'Dados - Placas'!$D:$D,0))*AF83</f>
        <v>#N/A</v>
      </c>
      <c r="AK83" s="33">
        <f>'Dados - Cliente'!AE83</f>
        <v>0</v>
      </c>
      <c r="AL83" s="33">
        <f>'Dados - Cliente'!AF83</f>
        <v>0</v>
      </c>
      <c r="AM83" s="36" t="e">
        <f>INDEX('Dados - Inversores'!$A:$A,MATCH('1'!AL83,'Dados - Inversores'!$C:$C,0))</f>
        <v>#N/A</v>
      </c>
      <c r="AN83" s="33">
        <f>'Dados - Cliente'!AG83</f>
        <v>0</v>
      </c>
      <c r="AO83" s="33" t="e">
        <f>AA83*1.25/(0.22*SQRT(INDEX('Dados - Inversores'!AK:AK,MATCH('1'!AL83,'Dados - Inversores'!C:C,0))))</f>
        <v>#N/A</v>
      </c>
      <c r="AP83" s="34">
        <f>INDEX(Dados!$E$2:$E$33,COUNTIF(Dados!$E$2:$E$33,"&lt;="&amp;AN83*1.25/(INDEX('Dados - Inversores'!AL:AL,MATCH('1'!AL83,'Dados - Inversores'!C:C,0))*SQRT(INDEX('Dados - Inversores'!AK:AK,MATCH('1'!AL83,'Dados - Inversores'!C:C,0)))))+1)</f>
        <v>2</v>
      </c>
      <c r="AQ83" s="33" t="s">
        <v>59</v>
      </c>
      <c r="AR83" s="33" t="str">
        <f t="shared" si="8"/>
        <v>Micro</v>
      </c>
      <c r="AS83" s="33">
        <f>'Dados - Cliente'!AH83</f>
        <v>0</v>
      </c>
      <c r="AT83" s="33">
        <f>'Dados - Cliente'!AI83</f>
        <v>0</v>
      </c>
      <c r="AU83" s="33" t="e">
        <f>INDEX('Dados - Placas'!$N:$N,MATCH('1'!AG83,'Dados - Placas'!$D:$D,0))-1</f>
        <v>#N/A</v>
      </c>
      <c r="AV83" s="33" t="e">
        <f>INDEX('Dados - Placas'!$O:$O,MATCH('1'!AG83,'Dados - Placas'!$D:$D,0))</f>
        <v>#N/A</v>
      </c>
      <c r="AW83" s="33" t="e">
        <f>INDEX('Dados - Inversores'!AM:AM,MATCH('1'!AL83,'Dados - Inversores'!$C:$C,0))-1</f>
        <v>#N/A</v>
      </c>
      <c r="AX83" s="33" t="e">
        <f>INDEX('Dados - Inversores'!AN:AN,MATCH('1'!AL83,'Dados - Inversores'!$C:$C,0))-1</f>
        <v>#N/A</v>
      </c>
      <c r="AY83" s="33" t="e">
        <f>MATCH('1'!H83,Dados!$D$89:$D$167,0)+1</f>
        <v>#N/A</v>
      </c>
      <c r="AZ83" s="33" t="e">
        <f>MATCH('1'!N83,'Dados - Solicitação de acesso'!$N$2:$N$8,0)</f>
        <v>#N/A</v>
      </c>
      <c r="BA83" s="33" t="e">
        <f>MATCH('1'!T83,'Dados - Solicitação de acesso'!$T$2:$T$20,0)</f>
        <v>#N/A</v>
      </c>
      <c r="BB83" s="34"/>
      <c r="BC83" s="33">
        <f>MATCH(AT83,'Dados - Solicitação de acesso'!$AT$2:$AT$28,0)</f>
        <v>1</v>
      </c>
      <c r="BD83" s="33" t="b">
        <f>IF(O83="TRIFASICO",INDEX(Dados!G:G,MATCH('1'!AP83,Dados!E:E,0)),IF(O83="BIFASICO",INDEX(Dados!F:F,MATCH('1'!AP83,Dados!E:E,0),)))</f>
        <v>0</v>
      </c>
      <c r="BE83" s="33">
        <f>'Dados - Cliente'!J83</f>
        <v>0</v>
      </c>
      <c r="BF83" s="34">
        <f>INDEX(Dados!$E$2:$E$33,COUNTIF(Dados!$E$2:$E$33,"&lt;="&amp;AN83*1.25*AK83/(0.22*SQRT(INDEX('Dados - Inversores'!AK:AK,MATCH('1'!AL83,'Dados - Inversores'!C:C,0)))))+1)</f>
        <v>2</v>
      </c>
      <c r="BG83" s="34" t="b">
        <f>IF(O83="TRIFASICO",INDEX(Dados!G:G,MATCH(BF83,Dados!E:E,0)),IF(O83="BIFASICO",INDEX(Dados!F:F,MATCH(BF83,Dados!E:E,0),)))</f>
        <v>0</v>
      </c>
    </row>
    <row r="84" spans="1:59" s="33" customFormat="1" x14ac:dyDescent="0.35">
      <c r="A84" s="33">
        <f>'Dados - Cliente'!A84</f>
        <v>0</v>
      </c>
      <c r="B84" s="33">
        <f>'Dados - Cliente'!B84</f>
        <v>0</v>
      </c>
      <c r="C84" s="33">
        <f>'Dados - Cliente'!C84</f>
        <v>0</v>
      </c>
      <c r="D84" s="33">
        <f>'Dados - Cliente'!D84</f>
        <v>0</v>
      </c>
      <c r="E84" s="33">
        <f>'Dados - Cliente'!E84</f>
        <v>0</v>
      </c>
      <c r="F84" s="33">
        <f>'Dados - Cliente'!F84</f>
        <v>0</v>
      </c>
      <c r="G84" s="33">
        <f>'Dados - Cliente'!G84</f>
        <v>0</v>
      </c>
      <c r="H84" s="33">
        <f>'Dados - Cliente'!H84</f>
        <v>0</v>
      </c>
      <c r="I84" s="75" t="s">
        <v>4313</v>
      </c>
      <c r="J84" s="52" t="s">
        <v>4314</v>
      </c>
      <c r="K84" s="52" t="s">
        <v>4314</v>
      </c>
      <c r="L84" s="33">
        <f>'Dados - Cliente'!I84</f>
        <v>0</v>
      </c>
      <c r="M84" s="33">
        <f>'Dados - Cliente'!K84</f>
        <v>0</v>
      </c>
      <c r="N84" s="33">
        <f>'Dados - Cliente'!L84</f>
        <v>0</v>
      </c>
      <c r="O84" s="33">
        <f>'Dados - Cliente'!M84</f>
        <v>0</v>
      </c>
      <c r="P84" s="33">
        <f>'Dados - Cliente'!N84</f>
        <v>0</v>
      </c>
      <c r="Q84" s="33">
        <f>'Dados - Cliente'!O84</f>
        <v>0</v>
      </c>
      <c r="R84" s="33">
        <f>'Dados - Cliente'!P84</f>
        <v>0</v>
      </c>
      <c r="S84" s="33">
        <f>'Dados - Cliente'!Q84</f>
        <v>0</v>
      </c>
      <c r="T84" s="33">
        <f>'Dados - Cliente'!R84</f>
        <v>0</v>
      </c>
      <c r="U84" s="34">
        <f>'Dados - Cliente'!S84</f>
        <v>0</v>
      </c>
      <c r="V84" s="34">
        <f>'Dados - Cliente'!T84</f>
        <v>0</v>
      </c>
      <c r="W84" s="34">
        <f>'Dados - Cliente'!U84</f>
        <v>0</v>
      </c>
      <c r="X84" s="34">
        <f>'Dados - Cliente'!V84</f>
        <v>0</v>
      </c>
      <c r="Y84" s="34">
        <f>'Dados - Cliente'!W84</f>
        <v>0</v>
      </c>
      <c r="Z84" s="34">
        <f>'Dados - Cliente'!X84</f>
        <v>0</v>
      </c>
      <c r="AA84" s="33" t="e">
        <f t="shared" si="7"/>
        <v>#N/A</v>
      </c>
      <c r="AB84" s="33">
        <f>'Dados - Cliente'!Y84</f>
        <v>0</v>
      </c>
      <c r="AC84" s="33">
        <f>'Dados - Cliente'!Z84</f>
        <v>0</v>
      </c>
      <c r="AD84" s="33">
        <f>'Dados - Cliente'!AA84</f>
        <v>0</v>
      </c>
      <c r="AE84" s="33">
        <f>'Dados - Cliente'!AB84</f>
        <v>0</v>
      </c>
      <c r="AF84" s="33">
        <f>'Dados - Cliente'!AC84</f>
        <v>0</v>
      </c>
      <c r="AG84" s="35">
        <f>'Dados - Cliente'!AD84</f>
        <v>0</v>
      </c>
      <c r="AH84" s="33" t="e">
        <f>INDEX('Dados - Placas'!$A:$A,MATCH('1'!AG84,'Dados - Placas'!$D:$D,0))</f>
        <v>#N/A</v>
      </c>
      <c r="AI84" s="35" t="e">
        <f>INDEX('Dados - Placas'!$E:$E,MATCH('1'!AG84,'Dados - Placas'!$D:$D,0))</f>
        <v>#N/A</v>
      </c>
      <c r="AJ84" s="34" t="e">
        <f>INDEX('Dados - Placas'!$F:$F,MATCH('1'!AG84,'Dados - Placas'!$D:$D,0))*AF84</f>
        <v>#N/A</v>
      </c>
      <c r="AK84" s="33">
        <f>'Dados - Cliente'!AE84</f>
        <v>0</v>
      </c>
      <c r="AL84" s="33">
        <f>'Dados - Cliente'!AF84</f>
        <v>0</v>
      </c>
      <c r="AM84" s="36" t="e">
        <f>INDEX('Dados - Inversores'!$A:$A,MATCH('1'!AL84,'Dados - Inversores'!$C:$C,0))</f>
        <v>#N/A</v>
      </c>
      <c r="AN84" s="33">
        <f>'Dados - Cliente'!AG84</f>
        <v>0</v>
      </c>
      <c r="AO84" s="33" t="e">
        <f>AA84*1.25/(0.22*SQRT(INDEX('Dados - Inversores'!AK:AK,MATCH('1'!AL84,'Dados - Inversores'!C:C,0))))</f>
        <v>#N/A</v>
      </c>
      <c r="AP84" s="34">
        <f>INDEX(Dados!$E$2:$E$33,COUNTIF(Dados!$E$2:$E$33,"&lt;="&amp;AN84*1.25/(INDEX('Dados - Inversores'!AL:AL,MATCH('1'!AL84,'Dados - Inversores'!C:C,0))*SQRT(INDEX('Dados - Inversores'!AK:AK,MATCH('1'!AL84,'Dados - Inversores'!C:C,0)))))+1)</f>
        <v>2</v>
      </c>
      <c r="AQ84" s="33" t="s">
        <v>59</v>
      </c>
      <c r="AR84" s="33" t="str">
        <f t="shared" si="8"/>
        <v>Micro</v>
      </c>
      <c r="AS84" s="33">
        <f>'Dados - Cliente'!AH84</f>
        <v>0</v>
      </c>
      <c r="AT84" s="33">
        <f>'Dados - Cliente'!AI84</f>
        <v>0</v>
      </c>
      <c r="AU84" s="33" t="e">
        <f>INDEX('Dados - Placas'!$N:$N,MATCH('1'!AG84,'Dados - Placas'!$D:$D,0))-1</f>
        <v>#N/A</v>
      </c>
      <c r="AV84" s="33" t="e">
        <f>INDEX('Dados - Placas'!$O:$O,MATCH('1'!AG84,'Dados - Placas'!$D:$D,0))</f>
        <v>#N/A</v>
      </c>
      <c r="AW84" s="33" t="e">
        <f>INDEX('Dados - Inversores'!AM:AM,MATCH('1'!AL84,'Dados - Inversores'!$C:$C,0))-1</f>
        <v>#N/A</v>
      </c>
      <c r="AX84" s="33" t="e">
        <f>INDEX('Dados - Inversores'!AN:AN,MATCH('1'!AL84,'Dados - Inversores'!$C:$C,0))-1</f>
        <v>#N/A</v>
      </c>
      <c r="AY84" s="33" t="e">
        <f>MATCH('1'!H84,Dados!$D$89:$D$167,0)+1</f>
        <v>#N/A</v>
      </c>
      <c r="AZ84" s="33" t="e">
        <f>MATCH('1'!N84,'Dados - Solicitação de acesso'!$N$2:$N$8,0)</f>
        <v>#N/A</v>
      </c>
      <c r="BA84" s="33" t="e">
        <f>MATCH('1'!T84,'Dados - Solicitação de acesso'!$T$2:$T$20,0)</f>
        <v>#N/A</v>
      </c>
      <c r="BB84" s="34"/>
      <c r="BC84" s="33">
        <f>MATCH(AT84,'Dados - Solicitação de acesso'!$AT$2:$AT$28,0)</f>
        <v>1</v>
      </c>
      <c r="BD84" s="33" t="b">
        <f>IF(O84="TRIFASICO",INDEX(Dados!G:G,MATCH('1'!AP84,Dados!E:E,0)),IF(O84="BIFASICO",INDEX(Dados!F:F,MATCH('1'!AP84,Dados!E:E,0),)))</f>
        <v>0</v>
      </c>
      <c r="BE84" s="33">
        <f>'Dados - Cliente'!J84</f>
        <v>0</v>
      </c>
      <c r="BF84" s="34">
        <f>INDEX(Dados!$E$2:$E$33,COUNTIF(Dados!$E$2:$E$33,"&lt;="&amp;AN84*1.25*AK84/(0.22*SQRT(INDEX('Dados - Inversores'!AK:AK,MATCH('1'!AL84,'Dados - Inversores'!C:C,0)))))+1)</f>
        <v>2</v>
      </c>
      <c r="BG84" s="34" t="b">
        <f>IF(O84="TRIFASICO",INDEX(Dados!G:G,MATCH(BF84,Dados!E:E,0)),IF(O84="BIFASICO",INDEX(Dados!F:F,MATCH(BF84,Dados!E:E,0),)))</f>
        <v>0</v>
      </c>
    </row>
    <row r="85" spans="1:59" s="33" customFormat="1" x14ac:dyDescent="0.35">
      <c r="A85" s="33">
        <f>'Dados - Cliente'!A85</f>
        <v>0</v>
      </c>
      <c r="B85" s="33">
        <f>'Dados - Cliente'!B85</f>
        <v>0</v>
      </c>
      <c r="C85" s="33">
        <f>'Dados - Cliente'!C85</f>
        <v>0</v>
      </c>
      <c r="D85" s="33">
        <f>'Dados - Cliente'!D85</f>
        <v>0</v>
      </c>
      <c r="E85" s="33">
        <f>'Dados - Cliente'!E85</f>
        <v>0</v>
      </c>
      <c r="F85" s="33">
        <f>'Dados - Cliente'!F85</f>
        <v>0</v>
      </c>
      <c r="G85" s="33">
        <f>'Dados - Cliente'!G85</f>
        <v>0</v>
      </c>
      <c r="H85" s="33">
        <f>'Dados - Cliente'!H85</f>
        <v>0</v>
      </c>
      <c r="I85" s="75" t="s">
        <v>4313</v>
      </c>
      <c r="J85" s="52" t="s">
        <v>4314</v>
      </c>
      <c r="K85" s="52" t="s">
        <v>4314</v>
      </c>
      <c r="L85" s="33">
        <f>'Dados - Cliente'!I85</f>
        <v>0</v>
      </c>
      <c r="M85" s="33">
        <f>'Dados - Cliente'!K85</f>
        <v>0</v>
      </c>
      <c r="N85" s="33">
        <f>'Dados - Cliente'!L85</f>
        <v>0</v>
      </c>
      <c r="O85" s="33">
        <f>'Dados - Cliente'!M85</f>
        <v>0</v>
      </c>
      <c r="P85" s="33">
        <f>'Dados - Cliente'!N85</f>
        <v>0</v>
      </c>
      <c r="Q85" s="33">
        <f>'Dados - Cliente'!O85</f>
        <v>0</v>
      </c>
      <c r="R85" s="33">
        <f>'Dados - Cliente'!P85</f>
        <v>0</v>
      </c>
      <c r="S85" s="33">
        <f>'Dados - Cliente'!Q85</f>
        <v>0</v>
      </c>
      <c r="T85" s="33">
        <f>'Dados - Cliente'!R85</f>
        <v>0</v>
      </c>
      <c r="U85" s="34">
        <f>'Dados - Cliente'!S85</f>
        <v>0</v>
      </c>
      <c r="V85" s="34">
        <f>'Dados - Cliente'!T85</f>
        <v>0</v>
      </c>
      <c r="W85" s="34">
        <f>'Dados - Cliente'!U85</f>
        <v>0</v>
      </c>
      <c r="X85" s="34">
        <f>'Dados - Cliente'!V85</f>
        <v>0</v>
      </c>
      <c r="Y85" s="34">
        <f>'Dados - Cliente'!W85</f>
        <v>0</v>
      </c>
      <c r="Z85" s="34">
        <f>'Dados - Cliente'!X85</f>
        <v>0</v>
      </c>
      <c r="AA85" s="33" t="e">
        <f t="shared" si="7"/>
        <v>#N/A</v>
      </c>
      <c r="AB85" s="33">
        <f>'Dados - Cliente'!Y85</f>
        <v>0</v>
      </c>
      <c r="AC85" s="33">
        <f>'Dados - Cliente'!Z85</f>
        <v>0</v>
      </c>
      <c r="AD85" s="33">
        <f>'Dados - Cliente'!AA85</f>
        <v>0</v>
      </c>
      <c r="AE85" s="33">
        <f>'Dados - Cliente'!AB85</f>
        <v>0</v>
      </c>
      <c r="AF85" s="33">
        <f>'Dados - Cliente'!AC85</f>
        <v>0</v>
      </c>
      <c r="AG85" s="35">
        <f>'Dados - Cliente'!AD85</f>
        <v>0</v>
      </c>
      <c r="AH85" s="33" t="e">
        <f>INDEX('Dados - Placas'!$A:$A,MATCH('1'!AG85,'Dados - Placas'!$D:$D,0))</f>
        <v>#N/A</v>
      </c>
      <c r="AI85" s="35" t="e">
        <f>INDEX('Dados - Placas'!$E:$E,MATCH('1'!AG85,'Dados - Placas'!$D:$D,0))</f>
        <v>#N/A</v>
      </c>
      <c r="AJ85" s="34" t="e">
        <f>INDEX('Dados - Placas'!$F:$F,MATCH('1'!AG85,'Dados - Placas'!$D:$D,0))*AF85</f>
        <v>#N/A</v>
      </c>
      <c r="AK85" s="33">
        <f>'Dados - Cliente'!AE85</f>
        <v>0</v>
      </c>
      <c r="AL85" s="33">
        <f>'Dados - Cliente'!AF85</f>
        <v>0</v>
      </c>
      <c r="AM85" s="36" t="e">
        <f>INDEX('Dados - Inversores'!$A:$A,MATCH('1'!AL85,'Dados - Inversores'!$C:$C,0))</f>
        <v>#N/A</v>
      </c>
      <c r="AN85" s="33">
        <f>'Dados - Cliente'!AG85</f>
        <v>0</v>
      </c>
      <c r="AO85" s="33" t="e">
        <f>AA85*1.25/(0.22*SQRT(INDEX('Dados - Inversores'!AK:AK,MATCH('1'!AL85,'Dados - Inversores'!C:C,0))))</f>
        <v>#N/A</v>
      </c>
      <c r="AP85" s="34">
        <f>INDEX(Dados!$E$2:$E$33,COUNTIF(Dados!$E$2:$E$33,"&lt;="&amp;AN85*1.25/(INDEX('Dados - Inversores'!AL:AL,MATCH('1'!AL85,'Dados - Inversores'!C:C,0))*SQRT(INDEX('Dados - Inversores'!AK:AK,MATCH('1'!AL85,'Dados - Inversores'!C:C,0)))))+1)</f>
        <v>2</v>
      </c>
      <c r="AQ85" s="33" t="s">
        <v>59</v>
      </c>
      <c r="AR85" s="33" t="str">
        <f t="shared" si="8"/>
        <v>Micro</v>
      </c>
      <c r="AS85" s="33">
        <f>'Dados - Cliente'!AH85</f>
        <v>0</v>
      </c>
      <c r="AT85" s="33">
        <f>'Dados - Cliente'!AI85</f>
        <v>0</v>
      </c>
      <c r="AU85" s="33" t="e">
        <f>INDEX('Dados - Placas'!$N:$N,MATCH('1'!AG85,'Dados - Placas'!$D:$D,0))-1</f>
        <v>#N/A</v>
      </c>
      <c r="AV85" s="33" t="e">
        <f>INDEX('Dados - Placas'!$O:$O,MATCH('1'!AG85,'Dados - Placas'!$D:$D,0))</f>
        <v>#N/A</v>
      </c>
      <c r="AW85" s="33" t="e">
        <f>INDEX('Dados - Inversores'!AM:AM,MATCH('1'!AL85,'Dados - Inversores'!$C:$C,0))-1</f>
        <v>#N/A</v>
      </c>
      <c r="AX85" s="33" t="e">
        <f>INDEX('Dados - Inversores'!AN:AN,MATCH('1'!AL85,'Dados - Inversores'!$C:$C,0))-1</f>
        <v>#N/A</v>
      </c>
      <c r="AY85" s="33" t="e">
        <f>MATCH('1'!H85,Dados!$D$89:$D$167,0)+1</f>
        <v>#N/A</v>
      </c>
      <c r="AZ85" s="33" t="e">
        <f>MATCH('1'!N85,'Dados - Solicitação de acesso'!$N$2:$N$8,0)</f>
        <v>#N/A</v>
      </c>
      <c r="BA85" s="33" t="e">
        <f>MATCH('1'!T85,'Dados - Solicitação de acesso'!$T$2:$T$20,0)</f>
        <v>#N/A</v>
      </c>
      <c r="BB85" s="34"/>
      <c r="BC85" s="33">
        <f>MATCH(AT85,'Dados - Solicitação de acesso'!$AT$2:$AT$28,0)</f>
        <v>1</v>
      </c>
      <c r="BD85" s="33" t="b">
        <f>IF(O85="TRIFASICO",INDEX(Dados!G:G,MATCH('1'!AP85,Dados!E:E,0)),IF(O85="BIFASICO",INDEX(Dados!F:F,MATCH('1'!AP85,Dados!E:E,0),)))</f>
        <v>0</v>
      </c>
      <c r="BE85" s="33">
        <f>'Dados - Cliente'!J85</f>
        <v>0</v>
      </c>
      <c r="BF85" s="34">
        <f>INDEX(Dados!$E$2:$E$33,COUNTIF(Dados!$E$2:$E$33,"&lt;="&amp;AN85*1.25*AK85/(0.22*SQRT(INDEX('Dados - Inversores'!AK:AK,MATCH('1'!AL85,'Dados - Inversores'!C:C,0)))))+1)</f>
        <v>2</v>
      </c>
      <c r="BG85" s="34" t="b">
        <f>IF(O85="TRIFASICO",INDEX(Dados!G:G,MATCH(BF85,Dados!E:E,0)),IF(O85="BIFASICO",INDEX(Dados!F:F,MATCH(BF85,Dados!E:E,0),)))</f>
        <v>0</v>
      </c>
    </row>
    <row r="86" spans="1:59" s="33" customFormat="1" x14ac:dyDescent="0.35">
      <c r="A86" s="33">
        <f>'Dados - Cliente'!A86</f>
        <v>0</v>
      </c>
      <c r="B86" s="33">
        <f>'Dados - Cliente'!B86</f>
        <v>0</v>
      </c>
      <c r="C86" s="33">
        <f>'Dados - Cliente'!C86</f>
        <v>0</v>
      </c>
      <c r="D86" s="33">
        <f>'Dados - Cliente'!D86</f>
        <v>0</v>
      </c>
      <c r="E86" s="33">
        <f>'Dados - Cliente'!E86</f>
        <v>0</v>
      </c>
      <c r="F86" s="33">
        <f>'Dados - Cliente'!F86</f>
        <v>0</v>
      </c>
      <c r="G86" s="33">
        <f>'Dados - Cliente'!G86</f>
        <v>0</v>
      </c>
      <c r="H86" s="33">
        <f>'Dados - Cliente'!H86</f>
        <v>0</v>
      </c>
      <c r="I86" s="75" t="s">
        <v>4313</v>
      </c>
      <c r="J86" s="52" t="s">
        <v>4314</v>
      </c>
      <c r="K86" s="52" t="s">
        <v>4314</v>
      </c>
      <c r="L86" s="33">
        <f>'Dados - Cliente'!I86</f>
        <v>0</v>
      </c>
      <c r="M86" s="33">
        <f>'Dados - Cliente'!K86</f>
        <v>0</v>
      </c>
      <c r="N86" s="33">
        <f>'Dados - Cliente'!L86</f>
        <v>0</v>
      </c>
      <c r="O86" s="33">
        <f>'Dados - Cliente'!M86</f>
        <v>0</v>
      </c>
      <c r="P86" s="33">
        <f>'Dados - Cliente'!N86</f>
        <v>0</v>
      </c>
      <c r="Q86" s="33">
        <f>'Dados - Cliente'!O86</f>
        <v>0</v>
      </c>
      <c r="R86" s="33">
        <f>'Dados - Cliente'!P86</f>
        <v>0</v>
      </c>
      <c r="S86" s="33">
        <f>'Dados - Cliente'!Q86</f>
        <v>0</v>
      </c>
      <c r="T86" s="33">
        <f>'Dados - Cliente'!R86</f>
        <v>0</v>
      </c>
      <c r="U86" s="34">
        <f>'Dados - Cliente'!S86</f>
        <v>0</v>
      </c>
      <c r="V86" s="34">
        <f>'Dados - Cliente'!T86</f>
        <v>0</v>
      </c>
      <c r="W86" s="34">
        <f>'Dados - Cliente'!U86</f>
        <v>0</v>
      </c>
      <c r="X86" s="34">
        <f>'Dados - Cliente'!V86</f>
        <v>0</v>
      </c>
      <c r="Y86" s="34">
        <f>'Dados - Cliente'!W86</f>
        <v>0</v>
      </c>
      <c r="Z86" s="34">
        <f>'Dados - Cliente'!X86</f>
        <v>0</v>
      </c>
      <c r="AA86" s="33" t="e">
        <f t="shared" si="7"/>
        <v>#N/A</v>
      </c>
      <c r="AB86" s="33">
        <f>'Dados - Cliente'!Y86</f>
        <v>0</v>
      </c>
      <c r="AC86" s="33">
        <f>'Dados - Cliente'!Z86</f>
        <v>0</v>
      </c>
      <c r="AD86" s="33">
        <f>'Dados - Cliente'!AA86</f>
        <v>0</v>
      </c>
      <c r="AE86" s="33">
        <f>'Dados - Cliente'!AB86</f>
        <v>0</v>
      </c>
      <c r="AF86" s="33">
        <f>'Dados - Cliente'!AC86</f>
        <v>0</v>
      </c>
      <c r="AG86" s="35">
        <f>'Dados - Cliente'!AD86</f>
        <v>0</v>
      </c>
      <c r="AH86" s="33" t="e">
        <f>INDEX('Dados - Placas'!$A:$A,MATCH('1'!AG86,'Dados - Placas'!$D:$D,0))</f>
        <v>#N/A</v>
      </c>
      <c r="AI86" s="35" t="e">
        <f>INDEX('Dados - Placas'!$E:$E,MATCH('1'!AG86,'Dados - Placas'!$D:$D,0))</f>
        <v>#N/A</v>
      </c>
      <c r="AJ86" s="34" t="e">
        <f>INDEX('Dados - Placas'!$F:$F,MATCH('1'!AG86,'Dados - Placas'!$D:$D,0))*AF86</f>
        <v>#N/A</v>
      </c>
      <c r="AK86" s="33">
        <f>'Dados - Cliente'!AE86</f>
        <v>0</v>
      </c>
      <c r="AL86" s="33">
        <f>'Dados - Cliente'!AF86</f>
        <v>0</v>
      </c>
      <c r="AM86" s="36" t="e">
        <f>INDEX('Dados - Inversores'!$A:$A,MATCH('1'!AL86,'Dados - Inversores'!$C:$C,0))</f>
        <v>#N/A</v>
      </c>
      <c r="AN86" s="33">
        <f>'Dados - Cliente'!AG86</f>
        <v>0</v>
      </c>
      <c r="AO86" s="33" t="e">
        <f>AA86*1.25/(0.22*SQRT(INDEX('Dados - Inversores'!AK:AK,MATCH('1'!AL86,'Dados - Inversores'!C:C,0))))</f>
        <v>#N/A</v>
      </c>
      <c r="AP86" s="34">
        <f>INDEX(Dados!$E$2:$E$33,COUNTIF(Dados!$E$2:$E$33,"&lt;="&amp;AN86*1.25/(INDEX('Dados - Inversores'!AL:AL,MATCH('1'!AL86,'Dados - Inversores'!C:C,0))*SQRT(INDEX('Dados - Inversores'!AK:AK,MATCH('1'!AL86,'Dados - Inversores'!C:C,0)))))+1)</f>
        <v>2</v>
      </c>
      <c r="AQ86" s="33" t="s">
        <v>59</v>
      </c>
      <c r="AR86" s="33" t="str">
        <f t="shared" si="8"/>
        <v>Micro</v>
      </c>
      <c r="AS86" s="33">
        <f>'Dados - Cliente'!AH86</f>
        <v>0</v>
      </c>
      <c r="AT86" s="33">
        <f>'Dados - Cliente'!AI86</f>
        <v>0</v>
      </c>
      <c r="AU86" s="33" t="e">
        <f>INDEX('Dados - Placas'!$N:$N,MATCH('1'!AG86,'Dados - Placas'!$D:$D,0))-1</f>
        <v>#N/A</v>
      </c>
      <c r="AV86" s="33" t="e">
        <f>INDEX('Dados - Placas'!$O:$O,MATCH('1'!AG86,'Dados - Placas'!$D:$D,0))</f>
        <v>#N/A</v>
      </c>
      <c r="AW86" s="33" t="e">
        <f>INDEX('Dados - Inversores'!AM:AM,MATCH('1'!AL86,'Dados - Inversores'!$C:$C,0))-1</f>
        <v>#N/A</v>
      </c>
      <c r="AX86" s="33" t="e">
        <f>INDEX('Dados - Inversores'!AN:AN,MATCH('1'!AL86,'Dados - Inversores'!$C:$C,0))-1</f>
        <v>#N/A</v>
      </c>
      <c r="AY86" s="33" t="e">
        <f>MATCH('1'!H86,Dados!$D$89:$D$167,0)+1</f>
        <v>#N/A</v>
      </c>
      <c r="AZ86" s="33" t="e">
        <f>MATCH('1'!N86,'Dados - Solicitação de acesso'!$N$2:$N$8,0)</f>
        <v>#N/A</v>
      </c>
      <c r="BA86" s="33" t="e">
        <f>MATCH('1'!T86,'Dados - Solicitação de acesso'!$T$2:$T$20,0)</f>
        <v>#N/A</v>
      </c>
      <c r="BB86" s="34"/>
      <c r="BC86" s="33">
        <f>MATCH(AT86,'Dados - Solicitação de acesso'!$AT$2:$AT$28,0)</f>
        <v>1</v>
      </c>
      <c r="BD86" s="33" t="b">
        <f>IF(O86="TRIFASICO",INDEX(Dados!G:G,MATCH('1'!AP86,Dados!E:E,0)),IF(O86="BIFASICO",INDEX(Dados!F:F,MATCH('1'!AP86,Dados!E:E,0),)))</f>
        <v>0</v>
      </c>
      <c r="BE86" s="33">
        <f>'Dados - Cliente'!J86</f>
        <v>0</v>
      </c>
      <c r="BF86" s="34">
        <f>INDEX(Dados!$E$2:$E$33,COUNTIF(Dados!$E$2:$E$33,"&lt;="&amp;AN86*1.25*AK86/(0.22*SQRT(INDEX('Dados - Inversores'!AK:AK,MATCH('1'!AL86,'Dados - Inversores'!C:C,0)))))+1)</f>
        <v>2</v>
      </c>
      <c r="BG86" s="34" t="b">
        <f>IF(O86="TRIFASICO",INDEX(Dados!G:G,MATCH(BF86,Dados!E:E,0)),IF(O86="BIFASICO",INDEX(Dados!F:F,MATCH(BF86,Dados!E:E,0),)))</f>
        <v>0</v>
      </c>
    </row>
    <row r="87" spans="1:59" s="33" customFormat="1" x14ac:dyDescent="0.35">
      <c r="A87" s="33">
        <f>'Dados - Cliente'!A87</f>
        <v>0</v>
      </c>
      <c r="B87" s="33">
        <f>'Dados - Cliente'!B87</f>
        <v>0</v>
      </c>
      <c r="C87" s="33">
        <f>'Dados - Cliente'!C87</f>
        <v>0</v>
      </c>
      <c r="D87" s="33">
        <f>'Dados - Cliente'!D87</f>
        <v>0</v>
      </c>
      <c r="E87" s="33">
        <f>'Dados - Cliente'!E87</f>
        <v>0</v>
      </c>
      <c r="F87" s="33">
        <f>'Dados - Cliente'!F87</f>
        <v>0</v>
      </c>
      <c r="G87" s="33">
        <f>'Dados - Cliente'!G87</f>
        <v>0</v>
      </c>
      <c r="H87" s="33">
        <f>'Dados - Cliente'!H87</f>
        <v>0</v>
      </c>
      <c r="I87" s="75" t="s">
        <v>4313</v>
      </c>
      <c r="J87" s="52" t="s">
        <v>4314</v>
      </c>
      <c r="K87" s="52" t="s">
        <v>4314</v>
      </c>
      <c r="L87" s="33">
        <f>'Dados - Cliente'!I87</f>
        <v>0</v>
      </c>
      <c r="M87" s="33">
        <f>'Dados - Cliente'!K87</f>
        <v>0</v>
      </c>
      <c r="N87" s="33">
        <f>'Dados - Cliente'!L87</f>
        <v>0</v>
      </c>
      <c r="O87" s="33">
        <f>'Dados - Cliente'!M87</f>
        <v>0</v>
      </c>
      <c r="P87" s="33">
        <f>'Dados - Cliente'!N87</f>
        <v>0</v>
      </c>
      <c r="Q87" s="33">
        <f>'Dados - Cliente'!O87</f>
        <v>0</v>
      </c>
      <c r="R87" s="33">
        <f>'Dados - Cliente'!P87</f>
        <v>0</v>
      </c>
      <c r="S87" s="33">
        <f>'Dados - Cliente'!Q87</f>
        <v>0</v>
      </c>
      <c r="T87" s="33">
        <f>'Dados - Cliente'!R87</f>
        <v>0</v>
      </c>
      <c r="U87" s="34">
        <f>'Dados - Cliente'!S87</f>
        <v>0</v>
      </c>
      <c r="V87" s="34">
        <f>'Dados - Cliente'!T87</f>
        <v>0</v>
      </c>
      <c r="W87" s="34">
        <f>'Dados - Cliente'!U87</f>
        <v>0</v>
      </c>
      <c r="X87" s="34">
        <f>'Dados - Cliente'!V87</f>
        <v>0</v>
      </c>
      <c r="Y87" s="34">
        <f>'Dados - Cliente'!W87</f>
        <v>0</v>
      </c>
      <c r="Z87" s="34">
        <f>'Dados - Cliente'!X87</f>
        <v>0</v>
      </c>
      <c r="AA87" s="33" t="e">
        <f t="shared" si="7"/>
        <v>#N/A</v>
      </c>
      <c r="AB87" s="33">
        <f>'Dados - Cliente'!Y87</f>
        <v>0</v>
      </c>
      <c r="AC87" s="33">
        <f>'Dados - Cliente'!Z87</f>
        <v>0</v>
      </c>
      <c r="AD87" s="33">
        <f>'Dados - Cliente'!AA87</f>
        <v>0</v>
      </c>
      <c r="AE87" s="33">
        <f>'Dados - Cliente'!AB87</f>
        <v>0</v>
      </c>
      <c r="AF87" s="33">
        <f>'Dados - Cliente'!AC87</f>
        <v>0</v>
      </c>
      <c r="AG87" s="35">
        <f>'Dados - Cliente'!AD87</f>
        <v>0</v>
      </c>
      <c r="AH87" s="33" t="e">
        <f>INDEX('Dados - Placas'!$A:$A,MATCH('1'!AG87,'Dados - Placas'!$D:$D,0))</f>
        <v>#N/A</v>
      </c>
      <c r="AI87" s="35" t="e">
        <f>INDEX('Dados - Placas'!$E:$E,MATCH('1'!AG87,'Dados - Placas'!$D:$D,0))</f>
        <v>#N/A</v>
      </c>
      <c r="AJ87" s="34" t="e">
        <f>INDEX('Dados - Placas'!$F:$F,MATCH('1'!AG87,'Dados - Placas'!$D:$D,0))*AF87</f>
        <v>#N/A</v>
      </c>
      <c r="AK87" s="33">
        <f>'Dados - Cliente'!AE87</f>
        <v>0</v>
      </c>
      <c r="AL87" s="33">
        <f>'Dados - Cliente'!AF87</f>
        <v>0</v>
      </c>
      <c r="AM87" s="36" t="e">
        <f>INDEX('Dados - Inversores'!$A:$A,MATCH('1'!AL87,'Dados - Inversores'!$C:$C,0))</f>
        <v>#N/A</v>
      </c>
      <c r="AN87" s="33">
        <f>'Dados - Cliente'!AG87</f>
        <v>0</v>
      </c>
      <c r="AO87" s="33" t="e">
        <f>AA87*1.25/(0.22*SQRT(INDEX('Dados - Inversores'!AK:AK,MATCH('1'!AL87,'Dados - Inversores'!C:C,0))))</f>
        <v>#N/A</v>
      </c>
      <c r="AP87" s="34">
        <f>INDEX(Dados!$E$2:$E$33,COUNTIF(Dados!$E$2:$E$33,"&lt;="&amp;AN87*1.25/(INDEX('Dados - Inversores'!AL:AL,MATCH('1'!AL87,'Dados - Inversores'!C:C,0))*SQRT(INDEX('Dados - Inversores'!AK:AK,MATCH('1'!AL87,'Dados - Inversores'!C:C,0)))))+1)</f>
        <v>2</v>
      </c>
      <c r="AQ87" s="33" t="s">
        <v>59</v>
      </c>
      <c r="AR87" s="33" t="str">
        <f t="shared" si="8"/>
        <v>Micro</v>
      </c>
      <c r="AS87" s="33">
        <f>'Dados - Cliente'!AH87</f>
        <v>0</v>
      </c>
      <c r="AT87" s="33">
        <f>'Dados - Cliente'!AI87</f>
        <v>0</v>
      </c>
      <c r="AU87" s="33" t="e">
        <f>INDEX('Dados - Placas'!$N:$N,MATCH('1'!AG87,'Dados - Placas'!$D:$D,0))-1</f>
        <v>#N/A</v>
      </c>
      <c r="AV87" s="33" t="e">
        <f>INDEX('Dados - Placas'!$O:$O,MATCH('1'!AG87,'Dados - Placas'!$D:$D,0))</f>
        <v>#N/A</v>
      </c>
      <c r="AW87" s="33" t="e">
        <f>INDEX('Dados - Inversores'!AM:AM,MATCH('1'!AL87,'Dados - Inversores'!$C:$C,0))-1</f>
        <v>#N/A</v>
      </c>
      <c r="AX87" s="33" t="e">
        <f>INDEX('Dados - Inversores'!AN:AN,MATCH('1'!AL87,'Dados - Inversores'!$C:$C,0))-1</f>
        <v>#N/A</v>
      </c>
      <c r="AY87" s="33" t="e">
        <f>MATCH('1'!H87,Dados!$D$89:$D$167,0)+1</f>
        <v>#N/A</v>
      </c>
      <c r="AZ87" s="33" t="e">
        <f>MATCH('1'!N87,'Dados - Solicitação de acesso'!$N$2:$N$8,0)</f>
        <v>#N/A</v>
      </c>
      <c r="BA87" s="33" t="e">
        <f>MATCH('1'!T87,'Dados - Solicitação de acesso'!$T$2:$T$20,0)</f>
        <v>#N/A</v>
      </c>
      <c r="BB87" s="34"/>
      <c r="BC87" s="33">
        <f>MATCH(AT87,'Dados - Solicitação de acesso'!$AT$2:$AT$28,0)</f>
        <v>1</v>
      </c>
      <c r="BD87" s="33" t="b">
        <f>IF(O87="TRIFASICO",INDEX(Dados!G:G,MATCH('1'!AP87,Dados!E:E,0)),IF(O87="BIFASICO",INDEX(Dados!F:F,MATCH('1'!AP87,Dados!E:E,0),)))</f>
        <v>0</v>
      </c>
      <c r="BE87" s="33">
        <f>'Dados - Cliente'!J87</f>
        <v>0</v>
      </c>
      <c r="BF87" s="34">
        <f>INDEX(Dados!$E$2:$E$33,COUNTIF(Dados!$E$2:$E$33,"&lt;="&amp;AN87*1.25*AK87/(0.22*SQRT(INDEX('Dados - Inversores'!AK:AK,MATCH('1'!AL87,'Dados - Inversores'!C:C,0)))))+1)</f>
        <v>2</v>
      </c>
      <c r="BG87" s="34" t="b">
        <f>IF(O87="TRIFASICO",INDEX(Dados!G:G,MATCH(BF87,Dados!E:E,0)),IF(O87="BIFASICO",INDEX(Dados!F:F,MATCH(BF87,Dados!E:E,0),)))</f>
        <v>0</v>
      </c>
    </row>
    <row r="88" spans="1:59" s="33" customFormat="1" x14ac:dyDescent="0.35">
      <c r="A88" s="33">
        <f>'Dados - Cliente'!A88</f>
        <v>0</v>
      </c>
      <c r="B88" s="33">
        <f>'Dados - Cliente'!B88</f>
        <v>0</v>
      </c>
      <c r="C88" s="33">
        <f>'Dados - Cliente'!C88</f>
        <v>0</v>
      </c>
      <c r="D88" s="33">
        <f>'Dados - Cliente'!D88</f>
        <v>0</v>
      </c>
      <c r="E88" s="33">
        <f>'Dados - Cliente'!E88</f>
        <v>0</v>
      </c>
      <c r="F88" s="33">
        <f>'Dados - Cliente'!F88</f>
        <v>0</v>
      </c>
      <c r="G88" s="33">
        <f>'Dados - Cliente'!G88</f>
        <v>0</v>
      </c>
      <c r="H88" s="33">
        <f>'Dados - Cliente'!H88</f>
        <v>0</v>
      </c>
      <c r="I88" s="75" t="s">
        <v>4313</v>
      </c>
      <c r="J88" s="52" t="s">
        <v>4314</v>
      </c>
      <c r="K88" s="52" t="s">
        <v>4314</v>
      </c>
      <c r="L88" s="33">
        <f>'Dados - Cliente'!I88</f>
        <v>0</v>
      </c>
      <c r="M88" s="33">
        <f>'Dados - Cliente'!K88</f>
        <v>0</v>
      </c>
      <c r="N88" s="33">
        <f>'Dados - Cliente'!L88</f>
        <v>0</v>
      </c>
      <c r="O88" s="33">
        <f>'Dados - Cliente'!M88</f>
        <v>0</v>
      </c>
      <c r="P88" s="33">
        <f>'Dados - Cliente'!N88</f>
        <v>0</v>
      </c>
      <c r="Q88" s="33">
        <f>'Dados - Cliente'!O88</f>
        <v>0</v>
      </c>
      <c r="R88" s="33">
        <f>'Dados - Cliente'!P88</f>
        <v>0</v>
      </c>
      <c r="S88" s="33">
        <f>'Dados - Cliente'!Q88</f>
        <v>0</v>
      </c>
      <c r="T88" s="33">
        <f>'Dados - Cliente'!R88</f>
        <v>0</v>
      </c>
      <c r="U88" s="34">
        <f>'Dados - Cliente'!S88</f>
        <v>0</v>
      </c>
      <c r="V88" s="34">
        <f>'Dados - Cliente'!T88</f>
        <v>0</v>
      </c>
      <c r="W88" s="34">
        <f>'Dados - Cliente'!U88</f>
        <v>0</v>
      </c>
      <c r="X88" s="34">
        <f>'Dados - Cliente'!V88</f>
        <v>0</v>
      </c>
      <c r="Y88" s="34">
        <f>'Dados - Cliente'!W88</f>
        <v>0</v>
      </c>
      <c r="Z88" s="34">
        <f>'Dados - Cliente'!X88</f>
        <v>0</v>
      </c>
      <c r="AA88" s="33" t="e">
        <f t="shared" si="7"/>
        <v>#N/A</v>
      </c>
      <c r="AB88" s="33">
        <f>'Dados - Cliente'!Y88</f>
        <v>0</v>
      </c>
      <c r="AC88" s="33">
        <f>'Dados - Cliente'!Z88</f>
        <v>0</v>
      </c>
      <c r="AD88" s="33">
        <f>'Dados - Cliente'!AA88</f>
        <v>0</v>
      </c>
      <c r="AE88" s="33">
        <f>'Dados - Cliente'!AB88</f>
        <v>0</v>
      </c>
      <c r="AF88" s="33">
        <f>'Dados - Cliente'!AC88</f>
        <v>0</v>
      </c>
      <c r="AG88" s="35">
        <f>'Dados - Cliente'!AD88</f>
        <v>0</v>
      </c>
      <c r="AH88" s="33" t="e">
        <f>INDEX('Dados - Placas'!$A:$A,MATCH('1'!AG88,'Dados - Placas'!$D:$D,0))</f>
        <v>#N/A</v>
      </c>
      <c r="AI88" s="35" t="e">
        <f>INDEX('Dados - Placas'!$E:$E,MATCH('1'!AG88,'Dados - Placas'!$D:$D,0))</f>
        <v>#N/A</v>
      </c>
      <c r="AJ88" s="34" t="e">
        <f>INDEX('Dados - Placas'!$F:$F,MATCH('1'!AG88,'Dados - Placas'!$D:$D,0))*AF88</f>
        <v>#N/A</v>
      </c>
      <c r="AK88" s="33">
        <f>'Dados - Cliente'!AE88</f>
        <v>0</v>
      </c>
      <c r="AL88" s="33">
        <f>'Dados - Cliente'!AF88</f>
        <v>0</v>
      </c>
      <c r="AM88" s="36" t="e">
        <f>INDEX('Dados - Inversores'!$A:$A,MATCH('1'!AL88,'Dados - Inversores'!$C:$C,0))</f>
        <v>#N/A</v>
      </c>
      <c r="AN88" s="33">
        <f>'Dados - Cliente'!AG88</f>
        <v>0</v>
      </c>
      <c r="AO88" s="33" t="e">
        <f>AA88*1.25/(0.22*SQRT(INDEX('Dados - Inversores'!AK:AK,MATCH('1'!AL88,'Dados - Inversores'!C:C,0))))</f>
        <v>#N/A</v>
      </c>
      <c r="AP88" s="34">
        <f>INDEX(Dados!$E$2:$E$33,COUNTIF(Dados!$E$2:$E$33,"&lt;="&amp;AN88*1.25/(INDEX('Dados - Inversores'!AL:AL,MATCH('1'!AL88,'Dados - Inversores'!C:C,0))*SQRT(INDEX('Dados - Inversores'!AK:AK,MATCH('1'!AL88,'Dados - Inversores'!C:C,0)))))+1)</f>
        <v>2</v>
      </c>
      <c r="AQ88" s="33" t="s">
        <v>59</v>
      </c>
      <c r="AR88" s="33" t="str">
        <f t="shared" si="8"/>
        <v>Micro</v>
      </c>
      <c r="AS88" s="33">
        <f>'Dados - Cliente'!AH88</f>
        <v>0</v>
      </c>
      <c r="AT88" s="33">
        <f>'Dados - Cliente'!AI88</f>
        <v>0</v>
      </c>
      <c r="AU88" s="33" t="e">
        <f>INDEX('Dados - Placas'!$N:$N,MATCH('1'!AG88,'Dados - Placas'!$D:$D,0))-1</f>
        <v>#N/A</v>
      </c>
      <c r="AV88" s="33" t="e">
        <f>INDEX('Dados - Placas'!$O:$O,MATCH('1'!AG88,'Dados - Placas'!$D:$D,0))</f>
        <v>#N/A</v>
      </c>
      <c r="AW88" s="33" t="e">
        <f>INDEX('Dados - Inversores'!AM:AM,MATCH('1'!AL88,'Dados - Inversores'!$C:$C,0))-1</f>
        <v>#N/A</v>
      </c>
      <c r="AX88" s="33" t="e">
        <f>INDEX('Dados - Inversores'!AN:AN,MATCH('1'!AL88,'Dados - Inversores'!$C:$C,0))-1</f>
        <v>#N/A</v>
      </c>
      <c r="AY88" s="33" t="e">
        <f>MATCH('1'!H88,Dados!$D$89:$D$167,0)+1</f>
        <v>#N/A</v>
      </c>
      <c r="AZ88" s="33" t="e">
        <f>MATCH('1'!N88,'Dados - Solicitação de acesso'!$N$2:$N$8,0)</f>
        <v>#N/A</v>
      </c>
      <c r="BA88" s="33" t="e">
        <f>MATCH('1'!T88,'Dados - Solicitação de acesso'!$T$2:$T$20,0)</f>
        <v>#N/A</v>
      </c>
      <c r="BB88" s="34"/>
      <c r="BC88" s="33">
        <f>MATCH(AT88,'Dados - Solicitação de acesso'!$AT$2:$AT$28,0)</f>
        <v>1</v>
      </c>
      <c r="BD88" s="33" t="b">
        <f>IF(O88="TRIFASICO",INDEX(Dados!G:G,MATCH('1'!AP88,Dados!E:E,0)),IF(O88="BIFASICO",INDEX(Dados!F:F,MATCH('1'!AP88,Dados!E:E,0),)))</f>
        <v>0</v>
      </c>
      <c r="BE88" s="33">
        <f>'Dados - Cliente'!J88</f>
        <v>0</v>
      </c>
      <c r="BF88" s="34">
        <f>INDEX(Dados!$E$2:$E$33,COUNTIF(Dados!$E$2:$E$33,"&lt;="&amp;AN88*1.25*AK88/(0.22*SQRT(INDEX('Dados - Inversores'!AK:AK,MATCH('1'!AL88,'Dados - Inversores'!C:C,0)))))+1)</f>
        <v>2</v>
      </c>
      <c r="BG88" s="34" t="b">
        <f>IF(O88="TRIFASICO",INDEX(Dados!G:G,MATCH(BF88,Dados!E:E,0)),IF(O88="BIFASICO",INDEX(Dados!F:F,MATCH(BF88,Dados!E:E,0),)))</f>
        <v>0</v>
      </c>
    </row>
    <row r="89" spans="1:59" s="33" customFormat="1" x14ac:dyDescent="0.35">
      <c r="A89" s="33">
        <f>'Dados - Cliente'!A89</f>
        <v>0</v>
      </c>
      <c r="B89" s="33">
        <f>'Dados - Cliente'!B89</f>
        <v>0</v>
      </c>
      <c r="C89" s="33">
        <f>'Dados - Cliente'!C89</f>
        <v>0</v>
      </c>
      <c r="D89" s="33">
        <f>'Dados - Cliente'!D89</f>
        <v>0</v>
      </c>
      <c r="E89" s="33">
        <f>'Dados - Cliente'!E89</f>
        <v>0</v>
      </c>
      <c r="F89" s="33">
        <f>'Dados - Cliente'!F89</f>
        <v>0</v>
      </c>
      <c r="G89" s="33">
        <f>'Dados - Cliente'!G89</f>
        <v>0</v>
      </c>
      <c r="H89" s="33">
        <f>'Dados - Cliente'!H89</f>
        <v>0</v>
      </c>
      <c r="I89" s="75" t="s">
        <v>4313</v>
      </c>
      <c r="J89" s="52" t="s">
        <v>4314</v>
      </c>
      <c r="K89" s="52" t="s">
        <v>4314</v>
      </c>
      <c r="L89" s="33">
        <f>'Dados - Cliente'!I89</f>
        <v>0</v>
      </c>
      <c r="M89" s="33">
        <f>'Dados - Cliente'!K89</f>
        <v>0</v>
      </c>
      <c r="N89" s="33">
        <f>'Dados - Cliente'!L89</f>
        <v>0</v>
      </c>
      <c r="O89" s="33">
        <f>'Dados - Cliente'!M89</f>
        <v>0</v>
      </c>
      <c r="P89" s="33">
        <f>'Dados - Cliente'!N89</f>
        <v>0</v>
      </c>
      <c r="Q89" s="33">
        <f>'Dados - Cliente'!O89</f>
        <v>0</v>
      </c>
      <c r="R89" s="33">
        <f>'Dados - Cliente'!P89</f>
        <v>0</v>
      </c>
      <c r="S89" s="33">
        <f>'Dados - Cliente'!Q89</f>
        <v>0</v>
      </c>
      <c r="T89" s="33">
        <f>'Dados - Cliente'!R89</f>
        <v>0</v>
      </c>
      <c r="U89" s="34">
        <f>'Dados - Cliente'!S89</f>
        <v>0</v>
      </c>
      <c r="V89" s="34">
        <f>'Dados - Cliente'!T89</f>
        <v>0</v>
      </c>
      <c r="W89" s="34">
        <f>'Dados - Cliente'!U89</f>
        <v>0</v>
      </c>
      <c r="X89" s="34">
        <f>'Dados - Cliente'!V89</f>
        <v>0</v>
      </c>
      <c r="Y89" s="34">
        <f>'Dados - Cliente'!W89</f>
        <v>0</v>
      </c>
      <c r="Z89" s="34">
        <f>'Dados - Cliente'!X89</f>
        <v>0</v>
      </c>
      <c r="AA89" s="33" t="e">
        <f t="shared" si="7"/>
        <v>#N/A</v>
      </c>
      <c r="AB89" s="33">
        <f>'Dados - Cliente'!Y89</f>
        <v>0</v>
      </c>
      <c r="AC89" s="33">
        <f>'Dados - Cliente'!Z89</f>
        <v>0</v>
      </c>
      <c r="AD89" s="33">
        <f>'Dados - Cliente'!AA89</f>
        <v>0</v>
      </c>
      <c r="AE89" s="33">
        <f>'Dados - Cliente'!AB89</f>
        <v>0</v>
      </c>
      <c r="AF89" s="33">
        <f>'Dados - Cliente'!AC89</f>
        <v>0</v>
      </c>
      <c r="AG89" s="35">
        <f>'Dados - Cliente'!AD89</f>
        <v>0</v>
      </c>
      <c r="AH89" s="33" t="e">
        <f>INDEX('Dados - Placas'!$A:$A,MATCH('1'!AG89,'Dados - Placas'!$D:$D,0))</f>
        <v>#N/A</v>
      </c>
      <c r="AI89" s="35" t="e">
        <f>INDEX('Dados - Placas'!$E:$E,MATCH('1'!AG89,'Dados - Placas'!$D:$D,0))</f>
        <v>#N/A</v>
      </c>
      <c r="AJ89" s="34" t="e">
        <f>INDEX('Dados - Placas'!$F:$F,MATCH('1'!AG89,'Dados - Placas'!$D:$D,0))*AF89</f>
        <v>#N/A</v>
      </c>
      <c r="AK89" s="33">
        <f>'Dados - Cliente'!AE89</f>
        <v>0</v>
      </c>
      <c r="AL89" s="33">
        <f>'Dados - Cliente'!AF89</f>
        <v>0</v>
      </c>
      <c r="AM89" s="36" t="e">
        <f>INDEX('Dados - Inversores'!$A:$A,MATCH('1'!AL89,'Dados - Inversores'!$C:$C,0))</f>
        <v>#N/A</v>
      </c>
      <c r="AN89" s="33">
        <f>'Dados - Cliente'!AG89</f>
        <v>0</v>
      </c>
      <c r="AO89" s="33" t="e">
        <f>AA89*1.25/(0.22*SQRT(INDEX('Dados - Inversores'!AK:AK,MATCH('1'!AL89,'Dados - Inversores'!C:C,0))))</f>
        <v>#N/A</v>
      </c>
      <c r="AP89" s="34">
        <f>INDEX(Dados!$E$2:$E$33,COUNTIF(Dados!$E$2:$E$33,"&lt;="&amp;AN89*1.25/(INDEX('Dados - Inversores'!AL:AL,MATCH('1'!AL89,'Dados - Inversores'!C:C,0))*SQRT(INDEX('Dados - Inversores'!AK:AK,MATCH('1'!AL89,'Dados - Inversores'!C:C,0)))))+1)</f>
        <v>2</v>
      </c>
      <c r="AQ89" s="33" t="s">
        <v>59</v>
      </c>
      <c r="AR89" s="33" t="str">
        <f t="shared" si="8"/>
        <v>Micro</v>
      </c>
      <c r="AS89" s="33">
        <f>'Dados - Cliente'!AH89</f>
        <v>0</v>
      </c>
      <c r="AT89" s="33">
        <f>'Dados - Cliente'!AI89</f>
        <v>0</v>
      </c>
      <c r="AU89" s="33" t="e">
        <f>INDEX('Dados - Placas'!$N:$N,MATCH('1'!AG89,'Dados - Placas'!$D:$D,0))-1</f>
        <v>#N/A</v>
      </c>
      <c r="AV89" s="33" t="e">
        <f>INDEX('Dados - Placas'!$O:$O,MATCH('1'!AG89,'Dados - Placas'!$D:$D,0))</f>
        <v>#N/A</v>
      </c>
      <c r="AW89" s="33" t="e">
        <f>INDEX('Dados - Inversores'!AM:AM,MATCH('1'!AL89,'Dados - Inversores'!$C:$C,0))-1</f>
        <v>#N/A</v>
      </c>
      <c r="AX89" s="33" t="e">
        <f>INDEX('Dados - Inversores'!AN:AN,MATCH('1'!AL89,'Dados - Inversores'!$C:$C,0))-1</f>
        <v>#N/A</v>
      </c>
      <c r="AY89" s="33" t="e">
        <f>MATCH('1'!H89,Dados!$D$89:$D$167,0)+1</f>
        <v>#N/A</v>
      </c>
      <c r="AZ89" s="33" t="e">
        <f>MATCH('1'!N89,'Dados - Solicitação de acesso'!$N$2:$N$8,0)</f>
        <v>#N/A</v>
      </c>
      <c r="BA89" s="33" t="e">
        <f>MATCH('1'!T89,'Dados - Solicitação de acesso'!$T$2:$T$20,0)</f>
        <v>#N/A</v>
      </c>
      <c r="BB89" s="34"/>
      <c r="BC89" s="33">
        <f>MATCH(AT89,'Dados - Solicitação de acesso'!$AT$2:$AT$28,0)</f>
        <v>1</v>
      </c>
      <c r="BD89" s="33" t="b">
        <f>IF(O89="TRIFASICO",INDEX(Dados!G:G,MATCH('1'!AP89,Dados!E:E,0)),IF(O89="BIFASICO",INDEX(Dados!F:F,MATCH('1'!AP89,Dados!E:E,0),)))</f>
        <v>0</v>
      </c>
      <c r="BE89" s="33">
        <f>'Dados - Cliente'!J89</f>
        <v>0</v>
      </c>
      <c r="BF89" s="34">
        <f>INDEX(Dados!$E$2:$E$33,COUNTIF(Dados!$E$2:$E$33,"&lt;="&amp;AN89*1.25*AK89/(0.22*SQRT(INDEX('Dados - Inversores'!AK:AK,MATCH('1'!AL89,'Dados - Inversores'!C:C,0)))))+1)</f>
        <v>2</v>
      </c>
      <c r="BG89" s="34" t="b">
        <f>IF(O89="TRIFASICO",INDEX(Dados!G:G,MATCH(BF89,Dados!E:E,0)),IF(O89="BIFASICO",INDEX(Dados!F:F,MATCH(BF89,Dados!E:E,0),)))</f>
        <v>0</v>
      </c>
    </row>
    <row r="90" spans="1:59" s="33" customFormat="1" x14ac:dyDescent="0.35">
      <c r="A90" s="33">
        <f>'Dados - Cliente'!A90</f>
        <v>0</v>
      </c>
      <c r="B90" s="33">
        <f>'Dados - Cliente'!B90</f>
        <v>0</v>
      </c>
      <c r="C90" s="33">
        <f>'Dados - Cliente'!C90</f>
        <v>0</v>
      </c>
      <c r="D90" s="33">
        <f>'Dados - Cliente'!D90</f>
        <v>0</v>
      </c>
      <c r="E90" s="33">
        <f>'Dados - Cliente'!E90</f>
        <v>0</v>
      </c>
      <c r="F90" s="33">
        <f>'Dados - Cliente'!F90</f>
        <v>0</v>
      </c>
      <c r="G90" s="33">
        <f>'Dados - Cliente'!G90</f>
        <v>0</v>
      </c>
      <c r="H90" s="33">
        <f>'Dados - Cliente'!H90</f>
        <v>0</v>
      </c>
      <c r="I90" s="75" t="s">
        <v>4313</v>
      </c>
      <c r="J90" s="52" t="s">
        <v>4314</v>
      </c>
      <c r="K90" s="52" t="s">
        <v>4314</v>
      </c>
      <c r="L90" s="33">
        <f>'Dados - Cliente'!I90</f>
        <v>0</v>
      </c>
      <c r="M90" s="33">
        <f>'Dados - Cliente'!K90</f>
        <v>0</v>
      </c>
      <c r="N90" s="33">
        <f>'Dados - Cliente'!L90</f>
        <v>0</v>
      </c>
      <c r="O90" s="33">
        <f>'Dados - Cliente'!M90</f>
        <v>0</v>
      </c>
      <c r="P90" s="33">
        <f>'Dados - Cliente'!N90</f>
        <v>0</v>
      </c>
      <c r="Q90" s="33">
        <f>'Dados - Cliente'!O90</f>
        <v>0</v>
      </c>
      <c r="R90" s="33">
        <f>'Dados - Cliente'!P90</f>
        <v>0</v>
      </c>
      <c r="S90" s="33">
        <f>'Dados - Cliente'!Q90</f>
        <v>0</v>
      </c>
      <c r="T90" s="33">
        <f>'Dados - Cliente'!R90</f>
        <v>0</v>
      </c>
      <c r="U90" s="34">
        <f>'Dados - Cliente'!S90</f>
        <v>0</v>
      </c>
      <c r="V90" s="34">
        <f>'Dados - Cliente'!T90</f>
        <v>0</v>
      </c>
      <c r="W90" s="34">
        <f>'Dados - Cliente'!U90</f>
        <v>0</v>
      </c>
      <c r="X90" s="34">
        <f>'Dados - Cliente'!V90</f>
        <v>0</v>
      </c>
      <c r="Y90" s="34">
        <f>'Dados - Cliente'!W90</f>
        <v>0</v>
      </c>
      <c r="Z90" s="34">
        <f>'Dados - Cliente'!X90</f>
        <v>0</v>
      </c>
      <c r="AA90" s="33" t="e">
        <f t="shared" si="7"/>
        <v>#N/A</v>
      </c>
      <c r="AB90" s="33">
        <f>'Dados - Cliente'!Y90</f>
        <v>0</v>
      </c>
      <c r="AC90" s="33">
        <f>'Dados - Cliente'!Z90</f>
        <v>0</v>
      </c>
      <c r="AD90" s="33">
        <f>'Dados - Cliente'!AA90</f>
        <v>0</v>
      </c>
      <c r="AE90" s="33">
        <f>'Dados - Cliente'!AB90</f>
        <v>0</v>
      </c>
      <c r="AF90" s="33">
        <f>'Dados - Cliente'!AC90</f>
        <v>0</v>
      </c>
      <c r="AG90" s="35">
        <f>'Dados - Cliente'!AD90</f>
        <v>0</v>
      </c>
      <c r="AH90" s="33" t="e">
        <f>INDEX('Dados - Placas'!$A:$A,MATCH('1'!AG90,'Dados - Placas'!$D:$D,0))</f>
        <v>#N/A</v>
      </c>
      <c r="AI90" s="35" t="e">
        <f>INDEX('Dados - Placas'!$E:$E,MATCH('1'!AG90,'Dados - Placas'!$D:$D,0))</f>
        <v>#N/A</v>
      </c>
      <c r="AJ90" s="34" t="e">
        <f>INDEX('Dados - Placas'!$F:$F,MATCH('1'!AG90,'Dados - Placas'!$D:$D,0))*AF90</f>
        <v>#N/A</v>
      </c>
      <c r="AK90" s="33">
        <f>'Dados - Cliente'!AE90</f>
        <v>0</v>
      </c>
      <c r="AL90" s="33">
        <f>'Dados - Cliente'!AF90</f>
        <v>0</v>
      </c>
      <c r="AM90" s="36" t="e">
        <f>INDEX('Dados - Inversores'!$A:$A,MATCH('1'!AL90,'Dados - Inversores'!$C:$C,0))</f>
        <v>#N/A</v>
      </c>
      <c r="AN90" s="33">
        <f>'Dados - Cliente'!AG90</f>
        <v>0</v>
      </c>
      <c r="AO90" s="33" t="e">
        <f>AA90*1.25/(0.22*SQRT(INDEX('Dados - Inversores'!AK:AK,MATCH('1'!AL90,'Dados - Inversores'!C:C,0))))</f>
        <v>#N/A</v>
      </c>
      <c r="AP90" s="34">
        <f>INDEX(Dados!$E$2:$E$33,COUNTIF(Dados!$E$2:$E$33,"&lt;="&amp;AN90*1.25/(INDEX('Dados - Inversores'!AL:AL,MATCH('1'!AL90,'Dados - Inversores'!C:C,0))*SQRT(INDEX('Dados - Inversores'!AK:AK,MATCH('1'!AL90,'Dados - Inversores'!C:C,0)))))+1)</f>
        <v>2</v>
      </c>
      <c r="AQ90" s="33" t="s">
        <v>59</v>
      </c>
      <c r="AR90" s="33" t="str">
        <f t="shared" si="8"/>
        <v>Micro</v>
      </c>
      <c r="AS90" s="33">
        <f>'Dados - Cliente'!AH90</f>
        <v>0</v>
      </c>
      <c r="AT90" s="33">
        <f>'Dados - Cliente'!AI90</f>
        <v>0</v>
      </c>
      <c r="AU90" s="33" t="e">
        <f>INDEX('Dados - Placas'!$N:$N,MATCH('1'!AG90,'Dados - Placas'!$D:$D,0))-1</f>
        <v>#N/A</v>
      </c>
      <c r="AV90" s="33" t="e">
        <f>INDEX('Dados - Placas'!$O:$O,MATCH('1'!AG90,'Dados - Placas'!$D:$D,0))</f>
        <v>#N/A</v>
      </c>
      <c r="AW90" s="33" t="e">
        <f>INDEX('Dados - Inversores'!AM:AM,MATCH('1'!AL90,'Dados - Inversores'!$C:$C,0))-1</f>
        <v>#N/A</v>
      </c>
      <c r="AX90" s="33" t="e">
        <f>INDEX('Dados - Inversores'!AN:AN,MATCH('1'!AL90,'Dados - Inversores'!$C:$C,0))-1</f>
        <v>#N/A</v>
      </c>
      <c r="AY90" s="33" t="e">
        <f>MATCH('1'!H90,Dados!$D$89:$D$167,0)+1</f>
        <v>#N/A</v>
      </c>
      <c r="AZ90" s="33" t="e">
        <f>MATCH('1'!N90,'Dados - Solicitação de acesso'!$N$2:$N$8,0)</f>
        <v>#N/A</v>
      </c>
      <c r="BA90" s="33" t="e">
        <f>MATCH('1'!T90,'Dados - Solicitação de acesso'!$T$2:$T$20,0)</f>
        <v>#N/A</v>
      </c>
      <c r="BB90" s="34"/>
      <c r="BC90" s="33">
        <f>MATCH(AT90,'Dados - Solicitação de acesso'!$AT$2:$AT$28,0)</f>
        <v>1</v>
      </c>
      <c r="BD90" s="33" t="b">
        <f>IF(O90="TRIFASICO",INDEX(Dados!G:G,MATCH('1'!AP90,Dados!E:E,0)),IF(O90="BIFASICO",INDEX(Dados!F:F,MATCH('1'!AP90,Dados!E:E,0),)))</f>
        <v>0</v>
      </c>
      <c r="BE90" s="33">
        <f>'Dados - Cliente'!J90</f>
        <v>0</v>
      </c>
      <c r="BF90" s="34">
        <f>INDEX(Dados!$E$2:$E$33,COUNTIF(Dados!$E$2:$E$33,"&lt;="&amp;AN90*1.25*AK90/(0.22*SQRT(INDEX('Dados - Inversores'!AK:AK,MATCH('1'!AL90,'Dados - Inversores'!C:C,0)))))+1)</f>
        <v>2</v>
      </c>
      <c r="BG90" s="34" t="b">
        <f>IF(O90="TRIFASICO",INDEX(Dados!G:G,MATCH(BF90,Dados!E:E,0)),IF(O90="BIFASICO",INDEX(Dados!F:F,MATCH(BF90,Dados!E:E,0),)))</f>
        <v>0</v>
      </c>
    </row>
    <row r="91" spans="1:59" s="33" customFormat="1" x14ac:dyDescent="0.35">
      <c r="A91" s="33">
        <f>'Dados - Cliente'!A91</f>
        <v>0</v>
      </c>
      <c r="B91" s="33">
        <f>'Dados - Cliente'!B91</f>
        <v>0</v>
      </c>
      <c r="C91" s="33">
        <f>'Dados - Cliente'!C91</f>
        <v>0</v>
      </c>
      <c r="D91" s="33">
        <f>'Dados - Cliente'!D91</f>
        <v>0</v>
      </c>
      <c r="E91" s="33">
        <f>'Dados - Cliente'!E91</f>
        <v>0</v>
      </c>
      <c r="F91" s="33">
        <f>'Dados - Cliente'!F91</f>
        <v>0</v>
      </c>
      <c r="G91" s="33">
        <f>'Dados - Cliente'!G91</f>
        <v>0</v>
      </c>
      <c r="H91" s="33">
        <f>'Dados - Cliente'!H91</f>
        <v>0</v>
      </c>
      <c r="I91" s="75" t="s">
        <v>4313</v>
      </c>
      <c r="J91" s="52" t="s">
        <v>4314</v>
      </c>
      <c r="K91" s="52" t="s">
        <v>4314</v>
      </c>
      <c r="L91" s="33">
        <f>'Dados - Cliente'!I91</f>
        <v>0</v>
      </c>
      <c r="M91" s="33">
        <f>'Dados - Cliente'!K91</f>
        <v>0</v>
      </c>
      <c r="N91" s="33">
        <f>'Dados - Cliente'!L91</f>
        <v>0</v>
      </c>
      <c r="O91" s="33">
        <f>'Dados - Cliente'!M91</f>
        <v>0</v>
      </c>
      <c r="P91" s="33">
        <f>'Dados - Cliente'!N91</f>
        <v>0</v>
      </c>
      <c r="Q91" s="33">
        <f>'Dados - Cliente'!O91</f>
        <v>0</v>
      </c>
      <c r="R91" s="33">
        <f>'Dados - Cliente'!P91</f>
        <v>0</v>
      </c>
      <c r="S91" s="33">
        <f>'Dados - Cliente'!Q91</f>
        <v>0</v>
      </c>
      <c r="T91" s="33">
        <f>'Dados - Cliente'!R91</f>
        <v>0</v>
      </c>
      <c r="U91" s="34">
        <f>'Dados - Cliente'!S91</f>
        <v>0</v>
      </c>
      <c r="V91" s="34">
        <f>'Dados - Cliente'!T91</f>
        <v>0</v>
      </c>
      <c r="W91" s="34">
        <f>'Dados - Cliente'!U91</f>
        <v>0</v>
      </c>
      <c r="X91" s="34">
        <f>'Dados - Cliente'!V91</f>
        <v>0</v>
      </c>
      <c r="Y91" s="34">
        <f>'Dados - Cliente'!W91</f>
        <v>0</v>
      </c>
      <c r="Z91" s="34">
        <f>'Dados - Cliente'!X91</f>
        <v>0</v>
      </c>
      <c r="AA91" s="33" t="e">
        <f t="shared" si="7"/>
        <v>#N/A</v>
      </c>
      <c r="AB91" s="33">
        <f>'Dados - Cliente'!Y91</f>
        <v>0</v>
      </c>
      <c r="AC91" s="33">
        <f>'Dados - Cliente'!Z91</f>
        <v>0</v>
      </c>
      <c r="AD91" s="33">
        <f>'Dados - Cliente'!AA91</f>
        <v>0</v>
      </c>
      <c r="AE91" s="33">
        <f>'Dados - Cliente'!AB91</f>
        <v>0</v>
      </c>
      <c r="AF91" s="33">
        <f>'Dados - Cliente'!AC91</f>
        <v>0</v>
      </c>
      <c r="AG91" s="35">
        <f>'Dados - Cliente'!AD91</f>
        <v>0</v>
      </c>
      <c r="AH91" s="33" t="e">
        <f>INDEX('Dados - Placas'!$A:$A,MATCH('1'!AG91,'Dados - Placas'!$D:$D,0))</f>
        <v>#N/A</v>
      </c>
      <c r="AI91" s="35" t="e">
        <f>INDEX('Dados - Placas'!$E:$E,MATCH('1'!AG91,'Dados - Placas'!$D:$D,0))</f>
        <v>#N/A</v>
      </c>
      <c r="AJ91" s="34" t="e">
        <f>INDEX('Dados - Placas'!$F:$F,MATCH('1'!AG91,'Dados - Placas'!$D:$D,0))*AF91</f>
        <v>#N/A</v>
      </c>
      <c r="AK91" s="33">
        <f>'Dados - Cliente'!AE91</f>
        <v>0</v>
      </c>
      <c r="AL91" s="33">
        <f>'Dados - Cliente'!AF91</f>
        <v>0</v>
      </c>
      <c r="AM91" s="36" t="e">
        <f>INDEX('Dados - Inversores'!$A:$A,MATCH('1'!AL91,'Dados - Inversores'!$C:$C,0))</f>
        <v>#N/A</v>
      </c>
      <c r="AN91" s="33">
        <f>'Dados - Cliente'!AG91</f>
        <v>0</v>
      </c>
      <c r="AO91" s="33" t="e">
        <f>AA91*1.25/(0.22*SQRT(INDEX('Dados - Inversores'!AK:AK,MATCH('1'!AL91,'Dados - Inversores'!C:C,0))))</f>
        <v>#N/A</v>
      </c>
      <c r="AP91" s="34">
        <f>INDEX(Dados!$E$2:$E$33,COUNTIF(Dados!$E$2:$E$33,"&lt;="&amp;AN91*1.25/(INDEX('Dados - Inversores'!AL:AL,MATCH('1'!AL91,'Dados - Inversores'!C:C,0))*SQRT(INDEX('Dados - Inversores'!AK:AK,MATCH('1'!AL91,'Dados - Inversores'!C:C,0)))))+1)</f>
        <v>2</v>
      </c>
      <c r="AQ91" s="33" t="s">
        <v>59</v>
      </c>
      <c r="AR91" s="33" t="str">
        <f t="shared" si="8"/>
        <v>Micro</v>
      </c>
      <c r="AS91" s="33">
        <f>'Dados - Cliente'!AH91</f>
        <v>0</v>
      </c>
      <c r="AT91" s="33">
        <f>'Dados - Cliente'!AI91</f>
        <v>0</v>
      </c>
      <c r="AU91" s="33" t="e">
        <f>INDEX('Dados - Placas'!$N:$N,MATCH('1'!AG91,'Dados - Placas'!$D:$D,0))-1</f>
        <v>#N/A</v>
      </c>
      <c r="AV91" s="33" t="e">
        <f>INDEX('Dados - Placas'!$O:$O,MATCH('1'!AG91,'Dados - Placas'!$D:$D,0))</f>
        <v>#N/A</v>
      </c>
      <c r="AW91" s="33" t="e">
        <f>INDEX('Dados - Inversores'!AM:AM,MATCH('1'!AL91,'Dados - Inversores'!$C:$C,0))-1</f>
        <v>#N/A</v>
      </c>
      <c r="AX91" s="33" t="e">
        <f>INDEX('Dados - Inversores'!AN:AN,MATCH('1'!AL91,'Dados - Inversores'!$C:$C,0))-1</f>
        <v>#N/A</v>
      </c>
      <c r="AY91" s="33" t="e">
        <f>MATCH('1'!H91,Dados!$D$89:$D$167,0)+1</f>
        <v>#N/A</v>
      </c>
      <c r="AZ91" s="33" t="e">
        <f>MATCH('1'!N91,'Dados - Solicitação de acesso'!$N$2:$N$8,0)</f>
        <v>#N/A</v>
      </c>
      <c r="BA91" s="33" t="e">
        <f>MATCH('1'!T91,'Dados - Solicitação de acesso'!$T$2:$T$20,0)</f>
        <v>#N/A</v>
      </c>
      <c r="BB91" s="34"/>
      <c r="BC91" s="33">
        <f>MATCH(AT91,'Dados - Solicitação de acesso'!$AT$2:$AT$28,0)</f>
        <v>1</v>
      </c>
      <c r="BD91" s="33" t="b">
        <f>IF(O91="TRIFASICO",INDEX(Dados!G:G,MATCH('1'!AP91,Dados!E:E,0)),IF(O91="BIFASICO",INDEX(Dados!F:F,MATCH('1'!AP91,Dados!E:E,0),)))</f>
        <v>0</v>
      </c>
      <c r="BE91" s="33">
        <f>'Dados - Cliente'!J91</f>
        <v>0</v>
      </c>
      <c r="BF91" s="34">
        <f>INDEX(Dados!$E$2:$E$33,COUNTIF(Dados!$E$2:$E$33,"&lt;="&amp;AN91*1.25*AK91/(0.22*SQRT(INDEX('Dados - Inversores'!AK:AK,MATCH('1'!AL91,'Dados - Inversores'!C:C,0)))))+1)</f>
        <v>2</v>
      </c>
      <c r="BG91" s="34" t="b">
        <f>IF(O91="TRIFASICO",INDEX(Dados!G:G,MATCH(BF91,Dados!E:E,0)),IF(O91="BIFASICO",INDEX(Dados!F:F,MATCH(BF91,Dados!E:E,0),)))</f>
        <v>0</v>
      </c>
    </row>
    <row r="92" spans="1:59" s="33" customFormat="1" x14ac:dyDescent="0.35">
      <c r="A92" s="33">
        <f>'Dados - Cliente'!A92</f>
        <v>0</v>
      </c>
      <c r="B92" s="33">
        <f>'Dados - Cliente'!B92</f>
        <v>0</v>
      </c>
      <c r="C92" s="33">
        <f>'Dados - Cliente'!C92</f>
        <v>0</v>
      </c>
      <c r="D92" s="33">
        <f>'Dados - Cliente'!D92</f>
        <v>0</v>
      </c>
      <c r="E92" s="33">
        <f>'Dados - Cliente'!E92</f>
        <v>0</v>
      </c>
      <c r="F92" s="33">
        <f>'Dados - Cliente'!F92</f>
        <v>0</v>
      </c>
      <c r="G92" s="33">
        <f>'Dados - Cliente'!G92</f>
        <v>0</v>
      </c>
      <c r="H92" s="33">
        <f>'Dados - Cliente'!H92</f>
        <v>0</v>
      </c>
      <c r="I92" s="75" t="s">
        <v>4313</v>
      </c>
      <c r="J92" s="52" t="s">
        <v>4314</v>
      </c>
      <c r="K92" s="52" t="s">
        <v>4314</v>
      </c>
      <c r="L92" s="33">
        <f>'Dados - Cliente'!I92</f>
        <v>0</v>
      </c>
      <c r="M92" s="33">
        <f>'Dados - Cliente'!K92</f>
        <v>0</v>
      </c>
      <c r="N92" s="33">
        <f>'Dados - Cliente'!L92</f>
        <v>0</v>
      </c>
      <c r="O92" s="33">
        <f>'Dados - Cliente'!M92</f>
        <v>0</v>
      </c>
      <c r="P92" s="33">
        <f>'Dados - Cliente'!N92</f>
        <v>0</v>
      </c>
      <c r="Q92" s="33">
        <f>'Dados - Cliente'!O92</f>
        <v>0</v>
      </c>
      <c r="R92" s="33">
        <f>'Dados - Cliente'!P92</f>
        <v>0</v>
      </c>
      <c r="S92" s="33">
        <f>'Dados - Cliente'!Q92</f>
        <v>0</v>
      </c>
      <c r="T92" s="33">
        <f>'Dados - Cliente'!R92</f>
        <v>0</v>
      </c>
      <c r="U92" s="34">
        <f>'Dados - Cliente'!S92</f>
        <v>0</v>
      </c>
      <c r="V92" s="34">
        <f>'Dados - Cliente'!T92</f>
        <v>0</v>
      </c>
      <c r="W92" s="34">
        <f>'Dados - Cliente'!U92</f>
        <v>0</v>
      </c>
      <c r="X92" s="34">
        <f>'Dados - Cliente'!V92</f>
        <v>0</v>
      </c>
      <c r="Y92" s="34">
        <f>'Dados - Cliente'!W92</f>
        <v>0</v>
      </c>
      <c r="Z92" s="34">
        <f>'Dados - Cliente'!X92</f>
        <v>0</v>
      </c>
      <c r="AA92" s="33" t="e">
        <f t="shared" si="7"/>
        <v>#N/A</v>
      </c>
      <c r="AB92" s="33">
        <f>'Dados - Cliente'!Y92</f>
        <v>0</v>
      </c>
      <c r="AC92" s="33">
        <f>'Dados - Cliente'!Z92</f>
        <v>0</v>
      </c>
      <c r="AD92" s="33">
        <f>'Dados - Cliente'!AA92</f>
        <v>0</v>
      </c>
      <c r="AE92" s="33">
        <f>'Dados - Cliente'!AB92</f>
        <v>0</v>
      </c>
      <c r="AF92" s="33">
        <f>'Dados - Cliente'!AC92</f>
        <v>0</v>
      </c>
      <c r="AG92" s="35">
        <f>'Dados - Cliente'!AD92</f>
        <v>0</v>
      </c>
      <c r="AH92" s="33" t="e">
        <f>INDEX('Dados - Placas'!$A:$A,MATCH('1'!AG92,'Dados - Placas'!$D:$D,0))</f>
        <v>#N/A</v>
      </c>
      <c r="AI92" s="35" t="e">
        <f>INDEX('Dados - Placas'!$E:$E,MATCH('1'!AG92,'Dados - Placas'!$D:$D,0))</f>
        <v>#N/A</v>
      </c>
      <c r="AJ92" s="34" t="e">
        <f>INDEX('Dados - Placas'!$F:$F,MATCH('1'!AG92,'Dados - Placas'!$D:$D,0))*AF92</f>
        <v>#N/A</v>
      </c>
      <c r="AK92" s="33">
        <f>'Dados - Cliente'!AE92</f>
        <v>0</v>
      </c>
      <c r="AL92" s="33">
        <f>'Dados - Cliente'!AF92</f>
        <v>0</v>
      </c>
      <c r="AM92" s="36" t="e">
        <f>INDEX('Dados - Inversores'!$A:$A,MATCH('1'!AL92,'Dados - Inversores'!$C:$C,0))</f>
        <v>#N/A</v>
      </c>
      <c r="AN92" s="33">
        <f>'Dados - Cliente'!AG92</f>
        <v>0</v>
      </c>
      <c r="AO92" s="33" t="e">
        <f>AA92*1.25/(0.22*SQRT(INDEX('Dados - Inversores'!AK:AK,MATCH('1'!AL92,'Dados - Inversores'!C:C,0))))</f>
        <v>#N/A</v>
      </c>
      <c r="AP92" s="34">
        <f>INDEX(Dados!$E$2:$E$33,COUNTIF(Dados!$E$2:$E$33,"&lt;="&amp;AN92*1.25/(INDEX('Dados - Inversores'!AL:AL,MATCH('1'!AL92,'Dados - Inversores'!C:C,0))*SQRT(INDEX('Dados - Inversores'!AK:AK,MATCH('1'!AL92,'Dados - Inversores'!C:C,0)))))+1)</f>
        <v>2</v>
      </c>
      <c r="AQ92" s="33" t="s">
        <v>59</v>
      </c>
      <c r="AR92" s="33" t="str">
        <f t="shared" si="8"/>
        <v>Micro</v>
      </c>
      <c r="AS92" s="33">
        <f>'Dados - Cliente'!AH92</f>
        <v>0</v>
      </c>
      <c r="AT92" s="33">
        <f>'Dados - Cliente'!AI92</f>
        <v>0</v>
      </c>
      <c r="AU92" s="33" t="e">
        <f>INDEX('Dados - Placas'!$N:$N,MATCH('1'!AG92,'Dados - Placas'!$D:$D,0))-1</f>
        <v>#N/A</v>
      </c>
      <c r="AV92" s="33" t="e">
        <f>INDEX('Dados - Placas'!$O:$O,MATCH('1'!AG92,'Dados - Placas'!$D:$D,0))</f>
        <v>#N/A</v>
      </c>
      <c r="AW92" s="33" t="e">
        <f>INDEX('Dados - Inversores'!AM:AM,MATCH('1'!AL92,'Dados - Inversores'!$C:$C,0))-1</f>
        <v>#N/A</v>
      </c>
      <c r="AX92" s="33" t="e">
        <f>INDEX('Dados - Inversores'!AN:AN,MATCH('1'!AL92,'Dados - Inversores'!$C:$C,0))-1</f>
        <v>#N/A</v>
      </c>
      <c r="AY92" s="33" t="e">
        <f>MATCH('1'!H92,Dados!$D$89:$D$167,0)+1</f>
        <v>#N/A</v>
      </c>
      <c r="AZ92" s="33" t="e">
        <f>MATCH('1'!N92,'Dados - Solicitação de acesso'!$N$2:$N$8,0)</f>
        <v>#N/A</v>
      </c>
      <c r="BA92" s="33" t="e">
        <f>MATCH('1'!T92,'Dados - Solicitação de acesso'!$T$2:$T$20,0)</f>
        <v>#N/A</v>
      </c>
      <c r="BB92" s="34"/>
      <c r="BC92" s="33">
        <f>MATCH(AT92,'Dados - Solicitação de acesso'!$AT$2:$AT$28,0)</f>
        <v>1</v>
      </c>
      <c r="BD92" s="33" t="b">
        <f>IF(O92="TRIFASICO",INDEX(Dados!G:G,MATCH('1'!AP92,Dados!E:E,0)),IF(O92="BIFASICO",INDEX(Dados!F:F,MATCH('1'!AP92,Dados!E:E,0),)))</f>
        <v>0</v>
      </c>
      <c r="BE92" s="33">
        <f>'Dados - Cliente'!J92</f>
        <v>0</v>
      </c>
      <c r="BF92" s="34">
        <f>INDEX(Dados!$E$2:$E$33,COUNTIF(Dados!$E$2:$E$33,"&lt;="&amp;AN92*1.25*AK92/(0.22*SQRT(INDEX('Dados - Inversores'!AK:AK,MATCH('1'!AL92,'Dados - Inversores'!C:C,0)))))+1)</f>
        <v>2</v>
      </c>
      <c r="BG92" s="34" t="b">
        <f>IF(O92="TRIFASICO",INDEX(Dados!G:G,MATCH(BF92,Dados!E:E,0)),IF(O92="BIFASICO",INDEX(Dados!F:F,MATCH(BF92,Dados!E:E,0),)))</f>
        <v>0</v>
      </c>
    </row>
    <row r="93" spans="1:59" s="33" customFormat="1" x14ac:dyDescent="0.35">
      <c r="A93" s="33">
        <f>'Dados - Cliente'!A93</f>
        <v>0</v>
      </c>
      <c r="B93" s="33">
        <f>'Dados - Cliente'!B93</f>
        <v>0</v>
      </c>
      <c r="C93" s="33">
        <f>'Dados - Cliente'!C93</f>
        <v>0</v>
      </c>
      <c r="D93" s="33">
        <f>'Dados - Cliente'!D93</f>
        <v>0</v>
      </c>
      <c r="E93" s="33">
        <f>'Dados - Cliente'!E93</f>
        <v>0</v>
      </c>
      <c r="F93" s="33">
        <f>'Dados - Cliente'!F93</f>
        <v>0</v>
      </c>
      <c r="G93" s="33">
        <f>'Dados - Cliente'!G93</f>
        <v>0</v>
      </c>
      <c r="H93" s="33">
        <f>'Dados - Cliente'!H93</f>
        <v>0</v>
      </c>
      <c r="I93" s="75" t="s">
        <v>4313</v>
      </c>
      <c r="J93" s="52" t="s">
        <v>4314</v>
      </c>
      <c r="K93" s="52" t="s">
        <v>4314</v>
      </c>
      <c r="L93" s="33">
        <f>'Dados - Cliente'!I93</f>
        <v>0</v>
      </c>
      <c r="M93" s="33">
        <f>'Dados - Cliente'!K93</f>
        <v>0</v>
      </c>
      <c r="N93" s="33">
        <f>'Dados - Cliente'!L93</f>
        <v>0</v>
      </c>
      <c r="O93" s="33">
        <f>'Dados - Cliente'!M93</f>
        <v>0</v>
      </c>
      <c r="P93" s="33">
        <f>'Dados - Cliente'!N93</f>
        <v>0</v>
      </c>
      <c r="Q93" s="33">
        <f>'Dados - Cliente'!O93</f>
        <v>0</v>
      </c>
      <c r="R93" s="33">
        <f>'Dados - Cliente'!P93</f>
        <v>0</v>
      </c>
      <c r="S93" s="33">
        <f>'Dados - Cliente'!Q93</f>
        <v>0</v>
      </c>
      <c r="T93" s="33">
        <f>'Dados - Cliente'!R93</f>
        <v>0</v>
      </c>
      <c r="U93" s="34">
        <f>'Dados - Cliente'!S93</f>
        <v>0</v>
      </c>
      <c r="V93" s="34">
        <f>'Dados - Cliente'!T93</f>
        <v>0</v>
      </c>
      <c r="W93" s="34">
        <f>'Dados - Cliente'!U93</f>
        <v>0</v>
      </c>
      <c r="X93" s="34">
        <f>'Dados - Cliente'!V93</f>
        <v>0</v>
      </c>
      <c r="Y93" s="34">
        <f>'Dados - Cliente'!W93</f>
        <v>0</v>
      </c>
      <c r="Z93" s="34">
        <f>'Dados - Cliente'!X93</f>
        <v>0</v>
      </c>
      <c r="AA93" s="33" t="e">
        <f t="shared" si="7"/>
        <v>#N/A</v>
      </c>
      <c r="AB93" s="33">
        <f>'Dados - Cliente'!Y93</f>
        <v>0</v>
      </c>
      <c r="AC93" s="33">
        <f>'Dados - Cliente'!Z93</f>
        <v>0</v>
      </c>
      <c r="AD93" s="33">
        <f>'Dados - Cliente'!AA93</f>
        <v>0</v>
      </c>
      <c r="AE93" s="33">
        <f>'Dados - Cliente'!AB93</f>
        <v>0</v>
      </c>
      <c r="AF93" s="33">
        <f>'Dados - Cliente'!AC93</f>
        <v>0</v>
      </c>
      <c r="AG93" s="35">
        <f>'Dados - Cliente'!AD93</f>
        <v>0</v>
      </c>
      <c r="AH93" s="33" t="e">
        <f>INDEX('Dados - Placas'!$A:$A,MATCH('1'!AG93,'Dados - Placas'!$D:$D,0))</f>
        <v>#N/A</v>
      </c>
      <c r="AI93" s="35" t="e">
        <f>INDEX('Dados - Placas'!$E:$E,MATCH('1'!AG93,'Dados - Placas'!$D:$D,0))</f>
        <v>#N/A</v>
      </c>
      <c r="AJ93" s="34" t="e">
        <f>INDEX('Dados - Placas'!$F:$F,MATCH('1'!AG93,'Dados - Placas'!$D:$D,0))*AF93</f>
        <v>#N/A</v>
      </c>
      <c r="AK93" s="33">
        <f>'Dados - Cliente'!AE93</f>
        <v>0</v>
      </c>
      <c r="AL93" s="33">
        <f>'Dados - Cliente'!AF93</f>
        <v>0</v>
      </c>
      <c r="AM93" s="36" t="e">
        <f>INDEX('Dados - Inversores'!$A:$A,MATCH('1'!AL93,'Dados - Inversores'!$C:$C,0))</f>
        <v>#N/A</v>
      </c>
      <c r="AN93" s="33">
        <f>'Dados - Cliente'!AG93</f>
        <v>0</v>
      </c>
      <c r="AO93" s="33" t="e">
        <f>AA93*1.25/(0.22*SQRT(INDEX('Dados - Inversores'!AK:AK,MATCH('1'!AL93,'Dados - Inversores'!C:C,0))))</f>
        <v>#N/A</v>
      </c>
      <c r="AP93" s="34">
        <f>INDEX(Dados!$E$2:$E$33,COUNTIF(Dados!$E$2:$E$33,"&lt;="&amp;AN93*1.25/(INDEX('Dados - Inversores'!AL:AL,MATCH('1'!AL93,'Dados - Inversores'!C:C,0))*SQRT(INDEX('Dados - Inversores'!AK:AK,MATCH('1'!AL93,'Dados - Inversores'!C:C,0)))))+1)</f>
        <v>2</v>
      </c>
      <c r="AQ93" s="33" t="s">
        <v>59</v>
      </c>
      <c r="AR93" s="33" t="str">
        <f t="shared" si="8"/>
        <v>Micro</v>
      </c>
      <c r="AS93" s="33">
        <f>'Dados - Cliente'!AH93</f>
        <v>0</v>
      </c>
      <c r="AT93" s="33">
        <f>'Dados - Cliente'!AI93</f>
        <v>0</v>
      </c>
      <c r="AU93" s="33" t="e">
        <f>INDEX('Dados - Placas'!$N:$N,MATCH('1'!AG93,'Dados - Placas'!$D:$D,0))-1</f>
        <v>#N/A</v>
      </c>
      <c r="AV93" s="33" t="e">
        <f>INDEX('Dados - Placas'!$O:$O,MATCH('1'!AG93,'Dados - Placas'!$D:$D,0))</f>
        <v>#N/A</v>
      </c>
      <c r="AW93" s="33" t="e">
        <f>INDEX('Dados - Inversores'!AM:AM,MATCH('1'!AL93,'Dados - Inversores'!$C:$C,0))-1</f>
        <v>#N/A</v>
      </c>
      <c r="AX93" s="33" t="e">
        <f>INDEX('Dados - Inversores'!AN:AN,MATCH('1'!AL93,'Dados - Inversores'!$C:$C,0))-1</f>
        <v>#N/A</v>
      </c>
      <c r="AY93" s="33" t="e">
        <f>MATCH('1'!H93,Dados!$D$89:$D$167,0)+1</f>
        <v>#N/A</v>
      </c>
      <c r="AZ93" s="33" t="e">
        <f>MATCH('1'!N93,'Dados - Solicitação de acesso'!$N$2:$N$8,0)</f>
        <v>#N/A</v>
      </c>
      <c r="BA93" s="33" t="e">
        <f>MATCH('1'!T93,'Dados - Solicitação de acesso'!$T$2:$T$20,0)</f>
        <v>#N/A</v>
      </c>
      <c r="BB93" s="34"/>
      <c r="BC93" s="33">
        <f>MATCH(AT93,'Dados - Solicitação de acesso'!$AT$2:$AT$28,0)</f>
        <v>1</v>
      </c>
      <c r="BD93" s="33" t="b">
        <f>IF(O93="TRIFASICO",INDEX(Dados!G:G,MATCH('1'!AP93,Dados!E:E,0)),IF(O93="BIFASICO",INDEX(Dados!F:F,MATCH('1'!AP93,Dados!E:E,0),)))</f>
        <v>0</v>
      </c>
      <c r="BE93" s="33">
        <f>'Dados - Cliente'!J93</f>
        <v>0</v>
      </c>
      <c r="BF93" s="34">
        <f>INDEX(Dados!$E$2:$E$33,COUNTIF(Dados!$E$2:$E$33,"&lt;="&amp;AN93*1.25*AK93/(0.22*SQRT(INDEX('Dados - Inversores'!AK:AK,MATCH('1'!AL93,'Dados - Inversores'!C:C,0)))))+1)</f>
        <v>2</v>
      </c>
      <c r="BG93" s="34" t="b">
        <f>IF(O93="TRIFASICO",INDEX(Dados!G:G,MATCH(BF93,Dados!E:E,0)),IF(O93="BIFASICO",INDEX(Dados!F:F,MATCH(BF93,Dados!E:E,0),)))</f>
        <v>0</v>
      </c>
    </row>
    <row r="94" spans="1:59" s="33" customFormat="1" x14ac:dyDescent="0.35">
      <c r="A94" s="33">
        <f>'Dados - Cliente'!A94</f>
        <v>0</v>
      </c>
      <c r="B94" s="33">
        <f>'Dados - Cliente'!B94</f>
        <v>0</v>
      </c>
      <c r="C94" s="33">
        <f>'Dados - Cliente'!C94</f>
        <v>0</v>
      </c>
      <c r="D94" s="33">
        <f>'Dados - Cliente'!D94</f>
        <v>0</v>
      </c>
      <c r="E94" s="33">
        <f>'Dados - Cliente'!E94</f>
        <v>0</v>
      </c>
      <c r="F94" s="33">
        <f>'Dados - Cliente'!F94</f>
        <v>0</v>
      </c>
      <c r="G94" s="33">
        <f>'Dados - Cliente'!G94</f>
        <v>0</v>
      </c>
      <c r="H94" s="33">
        <f>'Dados - Cliente'!H94</f>
        <v>0</v>
      </c>
      <c r="I94" s="75" t="s">
        <v>4313</v>
      </c>
      <c r="J94" s="52" t="s">
        <v>4314</v>
      </c>
      <c r="K94" s="52" t="s">
        <v>4314</v>
      </c>
      <c r="L94" s="33">
        <f>'Dados - Cliente'!I94</f>
        <v>0</v>
      </c>
      <c r="M94" s="33">
        <f>'Dados - Cliente'!K94</f>
        <v>0</v>
      </c>
      <c r="N94" s="33">
        <f>'Dados - Cliente'!L94</f>
        <v>0</v>
      </c>
      <c r="O94" s="33">
        <f>'Dados - Cliente'!M94</f>
        <v>0</v>
      </c>
      <c r="P94" s="33">
        <f>'Dados - Cliente'!N94</f>
        <v>0</v>
      </c>
      <c r="Q94" s="33">
        <f>'Dados - Cliente'!O94</f>
        <v>0</v>
      </c>
      <c r="R94" s="33">
        <f>'Dados - Cliente'!P94</f>
        <v>0</v>
      </c>
      <c r="S94" s="33">
        <f>'Dados - Cliente'!Q94</f>
        <v>0</v>
      </c>
      <c r="T94" s="33">
        <f>'Dados - Cliente'!R94</f>
        <v>0</v>
      </c>
      <c r="U94" s="34">
        <f>'Dados - Cliente'!S94</f>
        <v>0</v>
      </c>
      <c r="V94" s="34">
        <f>'Dados - Cliente'!T94</f>
        <v>0</v>
      </c>
      <c r="W94" s="34">
        <f>'Dados - Cliente'!U94</f>
        <v>0</v>
      </c>
      <c r="X94" s="34">
        <f>'Dados - Cliente'!V94</f>
        <v>0</v>
      </c>
      <c r="Y94" s="34">
        <f>'Dados - Cliente'!W94</f>
        <v>0</v>
      </c>
      <c r="Z94" s="34">
        <f>'Dados - Cliente'!X94</f>
        <v>0</v>
      </c>
      <c r="AA94" s="33" t="e">
        <f t="shared" si="7"/>
        <v>#N/A</v>
      </c>
      <c r="AB94" s="33">
        <f>'Dados - Cliente'!Y94</f>
        <v>0</v>
      </c>
      <c r="AC94" s="33">
        <f>'Dados - Cliente'!Z94</f>
        <v>0</v>
      </c>
      <c r="AD94" s="33">
        <f>'Dados - Cliente'!AA94</f>
        <v>0</v>
      </c>
      <c r="AE94" s="33">
        <f>'Dados - Cliente'!AB94</f>
        <v>0</v>
      </c>
      <c r="AF94" s="33">
        <f>'Dados - Cliente'!AC94</f>
        <v>0</v>
      </c>
      <c r="AG94" s="35">
        <f>'Dados - Cliente'!AD94</f>
        <v>0</v>
      </c>
      <c r="AH94" s="33" t="e">
        <f>INDEX('Dados - Placas'!$A:$A,MATCH('1'!AG94,'Dados - Placas'!$D:$D,0))</f>
        <v>#N/A</v>
      </c>
      <c r="AI94" s="35" t="e">
        <f>INDEX('Dados - Placas'!$E:$E,MATCH('1'!AG94,'Dados - Placas'!$D:$D,0))</f>
        <v>#N/A</v>
      </c>
      <c r="AJ94" s="34" t="e">
        <f>INDEX('Dados - Placas'!$F:$F,MATCH('1'!AG94,'Dados - Placas'!$D:$D,0))*AF94</f>
        <v>#N/A</v>
      </c>
      <c r="AK94" s="33">
        <f>'Dados - Cliente'!AE94</f>
        <v>0</v>
      </c>
      <c r="AL94" s="33">
        <f>'Dados - Cliente'!AF94</f>
        <v>0</v>
      </c>
      <c r="AM94" s="36" t="e">
        <f>INDEX('Dados - Inversores'!$A:$A,MATCH('1'!AL94,'Dados - Inversores'!$C:$C,0))</f>
        <v>#N/A</v>
      </c>
      <c r="AN94" s="33">
        <f>'Dados - Cliente'!AG94</f>
        <v>0</v>
      </c>
      <c r="AO94" s="33" t="e">
        <f>AA94*1.25/(0.22*SQRT(INDEX('Dados - Inversores'!AK:AK,MATCH('1'!AL94,'Dados - Inversores'!C:C,0))))</f>
        <v>#N/A</v>
      </c>
      <c r="AP94" s="34">
        <f>INDEX(Dados!$E$2:$E$33,COUNTIF(Dados!$E$2:$E$33,"&lt;="&amp;AN94*1.25/(INDEX('Dados - Inversores'!AL:AL,MATCH('1'!AL94,'Dados - Inversores'!C:C,0))*SQRT(INDEX('Dados - Inversores'!AK:AK,MATCH('1'!AL94,'Dados - Inversores'!C:C,0)))))+1)</f>
        <v>2</v>
      </c>
      <c r="AQ94" s="33" t="s">
        <v>59</v>
      </c>
      <c r="AR94" s="33" t="str">
        <f t="shared" si="8"/>
        <v>Micro</v>
      </c>
      <c r="AS94" s="33">
        <f>'Dados - Cliente'!AH94</f>
        <v>0</v>
      </c>
      <c r="AT94" s="33">
        <f>'Dados - Cliente'!AI94</f>
        <v>0</v>
      </c>
      <c r="AU94" s="33" t="e">
        <f>INDEX('Dados - Placas'!$N:$N,MATCH('1'!AG94,'Dados - Placas'!$D:$D,0))-1</f>
        <v>#N/A</v>
      </c>
      <c r="AV94" s="33" t="e">
        <f>INDEX('Dados - Placas'!$O:$O,MATCH('1'!AG94,'Dados - Placas'!$D:$D,0))</f>
        <v>#N/A</v>
      </c>
      <c r="AW94" s="33" t="e">
        <f>INDEX('Dados - Inversores'!AM:AM,MATCH('1'!AL94,'Dados - Inversores'!$C:$C,0))-1</f>
        <v>#N/A</v>
      </c>
      <c r="AX94" s="33" t="e">
        <f>INDEX('Dados - Inversores'!AN:AN,MATCH('1'!AL94,'Dados - Inversores'!$C:$C,0))-1</f>
        <v>#N/A</v>
      </c>
      <c r="AY94" s="33" t="e">
        <f>MATCH('1'!H94,Dados!$D$89:$D$167,0)+1</f>
        <v>#N/A</v>
      </c>
      <c r="AZ94" s="33" t="e">
        <f>MATCH('1'!N94,'Dados - Solicitação de acesso'!$N$2:$N$8,0)</f>
        <v>#N/A</v>
      </c>
      <c r="BA94" s="33" t="e">
        <f>MATCH('1'!T94,'Dados - Solicitação de acesso'!$T$2:$T$20,0)</f>
        <v>#N/A</v>
      </c>
      <c r="BB94" s="34"/>
      <c r="BC94" s="33">
        <f>MATCH(AT94,'Dados - Solicitação de acesso'!$AT$2:$AT$28,0)</f>
        <v>1</v>
      </c>
      <c r="BD94" s="33" t="b">
        <f>IF(O94="TRIFASICO",INDEX(Dados!G:G,MATCH('1'!AP94,Dados!E:E,0)),IF(O94="BIFASICO",INDEX(Dados!F:F,MATCH('1'!AP94,Dados!E:E,0),)))</f>
        <v>0</v>
      </c>
      <c r="BE94" s="33">
        <f>'Dados - Cliente'!J94</f>
        <v>0</v>
      </c>
      <c r="BF94" s="34">
        <f>INDEX(Dados!$E$2:$E$33,COUNTIF(Dados!$E$2:$E$33,"&lt;="&amp;AN94*1.25*AK94/(0.22*SQRT(INDEX('Dados - Inversores'!AK:AK,MATCH('1'!AL94,'Dados - Inversores'!C:C,0)))))+1)</f>
        <v>2</v>
      </c>
      <c r="BG94" s="34" t="b">
        <f>IF(O94="TRIFASICO",INDEX(Dados!G:G,MATCH(BF94,Dados!E:E,0)),IF(O94="BIFASICO",INDEX(Dados!F:F,MATCH(BF94,Dados!E:E,0),)))</f>
        <v>0</v>
      </c>
    </row>
    <row r="95" spans="1:59" s="33" customFormat="1" x14ac:dyDescent="0.35">
      <c r="A95" s="33">
        <f>'Dados - Cliente'!A95</f>
        <v>0</v>
      </c>
      <c r="B95" s="33">
        <f>'Dados - Cliente'!B95</f>
        <v>0</v>
      </c>
      <c r="C95" s="33">
        <f>'Dados - Cliente'!C95</f>
        <v>0</v>
      </c>
      <c r="D95" s="33">
        <f>'Dados - Cliente'!D95</f>
        <v>0</v>
      </c>
      <c r="E95" s="33">
        <f>'Dados - Cliente'!E95</f>
        <v>0</v>
      </c>
      <c r="F95" s="33">
        <f>'Dados - Cliente'!F95</f>
        <v>0</v>
      </c>
      <c r="G95" s="33">
        <f>'Dados - Cliente'!G95</f>
        <v>0</v>
      </c>
      <c r="H95" s="33">
        <f>'Dados - Cliente'!H95</f>
        <v>0</v>
      </c>
      <c r="I95" s="75" t="s">
        <v>4313</v>
      </c>
      <c r="J95" s="52" t="s">
        <v>4314</v>
      </c>
      <c r="K95" s="52" t="s">
        <v>4314</v>
      </c>
      <c r="L95" s="33">
        <f>'Dados - Cliente'!I95</f>
        <v>0</v>
      </c>
      <c r="M95" s="33">
        <f>'Dados - Cliente'!K95</f>
        <v>0</v>
      </c>
      <c r="N95" s="33">
        <f>'Dados - Cliente'!L95</f>
        <v>0</v>
      </c>
      <c r="O95" s="33">
        <f>'Dados - Cliente'!M95</f>
        <v>0</v>
      </c>
      <c r="P95" s="33">
        <f>'Dados - Cliente'!N95</f>
        <v>0</v>
      </c>
      <c r="Q95" s="33">
        <f>'Dados - Cliente'!O95</f>
        <v>0</v>
      </c>
      <c r="R95" s="33">
        <f>'Dados - Cliente'!P95</f>
        <v>0</v>
      </c>
      <c r="S95" s="33">
        <f>'Dados - Cliente'!Q95</f>
        <v>0</v>
      </c>
      <c r="T95" s="33">
        <f>'Dados - Cliente'!R95</f>
        <v>0</v>
      </c>
      <c r="U95" s="34">
        <f>'Dados - Cliente'!S95</f>
        <v>0</v>
      </c>
      <c r="V95" s="34">
        <f>'Dados - Cliente'!T95</f>
        <v>0</v>
      </c>
      <c r="W95" s="34">
        <f>'Dados - Cliente'!U95</f>
        <v>0</v>
      </c>
      <c r="X95" s="34">
        <f>'Dados - Cliente'!V95</f>
        <v>0</v>
      </c>
      <c r="Y95" s="34">
        <f>'Dados - Cliente'!W95</f>
        <v>0</v>
      </c>
      <c r="Z95" s="34">
        <f>'Dados - Cliente'!X95</f>
        <v>0</v>
      </c>
      <c r="AA95" s="33" t="e">
        <f t="shared" si="7"/>
        <v>#N/A</v>
      </c>
      <c r="AB95" s="33">
        <f>'Dados - Cliente'!Y95</f>
        <v>0</v>
      </c>
      <c r="AC95" s="33">
        <f>'Dados - Cliente'!Z95</f>
        <v>0</v>
      </c>
      <c r="AD95" s="33">
        <f>'Dados - Cliente'!AA95</f>
        <v>0</v>
      </c>
      <c r="AE95" s="33">
        <f>'Dados - Cliente'!AB95</f>
        <v>0</v>
      </c>
      <c r="AF95" s="33">
        <f>'Dados - Cliente'!AC95</f>
        <v>0</v>
      </c>
      <c r="AG95" s="35">
        <f>'Dados - Cliente'!AD95</f>
        <v>0</v>
      </c>
      <c r="AH95" s="33" t="e">
        <f>INDEX('Dados - Placas'!$A:$A,MATCH('1'!AG95,'Dados - Placas'!$D:$D,0))</f>
        <v>#N/A</v>
      </c>
      <c r="AI95" s="35" t="e">
        <f>INDEX('Dados - Placas'!$E:$E,MATCH('1'!AG95,'Dados - Placas'!$D:$D,0))</f>
        <v>#N/A</v>
      </c>
      <c r="AJ95" s="34" t="e">
        <f>INDEX('Dados - Placas'!$F:$F,MATCH('1'!AG95,'Dados - Placas'!$D:$D,0))*AF95</f>
        <v>#N/A</v>
      </c>
      <c r="AK95" s="33">
        <f>'Dados - Cliente'!AE95</f>
        <v>0</v>
      </c>
      <c r="AL95" s="33">
        <f>'Dados - Cliente'!AF95</f>
        <v>0</v>
      </c>
      <c r="AM95" s="36" t="e">
        <f>INDEX('Dados - Inversores'!$A:$A,MATCH('1'!AL95,'Dados - Inversores'!$C:$C,0))</f>
        <v>#N/A</v>
      </c>
      <c r="AN95" s="33">
        <f>'Dados - Cliente'!AG95</f>
        <v>0</v>
      </c>
      <c r="AO95" s="33" t="e">
        <f>AA95*1.25/(0.22*SQRT(INDEX('Dados - Inversores'!AK:AK,MATCH('1'!AL95,'Dados - Inversores'!C:C,0))))</f>
        <v>#N/A</v>
      </c>
      <c r="AP95" s="34">
        <f>INDEX(Dados!$E$2:$E$33,COUNTIF(Dados!$E$2:$E$33,"&lt;="&amp;AN95*1.25/(INDEX('Dados - Inversores'!AL:AL,MATCH('1'!AL95,'Dados - Inversores'!C:C,0))*SQRT(INDEX('Dados - Inversores'!AK:AK,MATCH('1'!AL95,'Dados - Inversores'!C:C,0)))))+1)</f>
        <v>2</v>
      </c>
      <c r="AQ95" s="33" t="s">
        <v>59</v>
      </c>
      <c r="AR95" s="33" t="str">
        <f t="shared" si="8"/>
        <v>Micro</v>
      </c>
      <c r="AS95" s="33">
        <f>'Dados - Cliente'!AH95</f>
        <v>0</v>
      </c>
      <c r="AT95" s="33">
        <f>'Dados - Cliente'!AI95</f>
        <v>0</v>
      </c>
      <c r="AU95" s="33" t="e">
        <f>INDEX('Dados - Placas'!$N:$N,MATCH('1'!AG95,'Dados - Placas'!$D:$D,0))-1</f>
        <v>#N/A</v>
      </c>
      <c r="AV95" s="33" t="e">
        <f>INDEX('Dados - Placas'!$O:$O,MATCH('1'!AG95,'Dados - Placas'!$D:$D,0))</f>
        <v>#N/A</v>
      </c>
      <c r="AW95" s="33" t="e">
        <f>INDEX('Dados - Inversores'!AM:AM,MATCH('1'!AL95,'Dados - Inversores'!$C:$C,0))-1</f>
        <v>#N/A</v>
      </c>
      <c r="AX95" s="33" t="e">
        <f>INDEX('Dados - Inversores'!AN:AN,MATCH('1'!AL95,'Dados - Inversores'!$C:$C,0))-1</f>
        <v>#N/A</v>
      </c>
      <c r="AY95" s="33" t="e">
        <f>MATCH('1'!H95,Dados!$D$89:$D$167,0)+1</f>
        <v>#N/A</v>
      </c>
      <c r="AZ95" s="33" t="e">
        <f>MATCH('1'!N95,'Dados - Solicitação de acesso'!$N$2:$N$8,0)</f>
        <v>#N/A</v>
      </c>
      <c r="BA95" s="33" t="e">
        <f>MATCH('1'!T95,'Dados - Solicitação de acesso'!$T$2:$T$20,0)</f>
        <v>#N/A</v>
      </c>
      <c r="BB95" s="34"/>
      <c r="BC95" s="33">
        <f>MATCH(AT95,'Dados - Solicitação de acesso'!$AT$2:$AT$28,0)</f>
        <v>1</v>
      </c>
      <c r="BD95" s="33" t="b">
        <f>IF(O95="TRIFASICO",INDEX(Dados!G:G,MATCH('1'!AP95,Dados!E:E,0)),IF(O95="BIFASICO",INDEX(Dados!F:F,MATCH('1'!AP95,Dados!E:E,0),)))</f>
        <v>0</v>
      </c>
      <c r="BE95" s="33">
        <f>'Dados - Cliente'!J95</f>
        <v>0</v>
      </c>
      <c r="BF95" s="34">
        <f>INDEX(Dados!$E$2:$E$33,COUNTIF(Dados!$E$2:$E$33,"&lt;="&amp;AN95*1.25*AK95/(0.22*SQRT(INDEX('Dados - Inversores'!AK:AK,MATCH('1'!AL95,'Dados - Inversores'!C:C,0)))))+1)</f>
        <v>2</v>
      </c>
      <c r="BG95" s="34" t="b">
        <f>IF(O95="TRIFASICO",INDEX(Dados!G:G,MATCH(BF95,Dados!E:E,0)),IF(O95="BIFASICO",INDEX(Dados!F:F,MATCH(BF95,Dados!E:E,0),)))</f>
        <v>0</v>
      </c>
    </row>
    <row r="96" spans="1:59" s="33" customFormat="1" x14ac:dyDescent="0.35">
      <c r="A96" s="33">
        <f>'Dados - Cliente'!A96</f>
        <v>0</v>
      </c>
      <c r="B96" s="33">
        <f>'Dados - Cliente'!B96</f>
        <v>0</v>
      </c>
      <c r="C96" s="33">
        <f>'Dados - Cliente'!C96</f>
        <v>0</v>
      </c>
      <c r="D96" s="33">
        <f>'Dados - Cliente'!D96</f>
        <v>0</v>
      </c>
      <c r="E96" s="33">
        <f>'Dados - Cliente'!E96</f>
        <v>0</v>
      </c>
      <c r="F96" s="33">
        <f>'Dados - Cliente'!F96</f>
        <v>0</v>
      </c>
      <c r="G96" s="33">
        <f>'Dados - Cliente'!G96</f>
        <v>0</v>
      </c>
      <c r="H96" s="33">
        <f>'Dados - Cliente'!H96</f>
        <v>0</v>
      </c>
      <c r="I96" s="75" t="s">
        <v>4313</v>
      </c>
      <c r="J96" s="52" t="s">
        <v>4314</v>
      </c>
      <c r="K96" s="52" t="s">
        <v>4314</v>
      </c>
      <c r="L96" s="33">
        <f>'Dados - Cliente'!I96</f>
        <v>0</v>
      </c>
      <c r="M96" s="33">
        <f>'Dados - Cliente'!K96</f>
        <v>0</v>
      </c>
      <c r="N96" s="33">
        <f>'Dados - Cliente'!L96</f>
        <v>0</v>
      </c>
      <c r="O96" s="33">
        <f>'Dados - Cliente'!M96</f>
        <v>0</v>
      </c>
      <c r="P96" s="33">
        <f>'Dados - Cliente'!N96</f>
        <v>0</v>
      </c>
      <c r="Q96" s="33">
        <f>'Dados - Cliente'!O96</f>
        <v>0</v>
      </c>
      <c r="R96" s="33">
        <f>'Dados - Cliente'!P96</f>
        <v>0</v>
      </c>
      <c r="S96" s="33">
        <f>'Dados - Cliente'!Q96</f>
        <v>0</v>
      </c>
      <c r="T96" s="33">
        <f>'Dados - Cliente'!R96</f>
        <v>0</v>
      </c>
      <c r="U96" s="34">
        <f>'Dados - Cliente'!S96</f>
        <v>0</v>
      </c>
      <c r="V96" s="34">
        <f>'Dados - Cliente'!T96</f>
        <v>0</v>
      </c>
      <c r="W96" s="34">
        <f>'Dados - Cliente'!U96</f>
        <v>0</v>
      </c>
      <c r="X96" s="34">
        <f>'Dados - Cliente'!V96</f>
        <v>0</v>
      </c>
      <c r="Y96" s="34">
        <f>'Dados - Cliente'!W96</f>
        <v>0</v>
      </c>
      <c r="Z96" s="34">
        <f>'Dados - Cliente'!X96</f>
        <v>0</v>
      </c>
      <c r="AA96" s="33" t="e">
        <f t="shared" si="7"/>
        <v>#N/A</v>
      </c>
      <c r="AB96" s="33">
        <f>'Dados - Cliente'!Y96</f>
        <v>0</v>
      </c>
      <c r="AC96" s="33">
        <f>'Dados - Cliente'!Z96</f>
        <v>0</v>
      </c>
      <c r="AD96" s="33">
        <f>'Dados - Cliente'!AA96</f>
        <v>0</v>
      </c>
      <c r="AE96" s="33">
        <f>'Dados - Cliente'!AB96</f>
        <v>0</v>
      </c>
      <c r="AF96" s="33">
        <f>'Dados - Cliente'!AC96</f>
        <v>0</v>
      </c>
      <c r="AG96" s="35">
        <f>'Dados - Cliente'!AD96</f>
        <v>0</v>
      </c>
      <c r="AH96" s="33" t="e">
        <f>INDEX('Dados - Placas'!$A:$A,MATCH('1'!AG96,'Dados - Placas'!$D:$D,0))</f>
        <v>#N/A</v>
      </c>
      <c r="AI96" s="35" t="e">
        <f>INDEX('Dados - Placas'!$E:$E,MATCH('1'!AG96,'Dados - Placas'!$D:$D,0))</f>
        <v>#N/A</v>
      </c>
      <c r="AJ96" s="34" t="e">
        <f>INDEX('Dados - Placas'!$F:$F,MATCH('1'!AG96,'Dados - Placas'!$D:$D,0))*AF96</f>
        <v>#N/A</v>
      </c>
      <c r="AK96" s="33">
        <f>'Dados - Cliente'!AE96</f>
        <v>0</v>
      </c>
      <c r="AL96" s="33">
        <f>'Dados - Cliente'!AF96</f>
        <v>0</v>
      </c>
      <c r="AM96" s="36" t="e">
        <f>INDEX('Dados - Inversores'!$A:$A,MATCH('1'!AL96,'Dados - Inversores'!$C:$C,0))</f>
        <v>#N/A</v>
      </c>
      <c r="AN96" s="33">
        <f>'Dados - Cliente'!AG96</f>
        <v>0</v>
      </c>
      <c r="AO96" s="33" t="e">
        <f>AA96*1.25/(0.22*SQRT(INDEX('Dados - Inversores'!AK:AK,MATCH('1'!AL96,'Dados - Inversores'!C:C,0))))</f>
        <v>#N/A</v>
      </c>
      <c r="AP96" s="34">
        <f>INDEX(Dados!$E$2:$E$33,COUNTIF(Dados!$E$2:$E$33,"&lt;="&amp;AN96*1.25/(INDEX('Dados - Inversores'!AL:AL,MATCH('1'!AL96,'Dados - Inversores'!C:C,0))*SQRT(INDEX('Dados - Inversores'!AK:AK,MATCH('1'!AL96,'Dados - Inversores'!C:C,0)))))+1)</f>
        <v>2</v>
      </c>
      <c r="AQ96" s="33" t="s">
        <v>59</v>
      </c>
      <c r="AR96" s="33" t="str">
        <f t="shared" si="8"/>
        <v>Micro</v>
      </c>
      <c r="AS96" s="33">
        <f>'Dados - Cliente'!AH96</f>
        <v>0</v>
      </c>
      <c r="AT96" s="33">
        <f>'Dados - Cliente'!AI96</f>
        <v>0</v>
      </c>
      <c r="AU96" s="33" t="e">
        <f>INDEX('Dados - Placas'!$N:$N,MATCH('1'!AG96,'Dados - Placas'!$D:$D,0))-1</f>
        <v>#N/A</v>
      </c>
      <c r="AV96" s="33" t="e">
        <f>INDEX('Dados - Placas'!$O:$O,MATCH('1'!AG96,'Dados - Placas'!$D:$D,0))</f>
        <v>#N/A</v>
      </c>
      <c r="AW96" s="33" t="e">
        <f>INDEX('Dados - Inversores'!AM:AM,MATCH('1'!AL96,'Dados - Inversores'!$C:$C,0))-1</f>
        <v>#N/A</v>
      </c>
      <c r="AX96" s="33" t="e">
        <f>INDEX('Dados - Inversores'!AN:AN,MATCH('1'!AL96,'Dados - Inversores'!$C:$C,0))-1</f>
        <v>#N/A</v>
      </c>
      <c r="AY96" s="33" t="e">
        <f>MATCH('1'!H96,Dados!$D$89:$D$167,0)+1</f>
        <v>#N/A</v>
      </c>
      <c r="AZ96" s="33" t="e">
        <f>MATCH('1'!N96,'Dados - Solicitação de acesso'!$N$2:$N$8,0)</f>
        <v>#N/A</v>
      </c>
      <c r="BA96" s="33" t="e">
        <f>MATCH('1'!T96,'Dados - Solicitação de acesso'!$T$2:$T$20,0)</f>
        <v>#N/A</v>
      </c>
      <c r="BB96" s="34"/>
      <c r="BC96" s="33">
        <f>MATCH(AT96,'Dados - Solicitação de acesso'!$AT$2:$AT$28,0)</f>
        <v>1</v>
      </c>
      <c r="BD96" s="33" t="b">
        <f>IF(O96="TRIFASICO",INDEX(Dados!G:G,MATCH('1'!AP96,Dados!E:E,0)),IF(O96="BIFASICO",INDEX(Dados!F:F,MATCH('1'!AP96,Dados!E:E,0),)))</f>
        <v>0</v>
      </c>
      <c r="BE96" s="33">
        <f>'Dados - Cliente'!J96</f>
        <v>0</v>
      </c>
      <c r="BF96" s="34">
        <f>INDEX(Dados!$E$2:$E$33,COUNTIF(Dados!$E$2:$E$33,"&lt;="&amp;AN96*1.25*AK96/(0.22*SQRT(INDEX('Dados - Inversores'!AK:AK,MATCH('1'!AL96,'Dados - Inversores'!C:C,0)))))+1)</f>
        <v>2</v>
      </c>
      <c r="BG96" s="34" t="b">
        <f>IF(O96="TRIFASICO",INDEX(Dados!G:G,MATCH(BF96,Dados!E:E,0)),IF(O96="BIFASICO",INDEX(Dados!F:F,MATCH(BF96,Dados!E:E,0),)))</f>
        <v>0</v>
      </c>
    </row>
    <row r="97" spans="1:59" s="33" customFormat="1" x14ac:dyDescent="0.35">
      <c r="A97" s="33">
        <f>'Dados - Cliente'!A97</f>
        <v>0</v>
      </c>
      <c r="B97" s="33">
        <f>'Dados - Cliente'!B97</f>
        <v>0</v>
      </c>
      <c r="C97" s="33">
        <f>'Dados - Cliente'!C97</f>
        <v>0</v>
      </c>
      <c r="D97" s="33">
        <f>'Dados - Cliente'!D97</f>
        <v>0</v>
      </c>
      <c r="E97" s="33">
        <f>'Dados - Cliente'!E97</f>
        <v>0</v>
      </c>
      <c r="F97" s="33">
        <f>'Dados - Cliente'!F97</f>
        <v>0</v>
      </c>
      <c r="G97" s="33">
        <f>'Dados - Cliente'!G97</f>
        <v>0</v>
      </c>
      <c r="H97" s="33">
        <f>'Dados - Cliente'!H97</f>
        <v>0</v>
      </c>
      <c r="I97" s="75" t="s">
        <v>4313</v>
      </c>
      <c r="J97" s="52" t="s">
        <v>4314</v>
      </c>
      <c r="K97" s="52" t="s">
        <v>4314</v>
      </c>
      <c r="L97" s="33">
        <f>'Dados - Cliente'!I97</f>
        <v>0</v>
      </c>
      <c r="M97" s="33">
        <f>'Dados - Cliente'!K97</f>
        <v>0</v>
      </c>
      <c r="N97" s="33">
        <f>'Dados - Cliente'!L97</f>
        <v>0</v>
      </c>
      <c r="O97" s="33">
        <f>'Dados - Cliente'!M97</f>
        <v>0</v>
      </c>
      <c r="P97" s="33">
        <f>'Dados - Cliente'!N97</f>
        <v>0</v>
      </c>
      <c r="Q97" s="33">
        <f>'Dados - Cliente'!O97</f>
        <v>0</v>
      </c>
      <c r="R97" s="33">
        <f>'Dados - Cliente'!P97</f>
        <v>0</v>
      </c>
      <c r="S97" s="33">
        <f>'Dados - Cliente'!Q97</f>
        <v>0</v>
      </c>
      <c r="T97" s="33">
        <f>'Dados - Cliente'!R97</f>
        <v>0</v>
      </c>
      <c r="U97" s="34">
        <f>'Dados - Cliente'!S97</f>
        <v>0</v>
      </c>
      <c r="V97" s="34">
        <f>'Dados - Cliente'!T97</f>
        <v>0</v>
      </c>
      <c r="W97" s="34">
        <f>'Dados - Cliente'!U97</f>
        <v>0</v>
      </c>
      <c r="X97" s="34">
        <f>'Dados - Cliente'!V97</f>
        <v>0</v>
      </c>
      <c r="Y97" s="34">
        <f>'Dados - Cliente'!W97</f>
        <v>0</v>
      </c>
      <c r="Z97" s="34">
        <f>'Dados - Cliente'!X97</f>
        <v>0</v>
      </c>
      <c r="AA97" s="33" t="e">
        <f t="shared" si="7"/>
        <v>#N/A</v>
      </c>
      <c r="AB97" s="33">
        <f>'Dados - Cliente'!Y97</f>
        <v>0</v>
      </c>
      <c r="AC97" s="33">
        <f>'Dados - Cliente'!Z97</f>
        <v>0</v>
      </c>
      <c r="AD97" s="33">
        <f>'Dados - Cliente'!AA97</f>
        <v>0</v>
      </c>
      <c r="AE97" s="33">
        <f>'Dados - Cliente'!AB97</f>
        <v>0</v>
      </c>
      <c r="AF97" s="33">
        <f>'Dados - Cliente'!AC97</f>
        <v>0</v>
      </c>
      <c r="AG97" s="35">
        <f>'Dados - Cliente'!AD97</f>
        <v>0</v>
      </c>
      <c r="AH97" s="33" t="e">
        <f>INDEX('Dados - Placas'!$A:$A,MATCH('1'!AG97,'Dados - Placas'!$D:$D,0))</f>
        <v>#N/A</v>
      </c>
      <c r="AI97" s="35" t="e">
        <f>INDEX('Dados - Placas'!$E:$E,MATCH('1'!AG97,'Dados - Placas'!$D:$D,0))</f>
        <v>#N/A</v>
      </c>
      <c r="AJ97" s="34" t="e">
        <f>INDEX('Dados - Placas'!$F:$F,MATCH('1'!AG97,'Dados - Placas'!$D:$D,0))*AF97</f>
        <v>#N/A</v>
      </c>
      <c r="AK97" s="33">
        <f>'Dados - Cliente'!AE97</f>
        <v>0</v>
      </c>
      <c r="AL97" s="33">
        <f>'Dados - Cliente'!AF97</f>
        <v>0</v>
      </c>
      <c r="AM97" s="36" t="e">
        <f>INDEX('Dados - Inversores'!$A:$A,MATCH('1'!AL97,'Dados - Inversores'!$C:$C,0))</f>
        <v>#N/A</v>
      </c>
      <c r="AN97" s="33">
        <f>'Dados - Cliente'!AG97</f>
        <v>0</v>
      </c>
      <c r="AO97" s="33" t="e">
        <f>AA97*1.25/(0.22*SQRT(INDEX('Dados - Inversores'!AK:AK,MATCH('1'!AL97,'Dados - Inversores'!C:C,0))))</f>
        <v>#N/A</v>
      </c>
      <c r="AP97" s="34">
        <f>INDEX(Dados!$E$2:$E$33,COUNTIF(Dados!$E$2:$E$33,"&lt;="&amp;AN97*1.25/(INDEX('Dados - Inversores'!AL:AL,MATCH('1'!AL97,'Dados - Inversores'!C:C,0))*SQRT(INDEX('Dados - Inversores'!AK:AK,MATCH('1'!AL97,'Dados - Inversores'!C:C,0)))))+1)</f>
        <v>2</v>
      </c>
      <c r="AQ97" s="33" t="s">
        <v>59</v>
      </c>
      <c r="AR97" s="33" t="str">
        <f t="shared" si="8"/>
        <v>Micro</v>
      </c>
      <c r="AS97" s="33">
        <f>'Dados - Cliente'!AH97</f>
        <v>0</v>
      </c>
      <c r="AT97" s="33">
        <f>'Dados - Cliente'!AI97</f>
        <v>0</v>
      </c>
      <c r="AU97" s="33" t="e">
        <f>INDEX('Dados - Placas'!$N:$N,MATCH('1'!AG97,'Dados - Placas'!$D:$D,0))-1</f>
        <v>#N/A</v>
      </c>
      <c r="AV97" s="33" t="e">
        <f>INDEX('Dados - Placas'!$O:$O,MATCH('1'!AG97,'Dados - Placas'!$D:$D,0))</f>
        <v>#N/A</v>
      </c>
      <c r="AW97" s="33" t="e">
        <f>INDEX('Dados - Inversores'!AM:AM,MATCH('1'!AL97,'Dados - Inversores'!$C:$C,0))-1</f>
        <v>#N/A</v>
      </c>
      <c r="AX97" s="33" t="e">
        <f>INDEX('Dados - Inversores'!AN:AN,MATCH('1'!AL97,'Dados - Inversores'!$C:$C,0))-1</f>
        <v>#N/A</v>
      </c>
      <c r="AY97" s="33" t="e">
        <f>MATCH('1'!H97,Dados!$D$89:$D$167,0)+1</f>
        <v>#N/A</v>
      </c>
      <c r="AZ97" s="33" t="e">
        <f>MATCH('1'!N97,'Dados - Solicitação de acesso'!$N$2:$N$8,0)</f>
        <v>#N/A</v>
      </c>
      <c r="BA97" s="33" t="e">
        <f>MATCH('1'!T97,'Dados - Solicitação de acesso'!$T$2:$T$20,0)</f>
        <v>#N/A</v>
      </c>
      <c r="BB97" s="34"/>
      <c r="BC97" s="33">
        <f>MATCH(AT97,'Dados - Solicitação de acesso'!$AT$2:$AT$28,0)</f>
        <v>1</v>
      </c>
      <c r="BD97" s="33" t="b">
        <f>IF(O97="TRIFASICO",INDEX(Dados!G:G,MATCH('1'!AP97,Dados!E:E,0)),IF(O97="BIFASICO",INDEX(Dados!F:F,MATCH('1'!AP97,Dados!E:E,0),)))</f>
        <v>0</v>
      </c>
      <c r="BE97" s="33">
        <f>'Dados - Cliente'!J97</f>
        <v>0</v>
      </c>
      <c r="BF97" s="34">
        <f>INDEX(Dados!$E$2:$E$33,COUNTIF(Dados!$E$2:$E$33,"&lt;="&amp;AN97*1.25*AK97/(0.22*SQRT(INDEX('Dados - Inversores'!AK:AK,MATCH('1'!AL97,'Dados - Inversores'!C:C,0)))))+1)</f>
        <v>2</v>
      </c>
      <c r="BG97" s="34" t="b">
        <f>IF(O97="TRIFASICO",INDEX(Dados!G:G,MATCH(BF97,Dados!E:E,0)),IF(O97="BIFASICO",INDEX(Dados!F:F,MATCH(BF97,Dados!E:E,0),)))</f>
        <v>0</v>
      </c>
    </row>
    <row r="98" spans="1:59" s="33" customFormat="1" x14ac:dyDescent="0.35">
      <c r="A98" s="33">
        <f>'Dados - Cliente'!A98</f>
        <v>0</v>
      </c>
      <c r="B98" s="33">
        <f>'Dados - Cliente'!B98</f>
        <v>0</v>
      </c>
      <c r="C98" s="33">
        <f>'Dados - Cliente'!C98</f>
        <v>0</v>
      </c>
      <c r="D98" s="33">
        <f>'Dados - Cliente'!D98</f>
        <v>0</v>
      </c>
      <c r="E98" s="33">
        <f>'Dados - Cliente'!E98</f>
        <v>0</v>
      </c>
      <c r="F98" s="33">
        <f>'Dados - Cliente'!F98</f>
        <v>0</v>
      </c>
      <c r="G98" s="33">
        <f>'Dados - Cliente'!G98</f>
        <v>0</v>
      </c>
      <c r="H98" s="33">
        <f>'Dados - Cliente'!H98</f>
        <v>0</v>
      </c>
      <c r="I98" s="75" t="s">
        <v>4313</v>
      </c>
      <c r="J98" s="52" t="s">
        <v>4314</v>
      </c>
      <c r="K98" s="52" t="s">
        <v>4314</v>
      </c>
      <c r="L98" s="33">
        <f>'Dados - Cliente'!I98</f>
        <v>0</v>
      </c>
      <c r="M98" s="33">
        <f>'Dados - Cliente'!K98</f>
        <v>0</v>
      </c>
      <c r="N98" s="33">
        <f>'Dados - Cliente'!L98</f>
        <v>0</v>
      </c>
      <c r="O98" s="33">
        <f>'Dados - Cliente'!M98</f>
        <v>0</v>
      </c>
      <c r="P98" s="33">
        <f>'Dados - Cliente'!N98</f>
        <v>0</v>
      </c>
      <c r="Q98" s="33">
        <f>'Dados - Cliente'!O98</f>
        <v>0</v>
      </c>
      <c r="R98" s="33">
        <f>'Dados - Cliente'!P98</f>
        <v>0</v>
      </c>
      <c r="S98" s="33">
        <f>'Dados - Cliente'!Q98</f>
        <v>0</v>
      </c>
      <c r="T98" s="33">
        <f>'Dados - Cliente'!R98</f>
        <v>0</v>
      </c>
      <c r="U98" s="34">
        <f>'Dados - Cliente'!S98</f>
        <v>0</v>
      </c>
      <c r="V98" s="34">
        <f>'Dados - Cliente'!T98</f>
        <v>0</v>
      </c>
      <c r="W98" s="34">
        <f>'Dados - Cliente'!U98</f>
        <v>0</v>
      </c>
      <c r="X98" s="34">
        <f>'Dados - Cliente'!V98</f>
        <v>0</v>
      </c>
      <c r="Y98" s="34">
        <f>'Dados - Cliente'!W98</f>
        <v>0</v>
      </c>
      <c r="Z98" s="34">
        <f>'Dados - Cliente'!X98</f>
        <v>0</v>
      </c>
      <c r="AA98" s="33" t="e">
        <f t="shared" si="7"/>
        <v>#N/A</v>
      </c>
      <c r="AB98" s="33">
        <f>'Dados - Cliente'!Y98</f>
        <v>0</v>
      </c>
      <c r="AC98" s="33">
        <f>'Dados - Cliente'!Z98</f>
        <v>0</v>
      </c>
      <c r="AD98" s="33">
        <f>'Dados - Cliente'!AA98</f>
        <v>0</v>
      </c>
      <c r="AE98" s="33">
        <f>'Dados - Cliente'!AB98</f>
        <v>0</v>
      </c>
      <c r="AF98" s="33">
        <f>'Dados - Cliente'!AC98</f>
        <v>0</v>
      </c>
      <c r="AG98" s="35">
        <f>'Dados - Cliente'!AD98</f>
        <v>0</v>
      </c>
      <c r="AH98" s="33" t="e">
        <f>INDEX('Dados - Placas'!$A:$A,MATCH('1'!AG98,'Dados - Placas'!$D:$D,0))</f>
        <v>#N/A</v>
      </c>
      <c r="AI98" s="35" t="e">
        <f>INDEX('Dados - Placas'!$E:$E,MATCH('1'!AG98,'Dados - Placas'!$D:$D,0))</f>
        <v>#N/A</v>
      </c>
      <c r="AJ98" s="34" t="e">
        <f>INDEX('Dados - Placas'!$F:$F,MATCH('1'!AG98,'Dados - Placas'!$D:$D,0))*AF98</f>
        <v>#N/A</v>
      </c>
      <c r="AK98" s="33">
        <f>'Dados - Cliente'!AE98</f>
        <v>0</v>
      </c>
      <c r="AL98" s="33">
        <f>'Dados - Cliente'!AF98</f>
        <v>0</v>
      </c>
      <c r="AM98" s="36" t="e">
        <f>INDEX('Dados - Inversores'!$A:$A,MATCH('1'!AL98,'Dados - Inversores'!$C:$C,0))</f>
        <v>#N/A</v>
      </c>
      <c r="AN98" s="33">
        <f>'Dados - Cliente'!AG98</f>
        <v>0</v>
      </c>
      <c r="AO98" s="33" t="e">
        <f>AA98*1.25/(0.22*SQRT(INDEX('Dados - Inversores'!AK:AK,MATCH('1'!AL98,'Dados - Inversores'!C:C,0))))</f>
        <v>#N/A</v>
      </c>
      <c r="AP98" s="34">
        <f>INDEX(Dados!$E$2:$E$33,COUNTIF(Dados!$E$2:$E$33,"&lt;="&amp;AN98*1.25/(INDEX('Dados - Inversores'!AL:AL,MATCH('1'!AL98,'Dados - Inversores'!C:C,0))*SQRT(INDEX('Dados - Inversores'!AK:AK,MATCH('1'!AL98,'Dados - Inversores'!C:C,0)))))+1)</f>
        <v>2</v>
      </c>
      <c r="AQ98" s="33" t="s">
        <v>59</v>
      </c>
      <c r="AR98" s="33" t="str">
        <f t="shared" si="8"/>
        <v>Micro</v>
      </c>
      <c r="AS98" s="33">
        <f>'Dados - Cliente'!AH98</f>
        <v>0</v>
      </c>
      <c r="AT98" s="33">
        <f>'Dados - Cliente'!AI98</f>
        <v>0</v>
      </c>
      <c r="AU98" s="33" t="e">
        <f>INDEX('Dados - Placas'!$N:$N,MATCH('1'!AG98,'Dados - Placas'!$D:$D,0))-1</f>
        <v>#N/A</v>
      </c>
      <c r="AV98" s="33" t="e">
        <f>INDEX('Dados - Placas'!$O:$O,MATCH('1'!AG98,'Dados - Placas'!$D:$D,0))</f>
        <v>#N/A</v>
      </c>
      <c r="AW98" s="33" t="e">
        <f>INDEX('Dados - Inversores'!AM:AM,MATCH('1'!AL98,'Dados - Inversores'!$C:$C,0))-1</f>
        <v>#N/A</v>
      </c>
      <c r="AX98" s="33" t="e">
        <f>INDEX('Dados - Inversores'!AN:AN,MATCH('1'!AL98,'Dados - Inversores'!$C:$C,0))-1</f>
        <v>#N/A</v>
      </c>
      <c r="AY98" s="33" t="e">
        <f>MATCH('1'!H98,Dados!$D$89:$D$167,0)+1</f>
        <v>#N/A</v>
      </c>
      <c r="AZ98" s="33" t="e">
        <f>MATCH('1'!N98,'Dados - Solicitação de acesso'!$N$2:$N$8,0)</f>
        <v>#N/A</v>
      </c>
      <c r="BA98" s="33" t="e">
        <f>MATCH('1'!T98,'Dados - Solicitação de acesso'!$T$2:$T$20,0)</f>
        <v>#N/A</v>
      </c>
      <c r="BB98" s="34"/>
      <c r="BC98" s="33">
        <f>MATCH(AT98,'Dados - Solicitação de acesso'!$AT$2:$AT$28,0)</f>
        <v>1</v>
      </c>
      <c r="BD98" s="33" t="b">
        <f>IF(O98="TRIFASICO",INDEX(Dados!G:G,MATCH('1'!AP98,Dados!E:E,0)),IF(O98="BIFASICO",INDEX(Dados!F:F,MATCH('1'!AP98,Dados!E:E,0),)))</f>
        <v>0</v>
      </c>
      <c r="BE98" s="33">
        <f>'Dados - Cliente'!J98</f>
        <v>0</v>
      </c>
      <c r="BF98" s="34">
        <f>INDEX(Dados!$E$2:$E$33,COUNTIF(Dados!$E$2:$E$33,"&lt;="&amp;AN98*1.25*AK98/(0.22*SQRT(INDEX('Dados - Inversores'!AK:AK,MATCH('1'!AL98,'Dados - Inversores'!C:C,0)))))+1)</f>
        <v>2</v>
      </c>
      <c r="BG98" s="34" t="b">
        <f>IF(O98="TRIFASICO",INDEX(Dados!G:G,MATCH(BF98,Dados!E:E,0)),IF(O98="BIFASICO",INDEX(Dados!F:F,MATCH(BF98,Dados!E:E,0),)))</f>
        <v>0</v>
      </c>
    </row>
    <row r="99" spans="1:59" s="33" customFormat="1" x14ac:dyDescent="0.35">
      <c r="A99" s="33">
        <f>'Dados - Cliente'!A99</f>
        <v>0</v>
      </c>
      <c r="B99" s="33">
        <f>'Dados - Cliente'!B99</f>
        <v>0</v>
      </c>
      <c r="C99" s="33">
        <f>'Dados - Cliente'!C99</f>
        <v>0</v>
      </c>
      <c r="D99" s="33">
        <f>'Dados - Cliente'!D99</f>
        <v>0</v>
      </c>
      <c r="E99" s="33">
        <f>'Dados - Cliente'!E99</f>
        <v>0</v>
      </c>
      <c r="F99" s="33">
        <f>'Dados - Cliente'!F99</f>
        <v>0</v>
      </c>
      <c r="G99" s="33">
        <f>'Dados - Cliente'!G99</f>
        <v>0</v>
      </c>
      <c r="H99" s="33">
        <f>'Dados - Cliente'!H99</f>
        <v>0</v>
      </c>
      <c r="I99" s="75" t="s">
        <v>4313</v>
      </c>
      <c r="J99" s="52" t="s">
        <v>4314</v>
      </c>
      <c r="K99" s="52" t="s">
        <v>4314</v>
      </c>
      <c r="L99" s="33">
        <f>'Dados - Cliente'!I99</f>
        <v>0</v>
      </c>
      <c r="M99" s="33">
        <f>'Dados - Cliente'!K99</f>
        <v>0</v>
      </c>
      <c r="N99" s="33">
        <f>'Dados - Cliente'!L99</f>
        <v>0</v>
      </c>
      <c r="O99" s="33">
        <f>'Dados - Cliente'!M99</f>
        <v>0</v>
      </c>
      <c r="P99" s="33">
        <f>'Dados - Cliente'!N99</f>
        <v>0</v>
      </c>
      <c r="Q99" s="33">
        <f>'Dados - Cliente'!O99</f>
        <v>0</v>
      </c>
      <c r="R99" s="33">
        <f>'Dados - Cliente'!P99</f>
        <v>0</v>
      </c>
      <c r="S99" s="33">
        <f>'Dados - Cliente'!Q99</f>
        <v>0</v>
      </c>
      <c r="T99" s="33">
        <f>'Dados - Cliente'!R99</f>
        <v>0</v>
      </c>
      <c r="U99" s="34">
        <f>'Dados - Cliente'!S99</f>
        <v>0</v>
      </c>
      <c r="V99" s="34">
        <f>'Dados - Cliente'!T99</f>
        <v>0</v>
      </c>
      <c r="W99" s="34">
        <f>'Dados - Cliente'!U99</f>
        <v>0</v>
      </c>
      <c r="X99" s="34">
        <f>'Dados - Cliente'!V99</f>
        <v>0</v>
      </c>
      <c r="Y99" s="34">
        <f>'Dados - Cliente'!W99</f>
        <v>0</v>
      </c>
      <c r="Z99" s="34">
        <f>'Dados - Cliente'!X99</f>
        <v>0</v>
      </c>
      <c r="AA99" s="33" t="e">
        <f t="shared" si="7"/>
        <v>#N/A</v>
      </c>
      <c r="AB99" s="33">
        <f>'Dados - Cliente'!Y99</f>
        <v>0</v>
      </c>
      <c r="AC99" s="33">
        <f>'Dados - Cliente'!Z99</f>
        <v>0</v>
      </c>
      <c r="AD99" s="33">
        <f>'Dados - Cliente'!AA99</f>
        <v>0</v>
      </c>
      <c r="AE99" s="33">
        <f>'Dados - Cliente'!AB99</f>
        <v>0</v>
      </c>
      <c r="AF99" s="33">
        <f>'Dados - Cliente'!AC99</f>
        <v>0</v>
      </c>
      <c r="AG99" s="35">
        <f>'Dados - Cliente'!AD99</f>
        <v>0</v>
      </c>
      <c r="AH99" s="33" t="e">
        <f>INDEX('Dados - Placas'!$A:$A,MATCH('1'!AG99,'Dados - Placas'!$D:$D,0))</f>
        <v>#N/A</v>
      </c>
      <c r="AI99" s="35" t="e">
        <f>INDEX('Dados - Placas'!$E:$E,MATCH('1'!AG99,'Dados - Placas'!$D:$D,0))</f>
        <v>#N/A</v>
      </c>
      <c r="AJ99" s="34" t="e">
        <f>INDEX('Dados - Placas'!$F:$F,MATCH('1'!AG99,'Dados - Placas'!$D:$D,0))*AF99</f>
        <v>#N/A</v>
      </c>
      <c r="AK99" s="33">
        <f>'Dados - Cliente'!AE99</f>
        <v>0</v>
      </c>
      <c r="AL99" s="33">
        <f>'Dados - Cliente'!AF99</f>
        <v>0</v>
      </c>
      <c r="AM99" s="36" t="e">
        <f>INDEX('Dados - Inversores'!$A:$A,MATCH('1'!AL99,'Dados - Inversores'!$C:$C,0))</f>
        <v>#N/A</v>
      </c>
      <c r="AN99" s="33">
        <f>'Dados - Cliente'!AG99</f>
        <v>0</v>
      </c>
      <c r="AO99" s="33" t="e">
        <f>AA99*1.25/(0.22*SQRT(INDEX('Dados - Inversores'!AK:AK,MATCH('1'!AL99,'Dados - Inversores'!C:C,0))))</f>
        <v>#N/A</v>
      </c>
      <c r="AP99" s="34">
        <f>INDEX(Dados!$E$2:$E$33,COUNTIF(Dados!$E$2:$E$33,"&lt;="&amp;AN99*1.25/(INDEX('Dados - Inversores'!AL:AL,MATCH('1'!AL99,'Dados - Inversores'!C:C,0))*SQRT(INDEX('Dados - Inversores'!AK:AK,MATCH('1'!AL99,'Dados - Inversores'!C:C,0)))))+1)</f>
        <v>2</v>
      </c>
      <c r="AQ99" s="33" t="s">
        <v>59</v>
      </c>
      <c r="AR99" s="33" t="str">
        <f t="shared" si="8"/>
        <v>Micro</v>
      </c>
      <c r="AS99" s="33">
        <f>'Dados - Cliente'!AH99</f>
        <v>0</v>
      </c>
      <c r="AT99" s="33">
        <f>'Dados - Cliente'!AI99</f>
        <v>0</v>
      </c>
      <c r="AU99" s="33" t="e">
        <f>INDEX('Dados - Placas'!$N:$N,MATCH('1'!AG99,'Dados - Placas'!$D:$D,0))-1</f>
        <v>#N/A</v>
      </c>
      <c r="AV99" s="33" t="e">
        <f>INDEX('Dados - Placas'!$O:$O,MATCH('1'!AG99,'Dados - Placas'!$D:$D,0))</f>
        <v>#N/A</v>
      </c>
      <c r="AW99" s="33" t="e">
        <f>INDEX('Dados - Inversores'!AM:AM,MATCH('1'!AL99,'Dados - Inversores'!$C:$C,0))-1</f>
        <v>#N/A</v>
      </c>
      <c r="AX99" s="33" t="e">
        <f>INDEX('Dados - Inversores'!AN:AN,MATCH('1'!AL99,'Dados - Inversores'!$C:$C,0))-1</f>
        <v>#N/A</v>
      </c>
      <c r="AY99" s="33" t="e">
        <f>MATCH('1'!H99,Dados!$D$89:$D$167,0)+1</f>
        <v>#N/A</v>
      </c>
      <c r="AZ99" s="33" t="e">
        <f>MATCH('1'!N99,'Dados - Solicitação de acesso'!$N$2:$N$8,0)</f>
        <v>#N/A</v>
      </c>
      <c r="BA99" s="33" t="e">
        <f>MATCH('1'!T99,'Dados - Solicitação de acesso'!$T$2:$T$20,0)</f>
        <v>#N/A</v>
      </c>
      <c r="BB99" s="34"/>
      <c r="BC99" s="33">
        <f>MATCH(AT99,'Dados - Solicitação de acesso'!$AT$2:$AT$28,0)</f>
        <v>1</v>
      </c>
      <c r="BD99" s="33" t="b">
        <f>IF(O99="TRIFASICO",INDEX(Dados!G:G,MATCH('1'!AP99,Dados!E:E,0)),IF(O99="BIFASICO",INDEX(Dados!F:F,MATCH('1'!AP99,Dados!E:E,0),)))</f>
        <v>0</v>
      </c>
      <c r="BE99" s="33">
        <f>'Dados - Cliente'!J99</f>
        <v>0</v>
      </c>
      <c r="BF99" s="34">
        <f>INDEX(Dados!$E$2:$E$33,COUNTIF(Dados!$E$2:$E$33,"&lt;="&amp;AN99*1.25*AK99/(0.22*SQRT(INDEX('Dados - Inversores'!AK:AK,MATCH('1'!AL99,'Dados - Inversores'!C:C,0)))))+1)</f>
        <v>2</v>
      </c>
      <c r="BG99" s="34" t="b">
        <f>IF(O99="TRIFASICO",INDEX(Dados!G:G,MATCH(BF99,Dados!E:E,0)),IF(O99="BIFASICO",INDEX(Dados!F:F,MATCH(BF99,Dados!E:E,0),)))</f>
        <v>0</v>
      </c>
    </row>
    <row r="100" spans="1:59" s="33" customFormat="1" x14ac:dyDescent="0.35">
      <c r="A100" s="33">
        <f>'Dados - Cliente'!A100</f>
        <v>0</v>
      </c>
      <c r="B100" s="33">
        <f>'Dados - Cliente'!B100</f>
        <v>0</v>
      </c>
      <c r="C100" s="33">
        <f>'Dados - Cliente'!C100</f>
        <v>0</v>
      </c>
      <c r="D100" s="33">
        <f>'Dados - Cliente'!D100</f>
        <v>0</v>
      </c>
      <c r="E100" s="33">
        <f>'Dados - Cliente'!E100</f>
        <v>0</v>
      </c>
      <c r="F100" s="33">
        <f>'Dados - Cliente'!F100</f>
        <v>0</v>
      </c>
      <c r="G100" s="33">
        <f>'Dados - Cliente'!G100</f>
        <v>0</v>
      </c>
      <c r="H100" s="33">
        <f>'Dados - Cliente'!H100</f>
        <v>0</v>
      </c>
      <c r="I100" s="75" t="s">
        <v>4313</v>
      </c>
      <c r="J100" s="52" t="s">
        <v>4314</v>
      </c>
      <c r="K100" s="52" t="s">
        <v>4314</v>
      </c>
      <c r="L100" s="33">
        <f>'Dados - Cliente'!I100</f>
        <v>0</v>
      </c>
      <c r="M100" s="33">
        <f>'Dados - Cliente'!K100</f>
        <v>0</v>
      </c>
      <c r="N100" s="33">
        <f>'Dados - Cliente'!L100</f>
        <v>0</v>
      </c>
      <c r="O100" s="33">
        <f>'Dados - Cliente'!M100</f>
        <v>0</v>
      </c>
      <c r="P100" s="33">
        <f>'Dados - Cliente'!N100</f>
        <v>0</v>
      </c>
      <c r="Q100" s="33">
        <f>'Dados - Cliente'!O100</f>
        <v>0</v>
      </c>
      <c r="R100" s="33">
        <f>'Dados - Cliente'!P100</f>
        <v>0</v>
      </c>
      <c r="S100" s="33">
        <f>'Dados - Cliente'!Q100</f>
        <v>0</v>
      </c>
      <c r="T100" s="33">
        <f>'Dados - Cliente'!R100</f>
        <v>0</v>
      </c>
      <c r="U100" s="34">
        <f>'Dados - Cliente'!S100</f>
        <v>0</v>
      </c>
      <c r="V100" s="34">
        <f>'Dados - Cliente'!T100</f>
        <v>0</v>
      </c>
      <c r="W100" s="34">
        <f>'Dados - Cliente'!U100</f>
        <v>0</v>
      </c>
      <c r="X100" s="34">
        <f>'Dados - Cliente'!V100</f>
        <v>0</v>
      </c>
      <c r="Y100" s="34">
        <f>'Dados - Cliente'!W100</f>
        <v>0</v>
      </c>
      <c r="Z100" s="34">
        <f>'Dados - Cliente'!X100</f>
        <v>0</v>
      </c>
      <c r="AA100" s="33" t="e">
        <f t="shared" si="7"/>
        <v>#N/A</v>
      </c>
      <c r="AB100" s="33">
        <f>'Dados - Cliente'!Y100</f>
        <v>0</v>
      </c>
      <c r="AC100" s="33">
        <f>'Dados - Cliente'!Z100</f>
        <v>0</v>
      </c>
      <c r="AD100" s="33">
        <f>'Dados - Cliente'!AA100</f>
        <v>0</v>
      </c>
      <c r="AE100" s="33">
        <f>'Dados - Cliente'!AB100</f>
        <v>0</v>
      </c>
      <c r="AF100" s="33">
        <f>'Dados - Cliente'!AC100</f>
        <v>0</v>
      </c>
      <c r="AG100" s="35">
        <f>'Dados - Cliente'!AD100</f>
        <v>0</v>
      </c>
      <c r="AH100" s="33" t="e">
        <f>INDEX('Dados - Placas'!$A:$A,MATCH('1'!AG100,'Dados - Placas'!$D:$D,0))</f>
        <v>#N/A</v>
      </c>
      <c r="AI100" s="35" t="e">
        <f>INDEX('Dados - Placas'!$E:$E,MATCH('1'!AG100,'Dados - Placas'!$D:$D,0))</f>
        <v>#N/A</v>
      </c>
      <c r="AJ100" s="34" t="e">
        <f>INDEX('Dados - Placas'!$F:$F,MATCH('1'!AG100,'Dados - Placas'!$D:$D,0))*AF100</f>
        <v>#N/A</v>
      </c>
      <c r="AK100" s="33">
        <f>'Dados - Cliente'!AE100</f>
        <v>0</v>
      </c>
      <c r="AL100" s="33">
        <f>'Dados - Cliente'!AF100</f>
        <v>0</v>
      </c>
      <c r="AM100" s="36" t="e">
        <f>INDEX('Dados - Inversores'!$A:$A,MATCH('1'!AL100,'Dados - Inversores'!$C:$C,0))</f>
        <v>#N/A</v>
      </c>
      <c r="AN100" s="33">
        <f>'Dados - Cliente'!AG100</f>
        <v>0</v>
      </c>
      <c r="AO100" s="33" t="e">
        <f>AA100*1.25/(0.22*SQRT(INDEX('Dados - Inversores'!AK:AK,MATCH('1'!AL100,'Dados - Inversores'!C:C,0))))</f>
        <v>#N/A</v>
      </c>
      <c r="AP100" s="34">
        <f>INDEX(Dados!$E$2:$E$33,COUNTIF(Dados!$E$2:$E$33,"&lt;="&amp;AN100*1.25/(INDEX('Dados - Inversores'!AL:AL,MATCH('1'!AL100,'Dados - Inversores'!C:C,0))*SQRT(INDEX('Dados - Inversores'!AK:AK,MATCH('1'!AL100,'Dados - Inversores'!C:C,0)))))+1)</f>
        <v>2</v>
      </c>
      <c r="AQ100" s="33" t="s">
        <v>59</v>
      </c>
      <c r="AR100" s="33" t="str">
        <f t="shared" si="8"/>
        <v>Micro</v>
      </c>
      <c r="AS100" s="33">
        <f>'Dados - Cliente'!AH100</f>
        <v>0</v>
      </c>
      <c r="AT100" s="33">
        <f>'Dados - Cliente'!AI100</f>
        <v>0</v>
      </c>
      <c r="AU100" s="33" t="e">
        <f>INDEX('Dados - Placas'!$N:$N,MATCH('1'!AG100,'Dados - Placas'!$D:$D,0))-1</f>
        <v>#N/A</v>
      </c>
      <c r="AV100" s="33" t="e">
        <f>INDEX('Dados - Placas'!$O:$O,MATCH('1'!AG100,'Dados - Placas'!$D:$D,0))</f>
        <v>#N/A</v>
      </c>
      <c r="AW100" s="33" t="e">
        <f>INDEX('Dados - Inversores'!AM:AM,MATCH('1'!AL100,'Dados - Inversores'!$C:$C,0))-1</f>
        <v>#N/A</v>
      </c>
      <c r="AX100" s="33" t="e">
        <f>INDEX('Dados - Inversores'!AN:AN,MATCH('1'!AL100,'Dados - Inversores'!$C:$C,0))-1</f>
        <v>#N/A</v>
      </c>
      <c r="AY100" s="33" t="e">
        <f>MATCH('1'!H100,Dados!$D$89:$D$167,0)+1</f>
        <v>#N/A</v>
      </c>
      <c r="AZ100" s="33" t="e">
        <f>MATCH('1'!N100,'Dados - Solicitação de acesso'!$N$2:$N$8,0)</f>
        <v>#N/A</v>
      </c>
      <c r="BA100" s="33" t="e">
        <f>MATCH('1'!T100,'Dados - Solicitação de acesso'!$T$2:$T$20,0)</f>
        <v>#N/A</v>
      </c>
      <c r="BB100" s="34"/>
      <c r="BC100" s="33">
        <f>MATCH(AT100,'Dados - Solicitação de acesso'!$AT$2:$AT$28,0)</f>
        <v>1</v>
      </c>
      <c r="BD100" s="33" t="b">
        <f>IF(O100="TRIFASICO",INDEX(Dados!G:G,MATCH('1'!AP100,Dados!E:E,0)),IF(O100="BIFASICO",INDEX(Dados!F:F,MATCH('1'!AP100,Dados!E:E,0),)))</f>
        <v>0</v>
      </c>
      <c r="BE100" s="33">
        <f>'Dados - Cliente'!J100</f>
        <v>0</v>
      </c>
      <c r="BF100" s="34">
        <f>INDEX(Dados!$E$2:$E$33,COUNTIF(Dados!$E$2:$E$33,"&lt;="&amp;AN100*1.25*AK100/(0.22*SQRT(INDEX('Dados - Inversores'!AK:AK,MATCH('1'!AL100,'Dados - Inversores'!C:C,0)))))+1)</f>
        <v>2</v>
      </c>
      <c r="BG100" s="34" t="b">
        <f>IF(O100="TRIFASICO",INDEX(Dados!G:G,MATCH(BF100,Dados!E:E,0)),IF(O100="BIFASICO",INDEX(Dados!F:F,MATCH(BF100,Dados!E:E,0),)))</f>
        <v>0</v>
      </c>
    </row>
    <row r="101" spans="1:59" s="33" customFormat="1" x14ac:dyDescent="0.35">
      <c r="A101" s="33">
        <f>'Dados - Cliente'!A101</f>
        <v>0</v>
      </c>
      <c r="B101" s="33">
        <f>'Dados - Cliente'!B101</f>
        <v>0</v>
      </c>
      <c r="C101" s="33">
        <f>'Dados - Cliente'!C101</f>
        <v>0</v>
      </c>
      <c r="D101" s="33">
        <f>'Dados - Cliente'!D101</f>
        <v>0</v>
      </c>
      <c r="E101" s="33">
        <f>'Dados - Cliente'!E101</f>
        <v>0</v>
      </c>
      <c r="F101" s="33">
        <f>'Dados - Cliente'!F101</f>
        <v>0</v>
      </c>
      <c r="G101" s="33">
        <f>'Dados - Cliente'!G101</f>
        <v>0</v>
      </c>
      <c r="H101" s="33">
        <f>'Dados - Cliente'!H101</f>
        <v>0</v>
      </c>
      <c r="I101" s="75" t="s">
        <v>4313</v>
      </c>
      <c r="J101" s="52" t="s">
        <v>4314</v>
      </c>
      <c r="K101" s="52" t="s">
        <v>4314</v>
      </c>
      <c r="L101" s="33">
        <f>'Dados - Cliente'!I101</f>
        <v>0</v>
      </c>
      <c r="M101" s="33">
        <f>'Dados - Cliente'!K101</f>
        <v>0</v>
      </c>
      <c r="N101" s="33">
        <f>'Dados - Cliente'!L101</f>
        <v>0</v>
      </c>
      <c r="O101" s="33">
        <f>'Dados - Cliente'!M101</f>
        <v>0</v>
      </c>
      <c r="P101" s="33">
        <f>'Dados - Cliente'!N101</f>
        <v>0</v>
      </c>
      <c r="Q101" s="33">
        <f>'Dados - Cliente'!O101</f>
        <v>0</v>
      </c>
      <c r="R101" s="33">
        <f>'Dados - Cliente'!P101</f>
        <v>0</v>
      </c>
      <c r="S101" s="33">
        <f>'Dados - Cliente'!Q101</f>
        <v>0</v>
      </c>
      <c r="T101" s="33">
        <f>'Dados - Cliente'!R101</f>
        <v>0</v>
      </c>
      <c r="U101" s="34">
        <f>'Dados - Cliente'!S101</f>
        <v>0</v>
      </c>
      <c r="V101" s="34">
        <f>'Dados - Cliente'!T101</f>
        <v>0</v>
      </c>
      <c r="W101" s="34">
        <f>'Dados - Cliente'!U101</f>
        <v>0</v>
      </c>
      <c r="X101" s="34">
        <f>'Dados - Cliente'!V101</f>
        <v>0</v>
      </c>
      <c r="Y101" s="34">
        <f>'Dados - Cliente'!W101</f>
        <v>0</v>
      </c>
      <c r="Z101" s="34">
        <f>'Dados - Cliente'!X101</f>
        <v>0</v>
      </c>
      <c r="AA101" s="33" t="e">
        <f t="shared" si="7"/>
        <v>#N/A</v>
      </c>
      <c r="AB101" s="33">
        <f>'Dados - Cliente'!Y101</f>
        <v>0</v>
      </c>
      <c r="AC101" s="33">
        <f>'Dados - Cliente'!Z101</f>
        <v>0</v>
      </c>
      <c r="AD101" s="33">
        <f>'Dados - Cliente'!AA101</f>
        <v>0</v>
      </c>
      <c r="AE101" s="33">
        <f>'Dados - Cliente'!AB101</f>
        <v>0</v>
      </c>
      <c r="AF101" s="33">
        <f>'Dados - Cliente'!AC101</f>
        <v>0</v>
      </c>
      <c r="AG101" s="35">
        <f>'Dados - Cliente'!AD101</f>
        <v>0</v>
      </c>
      <c r="AH101" s="33" t="e">
        <f>INDEX('Dados - Placas'!$A:$A,MATCH('1'!AG101,'Dados - Placas'!$D:$D,0))</f>
        <v>#N/A</v>
      </c>
      <c r="AI101" s="35" t="e">
        <f>INDEX('Dados - Placas'!$E:$E,MATCH('1'!AG101,'Dados - Placas'!$D:$D,0))</f>
        <v>#N/A</v>
      </c>
      <c r="AJ101" s="34" t="e">
        <f>INDEX('Dados - Placas'!$F:$F,MATCH('1'!AG101,'Dados - Placas'!$D:$D,0))*AF101</f>
        <v>#N/A</v>
      </c>
      <c r="AK101" s="33">
        <f>'Dados - Cliente'!AE101</f>
        <v>0</v>
      </c>
      <c r="AL101" s="33">
        <f>'Dados - Cliente'!AF101</f>
        <v>0</v>
      </c>
      <c r="AM101" s="36" t="e">
        <f>INDEX('Dados - Inversores'!$A:$A,MATCH('1'!AL101,'Dados - Inversores'!$C:$C,0))</f>
        <v>#N/A</v>
      </c>
      <c r="AN101" s="33">
        <f>'Dados - Cliente'!AG101</f>
        <v>0</v>
      </c>
      <c r="AO101" s="33" t="e">
        <f>AA101*1.25/(0.22*SQRT(INDEX('Dados - Inversores'!AK:AK,MATCH('1'!AL101,'Dados - Inversores'!C:C,0))))</f>
        <v>#N/A</v>
      </c>
      <c r="AP101" s="34">
        <f>INDEX(Dados!$E$2:$E$33,COUNTIF(Dados!$E$2:$E$33,"&lt;="&amp;AN101*1.25/(INDEX('Dados - Inversores'!AL:AL,MATCH('1'!AL101,'Dados - Inversores'!C:C,0))*SQRT(INDEX('Dados - Inversores'!AK:AK,MATCH('1'!AL101,'Dados - Inversores'!C:C,0)))))+1)</f>
        <v>2</v>
      </c>
      <c r="AQ101" s="33" t="s">
        <v>59</v>
      </c>
      <c r="AR101" s="33" t="str">
        <f t="shared" si="8"/>
        <v>Micro</v>
      </c>
      <c r="AS101" s="33">
        <f>'Dados - Cliente'!AH101</f>
        <v>0</v>
      </c>
      <c r="AT101" s="33">
        <f>'Dados - Cliente'!AI101</f>
        <v>0</v>
      </c>
      <c r="AU101" s="33" t="e">
        <f>INDEX('Dados - Placas'!$N:$N,MATCH('1'!AG101,'Dados - Placas'!$D:$D,0))-1</f>
        <v>#N/A</v>
      </c>
      <c r="AV101" s="33" t="e">
        <f>INDEX('Dados - Placas'!$O:$O,MATCH('1'!AG101,'Dados - Placas'!$D:$D,0))</f>
        <v>#N/A</v>
      </c>
      <c r="AW101" s="33" t="e">
        <f>INDEX('Dados - Inversores'!AM:AM,MATCH('1'!AL101,'Dados - Inversores'!$C:$C,0))-1</f>
        <v>#N/A</v>
      </c>
      <c r="AX101" s="33" t="e">
        <f>INDEX('Dados - Inversores'!AN:AN,MATCH('1'!AL101,'Dados - Inversores'!$C:$C,0))-1</f>
        <v>#N/A</v>
      </c>
      <c r="AY101" s="33" t="e">
        <f>MATCH('1'!H101,Dados!$D$89:$D$167,0)+1</f>
        <v>#N/A</v>
      </c>
      <c r="AZ101" s="33" t="e">
        <f>MATCH('1'!N101,'Dados - Solicitação de acesso'!$N$2:$N$8,0)</f>
        <v>#N/A</v>
      </c>
      <c r="BA101" s="33" t="e">
        <f>MATCH('1'!T101,'Dados - Solicitação de acesso'!$T$2:$T$20,0)</f>
        <v>#N/A</v>
      </c>
      <c r="BB101" s="34"/>
      <c r="BC101" s="33">
        <f>MATCH(AT101,'Dados - Solicitação de acesso'!$AT$2:$AT$28,0)</f>
        <v>1</v>
      </c>
      <c r="BD101" s="33" t="b">
        <f>IF(O101="TRIFASICO",INDEX(Dados!G:G,MATCH('1'!AP101,Dados!E:E,0)),IF(O101="BIFASICO",INDEX(Dados!F:F,MATCH('1'!AP101,Dados!E:E,0),)))</f>
        <v>0</v>
      </c>
      <c r="BE101" s="33">
        <f>'Dados - Cliente'!J101</f>
        <v>0</v>
      </c>
      <c r="BF101" s="34">
        <f>INDEX(Dados!$E$2:$E$33,COUNTIF(Dados!$E$2:$E$33,"&lt;="&amp;AN101*1.25*AK101/(0.22*SQRT(INDEX('Dados - Inversores'!AK:AK,MATCH('1'!AL101,'Dados - Inversores'!C:C,0)))))+1)</f>
        <v>2</v>
      </c>
      <c r="BG101" s="34" t="b">
        <f>IF(O101="TRIFASICO",INDEX(Dados!G:G,MATCH(BF101,Dados!E:E,0)),IF(O101="BIFASICO",INDEX(Dados!F:F,MATCH(BF101,Dados!E:E,0),)))</f>
        <v>0</v>
      </c>
    </row>
    <row r="102" spans="1:59" s="33" customFormat="1" x14ac:dyDescent="0.35">
      <c r="A102" s="33">
        <f>'Dados - Cliente'!A102</f>
        <v>0</v>
      </c>
      <c r="B102" s="33">
        <f>'Dados - Cliente'!B102</f>
        <v>0</v>
      </c>
      <c r="C102" s="33">
        <f>'Dados - Cliente'!C102</f>
        <v>0</v>
      </c>
      <c r="D102" s="33">
        <f>'Dados - Cliente'!D102</f>
        <v>0</v>
      </c>
      <c r="E102" s="33">
        <f>'Dados - Cliente'!E102</f>
        <v>0</v>
      </c>
      <c r="F102" s="33">
        <f>'Dados - Cliente'!F102</f>
        <v>0</v>
      </c>
      <c r="G102" s="33">
        <f>'Dados - Cliente'!G102</f>
        <v>0</v>
      </c>
      <c r="H102" s="33">
        <f>'Dados - Cliente'!H102</f>
        <v>0</v>
      </c>
      <c r="I102" s="75" t="s">
        <v>4313</v>
      </c>
      <c r="J102" s="52" t="s">
        <v>4314</v>
      </c>
      <c r="K102" s="52" t="s">
        <v>4314</v>
      </c>
      <c r="L102" s="33">
        <f>'Dados - Cliente'!I102</f>
        <v>0</v>
      </c>
      <c r="M102" s="33">
        <f>'Dados - Cliente'!K102</f>
        <v>0</v>
      </c>
      <c r="N102" s="33">
        <f>'Dados - Cliente'!L102</f>
        <v>0</v>
      </c>
      <c r="O102" s="33">
        <f>'Dados - Cliente'!M102</f>
        <v>0</v>
      </c>
      <c r="P102" s="33">
        <f>'Dados - Cliente'!N102</f>
        <v>0</v>
      </c>
      <c r="Q102" s="33">
        <f>'Dados - Cliente'!O102</f>
        <v>0</v>
      </c>
      <c r="R102" s="33">
        <f>'Dados - Cliente'!P102</f>
        <v>0</v>
      </c>
      <c r="S102" s="33">
        <f>'Dados - Cliente'!Q102</f>
        <v>0</v>
      </c>
      <c r="T102" s="33">
        <f>'Dados - Cliente'!R102</f>
        <v>0</v>
      </c>
      <c r="U102" s="34">
        <f>'Dados - Cliente'!S102</f>
        <v>0</v>
      </c>
      <c r="V102" s="34">
        <f>'Dados - Cliente'!T102</f>
        <v>0</v>
      </c>
      <c r="W102" s="34">
        <f>'Dados - Cliente'!U102</f>
        <v>0</v>
      </c>
      <c r="X102" s="34">
        <f>'Dados - Cliente'!V102</f>
        <v>0</v>
      </c>
      <c r="Y102" s="34">
        <f>'Dados - Cliente'!W102</f>
        <v>0</v>
      </c>
      <c r="Z102" s="34">
        <f>'Dados - Cliente'!X102</f>
        <v>0</v>
      </c>
      <c r="AA102" s="33" t="e">
        <f t="shared" si="7"/>
        <v>#N/A</v>
      </c>
      <c r="AB102" s="33">
        <f>'Dados - Cliente'!Y102</f>
        <v>0</v>
      </c>
      <c r="AC102" s="33">
        <f>'Dados - Cliente'!Z102</f>
        <v>0</v>
      </c>
      <c r="AD102" s="33">
        <f>'Dados - Cliente'!AA102</f>
        <v>0</v>
      </c>
      <c r="AE102" s="33">
        <f>'Dados - Cliente'!AB102</f>
        <v>0</v>
      </c>
      <c r="AF102" s="33">
        <f>'Dados - Cliente'!AC102</f>
        <v>0</v>
      </c>
      <c r="AG102" s="35">
        <f>'Dados - Cliente'!AD102</f>
        <v>0</v>
      </c>
      <c r="AH102" s="33" t="e">
        <f>INDEX('Dados - Placas'!$A:$A,MATCH('1'!AG102,'Dados - Placas'!$D:$D,0))</f>
        <v>#N/A</v>
      </c>
      <c r="AI102" s="35" t="e">
        <f>INDEX('Dados - Placas'!$E:$E,MATCH('1'!AG102,'Dados - Placas'!$D:$D,0))</f>
        <v>#N/A</v>
      </c>
      <c r="AJ102" s="34" t="e">
        <f>INDEX('Dados - Placas'!$F:$F,MATCH('1'!AG102,'Dados - Placas'!$D:$D,0))*AF102</f>
        <v>#N/A</v>
      </c>
      <c r="AK102" s="33">
        <f>'Dados - Cliente'!AE102</f>
        <v>0</v>
      </c>
      <c r="AL102" s="33">
        <f>'Dados - Cliente'!AF102</f>
        <v>0</v>
      </c>
      <c r="AM102" s="36" t="e">
        <f>INDEX('Dados - Inversores'!$A:$A,MATCH('1'!AL102,'Dados - Inversores'!$C:$C,0))</f>
        <v>#N/A</v>
      </c>
      <c r="AN102" s="33">
        <f>'Dados - Cliente'!AG102</f>
        <v>0</v>
      </c>
      <c r="AO102" s="33" t="e">
        <f>AA102*1.25/(0.22*SQRT(INDEX('Dados - Inversores'!AK:AK,MATCH('1'!AL102,'Dados - Inversores'!C:C,0))))</f>
        <v>#N/A</v>
      </c>
      <c r="AP102" s="34">
        <f>INDEX(Dados!$E$2:$E$33,COUNTIF(Dados!$E$2:$E$33,"&lt;="&amp;AN102*1.25/(INDEX('Dados - Inversores'!AL:AL,MATCH('1'!AL102,'Dados - Inversores'!C:C,0))*SQRT(INDEX('Dados - Inversores'!AK:AK,MATCH('1'!AL102,'Dados - Inversores'!C:C,0)))))+1)</f>
        <v>2</v>
      </c>
      <c r="AQ102" s="33" t="s">
        <v>59</v>
      </c>
      <c r="AR102" s="33" t="str">
        <f t="shared" si="8"/>
        <v>Micro</v>
      </c>
      <c r="AS102" s="33">
        <f>'Dados - Cliente'!AH102</f>
        <v>0</v>
      </c>
      <c r="AT102" s="33">
        <f>'Dados - Cliente'!AI102</f>
        <v>0</v>
      </c>
      <c r="AU102" s="33" t="e">
        <f>INDEX('Dados - Placas'!$N:$N,MATCH('1'!AG102,'Dados - Placas'!$D:$D,0))-1</f>
        <v>#N/A</v>
      </c>
      <c r="AV102" s="33" t="e">
        <f>INDEX('Dados - Placas'!$O:$O,MATCH('1'!AG102,'Dados - Placas'!$D:$D,0))</f>
        <v>#N/A</v>
      </c>
      <c r="AW102" s="33" t="e">
        <f>INDEX('Dados - Inversores'!AM:AM,MATCH('1'!AL102,'Dados - Inversores'!$C:$C,0))-1</f>
        <v>#N/A</v>
      </c>
      <c r="AX102" s="33" t="e">
        <f>INDEX('Dados - Inversores'!AN:AN,MATCH('1'!AL102,'Dados - Inversores'!$C:$C,0))-1</f>
        <v>#N/A</v>
      </c>
      <c r="AY102" s="33" t="e">
        <f>MATCH('1'!H102,Dados!$D$89:$D$167,0)+1</f>
        <v>#N/A</v>
      </c>
      <c r="AZ102" s="33" t="e">
        <f>MATCH('1'!N102,'Dados - Solicitação de acesso'!$N$2:$N$8,0)</f>
        <v>#N/A</v>
      </c>
      <c r="BA102" s="33" t="e">
        <f>MATCH('1'!T102,'Dados - Solicitação de acesso'!$T$2:$T$20,0)</f>
        <v>#N/A</v>
      </c>
      <c r="BB102" s="34"/>
      <c r="BC102" s="33">
        <f>MATCH(AT102,'Dados - Solicitação de acesso'!$AT$2:$AT$28,0)</f>
        <v>1</v>
      </c>
      <c r="BD102" s="33" t="b">
        <f>IF(O102="TRIFASICO",INDEX(Dados!G:G,MATCH('1'!AP102,Dados!E:E,0)),IF(O102="BIFASICO",INDEX(Dados!F:F,MATCH('1'!AP102,Dados!E:E,0),)))</f>
        <v>0</v>
      </c>
      <c r="BE102" s="33">
        <f>'Dados - Cliente'!J102</f>
        <v>0</v>
      </c>
      <c r="BF102" s="34">
        <f>INDEX(Dados!$E$2:$E$33,COUNTIF(Dados!$E$2:$E$33,"&lt;="&amp;AN102*1.25*AK102/(0.22*SQRT(INDEX('Dados - Inversores'!AK:AK,MATCH('1'!AL102,'Dados - Inversores'!C:C,0)))))+1)</f>
        <v>2</v>
      </c>
      <c r="BG102" s="34" t="b">
        <f>IF(O102="TRIFASICO",INDEX(Dados!G:G,MATCH(BF102,Dados!E:E,0)),IF(O102="BIFASICO",INDEX(Dados!F:F,MATCH(BF102,Dados!E:E,0),)))</f>
        <v>0</v>
      </c>
    </row>
    <row r="103" spans="1:59" s="33" customFormat="1" x14ac:dyDescent="0.35">
      <c r="A103" s="33">
        <f>'Dados - Cliente'!A103</f>
        <v>0</v>
      </c>
      <c r="B103" s="33">
        <f>'Dados - Cliente'!B103</f>
        <v>0</v>
      </c>
      <c r="C103" s="33">
        <f>'Dados - Cliente'!C103</f>
        <v>0</v>
      </c>
      <c r="D103" s="33">
        <f>'Dados - Cliente'!D103</f>
        <v>0</v>
      </c>
      <c r="E103" s="33">
        <f>'Dados - Cliente'!E103</f>
        <v>0</v>
      </c>
      <c r="F103" s="33">
        <f>'Dados - Cliente'!F103</f>
        <v>0</v>
      </c>
      <c r="G103" s="33">
        <f>'Dados - Cliente'!G103</f>
        <v>0</v>
      </c>
      <c r="H103" s="33">
        <f>'Dados - Cliente'!H103</f>
        <v>0</v>
      </c>
      <c r="I103" s="75" t="s">
        <v>4313</v>
      </c>
      <c r="J103" s="52" t="s">
        <v>4314</v>
      </c>
      <c r="K103" s="52" t="s">
        <v>4314</v>
      </c>
      <c r="L103" s="33">
        <f>'Dados - Cliente'!I103</f>
        <v>0</v>
      </c>
      <c r="M103" s="33">
        <f>'Dados - Cliente'!K103</f>
        <v>0</v>
      </c>
      <c r="N103" s="33">
        <f>'Dados - Cliente'!L103</f>
        <v>0</v>
      </c>
      <c r="O103" s="33">
        <f>'Dados - Cliente'!M103</f>
        <v>0</v>
      </c>
      <c r="P103" s="33">
        <f>'Dados - Cliente'!N103</f>
        <v>0</v>
      </c>
      <c r="Q103" s="33">
        <f>'Dados - Cliente'!O103</f>
        <v>0</v>
      </c>
      <c r="R103" s="33">
        <f>'Dados - Cliente'!P103</f>
        <v>0</v>
      </c>
      <c r="S103" s="33">
        <f>'Dados - Cliente'!Q103</f>
        <v>0</v>
      </c>
      <c r="T103" s="33">
        <f>'Dados - Cliente'!R103</f>
        <v>0</v>
      </c>
      <c r="U103" s="34">
        <f>'Dados - Cliente'!S103</f>
        <v>0</v>
      </c>
      <c r="V103" s="34">
        <f>'Dados - Cliente'!T103</f>
        <v>0</v>
      </c>
      <c r="W103" s="34">
        <f>'Dados - Cliente'!U103</f>
        <v>0</v>
      </c>
      <c r="X103" s="34">
        <f>'Dados - Cliente'!V103</f>
        <v>0</v>
      </c>
      <c r="Y103" s="34">
        <f>'Dados - Cliente'!W103</f>
        <v>0</v>
      </c>
      <c r="Z103" s="34">
        <f>'Dados - Cliente'!X103</f>
        <v>0</v>
      </c>
      <c r="AA103" s="33" t="e">
        <f t="shared" si="7"/>
        <v>#N/A</v>
      </c>
      <c r="AB103" s="33">
        <f>'Dados - Cliente'!Y103</f>
        <v>0</v>
      </c>
      <c r="AC103" s="33">
        <f>'Dados - Cliente'!Z103</f>
        <v>0</v>
      </c>
      <c r="AD103" s="33">
        <f>'Dados - Cliente'!AA103</f>
        <v>0</v>
      </c>
      <c r="AE103" s="33">
        <f>'Dados - Cliente'!AB103</f>
        <v>0</v>
      </c>
      <c r="AF103" s="33">
        <f>'Dados - Cliente'!AC103</f>
        <v>0</v>
      </c>
      <c r="AG103" s="35">
        <f>'Dados - Cliente'!AD103</f>
        <v>0</v>
      </c>
      <c r="AH103" s="33" t="e">
        <f>INDEX('Dados - Placas'!$A:$A,MATCH('1'!AG103,'Dados - Placas'!$D:$D,0))</f>
        <v>#N/A</v>
      </c>
      <c r="AI103" s="35" t="e">
        <f>INDEX('Dados - Placas'!$E:$E,MATCH('1'!AG103,'Dados - Placas'!$D:$D,0))</f>
        <v>#N/A</v>
      </c>
      <c r="AJ103" s="34" t="e">
        <f>INDEX('Dados - Placas'!$F:$F,MATCH('1'!AG103,'Dados - Placas'!$D:$D,0))*AF103</f>
        <v>#N/A</v>
      </c>
      <c r="AK103" s="33">
        <f>'Dados - Cliente'!AE103</f>
        <v>0</v>
      </c>
      <c r="AL103" s="33">
        <f>'Dados - Cliente'!AF103</f>
        <v>0</v>
      </c>
      <c r="AM103" s="36" t="e">
        <f>INDEX('Dados - Inversores'!$A:$A,MATCH('1'!AL103,'Dados - Inversores'!$C:$C,0))</f>
        <v>#N/A</v>
      </c>
      <c r="AN103" s="33">
        <f>'Dados - Cliente'!AG103</f>
        <v>0</v>
      </c>
      <c r="AO103" s="33" t="e">
        <f>AA103*1.25/(0.22*SQRT(INDEX('Dados - Inversores'!AK:AK,MATCH('1'!AL103,'Dados - Inversores'!C:C,0))))</f>
        <v>#N/A</v>
      </c>
      <c r="AP103" s="34">
        <f>INDEX(Dados!$E$2:$E$33,COUNTIF(Dados!$E$2:$E$33,"&lt;="&amp;AN103*1.25/(INDEX('Dados - Inversores'!AL:AL,MATCH('1'!AL103,'Dados - Inversores'!C:C,0))*SQRT(INDEX('Dados - Inversores'!AK:AK,MATCH('1'!AL103,'Dados - Inversores'!C:C,0)))))+1)</f>
        <v>2</v>
      </c>
      <c r="AQ103" s="33" t="s">
        <v>59</v>
      </c>
      <c r="AR103" s="33" t="str">
        <f t="shared" si="8"/>
        <v>Micro</v>
      </c>
      <c r="AS103" s="33">
        <f>'Dados - Cliente'!AH103</f>
        <v>0</v>
      </c>
      <c r="AT103" s="33">
        <f>'Dados - Cliente'!AI103</f>
        <v>0</v>
      </c>
      <c r="AU103" s="33" t="e">
        <f>INDEX('Dados - Placas'!$N:$N,MATCH('1'!AG103,'Dados - Placas'!$D:$D,0))-1</f>
        <v>#N/A</v>
      </c>
      <c r="AV103" s="33" t="e">
        <f>INDEX('Dados - Placas'!$O:$O,MATCH('1'!AG103,'Dados - Placas'!$D:$D,0))</f>
        <v>#N/A</v>
      </c>
      <c r="AW103" s="33" t="e">
        <f>INDEX('Dados - Inversores'!AM:AM,MATCH('1'!AL103,'Dados - Inversores'!$C:$C,0))-1</f>
        <v>#N/A</v>
      </c>
      <c r="AX103" s="33" t="e">
        <f>INDEX('Dados - Inversores'!AN:AN,MATCH('1'!AL103,'Dados - Inversores'!$C:$C,0))-1</f>
        <v>#N/A</v>
      </c>
      <c r="AY103" s="33" t="e">
        <f>MATCH('1'!H103,Dados!$D$89:$D$167,0)+1</f>
        <v>#N/A</v>
      </c>
      <c r="AZ103" s="33" t="e">
        <f>MATCH('1'!N103,'Dados - Solicitação de acesso'!$N$2:$N$8,0)</f>
        <v>#N/A</v>
      </c>
      <c r="BA103" s="33" t="e">
        <f>MATCH('1'!T103,'Dados - Solicitação de acesso'!$T$2:$T$20,0)</f>
        <v>#N/A</v>
      </c>
      <c r="BB103" s="34"/>
      <c r="BC103" s="33">
        <f>MATCH(AT103,'Dados - Solicitação de acesso'!$AT$2:$AT$28,0)</f>
        <v>1</v>
      </c>
      <c r="BD103" s="33" t="b">
        <f>IF(O103="TRIFASICO",INDEX(Dados!G:G,MATCH('1'!AP103,Dados!E:E,0)),IF(O103="BIFASICO",INDEX(Dados!F:F,MATCH('1'!AP103,Dados!E:E,0),)))</f>
        <v>0</v>
      </c>
      <c r="BE103" s="33">
        <f>'Dados - Cliente'!J103</f>
        <v>0</v>
      </c>
      <c r="BF103" s="34">
        <f>INDEX(Dados!$E$2:$E$33,COUNTIF(Dados!$E$2:$E$33,"&lt;="&amp;AN103*1.25*AK103/(0.22*SQRT(INDEX('Dados - Inversores'!AK:AK,MATCH('1'!AL103,'Dados - Inversores'!C:C,0)))))+1)</f>
        <v>2</v>
      </c>
      <c r="BG103" s="34" t="b">
        <f>IF(O103="TRIFASICO",INDEX(Dados!G:G,MATCH(BF103,Dados!E:E,0)),IF(O103="BIFASICO",INDEX(Dados!F:F,MATCH(BF103,Dados!E:E,0),)))</f>
        <v>0</v>
      </c>
    </row>
    <row r="104" spans="1:59" s="33" customFormat="1" x14ac:dyDescent="0.35">
      <c r="A104" s="33">
        <f>'Dados - Cliente'!A104</f>
        <v>0</v>
      </c>
      <c r="B104" s="33">
        <f>'Dados - Cliente'!B104</f>
        <v>0</v>
      </c>
      <c r="C104" s="33">
        <f>'Dados - Cliente'!C104</f>
        <v>0</v>
      </c>
      <c r="D104" s="33">
        <f>'Dados - Cliente'!D104</f>
        <v>0</v>
      </c>
      <c r="E104" s="33">
        <f>'Dados - Cliente'!E104</f>
        <v>0</v>
      </c>
      <c r="F104" s="33">
        <f>'Dados - Cliente'!F104</f>
        <v>0</v>
      </c>
      <c r="G104" s="33">
        <f>'Dados - Cliente'!G104</f>
        <v>0</v>
      </c>
      <c r="H104" s="33">
        <f>'Dados - Cliente'!H104</f>
        <v>0</v>
      </c>
      <c r="I104" s="75" t="s">
        <v>4313</v>
      </c>
      <c r="J104" s="52" t="s">
        <v>4314</v>
      </c>
      <c r="K104" s="52" t="s">
        <v>4314</v>
      </c>
      <c r="L104" s="33">
        <f>'Dados - Cliente'!I104</f>
        <v>0</v>
      </c>
      <c r="M104" s="33">
        <f>'Dados - Cliente'!K104</f>
        <v>0</v>
      </c>
      <c r="N104" s="33">
        <f>'Dados - Cliente'!L104</f>
        <v>0</v>
      </c>
      <c r="O104" s="33">
        <f>'Dados - Cliente'!M104</f>
        <v>0</v>
      </c>
      <c r="P104" s="33">
        <f>'Dados - Cliente'!N104</f>
        <v>0</v>
      </c>
      <c r="Q104" s="33">
        <f>'Dados - Cliente'!O104</f>
        <v>0</v>
      </c>
      <c r="R104" s="33">
        <f>'Dados - Cliente'!P104</f>
        <v>0</v>
      </c>
      <c r="S104" s="33">
        <f>'Dados - Cliente'!Q104</f>
        <v>0</v>
      </c>
      <c r="T104" s="33">
        <f>'Dados - Cliente'!R104</f>
        <v>0</v>
      </c>
      <c r="U104" s="34">
        <f>'Dados - Cliente'!S104</f>
        <v>0</v>
      </c>
      <c r="V104" s="34">
        <f>'Dados - Cliente'!T104</f>
        <v>0</v>
      </c>
      <c r="W104" s="34">
        <f>'Dados - Cliente'!U104</f>
        <v>0</v>
      </c>
      <c r="X104" s="34">
        <f>'Dados - Cliente'!V104</f>
        <v>0</v>
      </c>
      <c r="Y104" s="34">
        <f>'Dados - Cliente'!W104</f>
        <v>0</v>
      </c>
      <c r="Z104" s="34">
        <f>'Dados - Cliente'!X104</f>
        <v>0</v>
      </c>
      <c r="AA104" s="33" t="e">
        <f t="shared" si="7"/>
        <v>#N/A</v>
      </c>
      <c r="AB104" s="33">
        <f>'Dados - Cliente'!Y104</f>
        <v>0</v>
      </c>
      <c r="AC104" s="33">
        <f>'Dados - Cliente'!Z104</f>
        <v>0</v>
      </c>
      <c r="AD104" s="33">
        <f>'Dados - Cliente'!AA104</f>
        <v>0</v>
      </c>
      <c r="AE104" s="33">
        <f>'Dados - Cliente'!AB104</f>
        <v>0</v>
      </c>
      <c r="AF104" s="33">
        <f>'Dados - Cliente'!AC104</f>
        <v>0</v>
      </c>
      <c r="AG104" s="35">
        <f>'Dados - Cliente'!AD104</f>
        <v>0</v>
      </c>
      <c r="AH104" s="33" t="e">
        <f>INDEX('Dados - Placas'!$A:$A,MATCH('1'!AG104,'Dados - Placas'!$D:$D,0))</f>
        <v>#N/A</v>
      </c>
      <c r="AI104" s="35" t="e">
        <f>INDEX('Dados - Placas'!$E:$E,MATCH('1'!AG104,'Dados - Placas'!$D:$D,0))</f>
        <v>#N/A</v>
      </c>
      <c r="AJ104" s="34" t="e">
        <f>INDEX('Dados - Placas'!$F:$F,MATCH('1'!AG104,'Dados - Placas'!$D:$D,0))*AF104</f>
        <v>#N/A</v>
      </c>
      <c r="AK104" s="33">
        <f>'Dados - Cliente'!AE104</f>
        <v>0</v>
      </c>
      <c r="AL104" s="33">
        <f>'Dados - Cliente'!AF104</f>
        <v>0</v>
      </c>
      <c r="AM104" s="36" t="e">
        <f>INDEX('Dados - Inversores'!$A:$A,MATCH('1'!AL104,'Dados - Inversores'!$C:$C,0))</f>
        <v>#N/A</v>
      </c>
      <c r="AN104" s="33">
        <f>'Dados - Cliente'!AG104</f>
        <v>0</v>
      </c>
      <c r="AO104" s="33" t="e">
        <f>AA104*1.25/(0.22*SQRT(INDEX('Dados - Inversores'!AK:AK,MATCH('1'!AL104,'Dados - Inversores'!C:C,0))))</f>
        <v>#N/A</v>
      </c>
      <c r="AP104" s="34">
        <f>INDEX(Dados!$E$2:$E$33,COUNTIF(Dados!$E$2:$E$33,"&lt;="&amp;AN104*1.25/(INDEX('Dados - Inversores'!AL:AL,MATCH('1'!AL104,'Dados - Inversores'!C:C,0))*SQRT(INDEX('Dados - Inversores'!AK:AK,MATCH('1'!AL104,'Dados - Inversores'!C:C,0)))))+1)</f>
        <v>2</v>
      </c>
      <c r="AQ104" s="33" t="s">
        <v>59</v>
      </c>
      <c r="AR104" s="33" t="str">
        <f t="shared" si="8"/>
        <v>Micro</v>
      </c>
      <c r="AS104" s="33">
        <f>'Dados - Cliente'!AH104</f>
        <v>0</v>
      </c>
      <c r="AT104" s="33">
        <f>'Dados - Cliente'!AI104</f>
        <v>0</v>
      </c>
      <c r="AU104" s="33" t="e">
        <f>INDEX('Dados - Placas'!$N:$N,MATCH('1'!AG104,'Dados - Placas'!$D:$D,0))-1</f>
        <v>#N/A</v>
      </c>
      <c r="AV104" s="33" t="e">
        <f>INDEX('Dados - Placas'!$O:$O,MATCH('1'!AG104,'Dados - Placas'!$D:$D,0))</f>
        <v>#N/A</v>
      </c>
      <c r="AW104" s="33" t="e">
        <f>INDEX('Dados - Inversores'!AM:AM,MATCH('1'!AL104,'Dados - Inversores'!$C:$C,0))-1</f>
        <v>#N/A</v>
      </c>
      <c r="AX104" s="33" t="e">
        <f>INDEX('Dados - Inversores'!AN:AN,MATCH('1'!AL104,'Dados - Inversores'!$C:$C,0))-1</f>
        <v>#N/A</v>
      </c>
      <c r="AY104" s="33" t="e">
        <f>MATCH('1'!H104,Dados!$D$89:$D$167,0)+1</f>
        <v>#N/A</v>
      </c>
      <c r="AZ104" s="33" t="e">
        <f>MATCH('1'!N104,'Dados - Solicitação de acesso'!$N$2:$N$8,0)</f>
        <v>#N/A</v>
      </c>
      <c r="BA104" s="33" t="e">
        <f>MATCH('1'!T104,'Dados - Solicitação de acesso'!$T$2:$T$20,0)</f>
        <v>#N/A</v>
      </c>
      <c r="BB104" s="34"/>
      <c r="BC104" s="33">
        <f>MATCH(AT104,'Dados - Solicitação de acesso'!$AT$2:$AT$28,0)</f>
        <v>1</v>
      </c>
      <c r="BD104" s="33" t="b">
        <f>IF(O104="TRIFASICO",INDEX(Dados!G:G,MATCH('1'!AP104,Dados!E:E,0)),IF(O104="BIFASICO",INDEX(Dados!F:F,MATCH('1'!AP104,Dados!E:E,0),)))</f>
        <v>0</v>
      </c>
      <c r="BE104" s="33">
        <f>'Dados - Cliente'!J104</f>
        <v>0</v>
      </c>
      <c r="BF104" s="34">
        <f>INDEX(Dados!$E$2:$E$33,COUNTIF(Dados!$E$2:$E$33,"&lt;="&amp;AN104*1.25*AK104/(0.22*SQRT(INDEX('Dados - Inversores'!AK:AK,MATCH('1'!AL104,'Dados - Inversores'!C:C,0)))))+1)</f>
        <v>2</v>
      </c>
      <c r="BG104" s="34" t="b">
        <f>IF(O104="TRIFASICO",INDEX(Dados!G:G,MATCH(BF104,Dados!E:E,0)),IF(O104="BIFASICO",INDEX(Dados!F:F,MATCH(BF104,Dados!E:E,0),)))</f>
        <v>0</v>
      </c>
    </row>
    <row r="105" spans="1:59" s="33" customFormat="1" x14ac:dyDescent="0.35">
      <c r="A105" s="33">
        <f>'Dados - Cliente'!A105</f>
        <v>0</v>
      </c>
      <c r="B105" s="33">
        <f>'Dados - Cliente'!B105</f>
        <v>0</v>
      </c>
      <c r="C105" s="33">
        <f>'Dados - Cliente'!C105</f>
        <v>0</v>
      </c>
      <c r="D105" s="33">
        <f>'Dados - Cliente'!D105</f>
        <v>0</v>
      </c>
      <c r="E105" s="33">
        <f>'Dados - Cliente'!E105</f>
        <v>0</v>
      </c>
      <c r="F105" s="33">
        <f>'Dados - Cliente'!F105</f>
        <v>0</v>
      </c>
      <c r="G105" s="33">
        <f>'Dados - Cliente'!G105</f>
        <v>0</v>
      </c>
      <c r="H105" s="33">
        <f>'Dados - Cliente'!H105</f>
        <v>0</v>
      </c>
      <c r="I105" s="75" t="s">
        <v>4313</v>
      </c>
      <c r="J105" s="52" t="s">
        <v>4314</v>
      </c>
      <c r="K105" s="52" t="s">
        <v>4314</v>
      </c>
      <c r="L105" s="33">
        <f>'Dados - Cliente'!I105</f>
        <v>0</v>
      </c>
      <c r="M105" s="33">
        <f>'Dados - Cliente'!K105</f>
        <v>0</v>
      </c>
      <c r="N105" s="33">
        <f>'Dados - Cliente'!L105</f>
        <v>0</v>
      </c>
      <c r="O105" s="33">
        <f>'Dados - Cliente'!M105</f>
        <v>0</v>
      </c>
      <c r="P105" s="33">
        <f>'Dados - Cliente'!N105</f>
        <v>0</v>
      </c>
      <c r="Q105" s="33">
        <f>'Dados - Cliente'!O105</f>
        <v>0</v>
      </c>
      <c r="R105" s="33">
        <f>'Dados - Cliente'!P105</f>
        <v>0</v>
      </c>
      <c r="S105" s="33">
        <f>'Dados - Cliente'!Q105</f>
        <v>0</v>
      </c>
      <c r="T105" s="33">
        <f>'Dados - Cliente'!R105</f>
        <v>0</v>
      </c>
      <c r="U105" s="34">
        <f>'Dados - Cliente'!S105</f>
        <v>0</v>
      </c>
      <c r="V105" s="34">
        <f>'Dados - Cliente'!T105</f>
        <v>0</v>
      </c>
      <c r="W105" s="34">
        <f>'Dados - Cliente'!U105</f>
        <v>0</v>
      </c>
      <c r="X105" s="34">
        <f>'Dados - Cliente'!V105</f>
        <v>0</v>
      </c>
      <c r="Y105" s="34">
        <f>'Dados - Cliente'!W105</f>
        <v>0</v>
      </c>
      <c r="Z105" s="34">
        <f>'Dados - Cliente'!X105</f>
        <v>0</v>
      </c>
      <c r="AA105" s="33" t="e">
        <f t="shared" si="7"/>
        <v>#N/A</v>
      </c>
      <c r="AB105" s="33">
        <f>'Dados - Cliente'!Y105</f>
        <v>0</v>
      </c>
      <c r="AC105" s="33">
        <f>'Dados - Cliente'!Z105</f>
        <v>0</v>
      </c>
      <c r="AD105" s="33">
        <f>'Dados - Cliente'!AA105</f>
        <v>0</v>
      </c>
      <c r="AE105" s="33">
        <f>'Dados - Cliente'!AB105</f>
        <v>0</v>
      </c>
      <c r="AF105" s="33">
        <f>'Dados - Cliente'!AC105</f>
        <v>0</v>
      </c>
      <c r="AG105" s="35">
        <f>'Dados - Cliente'!AD105</f>
        <v>0</v>
      </c>
      <c r="AH105" s="33" t="e">
        <f>INDEX('Dados - Placas'!$A:$A,MATCH('1'!AG105,'Dados - Placas'!$D:$D,0))</f>
        <v>#N/A</v>
      </c>
      <c r="AI105" s="35" t="e">
        <f>INDEX('Dados - Placas'!$E:$E,MATCH('1'!AG105,'Dados - Placas'!$D:$D,0))</f>
        <v>#N/A</v>
      </c>
      <c r="AJ105" s="34" t="e">
        <f>INDEX('Dados - Placas'!$F:$F,MATCH('1'!AG105,'Dados - Placas'!$D:$D,0))*AF105</f>
        <v>#N/A</v>
      </c>
      <c r="AK105" s="33">
        <f>'Dados - Cliente'!AE105</f>
        <v>0</v>
      </c>
      <c r="AL105" s="33">
        <f>'Dados - Cliente'!AF105</f>
        <v>0</v>
      </c>
      <c r="AM105" s="36" t="e">
        <f>INDEX('Dados - Inversores'!$A:$A,MATCH('1'!AL105,'Dados - Inversores'!$C:$C,0))</f>
        <v>#N/A</v>
      </c>
      <c r="AN105" s="33">
        <f>'Dados - Cliente'!AG105</f>
        <v>0</v>
      </c>
      <c r="AO105" s="33" t="e">
        <f>AA105*1.25/(0.22*SQRT(INDEX('Dados - Inversores'!AK:AK,MATCH('1'!AL105,'Dados - Inversores'!C:C,0))))</f>
        <v>#N/A</v>
      </c>
      <c r="AP105" s="34">
        <f>INDEX(Dados!$E$2:$E$33,COUNTIF(Dados!$E$2:$E$33,"&lt;="&amp;AN105*1.25/(INDEX('Dados - Inversores'!AL:AL,MATCH('1'!AL105,'Dados - Inversores'!C:C,0))*SQRT(INDEX('Dados - Inversores'!AK:AK,MATCH('1'!AL105,'Dados - Inversores'!C:C,0)))))+1)</f>
        <v>2</v>
      </c>
      <c r="AQ105" s="33" t="s">
        <v>59</v>
      </c>
      <c r="AR105" s="33" t="str">
        <f t="shared" si="8"/>
        <v>Micro</v>
      </c>
      <c r="AS105" s="33">
        <f>'Dados - Cliente'!AH105</f>
        <v>0</v>
      </c>
      <c r="AT105" s="33">
        <f>'Dados - Cliente'!AI105</f>
        <v>0</v>
      </c>
      <c r="AU105" s="33" t="e">
        <f>INDEX('Dados - Placas'!$N:$N,MATCH('1'!AG105,'Dados - Placas'!$D:$D,0))-1</f>
        <v>#N/A</v>
      </c>
      <c r="AV105" s="33" t="e">
        <f>INDEX('Dados - Placas'!$O:$O,MATCH('1'!AG105,'Dados - Placas'!$D:$D,0))</f>
        <v>#N/A</v>
      </c>
      <c r="AW105" s="33" t="e">
        <f>INDEX('Dados - Inversores'!AM:AM,MATCH('1'!AL105,'Dados - Inversores'!$C:$C,0))-1</f>
        <v>#N/A</v>
      </c>
      <c r="AX105" s="33" t="e">
        <f>INDEX('Dados - Inversores'!AN:AN,MATCH('1'!AL105,'Dados - Inversores'!$C:$C,0))-1</f>
        <v>#N/A</v>
      </c>
      <c r="AY105" s="33" t="e">
        <f>MATCH('1'!H105,Dados!$D$89:$D$167,0)+1</f>
        <v>#N/A</v>
      </c>
      <c r="AZ105" s="33" t="e">
        <f>MATCH('1'!N105,'Dados - Solicitação de acesso'!$N$2:$N$8,0)</f>
        <v>#N/A</v>
      </c>
      <c r="BA105" s="33" t="e">
        <f>MATCH('1'!T105,'Dados - Solicitação de acesso'!$T$2:$T$20,0)</f>
        <v>#N/A</v>
      </c>
      <c r="BB105" s="34"/>
      <c r="BC105" s="33">
        <f>MATCH(AT105,'Dados - Solicitação de acesso'!$AT$2:$AT$28,0)</f>
        <v>1</v>
      </c>
      <c r="BD105" s="33" t="b">
        <f>IF(O105="TRIFASICO",INDEX(Dados!G:G,MATCH('1'!AP105,Dados!E:E,0)),IF(O105="BIFASICO",INDEX(Dados!F:F,MATCH('1'!AP105,Dados!E:E,0),)))</f>
        <v>0</v>
      </c>
      <c r="BE105" s="33">
        <f>'Dados - Cliente'!J105</f>
        <v>0</v>
      </c>
      <c r="BF105" s="34">
        <f>INDEX(Dados!$E$2:$E$33,COUNTIF(Dados!$E$2:$E$33,"&lt;="&amp;AN105*1.25*AK105/(0.22*SQRT(INDEX('Dados - Inversores'!AK:AK,MATCH('1'!AL105,'Dados - Inversores'!C:C,0)))))+1)</f>
        <v>2</v>
      </c>
      <c r="BG105" s="34" t="b">
        <f>IF(O105="TRIFASICO",INDEX(Dados!G:G,MATCH(BF105,Dados!E:E,0)),IF(O105="BIFASICO",INDEX(Dados!F:F,MATCH(BF105,Dados!E:E,0),)))</f>
        <v>0</v>
      </c>
    </row>
    <row r="106" spans="1:59" s="33" customFormat="1" x14ac:dyDescent="0.35">
      <c r="A106" s="33">
        <f>'Dados - Cliente'!A106</f>
        <v>0</v>
      </c>
      <c r="B106" s="33">
        <f>'Dados - Cliente'!B106</f>
        <v>0</v>
      </c>
      <c r="C106" s="33">
        <f>'Dados - Cliente'!C106</f>
        <v>0</v>
      </c>
      <c r="D106" s="33">
        <f>'Dados - Cliente'!D106</f>
        <v>0</v>
      </c>
      <c r="E106" s="33">
        <f>'Dados - Cliente'!E106</f>
        <v>0</v>
      </c>
      <c r="F106" s="33">
        <f>'Dados - Cliente'!F106</f>
        <v>0</v>
      </c>
      <c r="G106" s="33">
        <f>'Dados - Cliente'!G106</f>
        <v>0</v>
      </c>
      <c r="H106" s="33">
        <f>'Dados - Cliente'!H106</f>
        <v>0</v>
      </c>
      <c r="I106" s="75" t="s">
        <v>4313</v>
      </c>
      <c r="J106" s="52" t="s">
        <v>4314</v>
      </c>
      <c r="K106" s="52" t="s">
        <v>4314</v>
      </c>
      <c r="L106" s="33">
        <f>'Dados - Cliente'!I106</f>
        <v>0</v>
      </c>
      <c r="M106" s="33">
        <f>'Dados - Cliente'!K106</f>
        <v>0</v>
      </c>
      <c r="N106" s="33">
        <f>'Dados - Cliente'!L106</f>
        <v>0</v>
      </c>
      <c r="O106" s="33">
        <f>'Dados - Cliente'!M106</f>
        <v>0</v>
      </c>
      <c r="P106" s="33">
        <f>'Dados - Cliente'!N106</f>
        <v>0</v>
      </c>
      <c r="Q106" s="33">
        <f>'Dados - Cliente'!O106</f>
        <v>0</v>
      </c>
      <c r="R106" s="33">
        <f>'Dados - Cliente'!P106</f>
        <v>0</v>
      </c>
      <c r="S106" s="33">
        <f>'Dados - Cliente'!Q106</f>
        <v>0</v>
      </c>
      <c r="T106" s="33">
        <f>'Dados - Cliente'!R106</f>
        <v>0</v>
      </c>
      <c r="U106" s="34">
        <f>'Dados - Cliente'!S106</f>
        <v>0</v>
      </c>
      <c r="V106" s="34">
        <f>'Dados - Cliente'!T106</f>
        <v>0</v>
      </c>
      <c r="W106" s="34">
        <f>'Dados - Cliente'!U106</f>
        <v>0</v>
      </c>
      <c r="X106" s="34">
        <f>'Dados - Cliente'!V106</f>
        <v>0</v>
      </c>
      <c r="Y106" s="34">
        <f>'Dados - Cliente'!W106</f>
        <v>0</v>
      </c>
      <c r="Z106" s="34">
        <f>'Dados - Cliente'!X106</f>
        <v>0</v>
      </c>
      <c r="AA106" s="33" t="e">
        <f t="shared" si="7"/>
        <v>#N/A</v>
      </c>
      <c r="AB106" s="33">
        <f>'Dados - Cliente'!Y106</f>
        <v>0</v>
      </c>
      <c r="AC106" s="33">
        <f>'Dados - Cliente'!Z106</f>
        <v>0</v>
      </c>
      <c r="AD106" s="33">
        <f>'Dados - Cliente'!AA106</f>
        <v>0</v>
      </c>
      <c r="AE106" s="33">
        <f>'Dados - Cliente'!AB106</f>
        <v>0</v>
      </c>
      <c r="AF106" s="33">
        <f>'Dados - Cliente'!AC106</f>
        <v>0</v>
      </c>
      <c r="AG106" s="35">
        <f>'Dados - Cliente'!AD106</f>
        <v>0</v>
      </c>
      <c r="AH106" s="33" t="e">
        <f>INDEX('Dados - Placas'!$A:$A,MATCH('1'!AG106,'Dados - Placas'!$D:$D,0))</f>
        <v>#N/A</v>
      </c>
      <c r="AI106" s="35" t="e">
        <f>INDEX('Dados - Placas'!$E:$E,MATCH('1'!AG106,'Dados - Placas'!$D:$D,0))</f>
        <v>#N/A</v>
      </c>
      <c r="AJ106" s="34" t="e">
        <f>INDEX('Dados - Placas'!$F:$F,MATCH('1'!AG106,'Dados - Placas'!$D:$D,0))*AF106</f>
        <v>#N/A</v>
      </c>
      <c r="AK106" s="33">
        <f>'Dados - Cliente'!AE106</f>
        <v>0</v>
      </c>
      <c r="AL106" s="33">
        <f>'Dados - Cliente'!AF106</f>
        <v>0</v>
      </c>
      <c r="AM106" s="36" t="e">
        <f>INDEX('Dados - Inversores'!$A:$A,MATCH('1'!AL106,'Dados - Inversores'!$C:$C,0))</f>
        <v>#N/A</v>
      </c>
      <c r="AN106" s="33">
        <f>'Dados - Cliente'!AG106</f>
        <v>0</v>
      </c>
      <c r="AO106" s="33" t="e">
        <f>AA106*1.25/(0.22*SQRT(INDEX('Dados - Inversores'!AK:AK,MATCH('1'!AL106,'Dados - Inversores'!C:C,0))))</f>
        <v>#N/A</v>
      </c>
      <c r="AP106" s="34">
        <f>INDEX(Dados!$E$2:$E$33,COUNTIF(Dados!$E$2:$E$33,"&lt;="&amp;AN106*1.25/(INDEX('Dados - Inversores'!AL:AL,MATCH('1'!AL106,'Dados - Inversores'!C:C,0))*SQRT(INDEX('Dados - Inversores'!AK:AK,MATCH('1'!AL106,'Dados - Inversores'!C:C,0)))))+1)</f>
        <v>2</v>
      </c>
      <c r="AQ106" s="33" t="s">
        <v>59</v>
      </c>
      <c r="AR106" s="33" t="str">
        <f t="shared" si="8"/>
        <v>Micro</v>
      </c>
      <c r="AS106" s="33">
        <f>'Dados - Cliente'!AH106</f>
        <v>0</v>
      </c>
      <c r="AT106" s="33">
        <f>'Dados - Cliente'!AI106</f>
        <v>0</v>
      </c>
      <c r="AU106" s="33" t="e">
        <f>INDEX('Dados - Placas'!$N:$N,MATCH('1'!AG106,'Dados - Placas'!$D:$D,0))-1</f>
        <v>#N/A</v>
      </c>
      <c r="AV106" s="33" t="e">
        <f>INDEX('Dados - Placas'!$O:$O,MATCH('1'!AG106,'Dados - Placas'!$D:$D,0))</f>
        <v>#N/A</v>
      </c>
      <c r="AW106" s="33" t="e">
        <f>INDEX('Dados - Inversores'!AM:AM,MATCH('1'!AL106,'Dados - Inversores'!$C:$C,0))-1</f>
        <v>#N/A</v>
      </c>
      <c r="AX106" s="33" t="e">
        <f>INDEX('Dados - Inversores'!AN:AN,MATCH('1'!AL106,'Dados - Inversores'!$C:$C,0))-1</f>
        <v>#N/A</v>
      </c>
      <c r="AY106" s="33" t="e">
        <f>MATCH('1'!H106,Dados!$D$89:$D$167,0)+1</f>
        <v>#N/A</v>
      </c>
      <c r="AZ106" s="33" t="e">
        <f>MATCH('1'!N106,'Dados - Solicitação de acesso'!$N$2:$N$8,0)</f>
        <v>#N/A</v>
      </c>
      <c r="BA106" s="33" t="e">
        <f>MATCH('1'!T106,'Dados - Solicitação de acesso'!$T$2:$T$20,0)</f>
        <v>#N/A</v>
      </c>
      <c r="BB106" s="34"/>
      <c r="BC106" s="33">
        <f>MATCH(AT106,'Dados - Solicitação de acesso'!$AT$2:$AT$28,0)</f>
        <v>1</v>
      </c>
      <c r="BD106" s="33" t="b">
        <f>IF(O106="TRIFASICO",INDEX(Dados!G:G,MATCH('1'!AP106,Dados!E:E,0)),IF(O106="BIFASICO",INDEX(Dados!F:F,MATCH('1'!AP106,Dados!E:E,0),)))</f>
        <v>0</v>
      </c>
      <c r="BE106" s="33">
        <f>'Dados - Cliente'!J106</f>
        <v>0</v>
      </c>
      <c r="BF106" s="34">
        <f>INDEX(Dados!$E$2:$E$33,COUNTIF(Dados!$E$2:$E$33,"&lt;="&amp;AN106*1.25*AK106/(0.22*SQRT(INDEX('Dados - Inversores'!AK:AK,MATCH('1'!AL106,'Dados - Inversores'!C:C,0)))))+1)</f>
        <v>2</v>
      </c>
      <c r="BG106" s="34" t="b">
        <f>IF(O106="TRIFASICO",INDEX(Dados!G:G,MATCH(BF106,Dados!E:E,0)),IF(O106="BIFASICO",INDEX(Dados!F:F,MATCH(BF106,Dados!E:E,0),)))</f>
        <v>0</v>
      </c>
    </row>
    <row r="107" spans="1:59" s="33" customFormat="1" x14ac:dyDescent="0.35">
      <c r="A107" s="33">
        <f>'Dados - Cliente'!A107</f>
        <v>0</v>
      </c>
      <c r="B107" s="33">
        <f>'Dados - Cliente'!B107</f>
        <v>0</v>
      </c>
      <c r="C107" s="33">
        <f>'Dados - Cliente'!C107</f>
        <v>0</v>
      </c>
      <c r="D107" s="33">
        <f>'Dados - Cliente'!D107</f>
        <v>0</v>
      </c>
      <c r="E107" s="33">
        <f>'Dados - Cliente'!E107</f>
        <v>0</v>
      </c>
      <c r="F107" s="33">
        <f>'Dados - Cliente'!F107</f>
        <v>0</v>
      </c>
      <c r="G107" s="33">
        <f>'Dados - Cliente'!G107</f>
        <v>0</v>
      </c>
      <c r="H107" s="33">
        <f>'Dados - Cliente'!H107</f>
        <v>0</v>
      </c>
      <c r="I107" s="75" t="s">
        <v>4313</v>
      </c>
      <c r="J107" s="52" t="s">
        <v>4314</v>
      </c>
      <c r="K107" s="52" t="s">
        <v>4314</v>
      </c>
      <c r="L107" s="33">
        <f>'Dados - Cliente'!I107</f>
        <v>0</v>
      </c>
      <c r="M107" s="33">
        <f>'Dados - Cliente'!K107</f>
        <v>0</v>
      </c>
      <c r="N107" s="33">
        <f>'Dados - Cliente'!L107</f>
        <v>0</v>
      </c>
      <c r="O107" s="33">
        <f>'Dados - Cliente'!M107</f>
        <v>0</v>
      </c>
      <c r="P107" s="33">
        <f>'Dados - Cliente'!N107</f>
        <v>0</v>
      </c>
      <c r="Q107" s="33">
        <f>'Dados - Cliente'!O107</f>
        <v>0</v>
      </c>
      <c r="R107" s="33">
        <f>'Dados - Cliente'!P107</f>
        <v>0</v>
      </c>
      <c r="S107" s="33">
        <f>'Dados - Cliente'!Q107</f>
        <v>0</v>
      </c>
      <c r="T107" s="33">
        <f>'Dados - Cliente'!R107</f>
        <v>0</v>
      </c>
      <c r="U107" s="34">
        <f>'Dados - Cliente'!S107</f>
        <v>0</v>
      </c>
      <c r="V107" s="34">
        <f>'Dados - Cliente'!T107</f>
        <v>0</v>
      </c>
      <c r="W107" s="34">
        <f>'Dados - Cliente'!U107</f>
        <v>0</v>
      </c>
      <c r="X107" s="34">
        <f>'Dados - Cliente'!V107</f>
        <v>0</v>
      </c>
      <c r="Y107" s="34">
        <f>'Dados - Cliente'!W107</f>
        <v>0</v>
      </c>
      <c r="Z107" s="34">
        <f>'Dados - Cliente'!X107</f>
        <v>0</v>
      </c>
      <c r="AA107" s="33" t="e">
        <f t="shared" si="7"/>
        <v>#N/A</v>
      </c>
      <c r="AB107" s="33">
        <f>'Dados - Cliente'!Y107</f>
        <v>0</v>
      </c>
      <c r="AC107" s="33">
        <f>'Dados - Cliente'!Z107</f>
        <v>0</v>
      </c>
      <c r="AD107" s="33">
        <f>'Dados - Cliente'!AA107</f>
        <v>0</v>
      </c>
      <c r="AE107" s="33">
        <f>'Dados - Cliente'!AB107</f>
        <v>0</v>
      </c>
      <c r="AF107" s="33">
        <f>'Dados - Cliente'!AC107</f>
        <v>0</v>
      </c>
      <c r="AG107" s="35">
        <f>'Dados - Cliente'!AD107</f>
        <v>0</v>
      </c>
      <c r="AH107" s="33" t="e">
        <f>INDEX('Dados - Placas'!$A:$A,MATCH('1'!AG107,'Dados - Placas'!$D:$D,0))</f>
        <v>#N/A</v>
      </c>
      <c r="AI107" s="35" t="e">
        <f>INDEX('Dados - Placas'!$E:$E,MATCH('1'!AG107,'Dados - Placas'!$D:$D,0))</f>
        <v>#N/A</v>
      </c>
      <c r="AJ107" s="34" t="e">
        <f>INDEX('Dados - Placas'!$F:$F,MATCH('1'!AG107,'Dados - Placas'!$D:$D,0))*AF107</f>
        <v>#N/A</v>
      </c>
      <c r="AK107" s="33">
        <f>'Dados - Cliente'!AE107</f>
        <v>0</v>
      </c>
      <c r="AL107" s="33">
        <f>'Dados - Cliente'!AF107</f>
        <v>0</v>
      </c>
      <c r="AM107" s="36" t="e">
        <f>INDEX('Dados - Inversores'!$A:$A,MATCH('1'!AL107,'Dados - Inversores'!$C:$C,0))</f>
        <v>#N/A</v>
      </c>
      <c r="AN107" s="33">
        <f>'Dados - Cliente'!AG107</f>
        <v>0</v>
      </c>
      <c r="AO107" s="33" t="e">
        <f>AA107*1.25/(0.22*SQRT(INDEX('Dados - Inversores'!AK:AK,MATCH('1'!AL107,'Dados - Inversores'!C:C,0))))</f>
        <v>#N/A</v>
      </c>
      <c r="AP107" s="34">
        <f>INDEX(Dados!$E$2:$E$33,COUNTIF(Dados!$E$2:$E$33,"&lt;="&amp;AN107*1.25/(INDEX('Dados - Inversores'!AL:AL,MATCH('1'!AL107,'Dados - Inversores'!C:C,0))*SQRT(INDEX('Dados - Inversores'!AK:AK,MATCH('1'!AL107,'Dados - Inversores'!C:C,0)))))+1)</f>
        <v>2</v>
      </c>
      <c r="AQ107" s="33" t="s">
        <v>59</v>
      </c>
      <c r="AR107" s="33" t="str">
        <f t="shared" si="8"/>
        <v>Micro</v>
      </c>
      <c r="AS107" s="33">
        <f>'Dados - Cliente'!AH107</f>
        <v>0</v>
      </c>
      <c r="AT107" s="33">
        <f>'Dados - Cliente'!AI107</f>
        <v>0</v>
      </c>
      <c r="AU107" s="33" t="e">
        <f>INDEX('Dados - Placas'!$N:$N,MATCH('1'!AG107,'Dados - Placas'!$D:$D,0))-1</f>
        <v>#N/A</v>
      </c>
      <c r="AV107" s="33" t="e">
        <f>INDEX('Dados - Placas'!$O:$O,MATCH('1'!AG107,'Dados - Placas'!$D:$D,0))</f>
        <v>#N/A</v>
      </c>
      <c r="AW107" s="33" t="e">
        <f>INDEX('Dados - Inversores'!AM:AM,MATCH('1'!AL107,'Dados - Inversores'!$C:$C,0))-1</f>
        <v>#N/A</v>
      </c>
      <c r="AX107" s="33" t="e">
        <f>INDEX('Dados - Inversores'!AN:AN,MATCH('1'!AL107,'Dados - Inversores'!$C:$C,0))-1</f>
        <v>#N/A</v>
      </c>
      <c r="AY107" s="33" t="e">
        <f>MATCH('1'!H107,Dados!$D$89:$D$167,0)+1</f>
        <v>#N/A</v>
      </c>
      <c r="AZ107" s="33" t="e">
        <f>MATCH('1'!N107,'Dados - Solicitação de acesso'!$N$2:$N$8,0)</f>
        <v>#N/A</v>
      </c>
      <c r="BA107" s="33" t="e">
        <f>MATCH('1'!T107,'Dados - Solicitação de acesso'!$T$2:$T$20,0)</f>
        <v>#N/A</v>
      </c>
      <c r="BB107" s="34"/>
      <c r="BC107" s="33">
        <f>MATCH(AT107,'Dados - Solicitação de acesso'!$AT$2:$AT$28,0)</f>
        <v>1</v>
      </c>
      <c r="BD107" s="33" t="b">
        <f>IF(O107="TRIFASICO",INDEX(Dados!G:G,MATCH('1'!AP107,Dados!E:E,0)),IF(O107="BIFASICO",INDEX(Dados!F:F,MATCH('1'!AP107,Dados!E:E,0),)))</f>
        <v>0</v>
      </c>
      <c r="BE107" s="33">
        <f>'Dados - Cliente'!J107</f>
        <v>0</v>
      </c>
      <c r="BF107" s="34">
        <f>INDEX(Dados!$E$2:$E$33,COUNTIF(Dados!$E$2:$E$33,"&lt;="&amp;AN107*1.25*AK107/(0.22*SQRT(INDEX('Dados - Inversores'!AK:AK,MATCH('1'!AL107,'Dados - Inversores'!C:C,0)))))+1)</f>
        <v>2</v>
      </c>
      <c r="BG107" s="34" t="b">
        <f>IF(O107="TRIFASICO",INDEX(Dados!G:G,MATCH(BF107,Dados!E:E,0)),IF(O107="BIFASICO",INDEX(Dados!F:F,MATCH(BF107,Dados!E:E,0),)))</f>
        <v>0</v>
      </c>
    </row>
    <row r="108" spans="1:59" s="33" customFormat="1" x14ac:dyDescent="0.35">
      <c r="A108" s="33">
        <f>'Dados - Cliente'!A108</f>
        <v>0</v>
      </c>
      <c r="B108" s="33">
        <f>'Dados - Cliente'!B108</f>
        <v>0</v>
      </c>
      <c r="C108" s="33">
        <f>'Dados - Cliente'!C108</f>
        <v>0</v>
      </c>
      <c r="D108" s="33">
        <f>'Dados - Cliente'!D108</f>
        <v>0</v>
      </c>
      <c r="E108" s="33">
        <f>'Dados - Cliente'!E108</f>
        <v>0</v>
      </c>
      <c r="F108" s="33">
        <f>'Dados - Cliente'!F108</f>
        <v>0</v>
      </c>
      <c r="G108" s="33">
        <f>'Dados - Cliente'!G108</f>
        <v>0</v>
      </c>
      <c r="H108" s="33">
        <f>'Dados - Cliente'!H108</f>
        <v>0</v>
      </c>
      <c r="I108" s="75" t="s">
        <v>4313</v>
      </c>
      <c r="J108" s="52" t="s">
        <v>4314</v>
      </c>
      <c r="K108" s="52" t="s">
        <v>4314</v>
      </c>
      <c r="L108" s="33">
        <f>'Dados - Cliente'!I108</f>
        <v>0</v>
      </c>
      <c r="M108" s="33">
        <f>'Dados - Cliente'!K108</f>
        <v>0</v>
      </c>
      <c r="N108" s="33">
        <f>'Dados - Cliente'!L108</f>
        <v>0</v>
      </c>
      <c r="O108" s="33">
        <f>'Dados - Cliente'!M108</f>
        <v>0</v>
      </c>
      <c r="P108" s="33">
        <f>'Dados - Cliente'!N108</f>
        <v>0</v>
      </c>
      <c r="Q108" s="33">
        <f>'Dados - Cliente'!O108</f>
        <v>0</v>
      </c>
      <c r="R108" s="33">
        <f>'Dados - Cliente'!P108</f>
        <v>0</v>
      </c>
      <c r="S108" s="33">
        <f>'Dados - Cliente'!Q108</f>
        <v>0</v>
      </c>
      <c r="T108" s="33">
        <f>'Dados - Cliente'!R108</f>
        <v>0</v>
      </c>
      <c r="U108" s="34">
        <f>'Dados - Cliente'!S108</f>
        <v>0</v>
      </c>
      <c r="V108" s="34">
        <f>'Dados - Cliente'!T108</f>
        <v>0</v>
      </c>
      <c r="W108" s="34">
        <f>'Dados - Cliente'!U108</f>
        <v>0</v>
      </c>
      <c r="X108" s="34">
        <f>'Dados - Cliente'!V108</f>
        <v>0</v>
      </c>
      <c r="Y108" s="34">
        <f>'Dados - Cliente'!W108</f>
        <v>0</v>
      </c>
      <c r="Z108" s="34">
        <f>'Dados - Cliente'!X108</f>
        <v>0</v>
      </c>
      <c r="AA108" s="33" t="e">
        <f t="shared" si="7"/>
        <v>#N/A</v>
      </c>
      <c r="AB108" s="33">
        <f>'Dados - Cliente'!Y108</f>
        <v>0</v>
      </c>
      <c r="AC108" s="33">
        <f>'Dados - Cliente'!Z108</f>
        <v>0</v>
      </c>
      <c r="AD108" s="33">
        <f>'Dados - Cliente'!AA108</f>
        <v>0</v>
      </c>
      <c r="AE108" s="33">
        <f>'Dados - Cliente'!AB108</f>
        <v>0</v>
      </c>
      <c r="AF108" s="33">
        <f>'Dados - Cliente'!AC108</f>
        <v>0</v>
      </c>
      <c r="AG108" s="35">
        <f>'Dados - Cliente'!AD108</f>
        <v>0</v>
      </c>
      <c r="AH108" s="33" t="e">
        <f>INDEX('Dados - Placas'!$A:$A,MATCH('1'!AG108,'Dados - Placas'!$D:$D,0))</f>
        <v>#N/A</v>
      </c>
      <c r="AI108" s="35" t="e">
        <f>INDEX('Dados - Placas'!$E:$E,MATCH('1'!AG108,'Dados - Placas'!$D:$D,0))</f>
        <v>#N/A</v>
      </c>
      <c r="AJ108" s="34" t="e">
        <f>INDEX('Dados - Placas'!$F:$F,MATCH('1'!AG108,'Dados - Placas'!$D:$D,0))*AF108</f>
        <v>#N/A</v>
      </c>
      <c r="AK108" s="33">
        <f>'Dados - Cliente'!AE108</f>
        <v>0</v>
      </c>
      <c r="AL108" s="33">
        <f>'Dados - Cliente'!AF108</f>
        <v>0</v>
      </c>
      <c r="AM108" s="36" t="e">
        <f>INDEX('Dados - Inversores'!$A:$A,MATCH('1'!AL108,'Dados - Inversores'!$C:$C,0))</f>
        <v>#N/A</v>
      </c>
      <c r="AN108" s="33">
        <f>'Dados - Cliente'!AG108</f>
        <v>0</v>
      </c>
      <c r="AO108" s="33" t="e">
        <f>AA108*1.25/(0.22*SQRT(INDEX('Dados - Inversores'!AK:AK,MATCH('1'!AL108,'Dados - Inversores'!C:C,0))))</f>
        <v>#N/A</v>
      </c>
      <c r="AP108" s="34">
        <f>INDEX(Dados!$E$2:$E$33,COUNTIF(Dados!$E$2:$E$33,"&lt;="&amp;AN108*1.25/(INDEX('Dados - Inversores'!AL:AL,MATCH('1'!AL108,'Dados - Inversores'!C:C,0))*SQRT(INDEX('Dados - Inversores'!AK:AK,MATCH('1'!AL108,'Dados - Inversores'!C:C,0)))))+1)</f>
        <v>2</v>
      </c>
      <c r="AQ108" s="33" t="s">
        <v>59</v>
      </c>
      <c r="AR108" s="33" t="str">
        <f t="shared" si="8"/>
        <v>Micro</v>
      </c>
      <c r="AS108" s="33">
        <f>'Dados - Cliente'!AH108</f>
        <v>0</v>
      </c>
      <c r="AT108" s="33">
        <f>'Dados - Cliente'!AI108</f>
        <v>0</v>
      </c>
      <c r="AU108" s="33" t="e">
        <f>INDEX('Dados - Placas'!$N:$N,MATCH('1'!AG108,'Dados - Placas'!$D:$D,0))-1</f>
        <v>#N/A</v>
      </c>
      <c r="AV108" s="33" t="e">
        <f>INDEX('Dados - Placas'!$O:$O,MATCH('1'!AG108,'Dados - Placas'!$D:$D,0))</f>
        <v>#N/A</v>
      </c>
      <c r="AW108" s="33" t="e">
        <f>INDEX('Dados - Inversores'!AM:AM,MATCH('1'!AL108,'Dados - Inversores'!$C:$C,0))-1</f>
        <v>#N/A</v>
      </c>
      <c r="AX108" s="33" t="e">
        <f>INDEX('Dados - Inversores'!AN:AN,MATCH('1'!AL108,'Dados - Inversores'!$C:$C,0))-1</f>
        <v>#N/A</v>
      </c>
      <c r="AY108" s="33" t="e">
        <f>MATCH('1'!H108,Dados!$D$89:$D$167,0)+1</f>
        <v>#N/A</v>
      </c>
      <c r="AZ108" s="33" t="e">
        <f>MATCH('1'!N108,'Dados - Solicitação de acesso'!$N$2:$N$8,0)</f>
        <v>#N/A</v>
      </c>
      <c r="BA108" s="33" t="e">
        <f>MATCH('1'!T108,'Dados - Solicitação de acesso'!$T$2:$T$20,0)</f>
        <v>#N/A</v>
      </c>
      <c r="BB108" s="34"/>
      <c r="BC108" s="33">
        <f>MATCH(AT108,'Dados - Solicitação de acesso'!$AT$2:$AT$28,0)</f>
        <v>1</v>
      </c>
      <c r="BD108" s="33" t="b">
        <f>IF(O108="TRIFASICO",INDEX(Dados!G:G,MATCH('1'!AP108,Dados!E:E,0)),IF(O108="BIFASICO",INDEX(Dados!F:F,MATCH('1'!AP108,Dados!E:E,0),)))</f>
        <v>0</v>
      </c>
      <c r="BE108" s="33">
        <f>'Dados - Cliente'!J108</f>
        <v>0</v>
      </c>
      <c r="BF108" s="34">
        <f>INDEX(Dados!$E$2:$E$33,COUNTIF(Dados!$E$2:$E$33,"&lt;="&amp;AN108*1.25*AK108/(0.22*SQRT(INDEX('Dados - Inversores'!AK:AK,MATCH('1'!AL108,'Dados - Inversores'!C:C,0)))))+1)</f>
        <v>2</v>
      </c>
      <c r="BG108" s="34" t="b">
        <f>IF(O108="TRIFASICO",INDEX(Dados!G:G,MATCH(BF108,Dados!E:E,0)),IF(O108="BIFASICO",INDEX(Dados!F:F,MATCH(BF108,Dados!E:E,0),)))</f>
        <v>0</v>
      </c>
    </row>
    <row r="109" spans="1:59" s="33" customFormat="1" x14ac:dyDescent="0.35">
      <c r="A109" s="33">
        <f>'Dados - Cliente'!A109</f>
        <v>0</v>
      </c>
      <c r="B109" s="33">
        <f>'Dados - Cliente'!B109</f>
        <v>0</v>
      </c>
      <c r="C109" s="33">
        <f>'Dados - Cliente'!C109</f>
        <v>0</v>
      </c>
      <c r="D109" s="33">
        <f>'Dados - Cliente'!D109</f>
        <v>0</v>
      </c>
      <c r="E109" s="33">
        <f>'Dados - Cliente'!E109</f>
        <v>0</v>
      </c>
      <c r="F109" s="33">
        <f>'Dados - Cliente'!F109</f>
        <v>0</v>
      </c>
      <c r="G109" s="33">
        <f>'Dados - Cliente'!G109</f>
        <v>0</v>
      </c>
      <c r="H109" s="33">
        <f>'Dados - Cliente'!H109</f>
        <v>0</v>
      </c>
      <c r="I109" s="75" t="s">
        <v>4313</v>
      </c>
      <c r="J109" s="52" t="s">
        <v>4314</v>
      </c>
      <c r="K109" s="52" t="s">
        <v>4314</v>
      </c>
      <c r="L109" s="33">
        <f>'Dados - Cliente'!I109</f>
        <v>0</v>
      </c>
      <c r="M109" s="33">
        <f>'Dados - Cliente'!K109</f>
        <v>0</v>
      </c>
      <c r="N109" s="33">
        <f>'Dados - Cliente'!L109</f>
        <v>0</v>
      </c>
      <c r="O109" s="33">
        <f>'Dados - Cliente'!M109</f>
        <v>0</v>
      </c>
      <c r="P109" s="33">
        <f>'Dados - Cliente'!N109</f>
        <v>0</v>
      </c>
      <c r="Q109" s="33">
        <f>'Dados - Cliente'!O109</f>
        <v>0</v>
      </c>
      <c r="R109" s="33">
        <f>'Dados - Cliente'!P109</f>
        <v>0</v>
      </c>
      <c r="S109" s="33">
        <f>'Dados - Cliente'!Q109</f>
        <v>0</v>
      </c>
      <c r="T109" s="33">
        <f>'Dados - Cliente'!R109</f>
        <v>0</v>
      </c>
      <c r="U109" s="34">
        <f>'Dados - Cliente'!S109</f>
        <v>0</v>
      </c>
      <c r="V109" s="34">
        <f>'Dados - Cliente'!T109</f>
        <v>0</v>
      </c>
      <c r="W109" s="34">
        <f>'Dados - Cliente'!U109</f>
        <v>0</v>
      </c>
      <c r="X109" s="34">
        <f>'Dados - Cliente'!V109</f>
        <v>0</v>
      </c>
      <c r="Y109" s="34">
        <f>'Dados - Cliente'!W109</f>
        <v>0</v>
      </c>
      <c r="Z109" s="34">
        <f>'Dados - Cliente'!X109</f>
        <v>0</v>
      </c>
      <c r="AA109" s="33" t="e">
        <f t="shared" si="7"/>
        <v>#N/A</v>
      </c>
      <c r="AB109" s="33">
        <f>'Dados - Cliente'!Y109</f>
        <v>0</v>
      </c>
      <c r="AC109" s="33">
        <f>'Dados - Cliente'!Z109</f>
        <v>0</v>
      </c>
      <c r="AD109" s="33">
        <f>'Dados - Cliente'!AA109</f>
        <v>0</v>
      </c>
      <c r="AE109" s="33">
        <f>'Dados - Cliente'!AB109</f>
        <v>0</v>
      </c>
      <c r="AF109" s="33">
        <f>'Dados - Cliente'!AC109</f>
        <v>0</v>
      </c>
      <c r="AG109" s="35">
        <f>'Dados - Cliente'!AD109</f>
        <v>0</v>
      </c>
      <c r="AH109" s="33" t="e">
        <f>INDEX('Dados - Placas'!$A:$A,MATCH('1'!AG109,'Dados - Placas'!$D:$D,0))</f>
        <v>#N/A</v>
      </c>
      <c r="AI109" s="35" t="e">
        <f>INDEX('Dados - Placas'!$E:$E,MATCH('1'!AG109,'Dados - Placas'!$D:$D,0))</f>
        <v>#N/A</v>
      </c>
      <c r="AJ109" s="34" t="e">
        <f>INDEX('Dados - Placas'!$F:$F,MATCH('1'!AG109,'Dados - Placas'!$D:$D,0))*AF109</f>
        <v>#N/A</v>
      </c>
      <c r="AK109" s="33">
        <f>'Dados - Cliente'!AE109</f>
        <v>0</v>
      </c>
      <c r="AL109" s="33">
        <f>'Dados - Cliente'!AF109</f>
        <v>0</v>
      </c>
      <c r="AM109" s="36" t="e">
        <f>INDEX('Dados - Inversores'!$A:$A,MATCH('1'!AL109,'Dados - Inversores'!$C:$C,0))</f>
        <v>#N/A</v>
      </c>
      <c r="AN109" s="33">
        <f>'Dados - Cliente'!AG109</f>
        <v>0</v>
      </c>
      <c r="AO109" s="33" t="e">
        <f>AA109*1.25/(0.22*SQRT(INDEX('Dados - Inversores'!AK:AK,MATCH('1'!AL109,'Dados - Inversores'!C:C,0))))</f>
        <v>#N/A</v>
      </c>
      <c r="AP109" s="34">
        <f>INDEX(Dados!$E$2:$E$33,COUNTIF(Dados!$E$2:$E$33,"&lt;="&amp;AN109*1.25/(INDEX('Dados - Inversores'!AL:AL,MATCH('1'!AL109,'Dados - Inversores'!C:C,0))*SQRT(INDEX('Dados - Inversores'!AK:AK,MATCH('1'!AL109,'Dados - Inversores'!C:C,0)))))+1)</f>
        <v>2</v>
      </c>
      <c r="AQ109" s="33" t="s">
        <v>59</v>
      </c>
      <c r="AR109" s="33" t="str">
        <f t="shared" si="8"/>
        <v>Micro</v>
      </c>
      <c r="AS109" s="33">
        <f>'Dados - Cliente'!AH109</f>
        <v>0</v>
      </c>
      <c r="AT109" s="33">
        <f>'Dados - Cliente'!AI109</f>
        <v>0</v>
      </c>
      <c r="AU109" s="33" t="e">
        <f>INDEX('Dados - Placas'!$N:$N,MATCH('1'!AG109,'Dados - Placas'!$D:$D,0))-1</f>
        <v>#N/A</v>
      </c>
      <c r="AV109" s="33" t="e">
        <f>INDEX('Dados - Placas'!$O:$O,MATCH('1'!AG109,'Dados - Placas'!$D:$D,0))</f>
        <v>#N/A</v>
      </c>
      <c r="AW109" s="33" t="e">
        <f>INDEX('Dados - Inversores'!AM:AM,MATCH('1'!AL109,'Dados - Inversores'!$C:$C,0))-1</f>
        <v>#N/A</v>
      </c>
      <c r="AX109" s="33" t="e">
        <f>INDEX('Dados - Inversores'!AN:AN,MATCH('1'!AL109,'Dados - Inversores'!$C:$C,0))-1</f>
        <v>#N/A</v>
      </c>
      <c r="AY109" s="33" t="e">
        <f>MATCH('1'!H109,Dados!$D$89:$D$167,0)+1</f>
        <v>#N/A</v>
      </c>
      <c r="AZ109" s="33" t="e">
        <f>MATCH('1'!N109,'Dados - Solicitação de acesso'!$N$2:$N$8,0)</f>
        <v>#N/A</v>
      </c>
      <c r="BA109" s="33" t="e">
        <f>MATCH('1'!T109,'Dados - Solicitação de acesso'!$T$2:$T$20,0)</f>
        <v>#N/A</v>
      </c>
      <c r="BB109" s="34"/>
      <c r="BC109" s="33">
        <f>MATCH(AT109,'Dados - Solicitação de acesso'!$AT$2:$AT$28,0)</f>
        <v>1</v>
      </c>
      <c r="BD109" s="33" t="b">
        <f>IF(O109="TRIFASICO",INDEX(Dados!G:G,MATCH('1'!AP109,Dados!E:E,0)),IF(O109="BIFASICO",INDEX(Dados!F:F,MATCH('1'!AP109,Dados!E:E,0),)))</f>
        <v>0</v>
      </c>
      <c r="BE109" s="33">
        <f>'Dados - Cliente'!J109</f>
        <v>0</v>
      </c>
      <c r="BF109" s="34">
        <f>INDEX(Dados!$E$2:$E$33,COUNTIF(Dados!$E$2:$E$33,"&lt;="&amp;AN109*1.25*AK109/(0.22*SQRT(INDEX('Dados - Inversores'!AK:AK,MATCH('1'!AL109,'Dados - Inversores'!C:C,0)))))+1)</f>
        <v>2</v>
      </c>
      <c r="BG109" s="34" t="b">
        <f>IF(O109="TRIFASICO",INDEX(Dados!G:G,MATCH(BF109,Dados!E:E,0)),IF(O109="BIFASICO",INDEX(Dados!F:F,MATCH(BF109,Dados!E:E,0),)))</f>
        <v>0</v>
      </c>
    </row>
    <row r="110" spans="1:59" s="33" customFormat="1" x14ac:dyDescent="0.35">
      <c r="A110" s="33">
        <f>'Dados - Cliente'!A110</f>
        <v>0</v>
      </c>
      <c r="B110" s="33">
        <f>'Dados - Cliente'!B110</f>
        <v>0</v>
      </c>
      <c r="C110" s="33">
        <f>'Dados - Cliente'!C110</f>
        <v>0</v>
      </c>
      <c r="D110" s="33">
        <f>'Dados - Cliente'!D110</f>
        <v>0</v>
      </c>
      <c r="E110" s="33">
        <f>'Dados - Cliente'!E110</f>
        <v>0</v>
      </c>
      <c r="F110" s="33">
        <f>'Dados - Cliente'!F110</f>
        <v>0</v>
      </c>
      <c r="G110" s="33">
        <f>'Dados - Cliente'!G110</f>
        <v>0</v>
      </c>
      <c r="H110" s="33">
        <f>'Dados - Cliente'!H110</f>
        <v>0</v>
      </c>
      <c r="I110" s="75" t="s">
        <v>4313</v>
      </c>
      <c r="J110" s="52" t="s">
        <v>4314</v>
      </c>
      <c r="K110" s="52" t="s">
        <v>4314</v>
      </c>
      <c r="L110" s="33">
        <f>'Dados - Cliente'!I110</f>
        <v>0</v>
      </c>
      <c r="M110" s="33">
        <f>'Dados - Cliente'!K110</f>
        <v>0</v>
      </c>
      <c r="N110" s="33">
        <f>'Dados - Cliente'!L110</f>
        <v>0</v>
      </c>
      <c r="O110" s="33">
        <f>'Dados - Cliente'!M110</f>
        <v>0</v>
      </c>
      <c r="P110" s="33">
        <f>'Dados - Cliente'!N110</f>
        <v>0</v>
      </c>
      <c r="Q110" s="33">
        <f>'Dados - Cliente'!O110</f>
        <v>0</v>
      </c>
      <c r="R110" s="33">
        <f>'Dados - Cliente'!P110</f>
        <v>0</v>
      </c>
      <c r="S110" s="33">
        <f>'Dados - Cliente'!Q110</f>
        <v>0</v>
      </c>
      <c r="T110" s="33">
        <f>'Dados - Cliente'!R110</f>
        <v>0</v>
      </c>
      <c r="U110" s="34">
        <f>'Dados - Cliente'!S110</f>
        <v>0</v>
      </c>
      <c r="V110" s="34">
        <f>'Dados - Cliente'!T110</f>
        <v>0</v>
      </c>
      <c r="W110" s="34">
        <f>'Dados - Cliente'!U110</f>
        <v>0</v>
      </c>
      <c r="X110" s="34">
        <f>'Dados - Cliente'!V110</f>
        <v>0</v>
      </c>
      <c r="Y110" s="34">
        <f>'Dados - Cliente'!W110</f>
        <v>0</v>
      </c>
      <c r="Z110" s="34">
        <f>'Dados - Cliente'!X110</f>
        <v>0</v>
      </c>
      <c r="AA110" s="33" t="e">
        <f t="shared" si="7"/>
        <v>#N/A</v>
      </c>
      <c r="AB110" s="33">
        <f>'Dados - Cliente'!Y110</f>
        <v>0</v>
      </c>
      <c r="AC110" s="33">
        <f>'Dados - Cliente'!Z110</f>
        <v>0</v>
      </c>
      <c r="AD110" s="33">
        <f>'Dados - Cliente'!AA110</f>
        <v>0</v>
      </c>
      <c r="AE110" s="33">
        <f>'Dados - Cliente'!AB110</f>
        <v>0</v>
      </c>
      <c r="AF110" s="33">
        <f>'Dados - Cliente'!AC110</f>
        <v>0</v>
      </c>
      <c r="AG110" s="35">
        <f>'Dados - Cliente'!AD110</f>
        <v>0</v>
      </c>
      <c r="AH110" s="33" t="e">
        <f>INDEX('Dados - Placas'!$A:$A,MATCH('1'!AG110,'Dados - Placas'!$D:$D,0))</f>
        <v>#N/A</v>
      </c>
      <c r="AI110" s="35" t="e">
        <f>INDEX('Dados - Placas'!$E:$E,MATCH('1'!AG110,'Dados - Placas'!$D:$D,0))</f>
        <v>#N/A</v>
      </c>
      <c r="AJ110" s="34" t="e">
        <f>INDEX('Dados - Placas'!$F:$F,MATCH('1'!AG110,'Dados - Placas'!$D:$D,0))*AF110</f>
        <v>#N/A</v>
      </c>
      <c r="AK110" s="33">
        <f>'Dados - Cliente'!AE110</f>
        <v>0</v>
      </c>
      <c r="AL110" s="33">
        <f>'Dados - Cliente'!AF110</f>
        <v>0</v>
      </c>
      <c r="AM110" s="36" t="e">
        <f>INDEX('Dados - Inversores'!$A:$A,MATCH('1'!AL110,'Dados - Inversores'!$C:$C,0))</f>
        <v>#N/A</v>
      </c>
      <c r="AN110" s="33">
        <f>'Dados - Cliente'!AG110</f>
        <v>0</v>
      </c>
      <c r="AO110" s="33" t="e">
        <f>AA110*1.25/(0.22*SQRT(INDEX('Dados - Inversores'!AK:AK,MATCH('1'!AL110,'Dados - Inversores'!C:C,0))))</f>
        <v>#N/A</v>
      </c>
      <c r="AP110" s="34">
        <f>INDEX(Dados!$E$2:$E$33,COUNTIF(Dados!$E$2:$E$33,"&lt;="&amp;AN110*1.25/(INDEX('Dados - Inversores'!AL:AL,MATCH('1'!AL110,'Dados - Inversores'!C:C,0))*SQRT(INDEX('Dados - Inversores'!AK:AK,MATCH('1'!AL110,'Dados - Inversores'!C:C,0)))))+1)</f>
        <v>2</v>
      </c>
      <c r="AQ110" s="33" t="s">
        <v>59</v>
      </c>
      <c r="AR110" s="33" t="str">
        <f t="shared" si="8"/>
        <v>Micro</v>
      </c>
      <c r="AS110" s="33">
        <f>'Dados - Cliente'!AH110</f>
        <v>0</v>
      </c>
      <c r="AT110" s="33">
        <f>'Dados - Cliente'!AI110</f>
        <v>0</v>
      </c>
      <c r="AU110" s="33" t="e">
        <f>INDEX('Dados - Placas'!$N:$N,MATCH('1'!AG110,'Dados - Placas'!$D:$D,0))-1</f>
        <v>#N/A</v>
      </c>
      <c r="AV110" s="33" t="e">
        <f>INDEX('Dados - Placas'!$O:$O,MATCH('1'!AG110,'Dados - Placas'!$D:$D,0))</f>
        <v>#N/A</v>
      </c>
      <c r="AW110" s="33" t="e">
        <f>INDEX('Dados - Inversores'!AM:AM,MATCH('1'!AL110,'Dados - Inversores'!$C:$C,0))-1</f>
        <v>#N/A</v>
      </c>
      <c r="AX110" s="33" t="e">
        <f>INDEX('Dados - Inversores'!AN:AN,MATCH('1'!AL110,'Dados - Inversores'!$C:$C,0))-1</f>
        <v>#N/A</v>
      </c>
      <c r="AY110" s="33" t="e">
        <f>MATCH('1'!H110,Dados!$D$89:$D$167,0)+1</f>
        <v>#N/A</v>
      </c>
      <c r="AZ110" s="33" t="e">
        <f>MATCH('1'!N110,'Dados - Solicitação de acesso'!$N$2:$N$8,0)</f>
        <v>#N/A</v>
      </c>
      <c r="BA110" s="33" t="e">
        <f>MATCH('1'!T110,'Dados - Solicitação de acesso'!$T$2:$T$20,0)</f>
        <v>#N/A</v>
      </c>
      <c r="BB110" s="34"/>
      <c r="BC110" s="33">
        <f>MATCH(AT110,'Dados - Solicitação de acesso'!$AT$2:$AT$28,0)</f>
        <v>1</v>
      </c>
      <c r="BD110" s="33" t="b">
        <f>IF(O110="TRIFASICO",INDEX(Dados!G:G,MATCH('1'!AP110,Dados!E:E,0)),IF(O110="BIFASICO",INDEX(Dados!F:F,MATCH('1'!AP110,Dados!E:E,0),)))</f>
        <v>0</v>
      </c>
      <c r="BE110" s="33">
        <f>'Dados - Cliente'!J110</f>
        <v>0</v>
      </c>
      <c r="BF110" s="34">
        <f>INDEX(Dados!$E$2:$E$33,COUNTIF(Dados!$E$2:$E$33,"&lt;="&amp;AN110*1.25*AK110/(0.22*SQRT(INDEX('Dados - Inversores'!AK:AK,MATCH('1'!AL110,'Dados - Inversores'!C:C,0)))))+1)</f>
        <v>2</v>
      </c>
      <c r="BG110" s="34" t="b">
        <f>IF(O110="TRIFASICO",INDEX(Dados!G:G,MATCH(BF110,Dados!E:E,0)),IF(O110="BIFASICO",INDEX(Dados!F:F,MATCH(BF110,Dados!E:E,0),)))</f>
        <v>0</v>
      </c>
    </row>
    <row r="111" spans="1:59" s="33" customFormat="1" x14ac:dyDescent="0.35">
      <c r="A111" s="33">
        <f>'Dados - Cliente'!A111</f>
        <v>0</v>
      </c>
      <c r="B111" s="33">
        <f>'Dados - Cliente'!B111</f>
        <v>0</v>
      </c>
      <c r="C111" s="33">
        <f>'Dados - Cliente'!C111</f>
        <v>0</v>
      </c>
      <c r="D111" s="33">
        <f>'Dados - Cliente'!D111</f>
        <v>0</v>
      </c>
      <c r="E111" s="33">
        <f>'Dados - Cliente'!E111</f>
        <v>0</v>
      </c>
      <c r="F111" s="33">
        <f>'Dados - Cliente'!F111</f>
        <v>0</v>
      </c>
      <c r="G111" s="33">
        <f>'Dados - Cliente'!G111</f>
        <v>0</v>
      </c>
      <c r="H111" s="33">
        <f>'Dados - Cliente'!H111</f>
        <v>0</v>
      </c>
      <c r="I111" s="75" t="s">
        <v>4313</v>
      </c>
      <c r="J111" s="52" t="s">
        <v>4314</v>
      </c>
      <c r="K111" s="52" t="s">
        <v>4314</v>
      </c>
      <c r="L111" s="33">
        <f>'Dados - Cliente'!I111</f>
        <v>0</v>
      </c>
      <c r="M111" s="33">
        <f>'Dados - Cliente'!K111</f>
        <v>0</v>
      </c>
      <c r="N111" s="33">
        <f>'Dados - Cliente'!L111</f>
        <v>0</v>
      </c>
      <c r="O111" s="33">
        <f>'Dados - Cliente'!M111</f>
        <v>0</v>
      </c>
      <c r="P111" s="33">
        <f>'Dados - Cliente'!N111</f>
        <v>0</v>
      </c>
      <c r="Q111" s="33">
        <f>'Dados - Cliente'!O111</f>
        <v>0</v>
      </c>
      <c r="R111" s="33">
        <f>'Dados - Cliente'!P111</f>
        <v>0</v>
      </c>
      <c r="S111" s="33">
        <f>'Dados - Cliente'!Q111</f>
        <v>0</v>
      </c>
      <c r="T111" s="33">
        <f>'Dados - Cliente'!R111</f>
        <v>0</v>
      </c>
      <c r="U111" s="34">
        <f>'Dados - Cliente'!S111</f>
        <v>0</v>
      </c>
      <c r="V111" s="34">
        <f>'Dados - Cliente'!T111</f>
        <v>0</v>
      </c>
      <c r="W111" s="34">
        <f>'Dados - Cliente'!U111</f>
        <v>0</v>
      </c>
      <c r="X111" s="34">
        <f>'Dados - Cliente'!V111</f>
        <v>0</v>
      </c>
      <c r="Y111" s="34">
        <f>'Dados - Cliente'!W111</f>
        <v>0</v>
      </c>
      <c r="Z111" s="34">
        <f>'Dados - Cliente'!X111</f>
        <v>0</v>
      </c>
      <c r="AA111" s="33" t="e">
        <f t="shared" si="7"/>
        <v>#N/A</v>
      </c>
      <c r="AB111" s="33">
        <f>'Dados - Cliente'!Y111</f>
        <v>0</v>
      </c>
      <c r="AC111" s="33">
        <f>'Dados - Cliente'!Z111</f>
        <v>0</v>
      </c>
      <c r="AD111" s="33">
        <f>'Dados - Cliente'!AA111</f>
        <v>0</v>
      </c>
      <c r="AE111" s="33">
        <f>'Dados - Cliente'!AB111</f>
        <v>0</v>
      </c>
      <c r="AF111" s="33">
        <f>'Dados - Cliente'!AC111</f>
        <v>0</v>
      </c>
      <c r="AG111" s="35">
        <f>'Dados - Cliente'!AD111</f>
        <v>0</v>
      </c>
      <c r="AH111" s="33" t="e">
        <f>INDEX('Dados - Placas'!$A:$A,MATCH('1'!AG111,'Dados - Placas'!$D:$D,0))</f>
        <v>#N/A</v>
      </c>
      <c r="AI111" s="35" t="e">
        <f>INDEX('Dados - Placas'!$E:$E,MATCH('1'!AG111,'Dados - Placas'!$D:$D,0))</f>
        <v>#N/A</v>
      </c>
      <c r="AJ111" s="34" t="e">
        <f>INDEX('Dados - Placas'!$F:$F,MATCH('1'!AG111,'Dados - Placas'!$D:$D,0))*AF111</f>
        <v>#N/A</v>
      </c>
      <c r="AK111" s="33">
        <f>'Dados - Cliente'!AE111</f>
        <v>0</v>
      </c>
      <c r="AL111" s="33">
        <f>'Dados - Cliente'!AF111</f>
        <v>0</v>
      </c>
      <c r="AM111" s="36" t="e">
        <f>INDEX('Dados - Inversores'!$A:$A,MATCH('1'!AL111,'Dados - Inversores'!$C:$C,0))</f>
        <v>#N/A</v>
      </c>
      <c r="AN111" s="33">
        <f>'Dados - Cliente'!AG111</f>
        <v>0</v>
      </c>
      <c r="AO111" s="33" t="e">
        <f>AA111*1.25/(0.22*SQRT(INDEX('Dados - Inversores'!AK:AK,MATCH('1'!AL111,'Dados - Inversores'!C:C,0))))</f>
        <v>#N/A</v>
      </c>
      <c r="AP111" s="34">
        <f>INDEX(Dados!$E$2:$E$33,COUNTIF(Dados!$E$2:$E$33,"&lt;="&amp;AN111*1.25/(INDEX('Dados - Inversores'!AL:AL,MATCH('1'!AL111,'Dados - Inversores'!C:C,0))*SQRT(INDEX('Dados - Inversores'!AK:AK,MATCH('1'!AL111,'Dados - Inversores'!C:C,0)))))+1)</f>
        <v>2</v>
      </c>
      <c r="AQ111" s="33" t="s">
        <v>59</v>
      </c>
      <c r="AR111" s="33" t="str">
        <f t="shared" si="8"/>
        <v>Micro</v>
      </c>
      <c r="AS111" s="33">
        <f>'Dados - Cliente'!AH111</f>
        <v>0</v>
      </c>
      <c r="AT111" s="33">
        <f>'Dados - Cliente'!AI111</f>
        <v>0</v>
      </c>
      <c r="AU111" s="33" t="e">
        <f>INDEX('Dados - Placas'!$N:$N,MATCH('1'!AG111,'Dados - Placas'!$D:$D,0))-1</f>
        <v>#N/A</v>
      </c>
      <c r="AV111" s="33" t="e">
        <f>INDEX('Dados - Placas'!$O:$O,MATCH('1'!AG111,'Dados - Placas'!$D:$D,0))</f>
        <v>#N/A</v>
      </c>
      <c r="AW111" s="33" t="e">
        <f>INDEX('Dados - Inversores'!AM:AM,MATCH('1'!AL111,'Dados - Inversores'!$C:$C,0))-1</f>
        <v>#N/A</v>
      </c>
      <c r="AX111" s="33" t="e">
        <f>INDEX('Dados - Inversores'!AN:AN,MATCH('1'!AL111,'Dados - Inversores'!$C:$C,0))-1</f>
        <v>#N/A</v>
      </c>
      <c r="AY111" s="33" t="e">
        <f>MATCH('1'!H111,Dados!$D$89:$D$167,0)+1</f>
        <v>#N/A</v>
      </c>
      <c r="AZ111" s="33" t="e">
        <f>MATCH('1'!N111,'Dados - Solicitação de acesso'!$N$2:$N$8,0)</f>
        <v>#N/A</v>
      </c>
      <c r="BA111" s="33" t="e">
        <f>MATCH('1'!T111,'Dados - Solicitação de acesso'!$T$2:$T$20,0)</f>
        <v>#N/A</v>
      </c>
      <c r="BB111" s="34"/>
      <c r="BC111" s="33">
        <f>MATCH(AT111,'Dados - Solicitação de acesso'!$AT$2:$AT$28,0)</f>
        <v>1</v>
      </c>
      <c r="BD111" s="33" t="b">
        <f>IF(O111="TRIFASICO",INDEX(Dados!G:G,MATCH('1'!AP111,Dados!E:E,0)),IF(O111="BIFASICO",INDEX(Dados!F:F,MATCH('1'!AP111,Dados!E:E,0),)))</f>
        <v>0</v>
      </c>
      <c r="BE111" s="33">
        <f>'Dados - Cliente'!J111</f>
        <v>0</v>
      </c>
      <c r="BF111" s="34">
        <f>INDEX(Dados!$E$2:$E$33,COUNTIF(Dados!$E$2:$E$33,"&lt;="&amp;AN111*1.25*AK111/(0.22*SQRT(INDEX('Dados - Inversores'!AK:AK,MATCH('1'!AL111,'Dados - Inversores'!C:C,0)))))+1)</f>
        <v>2</v>
      </c>
      <c r="BG111" s="34" t="b">
        <f>IF(O111="TRIFASICO",INDEX(Dados!G:G,MATCH(BF111,Dados!E:E,0)),IF(O111="BIFASICO",INDEX(Dados!F:F,MATCH(BF111,Dados!E:E,0),)))</f>
        <v>0</v>
      </c>
    </row>
    <row r="112" spans="1:59" s="33" customFormat="1" x14ac:dyDescent="0.35">
      <c r="A112" s="33">
        <f>'Dados - Cliente'!A112</f>
        <v>0</v>
      </c>
      <c r="B112" s="33">
        <f>'Dados - Cliente'!B112</f>
        <v>0</v>
      </c>
      <c r="C112" s="33">
        <f>'Dados - Cliente'!C112</f>
        <v>0</v>
      </c>
      <c r="D112" s="33">
        <f>'Dados - Cliente'!D112</f>
        <v>0</v>
      </c>
      <c r="E112" s="33">
        <f>'Dados - Cliente'!E112</f>
        <v>0</v>
      </c>
      <c r="F112" s="33">
        <f>'Dados - Cliente'!F112</f>
        <v>0</v>
      </c>
      <c r="G112" s="33">
        <f>'Dados - Cliente'!G112</f>
        <v>0</v>
      </c>
      <c r="H112" s="33">
        <f>'Dados - Cliente'!H112</f>
        <v>0</v>
      </c>
      <c r="I112" s="75" t="s">
        <v>4313</v>
      </c>
      <c r="J112" s="52" t="s">
        <v>4314</v>
      </c>
      <c r="K112" s="52" t="s">
        <v>4314</v>
      </c>
      <c r="L112" s="33">
        <f>'Dados - Cliente'!I112</f>
        <v>0</v>
      </c>
      <c r="M112" s="33">
        <f>'Dados - Cliente'!K112</f>
        <v>0</v>
      </c>
      <c r="N112" s="33">
        <f>'Dados - Cliente'!L112</f>
        <v>0</v>
      </c>
      <c r="O112" s="33">
        <f>'Dados - Cliente'!M112</f>
        <v>0</v>
      </c>
      <c r="P112" s="33">
        <f>'Dados - Cliente'!N112</f>
        <v>0</v>
      </c>
      <c r="Q112" s="33">
        <f>'Dados - Cliente'!O112</f>
        <v>0</v>
      </c>
      <c r="R112" s="33">
        <f>'Dados - Cliente'!P112</f>
        <v>0</v>
      </c>
      <c r="S112" s="33">
        <f>'Dados - Cliente'!Q112</f>
        <v>0</v>
      </c>
      <c r="T112" s="33">
        <f>'Dados - Cliente'!R112</f>
        <v>0</v>
      </c>
      <c r="U112" s="34">
        <f>'Dados - Cliente'!S112</f>
        <v>0</v>
      </c>
      <c r="V112" s="34">
        <f>'Dados - Cliente'!T112</f>
        <v>0</v>
      </c>
      <c r="W112" s="34">
        <f>'Dados - Cliente'!U112</f>
        <v>0</v>
      </c>
      <c r="X112" s="34">
        <f>'Dados - Cliente'!V112</f>
        <v>0</v>
      </c>
      <c r="Y112" s="34">
        <f>'Dados - Cliente'!W112</f>
        <v>0</v>
      </c>
      <c r="Z112" s="34">
        <f>'Dados - Cliente'!X112</f>
        <v>0</v>
      </c>
      <c r="AA112" s="33" t="e">
        <f t="shared" si="7"/>
        <v>#N/A</v>
      </c>
      <c r="AB112" s="33">
        <f>'Dados - Cliente'!Y112</f>
        <v>0</v>
      </c>
      <c r="AC112" s="33">
        <f>'Dados - Cliente'!Z112</f>
        <v>0</v>
      </c>
      <c r="AD112" s="33">
        <f>'Dados - Cliente'!AA112</f>
        <v>0</v>
      </c>
      <c r="AE112" s="33">
        <f>'Dados - Cliente'!AB112</f>
        <v>0</v>
      </c>
      <c r="AF112" s="33">
        <f>'Dados - Cliente'!AC112</f>
        <v>0</v>
      </c>
      <c r="AG112" s="35">
        <f>'Dados - Cliente'!AD112</f>
        <v>0</v>
      </c>
      <c r="AH112" s="33" t="e">
        <f>INDEX('Dados - Placas'!$A:$A,MATCH('1'!AG112,'Dados - Placas'!$D:$D,0))</f>
        <v>#N/A</v>
      </c>
      <c r="AI112" s="35" t="e">
        <f>INDEX('Dados - Placas'!$E:$E,MATCH('1'!AG112,'Dados - Placas'!$D:$D,0))</f>
        <v>#N/A</v>
      </c>
      <c r="AJ112" s="34" t="e">
        <f>INDEX('Dados - Placas'!$F:$F,MATCH('1'!AG112,'Dados - Placas'!$D:$D,0))*AF112</f>
        <v>#N/A</v>
      </c>
      <c r="AK112" s="33">
        <f>'Dados - Cliente'!AE112</f>
        <v>0</v>
      </c>
      <c r="AL112" s="33">
        <f>'Dados - Cliente'!AF112</f>
        <v>0</v>
      </c>
      <c r="AM112" s="36" t="e">
        <f>INDEX('Dados - Inversores'!$A:$A,MATCH('1'!AL112,'Dados - Inversores'!$C:$C,0))</f>
        <v>#N/A</v>
      </c>
      <c r="AN112" s="33">
        <f>'Dados - Cliente'!AG112</f>
        <v>0</v>
      </c>
      <c r="AO112" s="33" t="e">
        <f>AA112*1.25/(0.22*SQRT(INDEX('Dados - Inversores'!AK:AK,MATCH('1'!AL112,'Dados - Inversores'!C:C,0))))</f>
        <v>#N/A</v>
      </c>
      <c r="AP112" s="34">
        <f>INDEX(Dados!$E$2:$E$33,COUNTIF(Dados!$E$2:$E$33,"&lt;="&amp;AN112*1.25/(INDEX('Dados - Inversores'!AL:AL,MATCH('1'!AL112,'Dados - Inversores'!C:C,0))*SQRT(INDEX('Dados - Inversores'!AK:AK,MATCH('1'!AL112,'Dados - Inversores'!C:C,0)))))+1)</f>
        <v>2</v>
      </c>
      <c r="AQ112" s="33" t="s">
        <v>59</v>
      </c>
      <c r="AR112" s="33" t="str">
        <f t="shared" si="8"/>
        <v>Micro</v>
      </c>
      <c r="AS112" s="33">
        <f>'Dados - Cliente'!AH112</f>
        <v>0</v>
      </c>
      <c r="AT112" s="33">
        <f>'Dados - Cliente'!AI112</f>
        <v>0</v>
      </c>
      <c r="AU112" s="33" t="e">
        <f>INDEX('Dados - Placas'!$N:$N,MATCH('1'!AG112,'Dados - Placas'!$D:$D,0))-1</f>
        <v>#N/A</v>
      </c>
      <c r="AV112" s="33" t="e">
        <f>INDEX('Dados - Placas'!$O:$O,MATCH('1'!AG112,'Dados - Placas'!$D:$D,0))</f>
        <v>#N/A</v>
      </c>
      <c r="AW112" s="33" t="e">
        <f>INDEX('Dados - Inversores'!AM:AM,MATCH('1'!AL112,'Dados - Inversores'!$C:$C,0))-1</f>
        <v>#N/A</v>
      </c>
      <c r="AX112" s="33" t="e">
        <f>INDEX('Dados - Inversores'!AN:AN,MATCH('1'!AL112,'Dados - Inversores'!$C:$C,0))-1</f>
        <v>#N/A</v>
      </c>
      <c r="AY112" s="33" t="e">
        <f>MATCH('1'!H112,Dados!$D$89:$D$167,0)+1</f>
        <v>#N/A</v>
      </c>
      <c r="AZ112" s="33" t="e">
        <f>MATCH('1'!N112,'Dados - Solicitação de acesso'!$N$2:$N$8,0)</f>
        <v>#N/A</v>
      </c>
      <c r="BA112" s="33" t="e">
        <f>MATCH('1'!T112,'Dados - Solicitação de acesso'!$T$2:$T$20,0)</f>
        <v>#N/A</v>
      </c>
      <c r="BB112" s="34"/>
      <c r="BC112" s="33">
        <f>MATCH(AT112,'Dados - Solicitação de acesso'!$AT$2:$AT$28,0)</f>
        <v>1</v>
      </c>
      <c r="BD112" s="33" t="b">
        <f>IF(O112="TRIFASICO",INDEX(Dados!G:G,MATCH('1'!AP112,Dados!E:E,0)),IF(O112="BIFASICO",INDEX(Dados!F:F,MATCH('1'!AP112,Dados!E:E,0),)))</f>
        <v>0</v>
      </c>
      <c r="BE112" s="33">
        <f>'Dados - Cliente'!J112</f>
        <v>0</v>
      </c>
      <c r="BF112" s="34">
        <f>INDEX(Dados!$E$2:$E$33,COUNTIF(Dados!$E$2:$E$33,"&lt;="&amp;AN112*1.25*AK112/(0.22*SQRT(INDEX('Dados - Inversores'!AK:AK,MATCH('1'!AL112,'Dados - Inversores'!C:C,0)))))+1)</f>
        <v>2</v>
      </c>
      <c r="BG112" s="34" t="b">
        <f>IF(O112="TRIFASICO",INDEX(Dados!G:G,MATCH(BF112,Dados!E:E,0)),IF(O112="BIFASICO",INDEX(Dados!F:F,MATCH(BF112,Dados!E:E,0),)))</f>
        <v>0</v>
      </c>
    </row>
    <row r="113" spans="1:59" s="33" customFormat="1" x14ac:dyDescent="0.35">
      <c r="A113" s="33">
        <f>'Dados - Cliente'!A113</f>
        <v>0</v>
      </c>
      <c r="B113" s="33">
        <f>'Dados - Cliente'!B113</f>
        <v>0</v>
      </c>
      <c r="C113" s="33">
        <f>'Dados - Cliente'!C113</f>
        <v>0</v>
      </c>
      <c r="D113" s="33">
        <f>'Dados - Cliente'!D113</f>
        <v>0</v>
      </c>
      <c r="E113" s="33">
        <f>'Dados - Cliente'!E113</f>
        <v>0</v>
      </c>
      <c r="F113" s="33">
        <f>'Dados - Cliente'!F113</f>
        <v>0</v>
      </c>
      <c r="G113" s="33">
        <f>'Dados - Cliente'!G113</f>
        <v>0</v>
      </c>
      <c r="H113" s="33">
        <f>'Dados - Cliente'!H113</f>
        <v>0</v>
      </c>
      <c r="I113" s="75" t="s">
        <v>4313</v>
      </c>
      <c r="J113" s="52" t="s">
        <v>4314</v>
      </c>
      <c r="K113" s="52" t="s">
        <v>4314</v>
      </c>
      <c r="L113" s="33">
        <f>'Dados - Cliente'!I113</f>
        <v>0</v>
      </c>
      <c r="M113" s="33">
        <f>'Dados - Cliente'!K113</f>
        <v>0</v>
      </c>
      <c r="N113" s="33">
        <f>'Dados - Cliente'!L113</f>
        <v>0</v>
      </c>
      <c r="O113" s="33">
        <f>'Dados - Cliente'!M113</f>
        <v>0</v>
      </c>
      <c r="P113" s="33">
        <f>'Dados - Cliente'!N113</f>
        <v>0</v>
      </c>
      <c r="Q113" s="33">
        <f>'Dados - Cliente'!O113</f>
        <v>0</v>
      </c>
      <c r="R113" s="33">
        <f>'Dados - Cliente'!P113</f>
        <v>0</v>
      </c>
      <c r="S113" s="33">
        <f>'Dados - Cliente'!Q113</f>
        <v>0</v>
      </c>
      <c r="T113" s="33">
        <f>'Dados - Cliente'!R113</f>
        <v>0</v>
      </c>
      <c r="U113" s="34">
        <f>'Dados - Cliente'!S113</f>
        <v>0</v>
      </c>
      <c r="V113" s="34">
        <f>'Dados - Cliente'!T113</f>
        <v>0</v>
      </c>
      <c r="W113" s="34">
        <f>'Dados - Cliente'!U113</f>
        <v>0</v>
      </c>
      <c r="X113" s="34">
        <f>'Dados - Cliente'!V113</f>
        <v>0</v>
      </c>
      <c r="Y113" s="34">
        <f>'Dados - Cliente'!W113</f>
        <v>0</v>
      </c>
      <c r="Z113" s="34">
        <f>'Dados - Cliente'!X113</f>
        <v>0</v>
      </c>
      <c r="AA113" s="33" t="e">
        <f t="shared" ref="AA113:AA114" si="9">AI113*AF113</f>
        <v>#N/A</v>
      </c>
      <c r="AB113" s="33">
        <f>'Dados - Cliente'!Y113</f>
        <v>0</v>
      </c>
      <c r="AC113" s="33">
        <f>'Dados - Cliente'!Z113</f>
        <v>0</v>
      </c>
      <c r="AD113" s="33">
        <f>'Dados - Cliente'!AA113</f>
        <v>0</v>
      </c>
      <c r="AE113" s="33">
        <f>'Dados - Cliente'!AB113</f>
        <v>0</v>
      </c>
      <c r="AF113" s="33">
        <f>'Dados - Cliente'!AC113</f>
        <v>0</v>
      </c>
      <c r="AG113" s="35">
        <f>'Dados - Cliente'!AD113</f>
        <v>0</v>
      </c>
      <c r="AH113" s="33" t="e">
        <f>INDEX('Dados - Placas'!$A:$A,MATCH('1'!AG113,'Dados - Placas'!$D:$D,0))</f>
        <v>#N/A</v>
      </c>
      <c r="AI113" s="35" t="e">
        <f>INDEX('Dados - Placas'!$E:$E,MATCH('1'!AG113,'Dados - Placas'!$D:$D,0))</f>
        <v>#N/A</v>
      </c>
      <c r="AJ113" s="34" t="e">
        <f>INDEX('Dados - Placas'!$F:$F,MATCH('1'!AG113,'Dados - Placas'!$D:$D,0))*AF113</f>
        <v>#N/A</v>
      </c>
      <c r="AK113" s="33">
        <f>'Dados - Cliente'!AE113</f>
        <v>0</v>
      </c>
      <c r="AL113" s="33">
        <f>'Dados - Cliente'!AF113</f>
        <v>0</v>
      </c>
      <c r="AM113" s="36" t="e">
        <f>INDEX('Dados - Inversores'!$A:$A,MATCH('1'!AL113,'Dados - Inversores'!$C:$C,0))</f>
        <v>#N/A</v>
      </c>
      <c r="AN113" s="33">
        <f>'Dados - Cliente'!AG113</f>
        <v>0</v>
      </c>
      <c r="AO113" s="33" t="e">
        <f>AA113*1.25/(0.22*SQRT(INDEX('Dados - Inversores'!AK:AK,MATCH('1'!AL113,'Dados - Inversores'!C:C,0))))</f>
        <v>#N/A</v>
      </c>
      <c r="AP113" s="34">
        <f>INDEX(Dados!$E$2:$E$33,COUNTIF(Dados!$E$2:$E$33,"&lt;="&amp;AN113*1.25/(INDEX('Dados - Inversores'!AL:AL,MATCH('1'!AL113,'Dados - Inversores'!C:C,0))*SQRT(INDEX('Dados - Inversores'!AK:AK,MATCH('1'!AL113,'Dados - Inversores'!C:C,0)))))+1)</f>
        <v>2</v>
      </c>
      <c r="AQ113" s="33" t="s">
        <v>59</v>
      </c>
      <c r="AR113" s="33" t="str">
        <f t="shared" ref="AR113:AR114" si="10">IF((AN113*AK113)&gt;10,"Mini","Micro")</f>
        <v>Micro</v>
      </c>
      <c r="AS113" s="33">
        <f>'Dados - Cliente'!AH113</f>
        <v>0</v>
      </c>
      <c r="AT113" s="33">
        <f>'Dados - Cliente'!AI113</f>
        <v>0</v>
      </c>
      <c r="AU113" s="33" t="e">
        <f>INDEX('Dados - Placas'!$N:$N,MATCH('1'!AG113,'Dados - Placas'!$D:$D,0))-1</f>
        <v>#N/A</v>
      </c>
      <c r="AV113" s="33" t="e">
        <f>INDEX('Dados - Placas'!$O:$O,MATCH('1'!AG113,'Dados - Placas'!$D:$D,0))</f>
        <v>#N/A</v>
      </c>
      <c r="AW113" s="33" t="e">
        <f>INDEX('Dados - Inversores'!AM:AM,MATCH('1'!AL113,'Dados - Inversores'!$C:$C,0))-1</f>
        <v>#N/A</v>
      </c>
      <c r="AX113" s="33" t="e">
        <f>INDEX('Dados - Inversores'!AN:AN,MATCH('1'!AL113,'Dados - Inversores'!$C:$C,0))-1</f>
        <v>#N/A</v>
      </c>
      <c r="AY113" s="33" t="e">
        <f>MATCH('1'!H113,Dados!$D$89:$D$167,0)+1</f>
        <v>#N/A</v>
      </c>
      <c r="AZ113" s="33" t="e">
        <f>MATCH('1'!N113,'Dados - Solicitação de acesso'!$N$2:$N$8,0)</f>
        <v>#N/A</v>
      </c>
      <c r="BA113" s="33" t="e">
        <f>MATCH('1'!T113,'Dados - Solicitação de acesso'!$T$2:$T$20,0)</f>
        <v>#N/A</v>
      </c>
      <c r="BB113" s="34"/>
      <c r="BC113" s="33">
        <f>MATCH(AT113,'Dados - Solicitação de acesso'!$AT$2:$AT$28,0)</f>
        <v>1</v>
      </c>
      <c r="BD113" s="33" t="b">
        <f>IF(O113="TRIFASICO",INDEX(Dados!G:G,MATCH('1'!AP113,Dados!E:E,0)),IF(O113="BIFASICO",INDEX(Dados!F:F,MATCH('1'!AP113,Dados!E:E,0),)))</f>
        <v>0</v>
      </c>
      <c r="BE113" s="33">
        <f>'Dados - Cliente'!J113</f>
        <v>0</v>
      </c>
      <c r="BF113" s="34">
        <f>INDEX(Dados!$E$2:$E$33,COUNTIF(Dados!$E$2:$E$33,"&lt;="&amp;AN113*1.25*AK113/(0.22*SQRT(INDEX('Dados - Inversores'!AK:AK,MATCH('1'!AL113,'Dados - Inversores'!C:C,0)))))+1)</f>
        <v>2</v>
      </c>
      <c r="BG113" s="34" t="b">
        <f>IF(O113="TRIFASICO",INDEX(Dados!G:G,MATCH(BF113,Dados!E:E,0)),IF(O113="BIFASICO",INDEX(Dados!F:F,MATCH(BF113,Dados!E:E,0),)))</f>
        <v>0</v>
      </c>
    </row>
    <row r="114" spans="1:59" s="33" customFormat="1" x14ac:dyDescent="0.35">
      <c r="A114" s="33">
        <f>'Dados - Cliente'!A114</f>
        <v>0</v>
      </c>
      <c r="B114" s="33">
        <f>'Dados - Cliente'!B114</f>
        <v>0</v>
      </c>
      <c r="C114" s="33">
        <f>'Dados - Cliente'!C114</f>
        <v>0</v>
      </c>
      <c r="D114" s="33">
        <f>'Dados - Cliente'!D114</f>
        <v>0</v>
      </c>
      <c r="E114" s="33">
        <f>'Dados - Cliente'!E114</f>
        <v>0</v>
      </c>
      <c r="F114" s="33">
        <f>'Dados - Cliente'!F114</f>
        <v>0</v>
      </c>
      <c r="G114" s="33">
        <f>'Dados - Cliente'!G114</f>
        <v>0</v>
      </c>
      <c r="H114" s="33">
        <f>'Dados - Cliente'!H114</f>
        <v>0</v>
      </c>
      <c r="I114" s="75" t="s">
        <v>4313</v>
      </c>
      <c r="J114" s="52" t="s">
        <v>4314</v>
      </c>
      <c r="K114" s="52" t="s">
        <v>4314</v>
      </c>
      <c r="L114" s="33">
        <f>'Dados - Cliente'!I114</f>
        <v>0</v>
      </c>
      <c r="M114" s="33">
        <f>'Dados - Cliente'!K114</f>
        <v>0</v>
      </c>
      <c r="N114" s="33">
        <f>'Dados - Cliente'!L114</f>
        <v>0</v>
      </c>
      <c r="O114" s="33">
        <f>'Dados - Cliente'!M114</f>
        <v>0</v>
      </c>
      <c r="P114" s="33">
        <f>'Dados - Cliente'!N114</f>
        <v>0</v>
      </c>
      <c r="Q114" s="33">
        <f>'Dados - Cliente'!O114</f>
        <v>0</v>
      </c>
      <c r="R114" s="33">
        <f>'Dados - Cliente'!P114</f>
        <v>0</v>
      </c>
      <c r="S114" s="33">
        <f>'Dados - Cliente'!Q114</f>
        <v>0</v>
      </c>
      <c r="T114" s="33">
        <f>'Dados - Cliente'!R114</f>
        <v>0</v>
      </c>
      <c r="U114" s="34">
        <f>'Dados - Cliente'!S114</f>
        <v>0</v>
      </c>
      <c r="V114" s="34">
        <f>'Dados - Cliente'!T114</f>
        <v>0</v>
      </c>
      <c r="W114" s="34">
        <f>'Dados - Cliente'!U114</f>
        <v>0</v>
      </c>
      <c r="X114" s="34">
        <f>'Dados - Cliente'!V114</f>
        <v>0</v>
      </c>
      <c r="Y114" s="34">
        <f>'Dados - Cliente'!W114</f>
        <v>0</v>
      </c>
      <c r="Z114" s="34">
        <f>'Dados - Cliente'!X114</f>
        <v>0</v>
      </c>
      <c r="AA114" s="33" t="e">
        <f t="shared" si="9"/>
        <v>#N/A</v>
      </c>
      <c r="AB114" s="33">
        <f>'Dados - Cliente'!Y114</f>
        <v>0</v>
      </c>
      <c r="AC114" s="33">
        <f>'Dados - Cliente'!Z114</f>
        <v>0</v>
      </c>
      <c r="AD114" s="33">
        <f>'Dados - Cliente'!AA114</f>
        <v>0</v>
      </c>
      <c r="AE114" s="33">
        <f>'Dados - Cliente'!AB114</f>
        <v>0</v>
      </c>
      <c r="AF114" s="33">
        <f>'Dados - Cliente'!AC114</f>
        <v>0</v>
      </c>
      <c r="AG114" s="35">
        <f>'Dados - Cliente'!AD114</f>
        <v>0</v>
      </c>
      <c r="AH114" s="33" t="e">
        <f>INDEX('Dados - Placas'!$A:$A,MATCH('1'!AG114,'Dados - Placas'!$D:$D,0))</f>
        <v>#N/A</v>
      </c>
      <c r="AI114" s="35" t="e">
        <f>INDEX('Dados - Placas'!$E:$E,MATCH('1'!AG114,'Dados - Placas'!$D:$D,0))</f>
        <v>#N/A</v>
      </c>
      <c r="AJ114" s="34" t="e">
        <f>INDEX('Dados - Placas'!$F:$F,MATCH('1'!AG114,'Dados - Placas'!$D:$D,0))*AF114</f>
        <v>#N/A</v>
      </c>
      <c r="AK114" s="33">
        <f>'Dados - Cliente'!AE114</f>
        <v>0</v>
      </c>
      <c r="AL114" s="33">
        <f>'Dados - Cliente'!AF114</f>
        <v>0</v>
      </c>
      <c r="AM114" s="36" t="e">
        <f>INDEX('Dados - Inversores'!$A:$A,MATCH('1'!AL114,'Dados - Inversores'!$C:$C,0))</f>
        <v>#N/A</v>
      </c>
      <c r="AN114" s="33">
        <f>'Dados - Cliente'!AG114</f>
        <v>0</v>
      </c>
      <c r="AO114" s="33" t="e">
        <f>AA114*1.25/(0.22*SQRT(INDEX('Dados - Inversores'!AK:AK,MATCH('1'!AL114,'Dados - Inversores'!C:C,0))))</f>
        <v>#N/A</v>
      </c>
      <c r="AP114" s="34">
        <f>INDEX(Dados!$E$2:$E$33,COUNTIF(Dados!$E$2:$E$33,"&lt;="&amp;AN114*1.25/(INDEX('Dados - Inversores'!AL:AL,MATCH('1'!AL114,'Dados - Inversores'!C:C,0))*SQRT(INDEX('Dados - Inversores'!AK:AK,MATCH('1'!AL114,'Dados - Inversores'!C:C,0)))))+1)</f>
        <v>2</v>
      </c>
      <c r="AQ114" s="33" t="s">
        <v>59</v>
      </c>
      <c r="AR114" s="33" t="str">
        <f t="shared" si="10"/>
        <v>Micro</v>
      </c>
      <c r="AS114" s="33">
        <f>'Dados - Cliente'!AH114</f>
        <v>0</v>
      </c>
      <c r="AT114" s="33">
        <f>'Dados - Cliente'!AI114</f>
        <v>0</v>
      </c>
      <c r="AU114" s="33" t="e">
        <f>INDEX('Dados - Placas'!$N:$N,MATCH('1'!AG114,'Dados - Placas'!$D:$D,0))-1</f>
        <v>#N/A</v>
      </c>
      <c r="AV114" s="33" t="e">
        <f>INDEX('Dados - Placas'!$O:$O,MATCH('1'!AG114,'Dados - Placas'!$D:$D,0))</f>
        <v>#N/A</v>
      </c>
      <c r="AW114" s="33" t="e">
        <f>INDEX('Dados - Inversores'!AM:AM,MATCH('1'!AL114,'Dados - Inversores'!$C:$C,0))-1</f>
        <v>#N/A</v>
      </c>
      <c r="AX114" s="33" t="e">
        <f>INDEX('Dados - Inversores'!AN:AN,MATCH('1'!AL114,'Dados - Inversores'!$C:$C,0))-1</f>
        <v>#N/A</v>
      </c>
      <c r="AY114" s="33" t="e">
        <f>MATCH('1'!H114,Dados!$D$89:$D$167,0)+1</f>
        <v>#N/A</v>
      </c>
      <c r="AZ114" s="33" t="e">
        <f>MATCH('1'!N114,'Dados - Solicitação de acesso'!$N$2:$N$8,0)</f>
        <v>#N/A</v>
      </c>
      <c r="BA114" s="33" t="e">
        <f>MATCH('1'!T114,'Dados - Solicitação de acesso'!$T$2:$T$20,0)</f>
        <v>#N/A</v>
      </c>
      <c r="BB114" s="34"/>
      <c r="BC114" s="33">
        <f>MATCH(AT114,'Dados - Solicitação de acesso'!$AT$2:$AT$28,0)</f>
        <v>1</v>
      </c>
      <c r="BD114" s="33" t="b">
        <f>IF(O114="TRIFASICO",INDEX(Dados!G:G,MATCH('1'!AP114,Dados!E:E,0)),IF(O114="BIFASICO",INDEX(Dados!F:F,MATCH('1'!AP114,Dados!E:E,0),)))</f>
        <v>0</v>
      </c>
      <c r="BE114" s="33">
        <f>'Dados - Cliente'!J114</f>
        <v>0</v>
      </c>
      <c r="BF114" s="34">
        <f>INDEX(Dados!$E$2:$E$33,COUNTIF(Dados!$E$2:$E$33,"&lt;="&amp;AN114*1.25*AK114/(0.22*SQRT(INDEX('Dados - Inversores'!AK:AK,MATCH('1'!AL114,'Dados - Inversores'!C:C,0)))))+1)</f>
        <v>2</v>
      </c>
      <c r="BG114" s="34" t="b">
        <f>IF(O114="TRIFASICO",INDEX(Dados!G:G,MATCH(BF114,Dados!E:E,0)),IF(O114="BIFASICO",INDEX(Dados!F:F,MATCH(BF114,Dados!E:E,0),)))</f>
        <v>0</v>
      </c>
    </row>
    <row r="115" spans="1:59" s="33" customFormat="1" x14ac:dyDescent="0.35">
      <c r="A115" s="33">
        <f>'Dados - Cliente'!A115</f>
        <v>0</v>
      </c>
      <c r="B115" s="33">
        <f>'Dados - Cliente'!B115</f>
        <v>0</v>
      </c>
      <c r="C115" s="33">
        <f>'Dados - Cliente'!C115</f>
        <v>0</v>
      </c>
      <c r="D115" s="33">
        <f>'Dados - Cliente'!D115</f>
        <v>0</v>
      </c>
      <c r="E115" s="33">
        <f>'Dados - Cliente'!E115</f>
        <v>0</v>
      </c>
      <c r="F115" s="33">
        <f>'Dados - Cliente'!F115</f>
        <v>0</v>
      </c>
      <c r="G115" s="33">
        <f>'Dados - Cliente'!G115</f>
        <v>0</v>
      </c>
      <c r="H115" s="33">
        <f>'Dados - Cliente'!H115</f>
        <v>0</v>
      </c>
      <c r="I115" s="75" t="s">
        <v>4313</v>
      </c>
      <c r="J115" s="52" t="s">
        <v>4314</v>
      </c>
      <c r="K115" s="52" t="s">
        <v>4314</v>
      </c>
      <c r="L115" s="33">
        <f>'Dados - Cliente'!I115</f>
        <v>0</v>
      </c>
      <c r="M115" s="33">
        <f>'Dados - Cliente'!K115</f>
        <v>0</v>
      </c>
      <c r="N115" s="33">
        <f>'Dados - Cliente'!L115</f>
        <v>0</v>
      </c>
      <c r="O115" s="33">
        <f>'Dados - Cliente'!M115</f>
        <v>0</v>
      </c>
      <c r="P115" s="33">
        <f>'Dados - Cliente'!N115</f>
        <v>0</v>
      </c>
      <c r="Q115" s="33">
        <f>'Dados - Cliente'!O115</f>
        <v>0</v>
      </c>
      <c r="R115" s="33">
        <f>'Dados - Cliente'!P115</f>
        <v>0</v>
      </c>
      <c r="S115" s="33">
        <f>'Dados - Cliente'!Q115</f>
        <v>0</v>
      </c>
      <c r="T115" s="33">
        <f>'Dados - Cliente'!R115</f>
        <v>0</v>
      </c>
      <c r="U115" s="34">
        <f>'Dados - Cliente'!S115</f>
        <v>0</v>
      </c>
      <c r="V115" s="34">
        <f>'Dados - Cliente'!T115</f>
        <v>0</v>
      </c>
      <c r="W115" s="34">
        <f>'Dados - Cliente'!U115</f>
        <v>0</v>
      </c>
      <c r="X115" s="34">
        <f>'Dados - Cliente'!V115</f>
        <v>0</v>
      </c>
      <c r="Y115" s="34">
        <f>'Dados - Cliente'!W115</f>
        <v>0</v>
      </c>
      <c r="Z115" s="34">
        <f>'Dados - Cliente'!X115</f>
        <v>0</v>
      </c>
      <c r="AA115" s="33" t="e">
        <f t="shared" ref="AA115:AA125" si="11">AI115*AF115</f>
        <v>#N/A</v>
      </c>
      <c r="AB115" s="33">
        <f>'Dados - Cliente'!Y115</f>
        <v>0</v>
      </c>
      <c r="AC115" s="33">
        <f>'Dados - Cliente'!Z115</f>
        <v>0</v>
      </c>
      <c r="AD115" s="33">
        <f>'Dados - Cliente'!AA115</f>
        <v>0</v>
      </c>
      <c r="AE115" s="33">
        <f>'Dados - Cliente'!AB115</f>
        <v>0</v>
      </c>
      <c r="AF115" s="33">
        <f>'Dados - Cliente'!AC115</f>
        <v>0</v>
      </c>
      <c r="AG115" s="35">
        <f>'Dados - Cliente'!AD115</f>
        <v>0</v>
      </c>
      <c r="AH115" s="33" t="e">
        <f>INDEX('Dados - Placas'!$A:$A,MATCH('1'!AG115,'Dados - Placas'!$D:$D,0))</f>
        <v>#N/A</v>
      </c>
      <c r="AI115" s="35" t="e">
        <f>INDEX('Dados - Placas'!$E:$E,MATCH('1'!AG115,'Dados - Placas'!$D:$D,0))</f>
        <v>#N/A</v>
      </c>
      <c r="AJ115" s="34" t="e">
        <f>INDEX('Dados - Placas'!$F:$F,MATCH('1'!AG115,'Dados - Placas'!$D:$D,0))*AF115</f>
        <v>#N/A</v>
      </c>
      <c r="AK115" s="33">
        <f>'Dados - Cliente'!AE115</f>
        <v>0</v>
      </c>
      <c r="AL115" s="33">
        <f>'Dados - Cliente'!AF115</f>
        <v>0</v>
      </c>
      <c r="AM115" s="36" t="e">
        <f>INDEX('Dados - Inversores'!$A:$A,MATCH('1'!AL115,'Dados - Inversores'!$C:$C,0))</f>
        <v>#N/A</v>
      </c>
      <c r="AN115" s="33">
        <f>'Dados - Cliente'!AG115</f>
        <v>0</v>
      </c>
      <c r="AO115" s="33" t="e">
        <f>AA115*1.25/(0.22*SQRT(INDEX('Dados - Inversores'!AK:AK,MATCH('1'!AL115,'Dados - Inversores'!C:C,0))))</f>
        <v>#N/A</v>
      </c>
      <c r="AP115" s="34">
        <f>INDEX(Dados!$E$2:$E$33,COUNTIF(Dados!$E$2:$E$33,"&lt;="&amp;AN115*1.25/(INDEX('Dados - Inversores'!AL:AL,MATCH('1'!AL115,'Dados - Inversores'!C:C,0))*SQRT(INDEX('Dados - Inversores'!AK:AK,MATCH('1'!AL115,'Dados - Inversores'!C:C,0)))))+1)</f>
        <v>2</v>
      </c>
      <c r="AQ115" s="33" t="s">
        <v>59</v>
      </c>
      <c r="AR115" s="33" t="str">
        <f t="shared" ref="AR115:AR125" si="12">IF((AN115*AK115)&gt;10,"Mini","Micro")</f>
        <v>Micro</v>
      </c>
      <c r="AS115" s="33">
        <f>'Dados - Cliente'!AH115</f>
        <v>0</v>
      </c>
      <c r="AT115" s="33">
        <f>'Dados - Cliente'!AI115</f>
        <v>0</v>
      </c>
      <c r="AU115" s="33" t="e">
        <f>INDEX('Dados - Placas'!$N:$N,MATCH('1'!AG115,'Dados - Placas'!$D:$D,0))-1</f>
        <v>#N/A</v>
      </c>
      <c r="AV115" s="33" t="e">
        <f>INDEX('Dados - Placas'!$O:$O,MATCH('1'!AG115,'Dados - Placas'!$D:$D,0))</f>
        <v>#N/A</v>
      </c>
      <c r="AW115" s="33" t="e">
        <f>INDEX('Dados - Inversores'!AM:AM,MATCH('1'!AL115,'Dados - Inversores'!$C:$C,0))-1</f>
        <v>#N/A</v>
      </c>
      <c r="AX115" s="33" t="e">
        <f>INDEX('Dados - Inversores'!AN:AN,MATCH('1'!AL115,'Dados - Inversores'!$C:$C,0))-1</f>
        <v>#N/A</v>
      </c>
      <c r="AY115" s="33" t="e">
        <f>MATCH('1'!H115,Dados!$D$89:$D$167,0)+1</f>
        <v>#N/A</v>
      </c>
      <c r="AZ115" s="33" t="e">
        <f>MATCH('1'!N115,'Dados - Solicitação de acesso'!$N$2:$N$8,0)</f>
        <v>#N/A</v>
      </c>
      <c r="BA115" s="33" t="e">
        <f>MATCH('1'!T115,'Dados - Solicitação de acesso'!$T$2:$T$20,0)</f>
        <v>#N/A</v>
      </c>
      <c r="BB115" s="34"/>
      <c r="BC115" s="33">
        <f>MATCH(AT115,'Dados - Solicitação de acesso'!$AT$2:$AT$28,0)</f>
        <v>1</v>
      </c>
      <c r="BD115" s="33" t="b">
        <f>IF(O115="TRIFASICO",INDEX(Dados!G:G,MATCH('1'!AP115,Dados!E:E,0)),IF(O115="BIFASICO",INDEX(Dados!F:F,MATCH('1'!AP115,Dados!E:E,0),)))</f>
        <v>0</v>
      </c>
      <c r="BE115" s="33">
        <f>'Dados - Cliente'!J115</f>
        <v>0</v>
      </c>
      <c r="BF115" s="34">
        <f>INDEX(Dados!$E$2:$E$33,COUNTIF(Dados!$E$2:$E$33,"&lt;="&amp;AN115*1.25*AK115/(0.22*SQRT(INDEX('Dados - Inversores'!AK:AK,MATCH('1'!AL115,'Dados - Inversores'!C:C,0)))))+1)</f>
        <v>2</v>
      </c>
      <c r="BG115" s="34" t="b">
        <f>IF(O115="TRIFASICO",INDEX(Dados!G:G,MATCH(BF115,Dados!E:E,0)),IF(O115="BIFASICO",INDEX(Dados!F:F,MATCH(BF115,Dados!E:E,0),)))</f>
        <v>0</v>
      </c>
    </row>
    <row r="116" spans="1:59" s="33" customFormat="1" x14ac:dyDescent="0.35">
      <c r="A116" s="33">
        <f>'Dados - Cliente'!A116</f>
        <v>0</v>
      </c>
      <c r="B116" s="33">
        <f>'Dados - Cliente'!B116</f>
        <v>0</v>
      </c>
      <c r="C116" s="33">
        <f>'Dados - Cliente'!C116</f>
        <v>0</v>
      </c>
      <c r="D116" s="33">
        <f>'Dados - Cliente'!D116</f>
        <v>0</v>
      </c>
      <c r="E116" s="33">
        <f>'Dados - Cliente'!E116</f>
        <v>0</v>
      </c>
      <c r="F116" s="33">
        <f>'Dados - Cliente'!F116</f>
        <v>0</v>
      </c>
      <c r="G116" s="33">
        <f>'Dados - Cliente'!G116</f>
        <v>0</v>
      </c>
      <c r="H116" s="33">
        <f>'Dados - Cliente'!H116</f>
        <v>0</v>
      </c>
      <c r="I116" s="75" t="s">
        <v>4313</v>
      </c>
      <c r="J116" s="52" t="s">
        <v>4314</v>
      </c>
      <c r="K116" s="52" t="s">
        <v>4314</v>
      </c>
      <c r="L116" s="33">
        <f>'Dados - Cliente'!I116</f>
        <v>0</v>
      </c>
      <c r="M116" s="33">
        <f>'Dados - Cliente'!K116</f>
        <v>0</v>
      </c>
      <c r="N116" s="33">
        <f>'Dados - Cliente'!L116</f>
        <v>0</v>
      </c>
      <c r="O116" s="33">
        <f>'Dados - Cliente'!M116</f>
        <v>0</v>
      </c>
      <c r="P116" s="33">
        <f>'Dados - Cliente'!N116</f>
        <v>0</v>
      </c>
      <c r="Q116" s="33">
        <f>'Dados - Cliente'!O116</f>
        <v>0</v>
      </c>
      <c r="R116" s="33">
        <f>'Dados - Cliente'!P116</f>
        <v>0</v>
      </c>
      <c r="S116" s="33">
        <f>'Dados - Cliente'!Q116</f>
        <v>0</v>
      </c>
      <c r="T116" s="33">
        <f>'Dados - Cliente'!R116</f>
        <v>0</v>
      </c>
      <c r="U116" s="34">
        <f>'Dados - Cliente'!S116</f>
        <v>0</v>
      </c>
      <c r="V116" s="34">
        <f>'Dados - Cliente'!T116</f>
        <v>0</v>
      </c>
      <c r="W116" s="34">
        <f>'Dados - Cliente'!U116</f>
        <v>0</v>
      </c>
      <c r="X116" s="34">
        <f>'Dados - Cliente'!V116</f>
        <v>0</v>
      </c>
      <c r="Y116" s="34">
        <f>'Dados - Cliente'!W116</f>
        <v>0</v>
      </c>
      <c r="Z116" s="34">
        <f>'Dados - Cliente'!X116</f>
        <v>0</v>
      </c>
      <c r="AA116" s="33" t="e">
        <f t="shared" si="11"/>
        <v>#N/A</v>
      </c>
      <c r="AB116" s="33">
        <f>'Dados - Cliente'!Y116</f>
        <v>0</v>
      </c>
      <c r="AC116" s="33">
        <f>'Dados - Cliente'!Z116</f>
        <v>0</v>
      </c>
      <c r="AD116" s="33">
        <f>'Dados - Cliente'!AA116</f>
        <v>0</v>
      </c>
      <c r="AE116" s="33">
        <f>'Dados - Cliente'!AB116</f>
        <v>0</v>
      </c>
      <c r="AF116" s="33">
        <f>'Dados - Cliente'!AC116</f>
        <v>0</v>
      </c>
      <c r="AG116" s="35">
        <f>'Dados - Cliente'!AD116</f>
        <v>0</v>
      </c>
      <c r="AH116" s="33" t="e">
        <f>INDEX('Dados - Placas'!$A:$A,MATCH('1'!AG116,'Dados - Placas'!$D:$D,0))</f>
        <v>#N/A</v>
      </c>
      <c r="AI116" s="35" t="e">
        <f>INDEX('Dados - Placas'!$E:$E,MATCH('1'!AG116,'Dados - Placas'!$D:$D,0))</f>
        <v>#N/A</v>
      </c>
      <c r="AJ116" s="34" t="e">
        <f>INDEX('Dados - Placas'!$F:$F,MATCH('1'!AG116,'Dados - Placas'!$D:$D,0))*AF116</f>
        <v>#N/A</v>
      </c>
      <c r="AK116" s="33">
        <f>'Dados - Cliente'!AE116</f>
        <v>0</v>
      </c>
      <c r="AL116" s="33">
        <f>'Dados - Cliente'!AF116</f>
        <v>0</v>
      </c>
      <c r="AM116" s="36" t="e">
        <f>INDEX('Dados - Inversores'!$A:$A,MATCH('1'!AL116,'Dados - Inversores'!$C:$C,0))</f>
        <v>#N/A</v>
      </c>
      <c r="AN116" s="33">
        <f>'Dados - Cliente'!AG116</f>
        <v>0</v>
      </c>
      <c r="AO116" s="33" t="e">
        <f>AA116*1.25/(0.22*SQRT(INDEX('Dados - Inversores'!AK:AK,MATCH('1'!AL116,'Dados - Inversores'!C:C,0))))</f>
        <v>#N/A</v>
      </c>
      <c r="AP116" s="34">
        <f>INDEX(Dados!$E$2:$E$33,COUNTIF(Dados!$E$2:$E$33,"&lt;="&amp;AN116*1.25/(INDEX('Dados - Inversores'!AL:AL,MATCH('1'!AL116,'Dados - Inversores'!C:C,0))*SQRT(INDEX('Dados - Inversores'!AK:AK,MATCH('1'!AL116,'Dados - Inversores'!C:C,0)))))+1)</f>
        <v>2</v>
      </c>
      <c r="AQ116" s="33" t="s">
        <v>59</v>
      </c>
      <c r="AR116" s="33" t="str">
        <f t="shared" si="12"/>
        <v>Micro</v>
      </c>
      <c r="AS116" s="33">
        <f>'Dados - Cliente'!AH116</f>
        <v>0</v>
      </c>
      <c r="AT116" s="33">
        <f>'Dados - Cliente'!AI116</f>
        <v>0</v>
      </c>
      <c r="AU116" s="33" t="e">
        <f>INDEX('Dados - Placas'!$N:$N,MATCH('1'!AG116,'Dados - Placas'!$D:$D,0))-1</f>
        <v>#N/A</v>
      </c>
      <c r="AV116" s="33" t="e">
        <f>INDEX('Dados - Placas'!$O:$O,MATCH('1'!AG116,'Dados - Placas'!$D:$D,0))</f>
        <v>#N/A</v>
      </c>
      <c r="AW116" s="33" t="e">
        <f>INDEX('Dados - Inversores'!AM:AM,MATCH('1'!AL116,'Dados - Inversores'!$C:$C,0))-1</f>
        <v>#N/A</v>
      </c>
      <c r="AX116" s="33" t="e">
        <f>INDEX('Dados - Inversores'!AN:AN,MATCH('1'!AL116,'Dados - Inversores'!$C:$C,0))-1</f>
        <v>#N/A</v>
      </c>
      <c r="AY116" s="33" t="e">
        <f>MATCH('1'!H116,Dados!$D$89:$D$167,0)+1</f>
        <v>#N/A</v>
      </c>
      <c r="AZ116" s="33" t="e">
        <f>MATCH('1'!N116,'Dados - Solicitação de acesso'!$N$2:$N$8,0)</f>
        <v>#N/A</v>
      </c>
      <c r="BA116" s="33" t="e">
        <f>MATCH('1'!T116,'Dados - Solicitação de acesso'!$T$2:$T$20,0)</f>
        <v>#N/A</v>
      </c>
      <c r="BB116" s="34"/>
      <c r="BC116" s="33">
        <f>MATCH(AT116,'Dados - Solicitação de acesso'!$AT$2:$AT$28,0)</f>
        <v>1</v>
      </c>
      <c r="BD116" s="33" t="b">
        <f>IF(O116="TRIFASICO",INDEX(Dados!G:G,MATCH('1'!AP116,Dados!E:E,0)),IF(O116="BIFASICO",INDEX(Dados!F:F,MATCH('1'!AP116,Dados!E:E,0),)))</f>
        <v>0</v>
      </c>
      <c r="BE116" s="33">
        <f>'Dados - Cliente'!J116</f>
        <v>0</v>
      </c>
      <c r="BF116" s="34">
        <f>INDEX(Dados!$E$2:$E$33,COUNTIF(Dados!$E$2:$E$33,"&lt;="&amp;AN116*1.25*AK116/(0.22*SQRT(INDEX('Dados - Inversores'!AK:AK,MATCH('1'!AL116,'Dados - Inversores'!C:C,0)))))+1)</f>
        <v>2</v>
      </c>
      <c r="BG116" s="34" t="b">
        <f>IF(O116="TRIFASICO",INDEX(Dados!G:G,MATCH(BF116,Dados!E:E,0)),IF(O116="BIFASICO",INDEX(Dados!F:F,MATCH(BF116,Dados!E:E,0),)))</f>
        <v>0</v>
      </c>
    </row>
    <row r="117" spans="1:59" s="33" customFormat="1" x14ac:dyDescent="0.35">
      <c r="A117" s="33">
        <f>'Dados - Cliente'!A117</f>
        <v>0</v>
      </c>
      <c r="B117" s="33">
        <f>'Dados - Cliente'!B117</f>
        <v>0</v>
      </c>
      <c r="C117" s="33">
        <f>'Dados - Cliente'!C117</f>
        <v>0</v>
      </c>
      <c r="D117" s="33">
        <f>'Dados - Cliente'!D117</f>
        <v>0</v>
      </c>
      <c r="E117" s="33">
        <f>'Dados - Cliente'!E117</f>
        <v>0</v>
      </c>
      <c r="F117" s="33">
        <f>'Dados - Cliente'!F117</f>
        <v>0</v>
      </c>
      <c r="G117" s="33">
        <f>'Dados - Cliente'!G117</f>
        <v>0</v>
      </c>
      <c r="H117" s="33">
        <f>'Dados - Cliente'!H117</f>
        <v>0</v>
      </c>
      <c r="I117" s="75" t="s">
        <v>4313</v>
      </c>
      <c r="J117" s="52" t="s">
        <v>4314</v>
      </c>
      <c r="K117" s="52" t="s">
        <v>4314</v>
      </c>
      <c r="L117" s="33">
        <f>'Dados - Cliente'!I117</f>
        <v>0</v>
      </c>
      <c r="M117" s="33">
        <f>'Dados - Cliente'!K117</f>
        <v>0</v>
      </c>
      <c r="N117" s="33">
        <f>'Dados - Cliente'!L117</f>
        <v>0</v>
      </c>
      <c r="O117" s="33">
        <f>'Dados - Cliente'!M117</f>
        <v>0</v>
      </c>
      <c r="P117" s="33">
        <f>'Dados - Cliente'!N117</f>
        <v>0</v>
      </c>
      <c r="Q117" s="33">
        <f>'Dados - Cliente'!O117</f>
        <v>0</v>
      </c>
      <c r="R117" s="33">
        <f>'Dados - Cliente'!P117</f>
        <v>0</v>
      </c>
      <c r="S117" s="33">
        <f>'Dados - Cliente'!Q117</f>
        <v>0</v>
      </c>
      <c r="T117" s="33">
        <f>'Dados - Cliente'!R117</f>
        <v>0</v>
      </c>
      <c r="U117" s="34">
        <f>'Dados - Cliente'!S117</f>
        <v>0</v>
      </c>
      <c r="V117" s="34">
        <f>'Dados - Cliente'!T117</f>
        <v>0</v>
      </c>
      <c r="W117" s="34">
        <f>'Dados - Cliente'!U117</f>
        <v>0</v>
      </c>
      <c r="X117" s="34">
        <f>'Dados - Cliente'!V117</f>
        <v>0</v>
      </c>
      <c r="Y117" s="34">
        <f>'Dados - Cliente'!W117</f>
        <v>0</v>
      </c>
      <c r="Z117" s="34">
        <f>'Dados - Cliente'!X117</f>
        <v>0</v>
      </c>
      <c r="AA117" s="33" t="e">
        <f t="shared" si="11"/>
        <v>#N/A</v>
      </c>
      <c r="AB117" s="33">
        <f>'Dados - Cliente'!Y117</f>
        <v>0</v>
      </c>
      <c r="AC117" s="33">
        <f>'Dados - Cliente'!Z117</f>
        <v>0</v>
      </c>
      <c r="AD117" s="33">
        <f>'Dados - Cliente'!AA117</f>
        <v>0</v>
      </c>
      <c r="AE117" s="33">
        <f>'Dados - Cliente'!AB117</f>
        <v>0</v>
      </c>
      <c r="AF117" s="33">
        <f>'Dados - Cliente'!AC117</f>
        <v>0</v>
      </c>
      <c r="AG117" s="35">
        <f>'Dados - Cliente'!AD117</f>
        <v>0</v>
      </c>
      <c r="AH117" s="33" t="e">
        <f>INDEX('Dados - Placas'!$A:$A,MATCH('1'!AG117,'Dados - Placas'!$D:$D,0))</f>
        <v>#N/A</v>
      </c>
      <c r="AI117" s="35" t="e">
        <f>INDEX('Dados - Placas'!$E:$E,MATCH('1'!AG117,'Dados - Placas'!$D:$D,0))</f>
        <v>#N/A</v>
      </c>
      <c r="AJ117" s="34" t="e">
        <f>INDEX('Dados - Placas'!$F:$F,MATCH('1'!AG117,'Dados - Placas'!$D:$D,0))*AF117</f>
        <v>#N/A</v>
      </c>
      <c r="AK117" s="33">
        <f>'Dados - Cliente'!AE117</f>
        <v>0</v>
      </c>
      <c r="AL117" s="33">
        <f>'Dados - Cliente'!AF117</f>
        <v>0</v>
      </c>
      <c r="AM117" s="36" t="e">
        <f>INDEX('Dados - Inversores'!$A:$A,MATCH('1'!AL117,'Dados - Inversores'!$C:$C,0))</f>
        <v>#N/A</v>
      </c>
      <c r="AN117" s="33">
        <f>'Dados - Cliente'!AG117</f>
        <v>0</v>
      </c>
      <c r="AO117" s="33" t="e">
        <f>AA117*1.25/(0.22*SQRT(INDEX('Dados - Inversores'!AK:AK,MATCH('1'!AL117,'Dados - Inversores'!C:C,0))))</f>
        <v>#N/A</v>
      </c>
      <c r="AP117" s="34">
        <f>INDEX(Dados!$E$2:$E$33,COUNTIF(Dados!$E$2:$E$33,"&lt;="&amp;AN117*1.25/(INDEX('Dados - Inversores'!AL:AL,MATCH('1'!AL117,'Dados - Inversores'!C:C,0))*SQRT(INDEX('Dados - Inversores'!AK:AK,MATCH('1'!AL117,'Dados - Inversores'!C:C,0)))))+1)</f>
        <v>2</v>
      </c>
      <c r="AQ117" s="33" t="s">
        <v>59</v>
      </c>
      <c r="AR117" s="33" t="str">
        <f t="shared" si="12"/>
        <v>Micro</v>
      </c>
      <c r="AS117" s="33">
        <f>'Dados - Cliente'!AH117</f>
        <v>0</v>
      </c>
      <c r="AT117" s="33">
        <f>'Dados - Cliente'!AI117</f>
        <v>0</v>
      </c>
      <c r="AU117" s="33" t="e">
        <f>INDEX('Dados - Placas'!$N:$N,MATCH('1'!AG117,'Dados - Placas'!$D:$D,0))-1</f>
        <v>#N/A</v>
      </c>
      <c r="AV117" s="33" t="e">
        <f>INDEX('Dados - Placas'!$O:$O,MATCH('1'!AG117,'Dados - Placas'!$D:$D,0))</f>
        <v>#N/A</v>
      </c>
      <c r="AW117" s="33" t="e">
        <f>INDEX('Dados - Inversores'!AM:AM,MATCH('1'!AL117,'Dados - Inversores'!$C:$C,0))-1</f>
        <v>#N/A</v>
      </c>
      <c r="AX117" s="33" t="e">
        <f>INDEX('Dados - Inversores'!AN:AN,MATCH('1'!AL117,'Dados - Inversores'!$C:$C,0))-1</f>
        <v>#N/A</v>
      </c>
      <c r="AY117" s="33" t="e">
        <f>MATCH('1'!H117,Dados!$D$89:$D$167,0)+1</f>
        <v>#N/A</v>
      </c>
      <c r="AZ117" s="33" t="e">
        <f>MATCH('1'!N117,'Dados - Solicitação de acesso'!$N$2:$N$8,0)</f>
        <v>#N/A</v>
      </c>
      <c r="BA117" s="33" t="e">
        <f>MATCH('1'!T117,'Dados - Solicitação de acesso'!$T$2:$T$20,0)</f>
        <v>#N/A</v>
      </c>
      <c r="BB117" s="34"/>
      <c r="BC117" s="33">
        <f>MATCH(AT117,'Dados - Solicitação de acesso'!$AT$2:$AT$28,0)</f>
        <v>1</v>
      </c>
      <c r="BD117" s="33" t="b">
        <f>IF(O117="TRIFASICO",INDEX(Dados!G:G,MATCH('1'!AP117,Dados!E:E,0)),IF(O117="BIFASICO",INDEX(Dados!F:F,MATCH('1'!AP117,Dados!E:E,0),)))</f>
        <v>0</v>
      </c>
      <c r="BE117" s="33">
        <f>'Dados - Cliente'!J117</f>
        <v>0</v>
      </c>
      <c r="BF117" s="34">
        <f>INDEX(Dados!$E$2:$E$33,COUNTIF(Dados!$E$2:$E$33,"&lt;="&amp;AN117*1.25*AK117/(0.22*SQRT(INDEX('Dados - Inversores'!AK:AK,MATCH('1'!AL117,'Dados - Inversores'!C:C,0)))))+1)</f>
        <v>2</v>
      </c>
      <c r="BG117" s="34" t="b">
        <f>IF(O117="TRIFASICO",INDEX(Dados!G:G,MATCH(BF117,Dados!E:E,0)),IF(O117="BIFASICO",INDEX(Dados!F:F,MATCH(BF117,Dados!E:E,0),)))</f>
        <v>0</v>
      </c>
    </row>
    <row r="118" spans="1:59" s="33" customFormat="1" x14ac:dyDescent="0.35">
      <c r="A118" s="33">
        <f>'Dados - Cliente'!A118</f>
        <v>0</v>
      </c>
      <c r="B118" s="33">
        <f>'Dados - Cliente'!B118</f>
        <v>0</v>
      </c>
      <c r="C118" s="33">
        <f>'Dados - Cliente'!C118</f>
        <v>0</v>
      </c>
      <c r="D118" s="33">
        <f>'Dados - Cliente'!D118</f>
        <v>0</v>
      </c>
      <c r="E118" s="33">
        <f>'Dados - Cliente'!E118</f>
        <v>0</v>
      </c>
      <c r="F118" s="33">
        <f>'Dados - Cliente'!F118</f>
        <v>0</v>
      </c>
      <c r="G118" s="33">
        <f>'Dados - Cliente'!G118</f>
        <v>0</v>
      </c>
      <c r="H118" s="33">
        <f>'Dados - Cliente'!H118</f>
        <v>0</v>
      </c>
      <c r="I118" s="75" t="s">
        <v>4313</v>
      </c>
      <c r="J118" s="52" t="s">
        <v>4314</v>
      </c>
      <c r="K118" s="52" t="s">
        <v>4314</v>
      </c>
      <c r="L118" s="33">
        <f>'Dados - Cliente'!I118</f>
        <v>0</v>
      </c>
      <c r="M118" s="33">
        <f>'Dados - Cliente'!K118</f>
        <v>0</v>
      </c>
      <c r="N118" s="33">
        <f>'Dados - Cliente'!L118</f>
        <v>0</v>
      </c>
      <c r="O118" s="33">
        <f>'Dados - Cliente'!M118</f>
        <v>0</v>
      </c>
      <c r="P118" s="33">
        <f>'Dados - Cliente'!N118</f>
        <v>0</v>
      </c>
      <c r="Q118" s="33">
        <f>'Dados - Cliente'!O118</f>
        <v>0</v>
      </c>
      <c r="R118" s="33">
        <f>'Dados - Cliente'!P118</f>
        <v>0</v>
      </c>
      <c r="S118" s="33">
        <f>'Dados - Cliente'!Q118</f>
        <v>0</v>
      </c>
      <c r="T118" s="33">
        <f>'Dados - Cliente'!R118</f>
        <v>0</v>
      </c>
      <c r="U118" s="34">
        <f>'Dados - Cliente'!S118</f>
        <v>0</v>
      </c>
      <c r="V118" s="34">
        <f>'Dados - Cliente'!T118</f>
        <v>0</v>
      </c>
      <c r="W118" s="34">
        <f>'Dados - Cliente'!U118</f>
        <v>0</v>
      </c>
      <c r="X118" s="34">
        <f>'Dados - Cliente'!V118</f>
        <v>0</v>
      </c>
      <c r="Y118" s="34">
        <f>'Dados - Cliente'!W118</f>
        <v>0</v>
      </c>
      <c r="Z118" s="34">
        <f>'Dados - Cliente'!X118</f>
        <v>0</v>
      </c>
      <c r="AA118" s="33" t="e">
        <f t="shared" si="11"/>
        <v>#N/A</v>
      </c>
      <c r="AB118" s="33">
        <f>'Dados - Cliente'!Y118</f>
        <v>0</v>
      </c>
      <c r="AC118" s="33">
        <f>'Dados - Cliente'!Z118</f>
        <v>0</v>
      </c>
      <c r="AD118" s="33">
        <f>'Dados - Cliente'!AA118</f>
        <v>0</v>
      </c>
      <c r="AE118" s="33">
        <f>'Dados - Cliente'!AB118</f>
        <v>0</v>
      </c>
      <c r="AF118" s="33">
        <f>'Dados - Cliente'!AC118</f>
        <v>0</v>
      </c>
      <c r="AG118" s="35">
        <f>'Dados - Cliente'!AD118</f>
        <v>0</v>
      </c>
      <c r="AH118" s="33" t="e">
        <f>INDEX('Dados - Placas'!$A:$A,MATCH('1'!AG118,'Dados - Placas'!$D:$D,0))</f>
        <v>#N/A</v>
      </c>
      <c r="AI118" s="35" t="e">
        <f>INDEX('Dados - Placas'!$E:$E,MATCH('1'!AG118,'Dados - Placas'!$D:$D,0))</f>
        <v>#N/A</v>
      </c>
      <c r="AJ118" s="34" t="e">
        <f>INDEX('Dados - Placas'!$F:$F,MATCH('1'!AG118,'Dados - Placas'!$D:$D,0))*AF118</f>
        <v>#N/A</v>
      </c>
      <c r="AK118" s="33">
        <f>'Dados - Cliente'!AE118</f>
        <v>0</v>
      </c>
      <c r="AL118" s="33">
        <f>'Dados - Cliente'!AF118</f>
        <v>0</v>
      </c>
      <c r="AM118" s="36" t="e">
        <f>INDEX('Dados - Inversores'!$A:$A,MATCH('1'!AL118,'Dados - Inversores'!$C:$C,0))</f>
        <v>#N/A</v>
      </c>
      <c r="AN118" s="33">
        <f>'Dados - Cliente'!AG118</f>
        <v>0</v>
      </c>
      <c r="AO118" s="33" t="e">
        <f>AA118*1.25/(0.22*SQRT(INDEX('Dados - Inversores'!AK:AK,MATCH('1'!AL118,'Dados - Inversores'!C:C,0))))</f>
        <v>#N/A</v>
      </c>
      <c r="AP118" s="34">
        <f>INDEX(Dados!$E$2:$E$33,COUNTIF(Dados!$E$2:$E$33,"&lt;="&amp;AN118*1.25/(INDEX('Dados - Inversores'!AL:AL,MATCH('1'!AL118,'Dados - Inversores'!C:C,0))*SQRT(INDEX('Dados - Inversores'!AK:AK,MATCH('1'!AL118,'Dados - Inversores'!C:C,0)))))+1)</f>
        <v>2</v>
      </c>
      <c r="AQ118" s="33" t="s">
        <v>59</v>
      </c>
      <c r="AR118" s="33" t="str">
        <f t="shared" si="12"/>
        <v>Micro</v>
      </c>
      <c r="AS118" s="33">
        <f>'Dados - Cliente'!AH118</f>
        <v>0</v>
      </c>
      <c r="AT118" s="33">
        <f>'Dados - Cliente'!AI118</f>
        <v>0</v>
      </c>
      <c r="AU118" s="33" t="e">
        <f>INDEX('Dados - Placas'!$N:$N,MATCH('1'!AG118,'Dados - Placas'!$D:$D,0))-1</f>
        <v>#N/A</v>
      </c>
      <c r="AV118" s="33" t="e">
        <f>INDEX('Dados - Placas'!$O:$O,MATCH('1'!AG118,'Dados - Placas'!$D:$D,0))</f>
        <v>#N/A</v>
      </c>
      <c r="AW118" s="33" t="e">
        <f>INDEX('Dados - Inversores'!AM:AM,MATCH('1'!AL118,'Dados - Inversores'!$C:$C,0))-1</f>
        <v>#N/A</v>
      </c>
      <c r="AX118" s="33" t="e">
        <f>INDEX('Dados - Inversores'!AN:AN,MATCH('1'!AL118,'Dados - Inversores'!$C:$C,0))-1</f>
        <v>#N/A</v>
      </c>
      <c r="AY118" s="33" t="e">
        <f>MATCH('1'!H118,Dados!$D$89:$D$167,0)+1</f>
        <v>#N/A</v>
      </c>
      <c r="AZ118" s="33" t="e">
        <f>MATCH('1'!N118,'Dados - Solicitação de acesso'!$N$2:$N$8,0)</f>
        <v>#N/A</v>
      </c>
      <c r="BA118" s="33" t="e">
        <f>MATCH('1'!T118,'Dados - Solicitação de acesso'!$T$2:$T$20,0)</f>
        <v>#N/A</v>
      </c>
      <c r="BB118" s="34"/>
      <c r="BC118" s="33">
        <f>MATCH(AT118,'Dados - Solicitação de acesso'!$AT$2:$AT$28,0)</f>
        <v>1</v>
      </c>
      <c r="BD118" s="33" t="b">
        <f>IF(O118="TRIFASICO",INDEX(Dados!G:G,MATCH('1'!AP118,Dados!E:E,0)),IF(O118="BIFASICO",INDEX(Dados!F:F,MATCH('1'!AP118,Dados!E:E,0),)))</f>
        <v>0</v>
      </c>
      <c r="BE118" s="33">
        <f>'Dados - Cliente'!J118</f>
        <v>0</v>
      </c>
      <c r="BF118" s="34">
        <f>INDEX(Dados!$E$2:$E$33,COUNTIF(Dados!$E$2:$E$33,"&lt;="&amp;AN118*1.25*AK118/(0.22*SQRT(INDEX('Dados - Inversores'!AK:AK,MATCH('1'!AL118,'Dados - Inversores'!C:C,0)))))+1)</f>
        <v>2</v>
      </c>
      <c r="BG118" s="34" t="b">
        <f>IF(O118="TRIFASICO",INDEX(Dados!G:G,MATCH(BF118,Dados!E:E,0)),IF(O118="BIFASICO",INDEX(Dados!F:F,MATCH(BF118,Dados!E:E,0),)))</f>
        <v>0</v>
      </c>
    </row>
    <row r="119" spans="1:59" s="33" customFormat="1" x14ac:dyDescent="0.35">
      <c r="A119" s="33">
        <f>'Dados - Cliente'!A119</f>
        <v>0</v>
      </c>
      <c r="B119" s="33">
        <f>'Dados - Cliente'!B119</f>
        <v>0</v>
      </c>
      <c r="C119" s="33">
        <f>'Dados - Cliente'!C119</f>
        <v>0</v>
      </c>
      <c r="D119" s="33">
        <f>'Dados - Cliente'!D119</f>
        <v>0</v>
      </c>
      <c r="E119" s="33">
        <f>'Dados - Cliente'!E119</f>
        <v>0</v>
      </c>
      <c r="F119" s="33">
        <f>'Dados - Cliente'!F119</f>
        <v>0</v>
      </c>
      <c r="G119" s="33">
        <f>'Dados - Cliente'!G119</f>
        <v>0</v>
      </c>
      <c r="H119" s="33">
        <f>'Dados - Cliente'!H119</f>
        <v>0</v>
      </c>
      <c r="I119" s="75" t="s">
        <v>4313</v>
      </c>
      <c r="J119" s="52" t="s">
        <v>4314</v>
      </c>
      <c r="K119" s="52" t="s">
        <v>4314</v>
      </c>
      <c r="L119" s="33">
        <f>'Dados - Cliente'!I119</f>
        <v>0</v>
      </c>
      <c r="M119" s="33">
        <f>'Dados - Cliente'!K119</f>
        <v>0</v>
      </c>
      <c r="N119" s="33">
        <f>'Dados - Cliente'!L119</f>
        <v>0</v>
      </c>
      <c r="O119" s="33">
        <f>'Dados - Cliente'!M119</f>
        <v>0</v>
      </c>
      <c r="P119" s="33">
        <f>'Dados - Cliente'!N119</f>
        <v>0</v>
      </c>
      <c r="Q119" s="33">
        <f>'Dados - Cliente'!O119</f>
        <v>0</v>
      </c>
      <c r="R119" s="33">
        <f>'Dados - Cliente'!P119</f>
        <v>0</v>
      </c>
      <c r="S119" s="33">
        <f>'Dados - Cliente'!Q119</f>
        <v>0</v>
      </c>
      <c r="T119" s="33">
        <f>'Dados - Cliente'!R119</f>
        <v>0</v>
      </c>
      <c r="U119" s="34">
        <f>'Dados - Cliente'!S119</f>
        <v>0</v>
      </c>
      <c r="V119" s="34">
        <f>'Dados - Cliente'!T119</f>
        <v>0</v>
      </c>
      <c r="W119" s="34">
        <f>'Dados - Cliente'!U119</f>
        <v>0</v>
      </c>
      <c r="X119" s="34">
        <f>'Dados - Cliente'!V119</f>
        <v>0</v>
      </c>
      <c r="Y119" s="34">
        <f>'Dados - Cliente'!W119</f>
        <v>0</v>
      </c>
      <c r="Z119" s="34">
        <f>'Dados - Cliente'!X119</f>
        <v>0</v>
      </c>
      <c r="AA119" s="33" t="e">
        <f t="shared" si="11"/>
        <v>#N/A</v>
      </c>
      <c r="AB119" s="33">
        <f>'Dados - Cliente'!Y119</f>
        <v>0</v>
      </c>
      <c r="AC119" s="33">
        <f>'Dados - Cliente'!Z119</f>
        <v>0</v>
      </c>
      <c r="AD119" s="33">
        <f>'Dados - Cliente'!AA119</f>
        <v>0</v>
      </c>
      <c r="AE119" s="33">
        <f>'Dados - Cliente'!AB119</f>
        <v>0</v>
      </c>
      <c r="AF119" s="33">
        <f>'Dados - Cliente'!AC119</f>
        <v>0</v>
      </c>
      <c r="AG119" s="35">
        <f>'Dados - Cliente'!AD119</f>
        <v>0</v>
      </c>
      <c r="AH119" s="33" t="e">
        <f>INDEX('Dados - Placas'!$A:$A,MATCH('1'!AG119,'Dados - Placas'!$D:$D,0))</f>
        <v>#N/A</v>
      </c>
      <c r="AI119" s="35" t="e">
        <f>INDEX('Dados - Placas'!$E:$E,MATCH('1'!AG119,'Dados - Placas'!$D:$D,0))</f>
        <v>#N/A</v>
      </c>
      <c r="AJ119" s="34" t="e">
        <f>INDEX('Dados - Placas'!$F:$F,MATCH('1'!AG119,'Dados - Placas'!$D:$D,0))*AF119</f>
        <v>#N/A</v>
      </c>
      <c r="AK119" s="33">
        <f>'Dados - Cliente'!AE119</f>
        <v>0</v>
      </c>
      <c r="AL119" s="33">
        <f>'Dados - Cliente'!AF119</f>
        <v>0</v>
      </c>
      <c r="AM119" s="36" t="e">
        <f>INDEX('Dados - Inversores'!$A:$A,MATCH('1'!AL119,'Dados - Inversores'!$C:$C,0))</f>
        <v>#N/A</v>
      </c>
      <c r="AN119" s="33">
        <f>'Dados - Cliente'!AG119</f>
        <v>0</v>
      </c>
      <c r="AO119" s="33" t="e">
        <f>AA119*1.25/(0.22*SQRT(INDEX('Dados - Inversores'!AK:AK,MATCH('1'!AL119,'Dados - Inversores'!C:C,0))))</f>
        <v>#N/A</v>
      </c>
      <c r="AP119" s="34">
        <f>INDEX(Dados!$E$2:$E$33,COUNTIF(Dados!$E$2:$E$33,"&lt;="&amp;AN119*1.25/(INDEX('Dados - Inversores'!AL:AL,MATCH('1'!AL119,'Dados - Inversores'!C:C,0))*SQRT(INDEX('Dados - Inversores'!AK:AK,MATCH('1'!AL119,'Dados - Inversores'!C:C,0)))))+1)</f>
        <v>2</v>
      </c>
      <c r="AQ119" s="33" t="s">
        <v>59</v>
      </c>
      <c r="AR119" s="33" t="str">
        <f t="shared" si="12"/>
        <v>Micro</v>
      </c>
      <c r="AS119" s="33">
        <f>'Dados - Cliente'!AH119</f>
        <v>0</v>
      </c>
      <c r="AT119" s="33">
        <f>'Dados - Cliente'!AI119</f>
        <v>0</v>
      </c>
      <c r="AU119" s="33" t="e">
        <f>INDEX('Dados - Placas'!$N:$N,MATCH('1'!AG119,'Dados - Placas'!$D:$D,0))-1</f>
        <v>#N/A</v>
      </c>
      <c r="AV119" s="33" t="e">
        <f>INDEX('Dados - Placas'!$O:$O,MATCH('1'!AG119,'Dados - Placas'!$D:$D,0))</f>
        <v>#N/A</v>
      </c>
      <c r="AW119" s="33" t="e">
        <f>INDEX('Dados - Inversores'!AM:AM,MATCH('1'!AL119,'Dados - Inversores'!$C:$C,0))-1</f>
        <v>#N/A</v>
      </c>
      <c r="AX119" s="33" t="e">
        <f>INDEX('Dados - Inversores'!AN:AN,MATCH('1'!AL119,'Dados - Inversores'!$C:$C,0))-1</f>
        <v>#N/A</v>
      </c>
      <c r="AY119" s="33" t="e">
        <f>MATCH('1'!H119,Dados!$D$89:$D$167,0)+1</f>
        <v>#N/A</v>
      </c>
      <c r="AZ119" s="33" t="e">
        <f>MATCH('1'!N119,'Dados - Solicitação de acesso'!$N$2:$N$8,0)</f>
        <v>#N/A</v>
      </c>
      <c r="BA119" s="33" t="e">
        <f>MATCH('1'!T119,'Dados - Solicitação de acesso'!$T$2:$T$20,0)</f>
        <v>#N/A</v>
      </c>
      <c r="BB119" s="34"/>
      <c r="BC119" s="33">
        <f>MATCH(AT119,'Dados - Solicitação de acesso'!$AT$2:$AT$28,0)</f>
        <v>1</v>
      </c>
      <c r="BD119" s="33" t="b">
        <f>IF(O119="TRIFASICO",INDEX(Dados!G:G,MATCH('1'!AP119,Dados!E:E,0)),IF(O119="BIFASICO",INDEX(Dados!F:F,MATCH('1'!AP119,Dados!E:E,0),)))</f>
        <v>0</v>
      </c>
      <c r="BE119" s="33">
        <f>'Dados - Cliente'!J119</f>
        <v>0</v>
      </c>
      <c r="BF119" s="34">
        <f>INDEX(Dados!$E$2:$E$33,COUNTIF(Dados!$E$2:$E$33,"&lt;="&amp;AN119*1.25*AK119/(0.22*SQRT(INDEX('Dados - Inversores'!AK:AK,MATCH('1'!AL119,'Dados - Inversores'!C:C,0)))))+1)</f>
        <v>2</v>
      </c>
      <c r="BG119" s="34" t="b">
        <f>IF(O119="TRIFASICO",INDEX(Dados!G:G,MATCH(BF119,Dados!E:E,0)),IF(O119="BIFASICO",INDEX(Dados!F:F,MATCH(BF119,Dados!E:E,0),)))</f>
        <v>0</v>
      </c>
    </row>
    <row r="120" spans="1:59" s="33" customFormat="1" x14ac:dyDescent="0.35">
      <c r="A120" s="33">
        <f>'Dados - Cliente'!A120</f>
        <v>0</v>
      </c>
      <c r="B120" s="33">
        <f>'Dados - Cliente'!B120</f>
        <v>0</v>
      </c>
      <c r="C120" s="33">
        <f>'Dados - Cliente'!C120</f>
        <v>0</v>
      </c>
      <c r="D120" s="33">
        <f>'Dados - Cliente'!D120</f>
        <v>0</v>
      </c>
      <c r="E120" s="33">
        <f>'Dados - Cliente'!E120</f>
        <v>0</v>
      </c>
      <c r="F120" s="33">
        <f>'Dados - Cliente'!F120</f>
        <v>0</v>
      </c>
      <c r="G120" s="33">
        <f>'Dados - Cliente'!G120</f>
        <v>0</v>
      </c>
      <c r="H120" s="33">
        <f>'Dados - Cliente'!H120</f>
        <v>0</v>
      </c>
      <c r="I120" s="75" t="s">
        <v>4313</v>
      </c>
      <c r="J120" s="52" t="s">
        <v>4314</v>
      </c>
      <c r="K120" s="52" t="s">
        <v>4314</v>
      </c>
      <c r="L120" s="33">
        <f>'Dados - Cliente'!I120</f>
        <v>0</v>
      </c>
      <c r="M120" s="33">
        <f>'Dados - Cliente'!K120</f>
        <v>0</v>
      </c>
      <c r="N120" s="33">
        <f>'Dados - Cliente'!L120</f>
        <v>0</v>
      </c>
      <c r="O120" s="33">
        <f>'Dados - Cliente'!M120</f>
        <v>0</v>
      </c>
      <c r="P120" s="33">
        <f>'Dados - Cliente'!N120</f>
        <v>0</v>
      </c>
      <c r="Q120" s="33">
        <f>'Dados - Cliente'!O120</f>
        <v>0</v>
      </c>
      <c r="R120" s="33">
        <f>'Dados - Cliente'!P120</f>
        <v>0</v>
      </c>
      <c r="S120" s="33">
        <f>'Dados - Cliente'!Q120</f>
        <v>0</v>
      </c>
      <c r="T120" s="33">
        <f>'Dados - Cliente'!R120</f>
        <v>0</v>
      </c>
      <c r="U120" s="34">
        <f>'Dados - Cliente'!S120</f>
        <v>0</v>
      </c>
      <c r="V120" s="34">
        <f>'Dados - Cliente'!T120</f>
        <v>0</v>
      </c>
      <c r="W120" s="34">
        <f>'Dados - Cliente'!U120</f>
        <v>0</v>
      </c>
      <c r="X120" s="34">
        <f>'Dados - Cliente'!V120</f>
        <v>0</v>
      </c>
      <c r="Y120" s="34">
        <f>'Dados - Cliente'!W120</f>
        <v>0</v>
      </c>
      <c r="Z120" s="34">
        <f>'Dados - Cliente'!X120</f>
        <v>0</v>
      </c>
      <c r="AA120" s="33" t="e">
        <f t="shared" si="11"/>
        <v>#N/A</v>
      </c>
      <c r="AB120" s="33">
        <f>'Dados - Cliente'!Y120</f>
        <v>0</v>
      </c>
      <c r="AC120" s="33">
        <f>'Dados - Cliente'!Z120</f>
        <v>0</v>
      </c>
      <c r="AD120" s="33">
        <f>'Dados - Cliente'!AA120</f>
        <v>0</v>
      </c>
      <c r="AE120" s="33">
        <f>'Dados - Cliente'!AB120</f>
        <v>0</v>
      </c>
      <c r="AF120" s="33">
        <f>'Dados - Cliente'!AC120</f>
        <v>0</v>
      </c>
      <c r="AG120" s="35">
        <f>'Dados - Cliente'!AD120</f>
        <v>0</v>
      </c>
      <c r="AH120" s="33" t="e">
        <f>INDEX('Dados - Placas'!$A:$A,MATCH('1'!AG120,'Dados - Placas'!$D:$D,0))</f>
        <v>#N/A</v>
      </c>
      <c r="AI120" s="35" t="e">
        <f>INDEX('Dados - Placas'!$E:$E,MATCH('1'!AG120,'Dados - Placas'!$D:$D,0))</f>
        <v>#N/A</v>
      </c>
      <c r="AJ120" s="34" t="e">
        <f>INDEX('Dados - Placas'!$F:$F,MATCH('1'!AG120,'Dados - Placas'!$D:$D,0))*AF120</f>
        <v>#N/A</v>
      </c>
      <c r="AK120" s="33">
        <f>'Dados - Cliente'!AE120</f>
        <v>0</v>
      </c>
      <c r="AL120" s="33">
        <f>'Dados - Cliente'!AF120</f>
        <v>0</v>
      </c>
      <c r="AM120" s="36" t="e">
        <f>INDEX('Dados - Inversores'!$A:$A,MATCH('1'!AL120,'Dados - Inversores'!$C:$C,0))</f>
        <v>#N/A</v>
      </c>
      <c r="AN120" s="33">
        <f>'Dados - Cliente'!AG120</f>
        <v>0</v>
      </c>
      <c r="AO120" s="33" t="e">
        <f>AA120*1.25/(0.22*SQRT(INDEX('Dados - Inversores'!AK:AK,MATCH('1'!AL120,'Dados - Inversores'!C:C,0))))</f>
        <v>#N/A</v>
      </c>
      <c r="AP120" s="34">
        <f>INDEX(Dados!$E$2:$E$33,COUNTIF(Dados!$E$2:$E$33,"&lt;="&amp;AN120*1.25/(INDEX('Dados - Inversores'!AL:AL,MATCH('1'!AL120,'Dados - Inversores'!C:C,0))*SQRT(INDEX('Dados - Inversores'!AK:AK,MATCH('1'!AL120,'Dados - Inversores'!C:C,0)))))+1)</f>
        <v>2</v>
      </c>
      <c r="AQ120" s="33" t="s">
        <v>59</v>
      </c>
      <c r="AR120" s="33" t="str">
        <f t="shared" si="12"/>
        <v>Micro</v>
      </c>
      <c r="AS120" s="33">
        <f>'Dados - Cliente'!AH120</f>
        <v>0</v>
      </c>
      <c r="AT120" s="33">
        <f>'Dados - Cliente'!AI120</f>
        <v>0</v>
      </c>
      <c r="AU120" s="33" t="e">
        <f>INDEX('Dados - Placas'!$N:$N,MATCH('1'!AG120,'Dados - Placas'!$D:$D,0))-1</f>
        <v>#N/A</v>
      </c>
      <c r="AV120" s="33" t="e">
        <f>INDEX('Dados - Placas'!$O:$O,MATCH('1'!AG120,'Dados - Placas'!$D:$D,0))</f>
        <v>#N/A</v>
      </c>
      <c r="AW120" s="33" t="e">
        <f>INDEX('Dados - Inversores'!AM:AM,MATCH('1'!AL120,'Dados - Inversores'!$C:$C,0))-1</f>
        <v>#N/A</v>
      </c>
      <c r="AX120" s="33" t="e">
        <f>INDEX('Dados - Inversores'!AN:AN,MATCH('1'!AL120,'Dados - Inversores'!$C:$C,0))-1</f>
        <v>#N/A</v>
      </c>
      <c r="AY120" s="33" t="e">
        <f>MATCH('1'!H120,Dados!$D$89:$D$167,0)+1</f>
        <v>#N/A</v>
      </c>
      <c r="AZ120" s="33" t="e">
        <f>MATCH('1'!N120,'Dados - Solicitação de acesso'!$N$2:$N$8,0)</f>
        <v>#N/A</v>
      </c>
      <c r="BA120" s="33" t="e">
        <f>MATCH('1'!T120,'Dados - Solicitação de acesso'!$T$2:$T$20,0)</f>
        <v>#N/A</v>
      </c>
      <c r="BB120" s="34"/>
      <c r="BC120" s="33">
        <f>MATCH(AT120,'Dados - Solicitação de acesso'!$AT$2:$AT$28,0)</f>
        <v>1</v>
      </c>
      <c r="BD120" s="33" t="b">
        <f>IF(O120="TRIFASICO",INDEX(Dados!G:G,MATCH('1'!AP120,Dados!E:E,0)),IF(O120="BIFASICO",INDEX(Dados!F:F,MATCH('1'!AP120,Dados!E:E,0),)))</f>
        <v>0</v>
      </c>
      <c r="BE120" s="33">
        <f>'Dados - Cliente'!J120</f>
        <v>0</v>
      </c>
      <c r="BF120" s="34">
        <f>INDEX(Dados!$E$2:$E$33,COUNTIF(Dados!$E$2:$E$33,"&lt;="&amp;AN120*1.25*AK120/(0.22*SQRT(INDEX('Dados - Inversores'!AK:AK,MATCH('1'!AL120,'Dados - Inversores'!C:C,0)))))+1)</f>
        <v>2</v>
      </c>
      <c r="BG120" s="34" t="b">
        <f>IF(O120="TRIFASICO",INDEX(Dados!G:G,MATCH(BF120,Dados!E:E,0)),IF(O120="BIFASICO",INDEX(Dados!F:F,MATCH(BF120,Dados!E:E,0),)))</f>
        <v>0</v>
      </c>
    </row>
    <row r="121" spans="1:59" s="33" customFormat="1" x14ac:dyDescent="0.35">
      <c r="A121" s="33">
        <f>'Dados - Cliente'!A121</f>
        <v>0</v>
      </c>
      <c r="B121" s="33">
        <f>'Dados - Cliente'!B121</f>
        <v>0</v>
      </c>
      <c r="C121" s="33">
        <f>'Dados - Cliente'!C121</f>
        <v>0</v>
      </c>
      <c r="D121" s="33">
        <f>'Dados - Cliente'!D121</f>
        <v>0</v>
      </c>
      <c r="E121" s="33">
        <f>'Dados - Cliente'!E121</f>
        <v>0</v>
      </c>
      <c r="F121" s="33">
        <f>'Dados - Cliente'!F121</f>
        <v>0</v>
      </c>
      <c r="G121" s="33">
        <f>'Dados - Cliente'!G121</f>
        <v>0</v>
      </c>
      <c r="H121" s="33">
        <f>'Dados - Cliente'!H121</f>
        <v>0</v>
      </c>
      <c r="I121" s="75" t="s">
        <v>4313</v>
      </c>
      <c r="J121" s="52" t="s">
        <v>4314</v>
      </c>
      <c r="K121" s="52" t="s">
        <v>4314</v>
      </c>
      <c r="L121" s="33">
        <f>'Dados - Cliente'!I121</f>
        <v>0</v>
      </c>
      <c r="M121" s="33">
        <f>'Dados - Cliente'!K121</f>
        <v>0</v>
      </c>
      <c r="N121" s="33">
        <f>'Dados - Cliente'!L121</f>
        <v>0</v>
      </c>
      <c r="O121" s="33">
        <f>'Dados - Cliente'!M121</f>
        <v>0</v>
      </c>
      <c r="P121" s="33">
        <f>'Dados - Cliente'!N121</f>
        <v>0</v>
      </c>
      <c r="Q121" s="33">
        <f>'Dados - Cliente'!O121</f>
        <v>0</v>
      </c>
      <c r="R121" s="33">
        <f>'Dados - Cliente'!P121</f>
        <v>0</v>
      </c>
      <c r="S121" s="33">
        <f>'Dados - Cliente'!Q121</f>
        <v>0</v>
      </c>
      <c r="T121" s="33">
        <f>'Dados - Cliente'!R121</f>
        <v>0</v>
      </c>
      <c r="U121" s="34">
        <f>'Dados - Cliente'!S121</f>
        <v>0</v>
      </c>
      <c r="V121" s="34">
        <f>'Dados - Cliente'!T121</f>
        <v>0</v>
      </c>
      <c r="W121" s="34">
        <f>'Dados - Cliente'!U121</f>
        <v>0</v>
      </c>
      <c r="X121" s="34">
        <f>'Dados - Cliente'!V121</f>
        <v>0</v>
      </c>
      <c r="Y121" s="34">
        <f>'Dados - Cliente'!W121</f>
        <v>0</v>
      </c>
      <c r="Z121" s="34">
        <f>'Dados - Cliente'!X121</f>
        <v>0</v>
      </c>
      <c r="AA121" s="33" t="e">
        <f t="shared" si="11"/>
        <v>#N/A</v>
      </c>
      <c r="AB121" s="33">
        <f>'Dados - Cliente'!Y121</f>
        <v>0</v>
      </c>
      <c r="AC121" s="33">
        <f>'Dados - Cliente'!Z121</f>
        <v>0</v>
      </c>
      <c r="AD121" s="33">
        <f>'Dados - Cliente'!AA121</f>
        <v>0</v>
      </c>
      <c r="AE121" s="33">
        <f>'Dados - Cliente'!AB121</f>
        <v>0</v>
      </c>
      <c r="AF121" s="33">
        <f>'Dados - Cliente'!AC121</f>
        <v>0</v>
      </c>
      <c r="AG121" s="35">
        <f>'Dados - Cliente'!AD121</f>
        <v>0</v>
      </c>
      <c r="AH121" s="33" t="e">
        <f>INDEX('Dados - Placas'!$A:$A,MATCH('1'!AG121,'Dados - Placas'!$D:$D,0))</f>
        <v>#N/A</v>
      </c>
      <c r="AI121" s="35" t="e">
        <f>INDEX('Dados - Placas'!$E:$E,MATCH('1'!AG121,'Dados - Placas'!$D:$D,0))</f>
        <v>#N/A</v>
      </c>
      <c r="AJ121" s="34" t="e">
        <f>INDEX('Dados - Placas'!$F:$F,MATCH('1'!AG121,'Dados - Placas'!$D:$D,0))*AF121</f>
        <v>#N/A</v>
      </c>
      <c r="AK121" s="33">
        <f>'Dados - Cliente'!AE121</f>
        <v>0</v>
      </c>
      <c r="AL121" s="33">
        <f>'Dados - Cliente'!AF121</f>
        <v>0</v>
      </c>
      <c r="AM121" s="36" t="e">
        <f>INDEX('Dados - Inversores'!$A:$A,MATCH('1'!AL121,'Dados - Inversores'!$C:$C,0))</f>
        <v>#N/A</v>
      </c>
      <c r="AN121" s="33">
        <f>'Dados - Cliente'!AG121</f>
        <v>0</v>
      </c>
      <c r="AO121" s="33" t="e">
        <f>AA121*1.25/(0.22*SQRT(INDEX('Dados - Inversores'!AK:AK,MATCH('1'!AL121,'Dados - Inversores'!C:C,0))))</f>
        <v>#N/A</v>
      </c>
      <c r="AP121" s="34">
        <f>INDEX(Dados!$E$2:$E$33,COUNTIF(Dados!$E$2:$E$33,"&lt;="&amp;AN121*1.25/(INDEX('Dados - Inversores'!AL:AL,MATCH('1'!AL121,'Dados - Inversores'!C:C,0))*SQRT(INDEX('Dados - Inversores'!AK:AK,MATCH('1'!AL121,'Dados - Inversores'!C:C,0)))))+1)</f>
        <v>2</v>
      </c>
      <c r="AQ121" s="33" t="s">
        <v>59</v>
      </c>
      <c r="AR121" s="33" t="str">
        <f t="shared" si="12"/>
        <v>Micro</v>
      </c>
      <c r="AS121" s="33">
        <f>'Dados - Cliente'!AH121</f>
        <v>0</v>
      </c>
      <c r="AT121" s="33">
        <f>'Dados - Cliente'!AI121</f>
        <v>0</v>
      </c>
      <c r="AU121" s="33" t="e">
        <f>INDEX('Dados - Placas'!$N:$N,MATCH('1'!AG121,'Dados - Placas'!$D:$D,0))-1</f>
        <v>#N/A</v>
      </c>
      <c r="AV121" s="33" t="e">
        <f>INDEX('Dados - Placas'!$O:$O,MATCH('1'!AG121,'Dados - Placas'!$D:$D,0))</f>
        <v>#N/A</v>
      </c>
      <c r="AW121" s="33" t="e">
        <f>INDEX('Dados - Inversores'!AM:AM,MATCH('1'!AL121,'Dados - Inversores'!$C:$C,0))-1</f>
        <v>#N/A</v>
      </c>
      <c r="AX121" s="33" t="e">
        <f>INDEX('Dados - Inversores'!AN:AN,MATCH('1'!AL121,'Dados - Inversores'!$C:$C,0))-1</f>
        <v>#N/A</v>
      </c>
      <c r="AY121" s="33" t="e">
        <f>MATCH('1'!H121,Dados!$D$89:$D$167,0)+1</f>
        <v>#N/A</v>
      </c>
      <c r="AZ121" s="33" t="e">
        <f>MATCH('1'!N121,'Dados - Solicitação de acesso'!$N$2:$N$8,0)</f>
        <v>#N/A</v>
      </c>
      <c r="BA121" s="33" t="e">
        <f>MATCH('1'!T121,'Dados - Solicitação de acesso'!$T$2:$T$20,0)</f>
        <v>#N/A</v>
      </c>
      <c r="BB121" s="34"/>
      <c r="BC121" s="33">
        <f>MATCH(AT121,'Dados - Solicitação de acesso'!$AT$2:$AT$28,0)</f>
        <v>1</v>
      </c>
      <c r="BD121" s="33" t="b">
        <f>IF(O121="TRIFASICO",INDEX(Dados!G:G,MATCH('1'!AP121,Dados!E:E,0)),IF(O121="BIFASICO",INDEX(Dados!F:F,MATCH('1'!AP121,Dados!E:E,0),)))</f>
        <v>0</v>
      </c>
      <c r="BE121" s="33">
        <f>'Dados - Cliente'!J121</f>
        <v>0</v>
      </c>
      <c r="BF121" s="34">
        <f>INDEX(Dados!$E$2:$E$33,COUNTIF(Dados!$E$2:$E$33,"&lt;="&amp;AN121*1.25*AK121/(0.22*SQRT(INDEX('Dados - Inversores'!AK:AK,MATCH('1'!AL121,'Dados - Inversores'!C:C,0)))))+1)</f>
        <v>2</v>
      </c>
      <c r="BG121" s="34" t="b">
        <f>IF(O121="TRIFASICO",INDEX(Dados!G:G,MATCH(BF121,Dados!E:E,0)),IF(O121="BIFASICO",INDEX(Dados!F:F,MATCH(BF121,Dados!E:E,0),)))</f>
        <v>0</v>
      </c>
    </row>
    <row r="122" spans="1:59" s="33" customFormat="1" x14ac:dyDescent="0.35">
      <c r="A122" s="33">
        <f>'Dados - Cliente'!A122</f>
        <v>0</v>
      </c>
      <c r="B122" s="33">
        <f>'Dados - Cliente'!B122</f>
        <v>0</v>
      </c>
      <c r="C122" s="33">
        <f>'Dados - Cliente'!C122</f>
        <v>0</v>
      </c>
      <c r="D122" s="33">
        <f>'Dados - Cliente'!D122</f>
        <v>0</v>
      </c>
      <c r="E122" s="33">
        <f>'Dados - Cliente'!E122</f>
        <v>0</v>
      </c>
      <c r="F122" s="33">
        <f>'Dados - Cliente'!F122</f>
        <v>0</v>
      </c>
      <c r="G122" s="33">
        <f>'Dados - Cliente'!G122</f>
        <v>0</v>
      </c>
      <c r="H122" s="33">
        <f>'Dados - Cliente'!H122</f>
        <v>0</v>
      </c>
      <c r="I122" s="75" t="s">
        <v>4313</v>
      </c>
      <c r="J122" s="52" t="s">
        <v>4314</v>
      </c>
      <c r="K122" s="52" t="s">
        <v>4314</v>
      </c>
      <c r="L122" s="33">
        <f>'Dados - Cliente'!I122</f>
        <v>0</v>
      </c>
      <c r="M122" s="33">
        <f>'Dados - Cliente'!K122</f>
        <v>0</v>
      </c>
      <c r="N122" s="33">
        <f>'Dados - Cliente'!L122</f>
        <v>0</v>
      </c>
      <c r="O122" s="33">
        <f>'Dados - Cliente'!M122</f>
        <v>0</v>
      </c>
      <c r="P122" s="33">
        <f>'Dados - Cliente'!N122</f>
        <v>0</v>
      </c>
      <c r="Q122" s="33">
        <f>'Dados - Cliente'!O122</f>
        <v>0</v>
      </c>
      <c r="R122" s="33">
        <f>'Dados - Cliente'!P122</f>
        <v>0</v>
      </c>
      <c r="S122" s="33">
        <f>'Dados - Cliente'!Q122</f>
        <v>0</v>
      </c>
      <c r="T122" s="33">
        <f>'Dados - Cliente'!R122</f>
        <v>0</v>
      </c>
      <c r="U122" s="34">
        <f>'Dados - Cliente'!S122</f>
        <v>0</v>
      </c>
      <c r="V122" s="34">
        <f>'Dados - Cliente'!T122</f>
        <v>0</v>
      </c>
      <c r="W122" s="34">
        <f>'Dados - Cliente'!U122</f>
        <v>0</v>
      </c>
      <c r="X122" s="34">
        <f>'Dados - Cliente'!V122</f>
        <v>0</v>
      </c>
      <c r="Y122" s="34">
        <f>'Dados - Cliente'!W122</f>
        <v>0</v>
      </c>
      <c r="Z122" s="34">
        <f>'Dados - Cliente'!X122</f>
        <v>0</v>
      </c>
      <c r="AA122" s="33" t="e">
        <f t="shared" si="11"/>
        <v>#N/A</v>
      </c>
      <c r="AB122" s="33">
        <f>'Dados - Cliente'!Y122</f>
        <v>0</v>
      </c>
      <c r="AC122" s="33">
        <f>'Dados - Cliente'!Z122</f>
        <v>0</v>
      </c>
      <c r="AD122" s="33">
        <f>'Dados - Cliente'!AA122</f>
        <v>0</v>
      </c>
      <c r="AE122" s="33">
        <f>'Dados - Cliente'!AB122</f>
        <v>0</v>
      </c>
      <c r="AF122" s="33">
        <f>'Dados - Cliente'!AC122</f>
        <v>0</v>
      </c>
      <c r="AG122" s="35">
        <f>'Dados - Cliente'!AD122</f>
        <v>0</v>
      </c>
      <c r="AH122" s="33" t="e">
        <f>INDEX('Dados - Placas'!$A:$A,MATCH('1'!AG122,'Dados - Placas'!$D:$D,0))</f>
        <v>#N/A</v>
      </c>
      <c r="AI122" s="35" t="e">
        <f>INDEX('Dados - Placas'!$E:$E,MATCH('1'!AG122,'Dados - Placas'!$D:$D,0))</f>
        <v>#N/A</v>
      </c>
      <c r="AJ122" s="34" t="e">
        <f>INDEX('Dados - Placas'!$F:$F,MATCH('1'!AG122,'Dados - Placas'!$D:$D,0))*AF122</f>
        <v>#N/A</v>
      </c>
      <c r="AK122" s="33">
        <f>'Dados - Cliente'!AE122</f>
        <v>0</v>
      </c>
      <c r="AL122" s="33">
        <f>'Dados - Cliente'!AF122</f>
        <v>0</v>
      </c>
      <c r="AM122" s="36" t="e">
        <f>INDEX('Dados - Inversores'!$A:$A,MATCH('1'!AL122,'Dados - Inversores'!$C:$C,0))</f>
        <v>#N/A</v>
      </c>
      <c r="AN122" s="33">
        <f>'Dados - Cliente'!AG122</f>
        <v>0</v>
      </c>
      <c r="AO122" s="33" t="e">
        <f>AA122*1.25/(0.22*SQRT(INDEX('Dados - Inversores'!AK:AK,MATCH('1'!AL122,'Dados - Inversores'!C:C,0))))</f>
        <v>#N/A</v>
      </c>
      <c r="AP122" s="34">
        <f>INDEX(Dados!$E$2:$E$33,COUNTIF(Dados!$E$2:$E$33,"&lt;="&amp;AN122*1.25/(INDEX('Dados - Inversores'!AL:AL,MATCH('1'!AL122,'Dados - Inversores'!C:C,0))*SQRT(INDEX('Dados - Inversores'!AK:AK,MATCH('1'!AL122,'Dados - Inversores'!C:C,0)))))+1)</f>
        <v>2</v>
      </c>
      <c r="AQ122" s="33" t="s">
        <v>59</v>
      </c>
      <c r="AR122" s="33" t="str">
        <f t="shared" si="12"/>
        <v>Micro</v>
      </c>
      <c r="AS122" s="33">
        <f>'Dados - Cliente'!AH122</f>
        <v>0</v>
      </c>
      <c r="AT122" s="33">
        <f>'Dados - Cliente'!AI122</f>
        <v>0</v>
      </c>
      <c r="AU122" s="33" t="e">
        <f>INDEX('Dados - Placas'!$N:$N,MATCH('1'!AG122,'Dados - Placas'!$D:$D,0))-1</f>
        <v>#N/A</v>
      </c>
      <c r="AV122" s="33" t="e">
        <f>INDEX('Dados - Placas'!$O:$O,MATCH('1'!AG122,'Dados - Placas'!$D:$D,0))</f>
        <v>#N/A</v>
      </c>
      <c r="AW122" s="33" t="e">
        <f>INDEX('Dados - Inversores'!AM:AM,MATCH('1'!AL122,'Dados - Inversores'!$C:$C,0))-1</f>
        <v>#N/A</v>
      </c>
      <c r="AX122" s="33" t="e">
        <f>INDEX('Dados - Inversores'!AN:AN,MATCH('1'!AL122,'Dados - Inversores'!$C:$C,0))-1</f>
        <v>#N/A</v>
      </c>
      <c r="AY122" s="33" t="e">
        <f>MATCH('1'!H122,Dados!$D$89:$D$167,0)+1</f>
        <v>#N/A</v>
      </c>
      <c r="AZ122" s="33" t="e">
        <f>MATCH('1'!N122,'Dados - Solicitação de acesso'!$N$2:$N$8,0)</f>
        <v>#N/A</v>
      </c>
      <c r="BA122" s="33" t="e">
        <f>MATCH('1'!T122,'Dados - Solicitação de acesso'!$T$2:$T$20,0)</f>
        <v>#N/A</v>
      </c>
      <c r="BB122" s="34"/>
      <c r="BC122" s="33">
        <f>MATCH(AT122,'Dados - Solicitação de acesso'!$AT$2:$AT$28,0)</f>
        <v>1</v>
      </c>
      <c r="BD122" s="33" t="b">
        <f>IF(O122="TRIFASICO",INDEX(Dados!G:G,MATCH('1'!AP122,Dados!E:E,0)),IF(O122="BIFASICO",INDEX(Dados!F:F,MATCH('1'!AP122,Dados!E:E,0),)))</f>
        <v>0</v>
      </c>
      <c r="BE122" s="33">
        <f>'Dados - Cliente'!J122</f>
        <v>0</v>
      </c>
      <c r="BF122" s="34">
        <f>INDEX(Dados!$E$2:$E$33,COUNTIF(Dados!$E$2:$E$33,"&lt;="&amp;AN122*1.25*AK122/(0.22*SQRT(INDEX('Dados - Inversores'!AK:AK,MATCH('1'!AL122,'Dados - Inversores'!C:C,0)))))+1)</f>
        <v>2</v>
      </c>
      <c r="BG122" s="34" t="b">
        <f>IF(O122="TRIFASICO",INDEX(Dados!G:G,MATCH(BF122,Dados!E:E,0)),IF(O122="BIFASICO",INDEX(Dados!F:F,MATCH(BF122,Dados!E:E,0),)))</f>
        <v>0</v>
      </c>
    </row>
    <row r="123" spans="1:59" s="33" customFormat="1" x14ac:dyDescent="0.35">
      <c r="A123" s="33">
        <f>'Dados - Cliente'!A123</f>
        <v>0</v>
      </c>
      <c r="B123" s="33">
        <f>'Dados - Cliente'!B123</f>
        <v>0</v>
      </c>
      <c r="C123" s="33">
        <f>'Dados - Cliente'!C123</f>
        <v>0</v>
      </c>
      <c r="D123" s="33">
        <f>'Dados - Cliente'!D123</f>
        <v>0</v>
      </c>
      <c r="E123" s="33">
        <f>'Dados - Cliente'!E123</f>
        <v>0</v>
      </c>
      <c r="F123" s="33">
        <f>'Dados - Cliente'!F123</f>
        <v>0</v>
      </c>
      <c r="G123" s="33">
        <f>'Dados - Cliente'!G123</f>
        <v>0</v>
      </c>
      <c r="H123" s="33">
        <f>'Dados - Cliente'!H123</f>
        <v>0</v>
      </c>
      <c r="I123" s="75" t="s">
        <v>4313</v>
      </c>
      <c r="J123" s="52" t="s">
        <v>4314</v>
      </c>
      <c r="K123" s="52" t="s">
        <v>4314</v>
      </c>
      <c r="L123" s="33">
        <f>'Dados - Cliente'!I123</f>
        <v>0</v>
      </c>
      <c r="M123" s="33">
        <f>'Dados - Cliente'!K123</f>
        <v>0</v>
      </c>
      <c r="N123" s="33">
        <f>'Dados - Cliente'!L123</f>
        <v>0</v>
      </c>
      <c r="O123" s="33">
        <f>'Dados - Cliente'!M123</f>
        <v>0</v>
      </c>
      <c r="P123" s="33">
        <f>'Dados - Cliente'!N123</f>
        <v>0</v>
      </c>
      <c r="Q123" s="33">
        <f>'Dados - Cliente'!O123</f>
        <v>0</v>
      </c>
      <c r="R123" s="33">
        <f>'Dados - Cliente'!P123</f>
        <v>0</v>
      </c>
      <c r="S123" s="33">
        <f>'Dados - Cliente'!Q123</f>
        <v>0</v>
      </c>
      <c r="T123" s="33">
        <f>'Dados - Cliente'!R123</f>
        <v>0</v>
      </c>
      <c r="U123" s="34">
        <f>'Dados - Cliente'!S123</f>
        <v>0</v>
      </c>
      <c r="V123" s="34">
        <f>'Dados - Cliente'!T123</f>
        <v>0</v>
      </c>
      <c r="W123" s="34">
        <f>'Dados - Cliente'!U123</f>
        <v>0</v>
      </c>
      <c r="X123" s="34">
        <f>'Dados - Cliente'!V123</f>
        <v>0</v>
      </c>
      <c r="Y123" s="34">
        <f>'Dados - Cliente'!W123</f>
        <v>0</v>
      </c>
      <c r="Z123" s="34">
        <f>'Dados - Cliente'!X123</f>
        <v>0</v>
      </c>
      <c r="AA123" s="33" t="e">
        <f t="shared" si="11"/>
        <v>#N/A</v>
      </c>
      <c r="AB123" s="33">
        <f>'Dados - Cliente'!Y123</f>
        <v>0</v>
      </c>
      <c r="AC123" s="33">
        <f>'Dados - Cliente'!Z123</f>
        <v>0</v>
      </c>
      <c r="AD123" s="33">
        <f>'Dados - Cliente'!AA123</f>
        <v>0</v>
      </c>
      <c r="AE123" s="33">
        <f>'Dados - Cliente'!AB123</f>
        <v>0</v>
      </c>
      <c r="AF123" s="33">
        <f>'Dados - Cliente'!AC123</f>
        <v>0</v>
      </c>
      <c r="AG123" s="35">
        <f>'Dados - Cliente'!AD123</f>
        <v>0</v>
      </c>
      <c r="AH123" s="33" t="e">
        <f>INDEX('Dados - Placas'!$A:$A,MATCH('1'!AG123,'Dados - Placas'!$D:$D,0))</f>
        <v>#N/A</v>
      </c>
      <c r="AI123" s="35" t="e">
        <f>INDEX('Dados - Placas'!$E:$E,MATCH('1'!AG123,'Dados - Placas'!$D:$D,0))</f>
        <v>#N/A</v>
      </c>
      <c r="AJ123" s="34" t="e">
        <f>INDEX('Dados - Placas'!$F:$F,MATCH('1'!AG123,'Dados - Placas'!$D:$D,0))*AF123</f>
        <v>#N/A</v>
      </c>
      <c r="AK123" s="33">
        <f>'Dados - Cliente'!AE123</f>
        <v>0</v>
      </c>
      <c r="AL123" s="33">
        <f>'Dados - Cliente'!AF123</f>
        <v>0</v>
      </c>
      <c r="AM123" s="36" t="e">
        <f>INDEX('Dados - Inversores'!$A:$A,MATCH('1'!AL123,'Dados - Inversores'!$C:$C,0))</f>
        <v>#N/A</v>
      </c>
      <c r="AN123" s="33">
        <f>'Dados - Cliente'!AG123</f>
        <v>0</v>
      </c>
      <c r="AO123" s="33" t="e">
        <f>AA123*1.25/(0.22*SQRT(INDEX('Dados - Inversores'!AK:AK,MATCH('1'!AL123,'Dados - Inversores'!C:C,0))))</f>
        <v>#N/A</v>
      </c>
      <c r="AP123" s="34">
        <f>INDEX(Dados!$E$2:$E$33,COUNTIF(Dados!$E$2:$E$33,"&lt;="&amp;AN123*1.25/(INDEX('Dados - Inversores'!AL:AL,MATCH('1'!AL123,'Dados - Inversores'!C:C,0))*SQRT(INDEX('Dados - Inversores'!AK:AK,MATCH('1'!AL123,'Dados - Inversores'!C:C,0)))))+1)</f>
        <v>2</v>
      </c>
      <c r="AQ123" s="33" t="s">
        <v>59</v>
      </c>
      <c r="AR123" s="33" t="str">
        <f t="shared" si="12"/>
        <v>Micro</v>
      </c>
      <c r="AS123" s="33">
        <f>'Dados - Cliente'!AH123</f>
        <v>0</v>
      </c>
      <c r="AT123" s="33">
        <f>'Dados - Cliente'!AI123</f>
        <v>0</v>
      </c>
      <c r="AU123" s="33" t="e">
        <f>INDEX('Dados - Placas'!$N:$N,MATCH('1'!AG123,'Dados - Placas'!$D:$D,0))-1</f>
        <v>#N/A</v>
      </c>
      <c r="AV123" s="33" t="e">
        <f>INDEX('Dados - Placas'!$O:$O,MATCH('1'!AG123,'Dados - Placas'!$D:$D,0))</f>
        <v>#N/A</v>
      </c>
      <c r="AW123" s="33" t="e">
        <f>INDEX('Dados - Inversores'!AM:AM,MATCH('1'!AL123,'Dados - Inversores'!$C:$C,0))-1</f>
        <v>#N/A</v>
      </c>
      <c r="AX123" s="33" t="e">
        <f>INDEX('Dados - Inversores'!AN:AN,MATCH('1'!AL123,'Dados - Inversores'!$C:$C,0))-1</f>
        <v>#N/A</v>
      </c>
      <c r="AY123" s="33" t="e">
        <f>MATCH('1'!H123,Dados!$D$89:$D$167,0)+1</f>
        <v>#N/A</v>
      </c>
      <c r="AZ123" s="33" t="e">
        <f>MATCH('1'!N123,'Dados - Solicitação de acesso'!$N$2:$N$8,0)</f>
        <v>#N/A</v>
      </c>
      <c r="BA123" s="33" t="e">
        <f>MATCH('1'!T123,'Dados - Solicitação de acesso'!$T$2:$T$20,0)</f>
        <v>#N/A</v>
      </c>
      <c r="BB123" s="34"/>
      <c r="BC123" s="33">
        <f>MATCH(AT123,'Dados - Solicitação de acesso'!$AT$2:$AT$28,0)</f>
        <v>1</v>
      </c>
      <c r="BD123" s="33" t="s">
        <v>4306</v>
      </c>
      <c r="BE123" s="33">
        <f>'Dados - Cliente'!J123</f>
        <v>0</v>
      </c>
      <c r="BF123" s="34">
        <f>INDEX(Dados!$E$2:$E$33,COUNTIF(Dados!$E$2:$E$33,"&lt;="&amp;AN123*1.25*AK123/(0.22*SQRT(INDEX('Dados - Inversores'!AK:AK,MATCH('1'!AL123,'Dados - Inversores'!C:C,0)))))+1)</f>
        <v>2</v>
      </c>
      <c r="BG123" s="34" t="b">
        <f>IF(O123="TRIFASICO",INDEX(Dados!G:G,MATCH(BF123,Dados!E:E,0)),IF(O123="BIFASICO",INDEX(Dados!F:F,MATCH(BF123,Dados!E:E,0),)))</f>
        <v>0</v>
      </c>
    </row>
    <row r="124" spans="1:59" s="33" customFormat="1" x14ac:dyDescent="0.35">
      <c r="A124" s="33">
        <f>'Dados - Cliente'!A124</f>
        <v>0</v>
      </c>
      <c r="B124" s="33">
        <f>'Dados - Cliente'!B124</f>
        <v>0</v>
      </c>
      <c r="C124" s="33">
        <f>'Dados - Cliente'!C124</f>
        <v>0</v>
      </c>
      <c r="D124" s="33">
        <f>'Dados - Cliente'!D124</f>
        <v>0</v>
      </c>
      <c r="E124" s="33">
        <f>'Dados - Cliente'!E124</f>
        <v>0</v>
      </c>
      <c r="F124" s="33">
        <f>'Dados - Cliente'!F124</f>
        <v>0</v>
      </c>
      <c r="G124" s="33">
        <f>'Dados - Cliente'!G124</f>
        <v>0</v>
      </c>
      <c r="H124" s="33">
        <f>'Dados - Cliente'!H124</f>
        <v>0</v>
      </c>
      <c r="I124" s="75" t="s">
        <v>4313</v>
      </c>
      <c r="J124" s="52" t="s">
        <v>4314</v>
      </c>
      <c r="K124" s="52" t="s">
        <v>4314</v>
      </c>
      <c r="L124" s="33">
        <f>'Dados - Cliente'!I124</f>
        <v>0</v>
      </c>
      <c r="M124" s="33">
        <f>'Dados - Cliente'!K124</f>
        <v>0</v>
      </c>
      <c r="N124" s="33">
        <f>'Dados - Cliente'!L124</f>
        <v>0</v>
      </c>
      <c r="O124" s="33">
        <f>'Dados - Cliente'!M124</f>
        <v>0</v>
      </c>
      <c r="P124" s="33">
        <f>'Dados - Cliente'!N124</f>
        <v>0</v>
      </c>
      <c r="Q124" s="33">
        <f>'Dados - Cliente'!O124</f>
        <v>0</v>
      </c>
      <c r="R124" s="33">
        <f>'Dados - Cliente'!P124</f>
        <v>0</v>
      </c>
      <c r="S124" s="33">
        <f>'Dados - Cliente'!Q124</f>
        <v>0</v>
      </c>
      <c r="T124" s="33">
        <f>'Dados - Cliente'!R124</f>
        <v>0</v>
      </c>
      <c r="U124" s="34">
        <f>'Dados - Cliente'!S124</f>
        <v>0</v>
      </c>
      <c r="V124" s="34">
        <f>'Dados - Cliente'!T124</f>
        <v>0</v>
      </c>
      <c r="W124" s="34">
        <f>'Dados - Cliente'!U124</f>
        <v>0</v>
      </c>
      <c r="X124" s="34">
        <f>'Dados - Cliente'!V124</f>
        <v>0</v>
      </c>
      <c r="Y124" s="34">
        <f>'Dados - Cliente'!W124</f>
        <v>0</v>
      </c>
      <c r="Z124" s="34">
        <f>'Dados - Cliente'!X124</f>
        <v>0</v>
      </c>
      <c r="AA124" s="33" t="e">
        <f t="shared" si="11"/>
        <v>#N/A</v>
      </c>
      <c r="AB124" s="33">
        <f>'Dados - Cliente'!Y124</f>
        <v>0</v>
      </c>
      <c r="AC124" s="33">
        <f>'Dados - Cliente'!Z124</f>
        <v>0</v>
      </c>
      <c r="AD124" s="33">
        <f>'Dados - Cliente'!AA124</f>
        <v>0</v>
      </c>
      <c r="AE124" s="33">
        <f>'Dados - Cliente'!AB124</f>
        <v>0</v>
      </c>
      <c r="AF124" s="33">
        <f>'Dados - Cliente'!AC124</f>
        <v>0</v>
      </c>
      <c r="AG124" s="35">
        <f>'Dados - Cliente'!AD124</f>
        <v>0</v>
      </c>
      <c r="AH124" s="33" t="e">
        <f>INDEX('Dados - Placas'!$A:$A,MATCH('1'!AG124,'Dados - Placas'!$D:$D,0))</f>
        <v>#N/A</v>
      </c>
      <c r="AI124" s="35" t="e">
        <f>INDEX('Dados - Placas'!$E:$E,MATCH('1'!AG124,'Dados - Placas'!$D:$D,0))</f>
        <v>#N/A</v>
      </c>
      <c r="AJ124" s="34" t="e">
        <f>INDEX('Dados - Placas'!$F:$F,MATCH('1'!AG124,'Dados - Placas'!$D:$D,0))*AF124</f>
        <v>#N/A</v>
      </c>
      <c r="AK124" s="33">
        <f>'Dados - Cliente'!AE124</f>
        <v>0</v>
      </c>
      <c r="AL124" s="33">
        <f>'Dados - Cliente'!AF124</f>
        <v>0</v>
      </c>
      <c r="AM124" s="36" t="e">
        <f>INDEX('Dados - Inversores'!$A:$A,MATCH('1'!AL124,'Dados - Inversores'!$C:$C,0))</f>
        <v>#N/A</v>
      </c>
      <c r="AN124" s="33">
        <f>'Dados - Cliente'!AG124</f>
        <v>0</v>
      </c>
      <c r="AO124" s="33" t="e">
        <f>AA124*1.25/(0.22*SQRT(INDEX('Dados - Inversores'!AK:AK,MATCH('1'!AL124,'Dados - Inversores'!C:C,0))))</f>
        <v>#N/A</v>
      </c>
      <c r="AP124" s="34">
        <f>INDEX(Dados!$E$2:$E$33,COUNTIF(Dados!$E$2:$E$33,"&lt;="&amp;AN124*1.25/(INDEX('Dados - Inversores'!AL:AL,MATCH('1'!AL124,'Dados - Inversores'!C:C,0))*SQRT(INDEX('Dados - Inversores'!AK:AK,MATCH('1'!AL124,'Dados - Inversores'!C:C,0)))))+1)</f>
        <v>2</v>
      </c>
      <c r="AQ124" s="33" t="s">
        <v>59</v>
      </c>
      <c r="AR124" s="33" t="str">
        <f t="shared" si="12"/>
        <v>Micro</v>
      </c>
      <c r="AS124" s="33">
        <f>'Dados - Cliente'!AH124</f>
        <v>0</v>
      </c>
      <c r="AT124" s="33">
        <f>'Dados - Cliente'!AI124</f>
        <v>0</v>
      </c>
      <c r="AU124" s="33" t="e">
        <f>INDEX('Dados - Placas'!$N:$N,MATCH('1'!AG124,'Dados - Placas'!$D:$D,0))-1</f>
        <v>#N/A</v>
      </c>
      <c r="AV124" s="33" t="e">
        <f>INDEX('Dados - Placas'!$O:$O,MATCH('1'!AG124,'Dados - Placas'!$D:$D,0))</f>
        <v>#N/A</v>
      </c>
      <c r="AW124" s="33" t="e">
        <f>INDEX('Dados - Inversores'!AM:AM,MATCH('1'!AL124,'Dados - Inversores'!$C:$C,0))-1</f>
        <v>#N/A</v>
      </c>
      <c r="AX124" s="33" t="e">
        <f>INDEX('Dados - Inversores'!AN:AN,MATCH('1'!AL124,'Dados - Inversores'!$C:$C,0))-1</f>
        <v>#N/A</v>
      </c>
      <c r="AY124" s="33" t="e">
        <f>MATCH('1'!H124,Dados!$D$89:$D$167,0)+1</f>
        <v>#N/A</v>
      </c>
      <c r="AZ124" s="33" t="e">
        <f>MATCH('1'!N124,'Dados - Solicitação de acesso'!$N$2:$N$8,0)</f>
        <v>#N/A</v>
      </c>
      <c r="BA124" s="33" t="e">
        <f>MATCH('1'!T124,'Dados - Solicitação de acesso'!$T$2:$T$20,0)</f>
        <v>#N/A</v>
      </c>
      <c r="BB124" s="34"/>
      <c r="BC124" s="33">
        <f>MATCH(AT124,'Dados - Solicitação de acesso'!$AT$2:$AT$28,0)</f>
        <v>1</v>
      </c>
      <c r="BD124" s="33" t="b">
        <f>IF(O124="TRIFASICO",INDEX(Dados!G:G,MATCH('1'!AP124,Dados!E:E,0)),IF(O124="BIFASICO",INDEX(Dados!F:F,MATCH('1'!AP124,Dados!E:E,0),)))</f>
        <v>0</v>
      </c>
      <c r="BE124" s="33">
        <f>'Dados - Cliente'!J124</f>
        <v>0</v>
      </c>
      <c r="BF124" s="34">
        <f>INDEX(Dados!$E$2:$E$33,COUNTIF(Dados!$E$2:$E$33,"&lt;="&amp;AN124*1.25*AK124/(0.22*SQRT(INDEX('Dados - Inversores'!AK:AK,MATCH('1'!AL124,'Dados - Inversores'!C:C,0)))))+1)</f>
        <v>2</v>
      </c>
      <c r="BG124" s="34" t="b">
        <f>IF(O124="TRIFASICO",INDEX(Dados!G:G,MATCH(BF124,Dados!E:E,0)),IF(O124="BIFASICO",INDEX(Dados!F:F,MATCH(BF124,Dados!E:E,0),)))</f>
        <v>0</v>
      </c>
    </row>
    <row r="125" spans="1:59" s="33" customFormat="1" x14ac:dyDescent="0.35">
      <c r="A125" s="33">
        <f>'Dados - Cliente'!A125</f>
        <v>0</v>
      </c>
      <c r="B125" s="33">
        <f>'Dados - Cliente'!B125</f>
        <v>0</v>
      </c>
      <c r="C125" s="33">
        <f>'Dados - Cliente'!C125</f>
        <v>0</v>
      </c>
      <c r="D125" s="33">
        <f>'Dados - Cliente'!D125</f>
        <v>0</v>
      </c>
      <c r="E125" s="33">
        <f>'Dados - Cliente'!E125</f>
        <v>0</v>
      </c>
      <c r="F125" s="33">
        <f>'Dados - Cliente'!F125</f>
        <v>0</v>
      </c>
      <c r="G125" s="33">
        <f>'Dados - Cliente'!G125</f>
        <v>0</v>
      </c>
      <c r="H125" s="33">
        <f>'Dados - Cliente'!H125</f>
        <v>0</v>
      </c>
      <c r="I125" s="75" t="s">
        <v>4313</v>
      </c>
      <c r="J125" s="52" t="s">
        <v>4314</v>
      </c>
      <c r="K125" s="52" t="s">
        <v>4314</v>
      </c>
      <c r="L125" s="33">
        <f>'Dados - Cliente'!I125</f>
        <v>0</v>
      </c>
      <c r="M125" s="33">
        <f>'Dados - Cliente'!K125</f>
        <v>0</v>
      </c>
      <c r="N125" s="33">
        <f>'Dados - Cliente'!L125</f>
        <v>0</v>
      </c>
      <c r="O125" s="33">
        <f>'Dados - Cliente'!M125</f>
        <v>0</v>
      </c>
      <c r="P125" s="33">
        <f>'Dados - Cliente'!N125</f>
        <v>0</v>
      </c>
      <c r="Q125" s="33">
        <f>'Dados - Cliente'!O125</f>
        <v>0</v>
      </c>
      <c r="R125" s="33">
        <f>'Dados - Cliente'!P125</f>
        <v>0</v>
      </c>
      <c r="S125" s="33">
        <f>'Dados - Cliente'!Q125</f>
        <v>0</v>
      </c>
      <c r="T125" s="33">
        <f>'Dados - Cliente'!R125</f>
        <v>0</v>
      </c>
      <c r="U125" s="34">
        <f>'Dados - Cliente'!S125</f>
        <v>0</v>
      </c>
      <c r="V125" s="34">
        <f>'Dados - Cliente'!T125</f>
        <v>0</v>
      </c>
      <c r="W125" s="34">
        <f>'Dados - Cliente'!U125</f>
        <v>0</v>
      </c>
      <c r="X125" s="34">
        <f>'Dados - Cliente'!V125</f>
        <v>0</v>
      </c>
      <c r="Y125" s="34">
        <f>'Dados - Cliente'!W125</f>
        <v>0</v>
      </c>
      <c r="Z125" s="34">
        <f>'Dados - Cliente'!X125</f>
        <v>0</v>
      </c>
      <c r="AA125" s="33" t="e">
        <f t="shared" si="11"/>
        <v>#N/A</v>
      </c>
      <c r="AB125" s="33">
        <f>'Dados - Cliente'!Y125</f>
        <v>0</v>
      </c>
      <c r="AC125" s="33">
        <f>'Dados - Cliente'!Z125</f>
        <v>0</v>
      </c>
      <c r="AD125" s="33">
        <f>'Dados - Cliente'!AA125</f>
        <v>0</v>
      </c>
      <c r="AE125" s="33">
        <f>'Dados - Cliente'!AB125</f>
        <v>0</v>
      </c>
      <c r="AF125" s="33">
        <f>'Dados - Cliente'!AC125</f>
        <v>0</v>
      </c>
      <c r="AG125" s="35">
        <f>'Dados - Cliente'!AD125</f>
        <v>0</v>
      </c>
      <c r="AH125" s="33" t="e">
        <f>INDEX('Dados - Placas'!$A:$A,MATCH('1'!AG125,'Dados - Placas'!$D:$D,0))</f>
        <v>#N/A</v>
      </c>
      <c r="AI125" s="35" t="e">
        <f>INDEX('Dados - Placas'!$E:$E,MATCH('1'!AG125,'Dados - Placas'!$D:$D,0))</f>
        <v>#N/A</v>
      </c>
      <c r="AJ125" s="34" t="e">
        <f>INDEX('Dados - Placas'!$F:$F,MATCH('1'!AG125,'Dados - Placas'!$D:$D,0))*AF125</f>
        <v>#N/A</v>
      </c>
      <c r="AK125" s="33">
        <f>'Dados - Cliente'!AE125</f>
        <v>0</v>
      </c>
      <c r="AL125" s="33">
        <f>'Dados - Cliente'!AF125</f>
        <v>0</v>
      </c>
      <c r="AM125" s="36" t="e">
        <f>INDEX('Dados - Inversores'!$A:$A,MATCH('1'!AL125,'Dados - Inversores'!$C:$C,0))</f>
        <v>#N/A</v>
      </c>
      <c r="AN125" s="33">
        <f>'Dados - Cliente'!AG125</f>
        <v>0</v>
      </c>
      <c r="AO125" s="33" t="e">
        <f>AA125*1.25/(0.22*SQRT(INDEX('Dados - Inversores'!AK:AK,MATCH('1'!AL125,'Dados - Inversores'!C:C,0))))</f>
        <v>#N/A</v>
      </c>
      <c r="AP125" s="34">
        <f>INDEX(Dados!$E$2:$E$33,COUNTIF(Dados!$E$2:$E$33,"&lt;="&amp;AN125*1.25/(INDEX('Dados - Inversores'!AL:AL,MATCH('1'!AL125,'Dados - Inversores'!C:C,0))*SQRT(INDEX('Dados - Inversores'!AK:AK,MATCH('1'!AL125,'Dados - Inversores'!C:C,0)))))+1)</f>
        <v>2</v>
      </c>
      <c r="AQ125" s="33" t="s">
        <v>59</v>
      </c>
      <c r="AR125" s="33" t="str">
        <f t="shared" si="12"/>
        <v>Micro</v>
      </c>
      <c r="AS125" s="33">
        <f>'Dados - Cliente'!AH125</f>
        <v>0</v>
      </c>
      <c r="AT125" s="33">
        <f>'Dados - Cliente'!AI125</f>
        <v>0</v>
      </c>
      <c r="AU125" s="33" t="e">
        <f>INDEX('Dados - Placas'!$N:$N,MATCH('1'!AG125,'Dados - Placas'!$D:$D,0))-1</f>
        <v>#N/A</v>
      </c>
      <c r="AV125" s="33" t="e">
        <f>INDEX('Dados - Placas'!$O:$O,MATCH('1'!AG125,'Dados - Placas'!$D:$D,0))</f>
        <v>#N/A</v>
      </c>
      <c r="AW125" s="33" t="e">
        <f>INDEX('Dados - Inversores'!AM:AM,MATCH('1'!AL125,'Dados - Inversores'!$C:$C,0))-1</f>
        <v>#N/A</v>
      </c>
      <c r="AX125" s="33" t="e">
        <f>INDEX('Dados - Inversores'!AN:AN,MATCH('1'!AL125,'Dados - Inversores'!$C:$C,0))-1</f>
        <v>#N/A</v>
      </c>
      <c r="AY125" s="33" t="e">
        <f>MATCH('1'!H125,Dados!$D$89:$D$167,0)+1</f>
        <v>#N/A</v>
      </c>
      <c r="AZ125" s="33" t="e">
        <f>MATCH('1'!N125,'Dados - Solicitação de acesso'!$N$2:$N$8,0)</f>
        <v>#N/A</v>
      </c>
      <c r="BA125" s="33" t="e">
        <f>MATCH('1'!T125,'Dados - Solicitação de acesso'!$T$2:$T$20,0)</f>
        <v>#N/A</v>
      </c>
      <c r="BB125" s="34"/>
      <c r="BC125" s="33">
        <f>MATCH(AT125,'Dados - Solicitação de acesso'!$AT$2:$AT$28,0)</f>
        <v>1</v>
      </c>
      <c r="BD125" s="33" t="b">
        <f>IF(O125="TRIFASICO",INDEX(Dados!G:G,MATCH('1'!AP125,Dados!E:E,0)),IF(O125="BIFASICO",INDEX(Dados!F:F,MATCH('1'!AP125,Dados!E:E,0),)))</f>
        <v>0</v>
      </c>
      <c r="BE125" s="33">
        <f>'Dados - Cliente'!J125</f>
        <v>0</v>
      </c>
      <c r="BF125" s="34">
        <f>INDEX(Dados!$E$2:$E$33,COUNTIF(Dados!$E$2:$E$33,"&lt;="&amp;AN125*1.25*AK125/(0.22*SQRT(INDEX('Dados - Inversores'!AK:AK,MATCH('1'!AL125,'Dados - Inversores'!C:C,0)))))+1)</f>
        <v>2</v>
      </c>
      <c r="BG125" s="34" t="b">
        <f>IF(O125="TRIFASICO",INDEX(Dados!G:G,MATCH(BF125,Dados!E:E,0)),IF(O125="BIFASICO",INDEX(Dados!F:F,MATCH(BF125,Dados!E:E,0),)))</f>
        <v>0</v>
      </c>
    </row>
    <row r="126" spans="1:59" s="33" customFormat="1" x14ac:dyDescent="0.35">
      <c r="A126" s="33">
        <f>'Dados - Cliente'!A126</f>
        <v>0</v>
      </c>
      <c r="B126" s="33">
        <f>'Dados - Cliente'!B126</f>
        <v>0</v>
      </c>
      <c r="C126" s="33">
        <f>'Dados - Cliente'!C126</f>
        <v>0</v>
      </c>
      <c r="D126" s="33">
        <f>'Dados - Cliente'!D126</f>
        <v>0</v>
      </c>
      <c r="E126" s="33">
        <f>'Dados - Cliente'!E126</f>
        <v>0</v>
      </c>
      <c r="F126" s="33">
        <f>'Dados - Cliente'!F126</f>
        <v>0</v>
      </c>
      <c r="G126" s="33">
        <f>'Dados - Cliente'!G126</f>
        <v>0</v>
      </c>
      <c r="H126" s="33">
        <f>'Dados - Cliente'!H126</f>
        <v>0</v>
      </c>
      <c r="I126" s="75" t="s">
        <v>4313</v>
      </c>
      <c r="J126" s="52" t="s">
        <v>4314</v>
      </c>
      <c r="K126" s="52" t="s">
        <v>4314</v>
      </c>
      <c r="L126" s="33">
        <f>'Dados - Cliente'!I126</f>
        <v>0</v>
      </c>
      <c r="M126" s="33">
        <f>'Dados - Cliente'!K126</f>
        <v>0</v>
      </c>
      <c r="N126" s="33">
        <f>'Dados - Cliente'!L126</f>
        <v>0</v>
      </c>
      <c r="O126" s="33">
        <f>'Dados - Cliente'!M126</f>
        <v>0</v>
      </c>
      <c r="P126" s="33">
        <f>'Dados - Cliente'!N126</f>
        <v>0</v>
      </c>
      <c r="Q126" s="33">
        <f>'Dados - Cliente'!O126</f>
        <v>0</v>
      </c>
      <c r="R126" s="33">
        <f>'Dados - Cliente'!P126</f>
        <v>0</v>
      </c>
      <c r="S126" s="33">
        <f>'Dados - Cliente'!Q126</f>
        <v>0</v>
      </c>
      <c r="T126" s="33">
        <f>'Dados - Cliente'!R126</f>
        <v>0</v>
      </c>
      <c r="U126" s="34">
        <f>'Dados - Cliente'!S126</f>
        <v>0</v>
      </c>
      <c r="V126" s="34">
        <f>'Dados - Cliente'!T126</f>
        <v>0</v>
      </c>
      <c r="W126" s="34">
        <f>'Dados - Cliente'!U126</f>
        <v>0</v>
      </c>
      <c r="X126" s="34">
        <f>'Dados - Cliente'!V126</f>
        <v>0</v>
      </c>
      <c r="Y126" s="34">
        <f>'Dados - Cliente'!W126</f>
        <v>0</v>
      </c>
      <c r="Z126" s="34">
        <f>'Dados - Cliente'!X126</f>
        <v>0</v>
      </c>
      <c r="AA126" s="33" t="e">
        <f t="shared" ref="AA126:AA128" si="13">AI126*AF126</f>
        <v>#N/A</v>
      </c>
      <c r="AB126" s="33">
        <f>'Dados - Cliente'!Y126</f>
        <v>0</v>
      </c>
      <c r="AC126" s="33">
        <f>'Dados - Cliente'!Z126</f>
        <v>0</v>
      </c>
      <c r="AD126" s="33">
        <f>'Dados - Cliente'!AA126</f>
        <v>0</v>
      </c>
      <c r="AE126" s="33">
        <f>'Dados - Cliente'!AB126</f>
        <v>0</v>
      </c>
      <c r="AF126" s="33">
        <f>'Dados - Cliente'!AC126</f>
        <v>0</v>
      </c>
      <c r="AG126" s="35">
        <f>'Dados - Cliente'!AD126</f>
        <v>0</v>
      </c>
      <c r="AH126" s="33" t="e">
        <f>INDEX('Dados - Placas'!$A:$A,MATCH('1'!AG126,'Dados - Placas'!$D:$D,0))</f>
        <v>#N/A</v>
      </c>
      <c r="AI126" s="35" t="e">
        <f>INDEX('Dados - Placas'!$E:$E,MATCH('1'!AG126,'Dados - Placas'!$D:$D,0))</f>
        <v>#N/A</v>
      </c>
      <c r="AJ126" s="34" t="e">
        <f>INDEX('Dados - Placas'!$F:$F,MATCH('1'!AG126,'Dados - Placas'!$D:$D,0))*AF126</f>
        <v>#N/A</v>
      </c>
      <c r="AK126" s="33">
        <f>'Dados - Cliente'!AE126</f>
        <v>0</v>
      </c>
      <c r="AL126" s="33">
        <f>'Dados - Cliente'!AF126</f>
        <v>0</v>
      </c>
      <c r="AM126" s="36" t="e">
        <f>INDEX('Dados - Inversores'!$A:$A,MATCH('1'!AL126,'Dados - Inversores'!$C:$C,0))</f>
        <v>#N/A</v>
      </c>
      <c r="AN126" s="33">
        <f>'Dados - Cliente'!AG126</f>
        <v>0</v>
      </c>
      <c r="AO126" s="33" t="e">
        <f>AA126*1.25/(0.22*SQRT(INDEX('Dados - Inversores'!AK:AK,MATCH('1'!AL126,'Dados - Inversores'!C:C,0))))</f>
        <v>#N/A</v>
      </c>
      <c r="AP126" s="34">
        <f>INDEX(Dados!$E$2:$E$33,COUNTIF(Dados!$E$2:$E$33,"&lt;="&amp;AN126*1.25/(INDEX('Dados - Inversores'!AL:AL,MATCH('1'!AL126,'Dados - Inversores'!C:C,0))*SQRT(INDEX('Dados - Inversores'!AK:AK,MATCH('1'!AL126,'Dados - Inversores'!C:C,0)))))+1)</f>
        <v>2</v>
      </c>
      <c r="AQ126" s="33" t="s">
        <v>59</v>
      </c>
      <c r="AR126" s="33" t="str">
        <f t="shared" ref="AR126:AR128" si="14">IF((AN126*AK126)&gt;10,"Mini","Micro")</f>
        <v>Micro</v>
      </c>
      <c r="AS126" s="33">
        <f>'Dados - Cliente'!AH126</f>
        <v>0</v>
      </c>
      <c r="AT126" s="33">
        <f>'Dados - Cliente'!AI126</f>
        <v>0</v>
      </c>
      <c r="AU126" s="33" t="e">
        <f>INDEX('Dados - Placas'!$N:$N,MATCH('1'!AG126,'Dados - Placas'!$D:$D,0))-1</f>
        <v>#N/A</v>
      </c>
      <c r="AV126" s="33" t="e">
        <f>INDEX('Dados - Placas'!$O:$O,MATCH('1'!AG126,'Dados - Placas'!$D:$D,0))</f>
        <v>#N/A</v>
      </c>
      <c r="AW126" s="33" t="e">
        <f>INDEX('Dados - Inversores'!AM:AM,MATCH('1'!AL126,'Dados - Inversores'!$C:$C,0))-1</f>
        <v>#N/A</v>
      </c>
      <c r="AX126" s="33" t="e">
        <f>INDEX('Dados - Inversores'!AN:AN,MATCH('1'!AL126,'Dados - Inversores'!$C:$C,0))-1</f>
        <v>#N/A</v>
      </c>
      <c r="AY126" s="33" t="e">
        <f>MATCH('1'!H126,Dados!$D$89:$D$167,0)+1</f>
        <v>#N/A</v>
      </c>
      <c r="AZ126" s="33" t="e">
        <f>MATCH('1'!N126,'Dados - Solicitação de acesso'!$N$2:$N$8,0)</f>
        <v>#N/A</v>
      </c>
      <c r="BA126" s="33" t="e">
        <f>MATCH('1'!T126,'Dados - Solicitação de acesso'!$T$2:$T$20,0)</f>
        <v>#N/A</v>
      </c>
      <c r="BB126" s="34"/>
      <c r="BC126" s="33">
        <f>MATCH(AT126,'Dados - Solicitação de acesso'!$AT$2:$AT$28,0)</f>
        <v>1</v>
      </c>
      <c r="BD126" s="33" t="b">
        <f>IF(O126="TRIFASICO",INDEX(Dados!G:G,MATCH('1'!AP126,Dados!E:E,0)),IF(O126="BIFASICO",INDEX(Dados!F:F,MATCH('1'!AP126,Dados!E:E,0),)))</f>
        <v>0</v>
      </c>
      <c r="BE126" s="33">
        <f>'Dados - Cliente'!J126</f>
        <v>0</v>
      </c>
      <c r="BF126" s="34">
        <f>INDEX(Dados!$E$2:$E$33,COUNTIF(Dados!$E$2:$E$33,"&lt;="&amp;AN126*1.25*AK126/(0.22*SQRT(INDEX('Dados - Inversores'!AK:AK,MATCH('1'!AL126,'Dados - Inversores'!C:C,0)))))+1)</f>
        <v>2</v>
      </c>
      <c r="BG126" s="34" t="b">
        <f>IF(O126="TRIFASICO",INDEX(Dados!G:G,MATCH(BF126,Dados!E:E,0)),IF(O126="BIFASICO",INDEX(Dados!F:F,MATCH(BF126,Dados!E:E,0),)))</f>
        <v>0</v>
      </c>
    </row>
    <row r="127" spans="1:59" s="33" customFormat="1" x14ac:dyDescent="0.35">
      <c r="A127" s="33">
        <f>'Dados - Cliente'!A127</f>
        <v>0</v>
      </c>
      <c r="B127" s="33">
        <f>'Dados - Cliente'!B127</f>
        <v>0</v>
      </c>
      <c r="C127" s="33">
        <f>'Dados - Cliente'!C127</f>
        <v>0</v>
      </c>
      <c r="D127" s="33">
        <f>'Dados - Cliente'!D127</f>
        <v>0</v>
      </c>
      <c r="E127" s="33">
        <f>'Dados - Cliente'!E127</f>
        <v>0</v>
      </c>
      <c r="F127" s="33">
        <f>'Dados - Cliente'!F127</f>
        <v>0</v>
      </c>
      <c r="G127" s="33">
        <f>'Dados - Cliente'!G127</f>
        <v>0</v>
      </c>
      <c r="H127" s="33">
        <f>'Dados - Cliente'!H127</f>
        <v>0</v>
      </c>
      <c r="I127" s="75" t="s">
        <v>4313</v>
      </c>
      <c r="J127" s="52" t="s">
        <v>4314</v>
      </c>
      <c r="K127" s="52" t="s">
        <v>4314</v>
      </c>
      <c r="L127" s="33">
        <f>'Dados - Cliente'!I127</f>
        <v>0</v>
      </c>
      <c r="M127" s="33">
        <f>'Dados - Cliente'!K127</f>
        <v>0</v>
      </c>
      <c r="N127" s="33">
        <f>'Dados - Cliente'!L127</f>
        <v>0</v>
      </c>
      <c r="O127" s="33">
        <f>'Dados - Cliente'!M127</f>
        <v>0</v>
      </c>
      <c r="P127" s="33">
        <f>'Dados - Cliente'!N127</f>
        <v>0</v>
      </c>
      <c r="Q127" s="33">
        <f>'Dados - Cliente'!O127</f>
        <v>0</v>
      </c>
      <c r="R127" s="33">
        <f>'Dados - Cliente'!P127</f>
        <v>0</v>
      </c>
      <c r="S127" s="33">
        <f>'Dados - Cliente'!Q127</f>
        <v>0</v>
      </c>
      <c r="T127" s="33">
        <f>'Dados - Cliente'!R127</f>
        <v>0</v>
      </c>
      <c r="U127" s="34">
        <f>'Dados - Cliente'!S127</f>
        <v>0</v>
      </c>
      <c r="V127" s="34">
        <f>'Dados - Cliente'!T127</f>
        <v>0</v>
      </c>
      <c r="W127" s="34">
        <f>'Dados - Cliente'!U127</f>
        <v>0</v>
      </c>
      <c r="X127" s="34">
        <f>'Dados - Cliente'!V127</f>
        <v>0</v>
      </c>
      <c r="Y127" s="34">
        <f>'Dados - Cliente'!W127</f>
        <v>0</v>
      </c>
      <c r="Z127" s="34">
        <f>'Dados - Cliente'!X127</f>
        <v>0</v>
      </c>
      <c r="AA127" s="33" t="e">
        <f t="shared" si="13"/>
        <v>#N/A</v>
      </c>
      <c r="AB127" s="33">
        <f>'Dados - Cliente'!Y127</f>
        <v>0</v>
      </c>
      <c r="AC127" s="33">
        <f>'Dados - Cliente'!Z127</f>
        <v>0</v>
      </c>
      <c r="AD127" s="33">
        <f>'Dados - Cliente'!AA127</f>
        <v>0</v>
      </c>
      <c r="AE127" s="33">
        <f>'Dados - Cliente'!AB127</f>
        <v>0</v>
      </c>
      <c r="AF127" s="33">
        <f>'Dados - Cliente'!AC127</f>
        <v>0</v>
      </c>
      <c r="AG127" s="35">
        <f>'Dados - Cliente'!AD127</f>
        <v>0</v>
      </c>
      <c r="AH127" s="33" t="e">
        <f>INDEX('Dados - Placas'!$A:$A,MATCH('1'!AG127,'Dados - Placas'!$D:$D,0))</f>
        <v>#N/A</v>
      </c>
      <c r="AI127" s="35" t="e">
        <f>INDEX('Dados - Placas'!$E:$E,MATCH('1'!AG127,'Dados - Placas'!$D:$D,0))</f>
        <v>#N/A</v>
      </c>
      <c r="AJ127" s="34" t="e">
        <f>INDEX('Dados - Placas'!$F:$F,MATCH('1'!AG127,'Dados - Placas'!$D:$D,0))*AF127</f>
        <v>#N/A</v>
      </c>
      <c r="AK127" s="33">
        <f>'Dados - Cliente'!AE127</f>
        <v>0</v>
      </c>
      <c r="AL127" s="33">
        <f>'Dados - Cliente'!AF127</f>
        <v>0</v>
      </c>
      <c r="AM127" s="36" t="e">
        <f>INDEX('Dados - Inversores'!$A:$A,MATCH('1'!AL127,'Dados - Inversores'!$C:$C,0))</f>
        <v>#N/A</v>
      </c>
      <c r="AN127" s="33">
        <f>'Dados - Cliente'!AG127</f>
        <v>0</v>
      </c>
      <c r="AO127" s="33" t="e">
        <f>AA127*1.25/(0.22*SQRT(INDEX('Dados - Inversores'!AK:AK,MATCH('1'!AL127,'Dados - Inversores'!C:C,0))))</f>
        <v>#N/A</v>
      </c>
      <c r="AP127" s="34">
        <f>INDEX(Dados!$E$2:$E$33,COUNTIF(Dados!$E$2:$E$33,"&lt;="&amp;AN127*1.25/(INDEX('Dados - Inversores'!AL:AL,MATCH('1'!AL127,'Dados - Inversores'!C:C,0))*SQRT(INDEX('Dados - Inversores'!AK:AK,MATCH('1'!AL127,'Dados - Inversores'!C:C,0)))))+1)</f>
        <v>2</v>
      </c>
      <c r="AQ127" s="33" t="s">
        <v>59</v>
      </c>
      <c r="AR127" s="33" t="str">
        <f t="shared" si="14"/>
        <v>Micro</v>
      </c>
      <c r="AS127" s="33">
        <f>'Dados - Cliente'!AH127</f>
        <v>0</v>
      </c>
      <c r="AT127" s="33">
        <f>'Dados - Cliente'!AI127</f>
        <v>0</v>
      </c>
      <c r="AU127" s="33" t="e">
        <f>INDEX('Dados - Placas'!$N:$N,MATCH('1'!AG127,'Dados - Placas'!$D:$D,0))-1</f>
        <v>#N/A</v>
      </c>
      <c r="AV127" s="33" t="e">
        <f>INDEX('Dados - Placas'!$O:$O,MATCH('1'!AG127,'Dados - Placas'!$D:$D,0))</f>
        <v>#N/A</v>
      </c>
      <c r="AW127" s="33" t="e">
        <f>INDEX('Dados - Inversores'!AM:AM,MATCH('1'!AL127,'Dados - Inversores'!$C:$C,0))-1</f>
        <v>#N/A</v>
      </c>
      <c r="AX127" s="33" t="e">
        <f>INDEX('Dados - Inversores'!AN:AN,MATCH('1'!AL127,'Dados - Inversores'!$C:$C,0))-1</f>
        <v>#N/A</v>
      </c>
      <c r="AY127" s="33" t="e">
        <f>MATCH('1'!H127,Dados!$D$89:$D$167,0)+1</f>
        <v>#N/A</v>
      </c>
      <c r="AZ127" s="33" t="e">
        <f>MATCH('1'!N127,'Dados - Solicitação de acesso'!$N$2:$N$8,0)</f>
        <v>#N/A</v>
      </c>
      <c r="BA127" s="33" t="e">
        <f>MATCH('1'!T127,'Dados - Solicitação de acesso'!$T$2:$T$20,0)</f>
        <v>#N/A</v>
      </c>
      <c r="BB127" s="34"/>
      <c r="BC127" s="33">
        <f>MATCH(AT127,'Dados - Solicitação de acesso'!$AT$2:$AT$28,0)</f>
        <v>1</v>
      </c>
      <c r="BD127" s="33" t="b">
        <f>IF(O127="TRIFASICO",INDEX(Dados!G:G,MATCH('1'!AP127,Dados!E:E,0)),IF(O127="BIFASICO",INDEX(Dados!F:F,MATCH('1'!AP127,Dados!E:E,0),)))</f>
        <v>0</v>
      </c>
      <c r="BE127" s="33">
        <f>'Dados - Cliente'!J127</f>
        <v>0</v>
      </c>
      <c r="BF127" s="34">
        <f>INDEX(Dados!$E$2:$E$33,COUNTIF(Dados!$E$2:$E$33,"&lt;="&amp;AN127*1.25*AK127/(0.22*SQRT(INDEX('Dados - Inversores'!AK:AK,MATCH('1'!AL127,'Dados - Inversores'!C:C,0)))))+1)</f>
        <v>2</v>
      </c>
      <c r="BG127" s="34" t="b">
        <f>IF(O127="TRIFASICO",INDEX(Dados!G:G,MATCH(BF127,Dados!E:E,0)),IF(O127="BIFASICO",INDEX(Dados!F:F,MATCH(BF127,Dados!E:E,0),)))</f>
        <v>0</v>
      </c>
    </row>
    <row r="128" spans="1:59" s="33" customFormat="1" x14ac:dyDescent="0.35">
      <c r="A128" s="33">
        <f>'Dados - Cliente'!A128</f>
        <v>0</v>
      </c>
      <c r="B128" s="33">
        <f>'Dados - Cliente'!B128</f>
        <v>0</v>
      </c>
      <c r="C128" s="33">
        <f>'Dados - Cliente'!C128</f>
        <v>0</v>
      </c>
      <c r="D128" s="33">
        <f>'Dados - Cliente'!D128</f>
        <v>0</v>
      </c>
      <c r="E128" s="33">
        <f>'Dados - Cliente'!E128</f>
        <v>0</v>
      </c>
      <c r="F128" s="33">
        <f>'Dados - Cliente'!F128</f>
        <v>0</v>
      </c>
      <c r="G128" s="33">
        <f>'Dados - Cliente'!G128</f>
        <v>0</v>
      </c>
      <c r="H128" s="33">
        <f>'Dados - Cliente'!H128</f>
        <v>0</v>
      </c>
      <c r="I128" s="75" t="s">
        <v>4313</v>
      </c>
      <c r="J128" s="52" t="s">
        <v>4314</v>
      </c>
      <c r="K128" s="52" t="s">
        <v>4314</v>
      </c>
      <c r="L128" s="33">
        <f>'Dados - Cliente'!I128</f>
        <v>0</v>
      </c>
      <c r="M128" s="33">
        <f>'Dados - Cliente'!K128</f>
        <v>0</v>
      </c>
      <c r="N128" s="33">
        <f>'Dados - Cliente'!L128</f>
        <v>0</v>
      </c>
      <c r="O128" s="33">
        <f>'Dados - Cliente'!M128</f>
        <v>0</v>
      </c>
      <c r="P128" s="33">
        <f>'Dados - Cliente'!N128</f>
        <v>0</v>
      </c>
      <c r="Q128" s="33">
        <f>'Dados - Cliente'!O128</f>
        <v>0</v>
      </c>
      <c r="R128" s="33">
        <f>'Dados - Cliente'!P128</f>
        <v>0</v>
      </c>
      <c r="S128" s="33">
        <f>'Dados - Cliente'!Q128</f>
        <v>0</v>
      </c>
      <c r="T128" s="33">
        <f>'Dados - Cliente'!R128</f>
        <v>0</v>
      </c>
      <c r="U128" s="34">
        <f>'Dados - Cliente'!S128</f>
        <v>0</v>
      </c>
      <c r="V128" s="34">
        <f>'Dados - Cliente'!T128</f>
        <v>0</v>
      </c>
      <c r="W128" s="34">
        <f>'Dados - Cliente'!U128</f>
        <v>0</v>
      </c>
      <c r="X128" s="34">
        <f>'Dados - Cliente'!V128</f>
        <v>0</v>
      </c>
      <c r="Y128" s="34">
        <f>'Dados - Cliente'!W128</f>
        <v>0</v>
      </c>
      <c r="Z128" s="34">
        <f>'Dados - Cliente'!X128</f>
        <v>0</v>
      </c>
      <c r="AA128" s="33" t="e">
        <f t="shared" si="13"/>
        <v>#N/A</v>
      </c>
      <c r="AB128" s="33">
        <f>'Dados - Cliente'!Y128</f>
        <v>0</v>
      </c>
      <c r="AC128" s="33">
        <f>'Dados - Cliente'!Z128</f>
        <v>0</v>
      </c>
      <c r="AD128" s="33">
        <f>'Dados - Cliente'!AA128</f>
        <v>0</v>
      </c>
      <c r="AE128" s="33">
        <f>'Dados - Cliente'!AB128</f>
        <v>0</v>
      </c>
      <c r="AF128" s="33">
        <f>'Dados - Cliente'!AC128</f>
        <v>0</v>
      </c>
      <c r="AG128" s="35">
        <f>'Dados - Cliente'!AD128</f>
        <v>0</v>
      </c>
      <c r="AH128" s="33" t="e">
        <f>INDEX('Dados - Placas'!$A:$A,MATCH('1'!AG128,'Dados - Placas'!$D:$D,0))</f>
        <v>#N/A</v>
      </c>
      <c r="AI128" s="35" t="e">
        <f>INDEX('Dados - Placas'!$E:$E,MATCH('1'!AG128,'Dados - Placas'!$D:$D,0))</f>
        <v>#N/A</v>
      </c>
      <c r="AJ128" s="34" t="e">
        <f>INDEX('Dados - Placas'!$F:$F,MATCH('1'!AG128,'Dados - Placas'!$D:$D,0))*AF128</f>
        <v>#N/A</v>
      </c>
      <c r="AK128" s="33">
        <f>'Dados - Cliente'!AE128</f>
        <v>0</v>
      </c>
      <c r="AL128" s="33">
        <f>'Dados - Cliente'!AF128</f>
        <v>0</v>
      </c>
      <c r="AM128" s="36" t="e">
        <f>INDEX('Dados - Inversores'!$A:$A,MATCH('1'!AL128,'Dados - Inversores'!$C:$C,0))</f>
        <v>#N/A</v>
      </c>
      <c r="AN128" s="33">
        <f>'Dados - Cliente'!AG128</f>
        <v>0</v>
      </c>
      <c r="AO128" s="33" t="e">
        <f>AA128*1.25/(0.22*SQRT(INDEX('Dados - Inversores'!AK:AK,MATCH('1'!AL128,'Dados - Inversores'!C:C,0))))</f>
        <v>#N/A</v>
      </c>
      <c r="AP128" s="34">
        <f>INDEX(Dados!$E$2:$E$33,COUNTIF(Dados!$E$2:$E$33,"&lt;="&amp;AN128*1.25/(INDEX('Dados - Inversores'!AL:AL,MATCH('1'!AL128,'Dados - Inversores'!C:C,0))*SQRT(INDEX('Dados - Inversores'!AK:AK,MATCH('1'!AL128,'Dados - Inversores'!C:C,0)))))+1)</f>
        <v>2</v>
      </c>
      <c r="AQ128" s="33" t="s">
        <v>59</v>
      </c>
      <c r="AR128" s="33" t="str">
        <f t="shared" si="14"/>
        <v>Micro</v>
      </c>
      <c r="AS128" s="33">
        <f>'Dados - Cliente'!AH128</f>
        <v>0</v>
      </c>
      <c r="AT128" s="33">
        <f>'Dados - Cliente'!AI128</f>
        <v>0</v>
      </c>
      <c r="AU128" s="33" t="e">
        <f>INDEX('Dados - Placas'!$N:$N,MATCH('1'!AG128,'Dados - Placas'!$D:$D,0))-1</f>
        <v>#N/A</v>
      </c>
      <c r="AV128" s="33" t="e">
        <f>INDEX('Dados - Placas'!$O:$O,MATCH('1'!AG128,'Dados - Placas'!$D:$D,0))</f>
        <v>#N/A</v>
      </c>
      <c r="AW128" s="33" t="e">
        <f>INDEX('Dados - Inversores'!AM:AM,MATCH('1'!AL128,'Dados - Inversores'!$C:$C,0))-1</f>
        <v>#N/A</v>
      </c>
      <c r="AX128" s="33" t="e">
        <f>INDEX('Dados - Inversores'!AN:AN,MATCH('1'!AL128,'Dados - Inversores'!$C:$C,0))-1</f>
        <v>#N/A</v>
      </c>
      <c r="AY128" s="33" t="e">
        <f>MATCH('1'!H128,Dados!$D$89:$D$167,0)+1</f>
        <v>#N/A</v>
      </c>
      <c r="AZ128" s="33" t="e">
        <f>MATCH('1'!N128,'Dados - Solicitação de acesso'!$N$2:$N$8,0)</f>
        <v>#N/A</v>
      </c>
      <c r="BA128" s="33" t="e">
        <f>MATCH('1'!T128,'Dados - Solicitação de acesso'!$T$2:$T$20,0)</f>
        <v>#N/A</v>
      </c>
      <c r="BB128" s="34"/>
      <c r="BC128" s="33">
        <f>MATCH(AT128,'Dados - Solicitação de acesso'!$AT$2:$AT$28,0)</f>
        <v>1</v>
      </c>
      <c r="BD128" s="33" t="b">
        <f>IF(O128="TRIFASICO",INDEX(Dados!G:G,MATCH('1'!AP128,Dados!E:E,0)),IF(O128="BIFASICO",INDEX(Dados!F:F,MATCH('1'!AP128,Dados!E:E,0),)))</f>
        <v>0</v>
      </c>
      <c r="BE128" s="33">
        <f>'Dados - Cliente'!J128</f>
        <v>0</v>
      </c>
      <c r="BF128" s="34">
        <f>INDEX(Dados!$E$2:$E$33,COUNTIF(Dados!$E$2:$E$33,"&lt;="&amp;AN128*1.25*AK128/(0.22*SQRT(INDEX('Dados - Inversores'!AK:AK,MATCH('1'!AL128,'Dados - Inversores'!C:C,0)))))+1)</f>
        <v>2</v>
      </c>
      <c r="BG128" s="34" t="b">
        <f>IF(O128="TRIFASICO",INDEX(Dados!G:G,MATCH(BF128,Dados!E:E,0)),IF(O128="BIFASICO",INDEX(Dados!F:F,MATCH(BF128,Dados!E:E,0),)))</f>
        <v>0</v>
      </c>
    </row>
    <row r="129" spans="1:59" s="33" customFormat="1" x14ac:dyDescent="0.35">
      <c r="A129" s="33">
        <f>'Dados - Cliente'!A129</f>
        <v>0</v>
      </c>
      <c r="B129" s="33">
        <f>'Dados - Cliente'!B129</f>
        <v>0</v>
      </c>
      <c r="C129" s="33">
        <f>'Dados - Cliente'!C129</f>
        <v>0</v>
      </c>
      <c r="D129" s="33">
        <f>'Dados - Cliente'!D129</f>
        <v>0</v>
      </c>
      <c r="E129" s="33">
        <f>'Dados - Cliente'!E129</f>
        <v>0</v>
      </c>
      <c r="F129" s="33">
        <f>'Dados - Cliente'!F129</f>
        <v>0</v>
      </c>
      <c r="G129" s="33">
        <f>'Dados - Cliente'!G129</f>
        <v>0</v>
      </c>
      <c r="H129" s="33">
        <f>'Dados - Cliente'!H129</f>
        <v>0</v>
      </c>
      <c r="I129" s="75" t="s">
        <v>4313</v>
      </c>
      <c r="J129" s="52" t="s">
        <v>4314</v>
      </c>
      <c r="K129" s="52" t="s">
        <v>4314</v>
      </c>
      <c r="L129" s="33">
        <f>'Dados - Cliente'!I129</f>
        <v>0</v>
      </c>
      <c r="M129" s="33">
        <f>'Dados - Cliente'!K129</f>
        <v>0</v>
      </c>
      <c r="N129" s="33">
        <f>'Dados - Cliente'!L129</f>
        <v>0</v>
      </c>
      <c r="O129" s="33">
        <f>'Dados - Cliente'!M129</f>
        <v>0</v>
      </c>
      <c r="P129" s="33">
        <f>'Dados - Cliente'!N129</f>
        <v>0</v>
      </c>
      <c r="Q129" s="33">
        <f>'Dados - Cliente'!O129</f>
        <v>0</v>
      </c>
      <c r="R129" s="33">
        <f>'Dados - Cliente'!P129</f>
        <v>0</v>
      </c>
      <c r="S129" s="33">
        <f>'Dados - Cliente'!Q129</f>
        <v>0</v>
      </c>
      <c r="T129" s="33">
        <f>'Dados - Cliente'!R129</f>
        <v>0</v>
      </c>
      <c r="U129" s="34">
        <f>'Dados - Cliente'!S129</f>
        <v>0</v>
      </c>
      <c r="V129" s="34">
        <f>'Dados - Cliente'!T129</f>
        <v>0</v>
      </c>
      <c r="W129" s="34">
        <f>'Dados - Cliente'!U129</f>
        <v>0</v>
      </c>
      <c r="X129" s="34">
        <f>'Dados - Cliente'!V129</f>
        <v>0</v>
      </c>
      <c r="Y129" s="34">
        <f>'Dados - Cliente'!W129</f>
        <v>0</v>
      </c>
      <c r="Z129" s="34">
        <f>'Dados - Cliente'!X129</f>
        <v>0</v>
      </c>
      <c r="AA129" s="33" t="e">
        <f t="shared" ref="AA129:AA168" si="15">AI129*AF129</f>
        <v>#N/A</v>
      </c>
      <c r="AB129" s="33">
        <f>'Dados - Cliente'!Y129</f>
        <v>0</v>
      </c>
      <c r="AC129" s="33">
        <f>'Dados - Cliente'!Z129</f>
        <v>0</v>
      </c>
      <c r="AD129" s="33">
        <f>'Dados - Cliente'!AA129</f>
        <v>0</v>
      </c>
      <c r="AE129" s="33">
        <f>'Dados - Cliente'!AB129</f>
        <v>0</v>
      </c>
      <c r="AF129" s="33">
        <f>'Dados - Cliente'!AC129</f>
        <v>0</v>
      </c>
      <c r="AG129" s="35">
        <f>'Dados - Cliente'!AD129</f>
        <v>0</v>
      </c>
      <c r="AH129" s="33" t="e">
        <f>INDEX('Dados - Placas'!$A:$A,MATCH('1'!AG129,'Dados - Placas'!$D:$D,0))</f>
        <v>#N/A</v>
      </c>
      <c r="AI129" s="35" t="e">
        <f>INDEX('Dados - Placas'!$E:$E,MATCH('1'!AG129,'Dados - Placas'!$D:$D,0))</f>
        <v>#N/A</v>
      </c>
      <c r="AJ129" s="34" t="e">
        <f>INDEX('Dados - Placas'!$F:$F,MATCH('1'!AG129,'Dados - Placas'!$D:$D,0))*AF129</f>
        <v>#N/A</v>
      </c>
      <c r="AK129" s="33">
        <f>'Dados - Cliente'!AE129</f>
        <v>0</v>
      </c>
      <c r="AL129" s="33">
        <f>'Dados - Cliente'!AF129</f>
        <v>0</v>
      </c>
      <c r="AM129" s="36" t="e">
        <f>INDEX('Dados - Inversores'!$A:$A,MATCH('1'!AL129,'Dados - Inversores'!$C:$C,0))</f>
        <v>#N/A</v>
      </c>
      <c r="AN129" s="33">
        <f>'Dados - Cliente'!AG129</f>
        <v>0</v>
      </c>
      <c r="AO129" s="33" t="e">
        <f>AA129*1.25/(0.22*SQRT(INDEX('Dados - Inversores'!AK:AK,MATCH('1'!AL129,'Dados - Inversores'!C:C,0))))</f>
        <v>#N/A</v>
      </c>
      <c r="AP129" s="34">
        <f>INDEX(Dados!$E$2:$E$33,COUNTIF(Dados!$E$2:$E$33,"&lt;="&amp;AN129*1.25/(INDEX('Dados - Inversores'!AL:AL,MATCH('1'!AL129,'Dados - Inversores'!C:C,0))*SQRT(INDEX('Dados - Inversores'!AK:AK,MATCH('1'!AL129,'Dados - Inversores'!C:C,0)))))+1)</f>
        <v>2</v>
      </c>
      <c r="AQ129" s="33" t="s">
        <v>59</v>
      </c>
      <c r="AR129" s="33" t="str">
        <f t="shared" ref="AR129:AR168" si="16">IF((AN129*AK129)&gt;10,"Mini","Micro")</f>
        <v>Micro</v>
      </c>
      <c r="AS129" s="33">
        <f>'Dados - Cliente'!AH129</f>
        <v>0</v>
      </c>
      <c r="AT129" s="33">
        <f>'Dados - Cliente'!AI129</f>
        <v>0</v>
      </c>
      <c r="AU129" s="33" t="e">
        <f>INDEX('Dados - Placas'!$N:$N,MATCH('1'!AG129,'Dados - Placas'!$D:$D,0))-1</f>
        <v>#N/A</v>
      </c>
      <c r="AV129" s="33" t="e">
        <f>INDEX('Dados - Placas'!$O:$O,MATCH('1'!AG129,'Dados - Placas'!$D:$D,0))</f>
        <v>#N/A</v>
      </c>
      <c r="AW129" s="33" t="e">
        <f>INDEX('Dados - Inversores'!AM:AM,MATCH('1'!AL129,'Dados - Inversores'!$C:$C,0))-1</f>
        <v>#N/A</v>
      </c>
      <c r="AX129" s="33" t="e">
        <f>INDEX('Dados - Inversores'!AN:AN,MATCH('1'!AL129,'Dados - Inversores'!$C:$C,0))-1</f>
        <v>#N/A</v>
      </c>
      <c r="AY129" s="33" t="e">
        <f>MATCH('1'!H129,Dados!$D$89:$D$167,0)+1</f>
        <v>#N/A</v>
      </c>
      <c r="AZ129" s="33" t="e">
        <f>MATCH('1'!N129,'Dados - Solicitação de acesso'!$N$2:$N$8,0)</f>
        <v>#N/A</v>
      </c>
      <c r="BA129" s="33" t="e">
        <f>MATCH('1'!T129,'Dados - Solicitação de acesso'!$T$2:$T$20,0)</f>
        <v>#N/A</v>
      </c>
      <c r="BB129" s="34"/>
      <c r="BC129" s="33">
        <f>MATCH(AT129,'Dados - Solicitação de acesso'!$AT$2:$AT$28,0)</f>
        <v>1</v>
      </c>
      <c r="BD129" s="33" t="b">
        <f>IF(O129="TRIFASICO",INDEX(Dados!G:G,MATCH('1'!AP129,Dados!E:E,0)),IF(O129="BIFASICO",INDEX(Dados!F:F,MATCH('1'!AP129,Dados!E:E,0),)))</f>
        <v>0</v>
      </c>
      <c r="BE129" s="33">
        <f>'Dados - Cliente'!J129</f>
        <v>0</v>
      </c>
      <c r="BF129" s="34">
        <f>INDEX(Dados!$E$2:$E$33,COUNTIF(Dados!$E$2:$E$33,"&lt;="&amp;AN129*1.25*AK129/(0.22*SQRT(INDEX('Dados - Inversores'!AK:AK,MATCH('1'!AL129,'Dados - Inversores'!C:C,0)))))+1)</f>
        <v>2</v>
      </c>
      <c r="BG129" s="34" t="b">
        <f>IF(O129="TRIFASICO",INDEX(Dados!G:G,MATCH(BF129,Dados!E:E,0)),IF(O129="BIFASICO",INDEX(Dados!F:F,MATCH(BF129,Dados!E:E,0),)))</f>
        <v>0</v>
      </c>
    </row>
    <row r="130" spans="1:59" s="33" customFormat="1" x14ac:dyDescent="0.35">
      <c r="A130" s="33">
        <f>'Dados - Cliente'!A130</f>
        <v>0</v>
      </c>
      <c r="B130" s="33">
        <f>'Dados - Cliente'!B130</f>
        <v>0</v>
      </c>
      <c r="C130" s="33">
        <f>'Dados - Cliente'!C130</f>
        <v>0</v>
      </c>
      <c r="D130" s="33">
        <f>'Dados - Cliente'!D130</f>
        <v>0</v>
      </c>
      <c r="E130" s="33">
        <f>'Dados - Cliente'!E130</f>
        <v>0</v>
      </c>
      <c r="F130" s="33">
        <f>'Dados - Cliente'!F130</f>
        <v>0</v>
      </c>
      <c r="G130" s="33">
        <f>'Dados - Cliente'!G130</f>
        <v>0</v>
      </c>
      <c r="H130" s="33">
        <f>'Dados - Cliente'!H130</f>
        <v>0</v>
      </c>
      <c r="I130" s="75" t="s">
        <v>4313</v>
      </c>
      <c r="J130" s="52" t="s">
        <v>4314</v>
      </c>
      <c r="K130" s="52" t="s">
        <v>4314</v>
      </c>
      <c r="L130" s="33">
        <f>'Dados - Cliente'!I130</f>
        <v>0</v>
      </c>
      <c r="M130" s="33">
        <f>'Dados - Cliente'!K130</f>
        <v>0</v>
      </c>
      <c r="N130" s="33">
        <f>'Dados - Cliente'!L130</f>
        <v>0</v>
      </c>
      <c r="O130" s="33">
        <f>'Dados - Cliente'!M130</f>
        <v>0</v>
      </c>
      <c r="P130" s="33">
        <f>'Dados - Cliente'!N130</f>
        <v>0</v>
      </c>
      <c r="Q130" s="33">
        <f>'Dados - Cliente'!O130</f>
        <v>0</v>
      </c>
      <c r="R130" s="33">
        <f>'Dados - Cliente'!P130</f>
        <v>0</v>
      </c>
      <c r="S130" s="33">
        <f>'Dados - Cliente'!Q130</f>
        <v>0</v>
      </c>
      <c r="T130" s="33">
        <f>'Dados - Cliente'!R130</f>
        <v>0</v>
      </c>
      <c r="U130" s="34">
        <f>'Dados - Cliente'!S130</f>
        <v>0</v>
      </c>
      <c r="V130" s="34">
        <f>'Dados - Cliente'!T130</f>
        <v>0</v>
      </c>
      <c r="W130" s="34">
        <f>'Dados - Cliente'!U130</f>
        <v>0</v>
      </c>
      <c r="X130" s="34">
        <f>'Dados - Cliente'!V130</f>
        <v>0</v>
      </c>
      <c r="Y130" s="34">
        <f>'Dados - Cliente'!W130</f>
        <v>0</v>
      </c>
      <c r="Z130" s="34">
        <f>'Dados - Cliente'!X130</f>
        <v>0</v>
      </c>
      <c r="AA130" s="33" t="e">
        <f t="shared" si="15"/>
        <v>#N/A</v>
      </c>
      <c r="AB130" s="33">
        <f>'Dados - Cliente'!Y130</f>
        <v>0</v>
      </c>
      <c r="AC130" s="33">
        <f>'Dados - Cliente'!Z130</f>
        <v>0</v>
      </c>
      <c r="AD130" s="33">
        <f>'Dados - Cliente'!AA130</f>
        <v>0</v>
      </c>
      <c r="AE130" s="33">
        <f>'Dados - Cliente'!AB130</f>
        <v>0</v>
      </c>
      <c r="AF130" s="33">
        <f>'Dados - Cliente'!AC130</f>
        <v>0</v>
      </c>
      <c r="AG130" s="35">
        <f>'Dados - Cliente'!AD130</f>
        <v>0</v>
      </c>
      <c r="AH130" s="33" t="e">
        <f>INDEX('Dados - Placas'!$A:$A,MATCH('1'!AG130,'Dados - Placas'!$D:$D,0))</f>
        <v>#N/A</v>
      </c>
      <c r="AI130" s="35" t="e">
        <f>INDEX('Dados - Placas'!$E:$E,MATCH('1'!AG130,'Dados - Placas'!$D:$D,0))</f>
        <v>#N/A</v>
      </c>
      <c r="AJ130" s="34" t="e">
        <f>INDEX('Dados - Placas'!$F:$F,MATCH('1'!AG130,'Dados - Placas'!$D:$D,0))*AF130</f>
        <v>#N/A</v>
      </c>
      <c r="AK130" s="33">
        <f>'Dados - Cliente'!AE130</f>
        <v>0</v>
      </c>
      <c r="AL130" s="33">
        <f>'Dados - Cliente'!AF130</f>
        <v>0</v>
      </c>
      <c r="AM130" s="36" t="e">
        <f>INDEX('Dados - Inversores'!$A:$A,MATCH('1'!AL130,'Dados - Inversores'!$C:$C,0))</f>
        <v>#N/A</v>
      </c>
      <c r="AN130" s="33">
        <f>'Dados - Cliente'!AG130</f>
        <v>0</v>
      </c>
      <c r="AO130" s="33" t="e">
        <f>AA130*1.25/(0.22*SQRT(INDEX('Dados - Inversores'!AK:AK,MATCH('1'!AL130,'Dados - Inversores'!C:C,0))))</f>
        <v>#N/A</v>
      </c>
      <c r="AP130" s="34">
        <f>INDEX(Dados!$E$2:$E$33,COUNTIF(Dados!$E$2:$E$33,"&lt;="&amp;AN130*1.25/(INDEX('Dados - Inversores'!AL:AL,MATCH('1'!AL130,'Dados - Inversores'!C:C,0))*SQRT(INDEX('Dados - Inversores'!AK:AK,MATCH('1'!AL130,'Dados - Inversores'!C:C,0)))))+1)</f>
        <v>2</v>
      </c>
      <c r="AQ130" s="33" t="s">
        <v>59</v>
      </c>
      <c r="AR130" s="33" t="str">
        <f t="shared" si="16"/>
        <v>Micro</v>
      </c>
      <c r="AS130" s="33">
        <f>'Dados - Cliente'!AH130</f>
        <v>0</v>
      </c>
      <c r="AT130" s="33">
        <f>'Dados - Cliente'!AI130</f>
        <v>0</v>
      </c>
      <c r="AU130" s="33" t="e">
        <f>INDEX('Dados - Placas'!$N:$N,MATCH('1'!AG130,'Dados - Placas'!$D:$D,0))-1</f>
        <v>#N/A</v>
      </c>
      <c r="AV130" s="33" t="e">
        <f>INDEX('Dados - Placas'!$O:$O,MATCH('1'!AG130,'Dados - Placas'!$D:$D,0))</f>
        <v>#N/A</v>
      </c>
      <c r="AW130" s="33" t="e">
        <f>INDEX('Dados - Inversores'!AM:AM,MATCH('1'!AL130,'Dados - Inversores'!$C:$C,0))-1</f>
        <v>#N/A</v>
      </c>
      <c r="AX130" s="33" t="e">
        <f>INDEX('Dados - Inversores'!AN:AN,MATCH('1'!AL130,'Dados - Inversores'!$C:$C,0))-1</f>
        <v>#N/A</v>
      </c>
      <c r="AY130" s="33" t="e">
        <f>MATCH('1'!H130,Dados!$D$89:$D$167,0)+1</f>
        <v>#N/A</v>
      </c>
      <c r="AZ130" s="33" t="e">
        <f>MATCH('1'!N130,'Dados - Solicitação de acesso'!$N$2:$N$8,0)</f>
        <v>#N/A</v>
      </c>
      <c r="BA130" s="33" t="e">
        <f>MATCH('1'!T130,'Dados - Solicitação de acesso'!$T$2:$T$20,0)</f>
        <v>#N/A</v>
      </c>
      <c r="BB130" s="34"/>
      <c r="BC130" s="33">
        <f>MATCH(AT130,'Dados - Solicitação de acesso'!$AT$2:$AT$28,0)</f>
        <v>1</v>
      </c>
      <c r="BD130" s="33" t="b">
        <f>IF(O130="TRIFASICO",INDEX(Dados!G:G,MATCH('1'!AP130,Dados!E:E,0)),IF(O130="BIFASICO",INDEX(Dados!F:F,MATCH('1'!AP130,Dados!E:E,0),)))</f>
        <v>0</v>
      </c>
      <c r="BE130" s="33">
        <f>'Dados - Cliente'!J130</f>
        <v>0</v>
      </c>
      <c r="BF130" s="34">
        <f>INDEX(Dados!$E$2:$E$33,COUNTIF(Dados!$E$2:$E$33,"&lt;="&amp;AN130*1.25*AK130/(0.22*SQRT(INDEX('Dados - Inversores'!AK:AK,MATCH('1'!AL130,'Dados - Inversores'!C:C,0)))))+1)</f>
        <v>2</v>
      </c>
      <c r="BG130" s="34" t="b">
        <f>IF(O130="TRIFASICO",INDEX(Dados!G:G,MATCH(BF130,Dados!E:E,0)),IF(O130="BIFASICO",INDEX(Dados!F:F,MATCH(BF130,Dados!E:E,0),)))</f>
        <v>0</v>
      </c>
    </row>
    <row r="131" spans="1:59" s="33" customFormat="1" x14ac:dyDescent="0.35">
      <c r="A131" s="33">
        <f>'Dados - Cliente'!A131</f>
        <v>0</v>
      </c>
      <c r="B131" s="33">
        <f>'Dados - Cliente'!B131</f>
        <v>0</v>
      </c>
      <c r="C131" s="33">
        <f>'Dados - Cliente'!C131</f>
        <v>0</v>
      </c>
      <c r="D131" s="33">
        <f>'Dados - Cliente'!D131</f>
        <v>0</v>
      </c>
      <c r="E131" s="33">
        <f>'Dados - Cliente'!E131</f>
        <v>0</v>
      </c>
      <c r="F131" s="33">
        <f>'Dados - Cliente'!F131</f>
        <v>0</v>
      </c>
      <c r="G131" s="33">
        <f>'Dados - Cliente'!G131</f>
        <v>0</v>
      </c>
      <c r="H131" s="33">
        <f>'Dados - Cliente'!H131</f>
        <v>0</v>
      </c>
      <c r="I131" s="75" t="s">
        <v>4313</v>
      </c>
      <c r="J131" s="52" t="s">
        <v>4314</v>
      </c>
      <c r="K131" s="52" t="s">
        <v>4314</v>
      </c>
      <c r="L131" s="33">
        <f>'Dados - Cliente'!I131</f>
        <v>0</v>
      </c>
      <c r="M131" s="33">
        <f>'Dados - Cliente'!K131</f>
        <v>0</v>
      </c>
      <c r="N131" s="33">
        <f>'Dados - Cliente'!L131</f>
        <v>0</v>
      </c>
      <c r="O131" s="33">
        <f>'Dados - Cliente'!M131</f>
        <v>0</v>
      </c>
      <c r="P131" s="33">
        <f>'Dados - Cliente'!N131</f>
        <v>0</v>
      </c>
      <c r="Q131" s="33">
        <f>'Dados - Cliente'!O131</f>
        <v>0</v>
      </c>
      <c r="R131" s="33">
        <f>'Dados - Cliente'!P131</f>
        <v>0</v>
      </c>
      <c r="S131" s="33">
        <f>'Dados - Cliente'!Q131</f>
        <v>0</v>
      </c>
      <c r="T131" s="33">
        <f>'Dados - Cliente'!R131</f>
        <v>0</v>
      </c>
      <c r="U131" s="34">
        <f>'Dados - Cliente'!S131</f>
        <v>0</v>
      </c>
      <c r="V131" s="34">
        <f>'Dados - Cliente'!T131</f>
        <v>0</v>
      </c>
      <c r="W131" s="34">
        <f>'Dados - Cliente'!U131</f>
        <v>0</v>
      </c>
      <c r="X131" s="34">
        <f>'Dados - Cliente'!V131</f>
        <v>0</v>
      </c>
      <c r="Y131" s="34">
        <f>'Dados - Cliente'!W131</f>
        <v>0</v>
      </c>
      <c r="Z131" s="34">
        <f>'Dados - Cliente'!X131</f>
        <v>0</v>
      </c>
      <c r="AA131" s="33" t="e">
        <f t="shared" si="15"/>
        <v>#N/A</v>
      </c>
      <c r="AB131" s="33">
        <f>'Dados - Cliente'!Y131</f>
        <v>0</v>
      </c>
      <c r="AC131" s="33">
        <f>'Dados - Cliente'!Z131</f>
        <v>0</v>
      </c>
      <c r="AD131" s="33">
        <f>'Dados - Cliente'!AA131</f>
        <v>0</v>
      </c>
      <c r="AE131" s="33">
        <f>'Dados - Cliente'!AB131</f>
        <v>0</v>
      </c>
      <c r="AF131" s="33">
        <f>'Dados - Cliente'!AC131</f>
        <v>0</v>
      </c>
      <c r="AG131" s="35">
        <f>'Dados - Cliente'!AD131</f>
        <v>0</v>
      </c>
      <c r="AH131" s="33" t="e">
        <f>INDEX('Dados - Placas'!$A:$A,MATCH('1'!AG131,'Dados - Placas'!$D:$D,0))</f>
        <v>#N/A</v>
      </c>
      <c r="AI131" s="35" t="e">
        <f>INDEX('Dados - Placas'!$E:$E,MATCH('1'!AG131,'Dados - Placas'!$D:$D,0))</f>
        <v>#N/A</v>
      </c>
      <c r="AJ131" s="34" t="e">
        <f>INDEX('Dados - Placas'!$F:$F,MATCH('1'!AG131,'Dados - Placas'!$D:$D,0))*AF131</f>
        <v>#N/A</v>
      </c>
      <c r="AK131" s="33">
        <f>'Dados - Cliente'!AE131</f>
        <v>0</v>
      </c>
      <c r="AL131" s="33">
        <f>'Dados - Cliente'!AF131</f>
        <v>0</v>
      </c>
      <c r="AM131" s="36" t="e">
        <f>INDEX('Dados - Inversores'!$A:$A,MATCH('1'!AL131,'Dados - Inversores'!$C:$C,0))</f>
        <v>#N/A</v>
      </c>
      <c r="AN131" s="33">
        <f>'Dados - Cliente'!AG131</f>
        <v>0</v>
      </c>
      <c r="AO131" s="33" t="e">
        <f>AA131*1.25/(0.22*SQRT(INDEX('Dados - Inversores'!AK:AK,MATCH('1'!AL131,'Dados - Inversores'!C:C,0))))</f>
        <v>#N/A</v>
      </c>
      <c r="AP131" s="34">
        <f>INDEX(Dados!$E$2:$E$33,COUNTIF(Dados!$E$2:$E$33,"&lt;="&amp;AN131*1.25/(INDEX('Dados - Inversores'!AL:AL,MATCH('1'!AL131,'Dados - Inversores'!C:C,0))*SQRT(INDEX('Dados - Inversores'!AK:AK,MATCH('1'!AL131,'Dados - Inversores'!C:C,0)))))+1)</f>
        <v>2</v>
      </c>
      <c r="AQ131" s="33" t="s">
        <v>59</v>
      </c>
      <c r="AR131" s="33" t="str">
        <f t="shared" si="16"/>
        <v>Micro</v>
      </c>
      <c r="AS131" s="33">
        <f>'Dados - Cliente'!AH131</f>
        <v>0</v>
      </c>
      <c r="AT131" s="33">
        <f>'Dados - Cliente'!AI131</f>
        <v>0</v>
      </c>
      <c r="AU131" s="33" t="e">
        <f>INDEX('Dados - Placas'!$N:$N,MATCH('1'!AG131,'Dados - Placas'!$D:$D,0))-1</f>
        <v>#N/A</v>
      </c>
      <c r="AV131" s="33" t="e">
        <f>INDEX('Dados - Placas'!$O:$O,MATCH('1'!AG131,'Dados - Placas'!$D:$D,0))</f>
        <v>#N/A</v>
      </c>
      <c r="AW131" s="33" t="e">
        <f>INDEX('Dados - Inversores'!AM:AM,MATCH('1'!AL131,'Dados - Inversores'!$C:$C,0))-1</f>
        <v>#N/A</v>
      </c>
      <c r="AX131" s="33" t="e">
        <f>INDEX('Dados - Inversores'!AN:AN,MATCH('1'!AL131,'Dados - Inversores'!$C:$C,0))-1</f>
        <v>#N/A</v>
      </c>
      <c r="AY131" s="33" t="e">
        <f>MATCH('1'!H131,Dados!$D$89:$D$167,0)+1</f>
        <v>#N/A</v>
      </c>
      <c r="AZ131" s="33" t="e">
        <f>MATCH('1'!N131,'Dados - Solicitação de acesso'!$N$2:$N$8,0)</f>
        <v>#N/A</v>
      </c>
      <c r="BA131" s="33" t="e">
        <f>MATCH('1'!T131,'Dados - Solicitação de acesso'!$T$2:$T$20,0)</f>
        <v>#N/A</v>
      </c>
      <c r="BB131" s="34"/>
      <c r="BC131" s="33">
        <f>MATCH(AT131,'Dados - Solicitação de acesso'!$AT$2:$AT$28,0)</f>
        <v>1</v>
      </c>
      <c r="BD131" s="33" t="b">
        <f>IF(O131="TRIFASICO",INDEX(Dados!G:G,MATCH('1'!AP131,Dados!E:E,0)),IF(O131="BIFASICO",INDEX(Dados!F:F,MATCH('1'!AP131,Dados!E:E,0),)))</f>
        <v>0</v>
      </c>
      <c r="BE131" s="33">
        <f>'Dados - Cliente'!J131</f>
        <v>0</v>
      </c>
      <c r="BF131" s="34">
        <f>INDEX(Dados!$E$2:$E$33,COUNTIF(Dados!$E$2:$E$33,"&lt;="&amp;AN131*1.25*AK131/(0.22*SQRT(INDEX('Dados - Inversores'!AK:AK,MATCH('1'!AL131,'Dados - Inversores'!C:C,0)))))+1)</f>
        <v>2</v>
      </c>
      <c r="BG131" s="34" t="b">
        <f>IF(O131="TRIFASICO",INDEX(Dados!G:G,MATCH(BF131,Dados!E:E,0)),IF(O131="BIFASICO",INDEX(Dados!F:F,MATCH(BF131,Dados!E:E,0),)))</f>
        <v>0</v>
      </c>
    </row>
    <row r="132" spans="1:59" s="33" customFormat="1" x14ac:dyDescent="0.35">
      <c r="A132" s="33">
        <f>'Dados - Cliente'!A132</f>
        <v>0</v>
      </c>
      <c r="B132" s="33">
        <f>'Dados - Cliente'!B132</f>
        <v>0</v>
      </c>
      <c r="C132" s="33">
        <f>'Dados - Cliente'!C132</f>
        <v>0</v>
      </c>
      <c r="D132" s="33">
        <f>'Dados - Cliente'!D132</f>
        <v>0</v>
      </c>
      <c r="E132" s="33">
        <f>'Dados - Cliente'!E132</f>
        <v>0</v>
      </c>
      <c r="F132" s="33">
        <f>'Dados - Cliente'!F132</f>
        <v>0</v>
      </c>
      <c r="G132" s="33">
        <f>'Dados - Cliente'!G132</f>
        <v>0</v>
      </c>
      <c r="H132" s="33">
        <f>'Dados - Cliente'!H132</f>
        <v>0</v>
      </c>
      <c r="I132" s="75" t="s">
        <v>4313</v>
      </c>
      <c r="J132" s="52" t="s">
        <v>4314</v>
      </c>
      <c r="K132" s="52" t="s">
        <v>4314</v>
      </c>
      <c r="L132" s="33">
        <f>'Dados - Cliente'!I132</f>
        <v>0</v>
      </c>
      <c r="M132" s="33">
        <f>'Dados - Cliente'!K132</f>
        <v>0</v>
      </c>
      <c r="N132" s="33">
        <f>'Dados - Cliente'!L132</f>
        <v>0</v>
      </c>
      <c r="O132" s="33">
        <f>'Dados - Cliente'!M132</f>
        <v>0</v>
      </c>
      <c r="P132" s="33">
        <f>'Dados - Cliente'!N132</f>
        <v>0</v>
      </c>
      <c r="Q132" s="33">
        <f>'Dados - Cliente'!O132</f>
        <v>0</v>
      </c>
      <c r="R132" s="33">
        <f>'Dados - Cliente'!P132</f>
        <v>0</v>
      </c>
      <c r="S132" s="33">
        <f>'Dados - Cliente'!Q132</f>
        <v>0</v>
      </c>
      <c r="T132" s="33">
        <f>'Dados - Cliente'!R132</f>
        <v>0</v>
      </c>
      <c r="U132" s="34">
        <f>'Dados - Cliente'!S132</f>
        <v>0</v>
      </c>
      <c r="V132" s="34">
        <f>'Dados - Cliente'!T132</f>
        <v>0</v>
      </c>
      <c r="W132" s="34">
        <f>'Dados - Cliente'!U132</f>
        <v>0</v>
      </c>
      <c r="X132" s="34">
        <f>'Dados - Cliente'!V132</f>
        <v>0</v>
      </c>
      <c r="Y132" s="34">
        <f>'Dados - Cliente'!W132</f>
        <v>0</v>
      </c>
      <c r="Z132" s="34">
        <f>'Dados - Cliente'!X132</f>
        <v>0</v>
      </c>
      <c r="AA132" s="33" t="e">
        <f t="shared" si="15"/>
        <v>#N/A</v>
      </c>
      <c r="AB132" s="33">
        <f>'Dados - Cliente'!Y132</f>
        <v>0</v>
      </c>
      <c r="AC132" s="33">
        <f>'Dados - Cliente'!Z132</f>
        <v>0</v>
      </c>
      <c r="AD132" s="33">
        <f>'Dados - Cliente'!AA132</f>
        <v>0</v>
      </c>
      <c r="AE132" s="33">
        <f>'Dados - Cliente'!AB132</f>
        <v>0</v>
      </c>
      <c r="AF132" s="33">
        <f>'Dados - Cliente'!AC132</f>
        <v>0</v>
      </c>
      <c r="AG132" s="35">
        <f>'Dados - Cliente'!AD132</f>
        <v>0</v>
      </c>
      <c r="AH132" s="33" t="e">
        <f>INDEX('Dados - Placas'!$A:$A,MATCH('1'!AG132,'Dados - Placas'!$D:$D,0))</f>
        <v>#N/A</v>
      </c>
      <c r="AI132" s="35" t="e">
        <f>INDEX('Dados - Placas'!$E:$E,MATCH('1'!AG132,'Dados - Placas'!$D:$D,0))</f>
        <v>#N/A</v>
      </c>
      <c r="AJ132" s="34" t="e">
        <f>INDEX('Dados - Placas'!$F:$F,MATCH('1'!AG132,'Dados - Placas'!$D:$D,0))*AF132</f>
        <v>#N/A</v>
      </c>
      <c r="AK132" s="33">
        <f>'Dados - Cliente'!AE132</f>
        <v>0</v>
      </c>
      <c r="AL132" s="33">
        <f>'Dados - Cliente'!AF132</f>
        <v>0</v>
      </c>
      <c r="AM132" s="36" t="e">
        <f>INDEX('Dados - Inversores'!$A:$A,MATCH('1'!AL132,'Dados - Inversores'!$C:$C,0))</f>
        <v>#N/A</v>
      </c>
      <c r="AN132" s="33">
        <f>'Dados - Cliente'!AG132</f>
        <v>0</v>
      </c>
      <c r="AO132" s="33" t="e">
        <f>AA132*1.25/(0.22*SQRT(INDEX('Dados - Inversores'!AK:AK,MATCH('1'!AL132,'Dados - Inversores'!C:C,0))))</f>
        <v>#N/A</v>
      </c>
      <c r="AP132" s="34">
        <f>INDEX(Dados!$E$2:$E$33,COUNTIF(Dados!$E$2:$E$33,"&lt;="&amp;AN132*1.25/(INDEX('Dados - Inversores'!AL:AL,MATCH('1'!AL132,'Dados - Inversores'!C:C,0))*SQRT(INDEX('Dados - Inversores'!AK:AK,MATCH('1'!AL132,'Dados - Inversores'!C:C,0)))))+1)</f>
        <v>2</v>
      </c>
      <c r="AQ132" s="33" t="s">
        <v>59</v>
      </c>
      <c r="AR132" s="33" t="str">
        <f t="shared" si="16"/>
        <v>Micro</v>
      </c>
      <c r="AS132" s="33">
        <f>'Dados - Cliente'!AH132</f>
        <v>0</v>
      </c>
      <c r="AT132" s="33">
        <f>'Dados - Cliente'!AI132</f>
        <v>0</v>
      </c>
      <c r="AU132" s="33" t="e">
        <f>INDEX('Dados - Placas'!$N:$N,MATCH('1'!AG132,'Dados - Placas'!$D:$D,0))-1</f>
        <v>#N/A</v>
      </c>
      <c r="AV132" s="33" t="e">
        <f>INDEX('Dados - Placas'!$O:$O,MATCH('1'!AG132,'Dados - Placas'!$D:$D,0))</f>
        <v>#N/A</v>
      </c>
      <c r="AW132" s="33" t="e">
        <f>INDEX('Dados - Inversores'!AM:AM,MATCH('1'!AL132,'Dados - Inversores'!$C:$C,0))-1</f>
        <v>#N/A</v>
      </c>
      <c r="AX132" s="33" t="e">
        <f>INDEX('Dados - Inversores'!AN:AN,MATCH('1'!AL132,'Dados - Inversores'!$C:$C,0))-1</f>
        <v>#N/A</v>
      </c>
      <c r="AY132" s="33" t="e">
        <f>MATCH('1'!H132,Dados!$D$89:$D$167,0)+1</f>
        <v>#N/A</v>
      </c>
      <c r="AZ132" s="33" t="e">
        <f>MATCH('1'!N132,'Dados - Solicitação de acesso'!$N$2:$N$8,0)</f>
        <v>#N/A</v>
      </c>
      <c r="BA132" s="33" t="e">
        <f>MATCH('1'!T132,'Dados - Solicitação de acesso'!$T$2:$T$20,0)</f>
        <v>#N/A</v>
      </c>
      <c r="BB132" s="34"/>
      <c r="BC132" s="33">
        <f>MATCH(AT132,'Dados - Solicitação de acesso'!$AT$2:$AT$28,0)</f>
        <v>1</v>
      </c>
      <c r="BD132" s="33" t="b">
        <f>IF(O132="TRIFASICO",INDEX(Dados!G:G,MATCH('1'!AP132,Dados!E:E,0)),IF(O132="BIFASICO",INDEX(Dados!F:F,MATCH('1'!AP132,Dados!E:E,0),)))</f>
        <v>0</v>
      </c>
      <c r="BE132" s="33">
        <f>'Dados - Cliente'!J132</f>
        <v>0</v>
      </c>
      <c r="BF132" s="34">
        <f>INDEX(Dados!$E$2:$E$33,COUNTIF(Dados!$E$2:$E$33,"&lt;="&amp;AN132*1.25*AK132/(0.22*SQRT(INDEX('Dados - Inversores'!AK:AK,MATCH('1'!AL132,'Dados - Inversores'!C:C,0)))))+1)</f>
        <v>2</v>
      </c>
      <c r="BG132" s="34" t="b">
        <f>IF(O132="TRIFASICO",INDEX(Dados!G:G,MATCH(BF132,Dados!E:E,0)),IF(O132="BIFASICO",INDEX(Dados!F:F,MATCH(BF132,Dados!E:E,0),)))</f>
        <v>0</v>
      </c>
    </row>
    <row r="133" spans="1:59" s="33" customFormat="1" x14ac:dyDescent="0.35">
      <c r="A133" s="33">
        <f>'Dados - Cliente'!A133</f>
        <v>0</v>
      </c>
      <c r="B133" s="33">
        <f>'Dados - Cliente'!B133</f>
        <v>0</v>
      </c>
      <c r="C133" s="33">
        <f>'Dados - Cliente'!C133</f>
        <v>0</v>
      </c>
      <c r="D133" s="33">
        <f>'Dados - Cliente'!D133</f>
        <v>0</v>
      </c>
      <c r="E133" s="33">
        <f>'Dados - Cliente'!E133</f>
        <v>0</v>
      </c>
      <c r="F133" s="33">
        <f>'Dados - Cliente'!F133</f>
        <v>0</v>
      </c>
      <c r="G133" s="33">
        <f>'Dados - Cliente'!G133</f>
        <v>0</v>
      </c>
      <c r="H133" s="33">
        <f>'Dados - Cliente'!H133</f>
        <v>0</v>
      </c>
      <c r="I133" s="75" t="s">
        <v>4313</v>
      </c>
      <c r="J133" s="52" t="s">
        <v>4314</v>
      </c>
      <c r="K133" s="52" t="s">
        <v>4314</v>
      </c>
      <c r="L133" s="33">
        <f>'Dados - Cliente'!I133</f>
        <v>0</v>
      </c>
      <c r="M133" s="33">
        <f>'Dados - Cliente'!K133</f>
        <v>0</v>
      </c>
      <c r="N133" s="33">
        <f>'Dados - Cliente'!L133</f>
        <v>0</v>
      </c>
      <c r="O133" s="33">
        <f>'Dados - Cliente'!M133</f>
        <v>0</v>
      </c>
      <c r="P133" s="33">
        <f>'Dados - Cliente'!N133</f>
        <v>0</v>
      </c>
      <c r="Q133" s="33">
        <f>'Dados - Cliente'!O133</f>
        <v>0</v>
      </c>
      <c r="R133" s="33">
        <f>'Dados - Cliente'!P133</f>
        <v>0</v>
      </c>
      <c r="S133" s="33">
        <f>'Dados - Cliente'!Q133</f>
        <v>0</v>
      </c>
      <c r="T133" s="33">
        <f>'Dados - Cliente'!R133</f>
        <v>0</v>
      </c>
      <c r="U133" s="34">
        <f>'Dados - Cliente'!S133</f>
        <v>0</v>
      </c>
      <c r="V133" s="34">
        <f>'Dados - Cliente'!T133</f>
        <v>0</v>
      </c>
      <c r="W133" s="34">
        <f>'Dados - Cliente'!U133</f>
        <v>0</v>
      </c>
      <c r="X133" s="34">
        <f>'Dados - Cliente'!V133</f>
        <v>0</v>
      </c>
      <c r="Y133" s="34">
        <f>'Dados - Cliente'!W133</f>
        <v>0</v>
      </c>
      <c r="Z133" s="34">
        <f>'Dados - Cliente'!X133</f>
        <v>0</v>
      </c>
      <c r="AA133" s="33" t="e">
        <f t="shared" si="15"/>
        <v>#N/A</v>
      </c>
      <c r="AB133" s="33">
        <f>'Dados - Cliente'!Y133</f>
        <v>0</v>
      </c>
      <c r="AC133" s="33">
        <f>'Dados - Cliente'!Z133</f>
        <v>0</v>
      </c>
      <c r="AD133" s="33">
        <f>'Dados - Cliente'!AA133</f>
        <v>0</v>
      </c>
      <c r="AE133" s="33">
        <f>'Dados - Cliente'!AB133</f>
        <v>0</v>
      </c>
      <c r="AF133" s="33">
        <f>'Dados - Cliente'!AC133</f>
        <v>0</v>
      </c>
      <c r="AG133" s="35">
        <f>'Dados - Cliente'!AD133</f>
        <v>0</v>
      </c>
      <c r="AH133" s="33" t="e">
        <f>INDEX('Dados - Placas'!$A:$A,MATCH('1'!AG133,'Dados - Placas'!$D:$D,0))</f>
        <v>#N/A</v>
      </c>
      <c r="AI133" s="35" t="e">
        <f>INDEX('Dados - Placas'!$E:$E,MATCH('1'!AG133,'Dados - Placas'!$D:$D,0))</f>
        <v>#N/A</v>
      </c>
      <c r="AJ133" s="34" t="e">
        <f>INDEX('Dados - Placas'!$F:$F,MATCH('1'!AG133,'Dados - Placas'!$D:$D,0))*AF133</f>
        <v>#N/A</v>
      </c>
      <c r="AK133" s="33">
        <f>'Dados - Cliente'!AE133</f>
        <v>0</v>
      </c>
      <c r="AL133" s="33">
        <f>'Dados - Cliente'!AF133</f>
        <v>0</v>
      </c>
      <c r="AM133" s="36" t="e">
        <f>INDEX('Dados - Inversores'!$A:$A,MATCH('1'!AL133,'Dados - Inversores'!$C:$C,0))</f>
        <v>#N/A</v>
      </c>
      <c r="AN133" s="33">
        <f>'Dados - Cliente'!AG133</f>
        <v>0</v>
      </c>
      <c r="AO133" s="33" t="e">
        <f>AA133*1.25/(0.22*SQRT(INDEX('Dados - Inversores'!AK:AK,MATCH('1'!AL133,'Dados - Inversores'!C:C,0))))</f>
        <v>#N/A</v>
      </c>
      <c r="AP133" s="34">
        <f>INDEX(Dados!$E$2:$E$33,COUNTIF(Dados!$E$2:$E$33,"&lt;="&amp;AN133*1.25/(INDEX('Dados - Inversores'!AL:AL,MATCH('1'!AL133,'Dados - Inversores'!C:C,0))*SQRT(INDEX('Dados - Inversores'!AK:AK,MATCH('1'!AL133,'Dados - Inversores'!C:C,0)))))+1)</f>
        <v>2</v>
      </c>
      <c r="AQ133" s="33" t="s">
        <v>59</v>
      </c>
      <c r="AR133" s="33" t="str">
        <f t="shared" si="16"/>
        <v>Micro</v>
      </c>
      <c r="AS133" s="33">
        <f>'Dados - Cliente'!AH133</f>
        <v>0</v>
      </c>
      <c r="AT133" s="33">
        <f>'Dados - Cliente'!AI133</f>
        <v>0</v>
      </c>
      <c r="AU133" s="33" t="e">
        <f>INDEX('Dados - Placas'!$N:$N,MATCH('1'!AG133,'Dados - Placas'!$D:$D,0))-1</f>
        <v>#N/A</v>
      </c>
      <c r="AV133" s="33" t="e">
        <f>INDEX('Dados - Placas'!$O:$O,MATCH('1'!AG133,'Dados - Placas'!$D:$D,0))</f>
        <v>#N/A</v>
      </c>
      <c r="AW133" s="33" t="e">
        <f>INDEX('Dados - Inversores'!AM:AM,MATCH('1'!AL133,'Dados - Inversores'!$C:$C,0))-1</f>
        <v>#N/A</v>
      </c>
      <c r="AX133" s="33" t="e">
        <f>INDEX('Dados - Inversores'!AN:AN,MATCH('1'!AL133,'Dados - Inversores'!$C:$C,0))-1</f>
        <v>#N/A</v>
      </c>
      <c r="AY133" s="33" t="e">
        <f>MATCH('1'!H133,Dados!$D$89:$D$167,0)+1</f>
        <v>#N/A</v>
      </c>
      <c r="AZ133" s="33" t="e">
        <f>MATCH('1'!N133,'Dados - Solicitação de acesso'!$N$2:$N$8,0)</f>
        <v>#N/A</v>
      </c>
      <c r="BA133" s="33" t="e">
        <f>MATCH('1'!T133,'Dados - Solicitação de acesso'!$T$2:$T$20,0)</f>
        <v>#N/A</v>
      </c>
      <c r="BB133" s="34"/>
      <c r="BC133" s="33">
        <f>MATCH(AT133,'Dados - Solicitação de acesso'!$AT$2:$AT$28,0)</f>
        <v>1</v>
      </c>
      <c r="BD133" s="33" t="b">
        <f>IF(O133="TRIFASICO",INDEX(Dados!G:G,MATCH('1'!AP133,Dados!E:E,0)),IF(O133="BIFASICO",INDEX(Dados!F:F,MATCH('1'!AP133,Dados!E:E,0),)))</f>
        <v>0</v>
      </c>
      <c r="BE133" s="33">
        <f>'Dados - Cliente'!J133</f>
        <v>0</v>
      </c>
      <c r="BF133" s="34">
        <f>INDEX(Dados!$E$2:$E$33,COUNTIF(Dados!$E$2:$E$33,"&lt;="&amp;AN133*1.25*AK133/(0.22*SQRT(INDEX('Dados - Inversores'!AK:AK,MATCH('1'!AL133,'Dados - Inversores'!C:C,0)))))+1)</f>
        <v>2</v>
      </c>
      <c r="BG133" s="34" t="b">
        <f>IF(O133="TRIFASICO",INDEX(Dados!G:G,MATCH(BF133,Dados!E:E,0)),IF(O133="BIFASICO",INDEX(Dados!F:F,MATCH(BF133,Dados!E:E,0),)))</f>
        <v>0</v>
      </c>
    </row>
    <row r="134" spans="1:59" s="33" customFormat="1" x14ac:dyDescent="0.35">
      <c r="A134" s="33">
        <f>'Dados - Cliente'!A134</f>
        <v>0</v>
      </c>
      <c r="B134" s="33">
        <f>'Dados - Cliente'!B134</f>
        <v>0</v>
      </c>
      <c r="C134" s="33">
        <f>'Dados - Cliente'!C134</f>
        <v>0</v>
      </c>
      <c r="D134" s="33">
        <f>'Dados - Cliente'!D134</f>
        <v>0</v>
      </c>
      <c r="E134" s="33">
        <f>'Dados - Cliente'!E134</f>
        <v>0</v>
      </c>
      <c r="F134" s="33">
        <f>'Dados - Cliente'!F134</f>
        <v>0</v>
      </c>
      <c r="G134" s="33">
        <f>'Dados - Cliente'!G134</f>
        <v>0</v>
      </c>
      <c r="H134" s="33">
        <f>'Dados - Cliente'!H134</f>
        <v>0</v>
      </c>
      <c r="I134" s="75" t="s">
        <v>4313</v>
      </c>
      <c r="J134" s="52" t="s">
        <v>4314</v>
      </c>
      <c r="K134" s="52" t="s">
        <v>4314</v>
      </c>
      <c r="L134" s="33">
        <f>'Dados - Cliente'!I134</f>
        <v>0</v>
      </c>
      <c r="M134" s="33">
        <f>'Dados - Cliente'!K134</f>
        <v>0</v>
      </c>
      <c r="N134" s="33">
        <f>'Dados - Cliente'!L134</f>
        <v>0</v>
      </c>
      <c r="O134" s="33">
        <f>'Dados - Cliente'!M134</f>
        <v>0</v>
      </c>
      <c r="P134" s="33">
        <f>'Dados - Cliente'!N134</f>
        <v>0</v>
      </c>
      <c r="Q134" s="33">
        <f>'Dados - Cliente'!O134</f>
        <v>0</v>
      </c>
      <c r="R134" s="33">
        <f>'Dados - Cliente'!P134</f>
        <v>0</v>
      </c>
      <c r="S134" s="33">
        <f>'Dados - Cliente'!Q134</f>
        <v>0</v>
      </c>
      <c r="T134" s="33">
        <f>'Dados - Cliente'!R134</f>
        <v>0</v>
      </c>
      <c r="U134" s="34">
        <f>'Dados - Cliente'!S134</f>
        <v>0</v>
      </c>
      <c r="V134" s="34">
        <f>'Dados - Cliente'!T134</f>
        <v>0</v>
      </c>
      <c r="W134" s="34">
        <f>'Dados - Cliente'!U134</f>
        <v>0</v>
      </c>
      <c r="X134" s="34">
        <f>'Dados - Cliente'!V134</f>
        <v>0</v>
      </c>
      <c r="Y134" s="34">
        <f>'Dados - Cliente'!W134</f>
        <v>0</v>
      </c>
      <c r="Z134" s="34">
        <f>'Dados - Cliente'!X134</f>
        <v>0</v>
      </c>
      <c r="AA134" s="33" t="e">
        <f t="shared" si="15"/>
        <v>#N/A</v>
      </c>
      <c r="AB134" s="33">
        <f>'Dados - Cliente'!Y134</f>
        <v>0</v>
      </c>
      <c r="AC134" s="33">
        <f>'Dados - Cliente'!Z134</f>
        <v>0</v>
      </c>
      <c r="AD134" s="33">
        <f>'Dados - Cliente'!AA134</f>
        <v>0</v>
      </c>
      <c r="AE134" s="33">
        <f>'Dados - Cliente'!AB134</f>
        <v>0</v>
      </c>
      <c r="AF134" s="33">
        <f>'Dados - Cliente'!AC134</f>
        <v>0</v>
      </c>
      <c r="AG134" s="35">
        <f>'Dados - Cliente'!AD134</f>
        <v>0</v>
      </c>
      <c r="AH134" s="33" t="e">
        <f>INDEX('Dados - Placas'!$A:$A,MATCH('1'!AG134,'Dados - Placas'!$D:$D,0))</f>
        <v>#N/A</v>
      </c>
      <c r="AI134" s="35" t="e">
        <f>INDEX('Dados - Placas'!$E:$E,MATCH('1'!AG134,'Dados - Placas'!$D:$D,0))</f>
        <v>#N/A</v>
      </c>
      <c r="AJ134" s="34" t="e">
        <f>INDEX('Dados - Placas'!$F:$F,MATCH('1'!AG134,'Dados - Placas'!$D:$D,0))*AF134</f>
        <v>#N/A</v>
      </c>
      <c r="AK134" s="33">
        <f>'Dados - Cliente'!AE134</f>
        <v>0</v>
      </c>
      <c r="AL134" s="33">
        <f>'Dados - Cliente'!AF134</f>
        <v>0</v>
      </c>
      <c r="AM134" s="36" t="e">
        <f>INDEX('Dados - Inversores'!$A:$A,MATCH('1'!AL134,'Dados - Inversores'!$C:$C,0))</f>
        <v>#N/A</v>
      </c>
      <c r="AN134" s="33">
        <f>'Dados - Cliente'!AG134</f>
        <v>0</v>
      </c>
      <c r="AO134" s="33" t="e">
        <f>AA134*1.25/(0.22*SQRT(INDEX('Dados - Inversores'!AK:AK,MATCH('1'!AL134,'Dados - Inversores'!C:C,0))))</f>
        <v>#N/A</v>
      </c>
      <c r="AP134" s="34">
        <f>INDEX(Dados!$E$2:$E$33,COUNTIF(Dados!$E$2:$E$33,"&lt;="&amp;AN134*1.25/(INDEX('Dados - Inversores'!AL:AL,MATCH('1'!AL134,'Dados - Inversores'!C:C,0))*SQRT(INDEX('Dados - Inversores'!AK:AK,MATCH('1'!AL134,'Dados - Inversores'!C:C,0)))))+1)</f>
        <v>2</v>
      </c>
      <c r="AQ134" s="33" t="s">
        <v>59</v>
      </c>
      <c r="AR134" s="33" t="str">
        <f t="shared" si="16"/>
        <v>Micro</v>
      </c>
      <c r="AS134" s="33">
        <f>'Dados - Cliente'!AH134</f>
        <v>0</v>
      </c>
      <c r="AT134" s="33">
        <f>'Dados - Cliente'!AI134</f>
        <v>0</v>
      </c>
      <c r="AU134" s="33" t="e">
        <f>INDEX('Dados - Placas'!$N:$N,MATCH('1'!AG134,'Dados - Placas'!$D:$D,0))-1</f>
        <v>#N/A</v>
      </c>
      <c r="AV134" s="33" t="e">
        <f>INDEX('Dados - Placas'!$O:$O,MATCH('1'!AG134,'Dados - Placas'!$D:$D,0))</f>
        <v>#N/A</v>
      </c>
      <c r="AW134" s="33" t="e">
        <f>INDEX('Dados - Inversores'!AM:AM,MATCH('1'!AL134,'Dados - Inversores'!$C:$C,0))-1</f>
        <v>#N/A</v>
      </c>
      <c r="AX134" s="33" t="e">
        <f>INDEX('Dados - Inversores'!AN:AN,MATCH('1'!AL134,'Dados - Inversores'!$C:$C,0))-1</f>
        <v>#N/A</v>
      </c>
      <c r="AY134" s="33" t="e">
        <f>MATCH('1'!H134,Dados!$D$89:$D$167,0)+1</f>
        <v>#N/A</v>
      </c>
      <c r="AZ134" s="33" t="e">
        <f>MATCH('1'!N134,'Dados - Solicitação de acesso'!$N$2:$N$8,0)</f>
        <v>#N/A</v>
      </c>
      <c r="BA134" s="33" t="e">
        <f>MATCH('1'!T134,'Dados - Solicitação de acesso'!$T$2:$T$20,0)</f>
        <v>#N/A</v>
      </c>
      <c r="BB134" s="34"/>
      <c r="BC134" s="33">
        <f>MATCH(AT134,'Dados - Solicitação de acesso'!$AT$2:$AT$28,0)</f>
        <v>1</v>
      </c>
      <c r="BD134" s="33" t="b">
        <f>IF(O134="TRIFASICO",INDEX(Dados!G:G,MATCH('1'!AP134,Dados!E:E,0)),IF(O134="BIFASICO",INDEX(Dados!F:F,MATCH('1'!AP134,Dados!E:E,0),)))</f>
        <v>0</v>
      </c>
      <c r="BE134" s="33">
        <f>'Dados - Cliente'!J134</f>
        <v>0</v>
      </c>
      <c r="BF134" s="34">
        <f>INDEX(Dados!$E$2:$E$33,COUNTIF(Dados!$E$2:$E$33,"&lt;="&amp;AN134*1.25*AK134/(0.22*SQRT(INDEX('Dados - Inversores'!AK:AK,MATCH('1'!AL134,'Dados - Inversores'!C:C,0)))))+1)</f>
        <v>2</v>
      </c>
      <c r="BG134" s="34" t="b">
        <f>IF(O134="TRIFASICO",INDEX(Dados!G:G,MATCH(BF134,Dados!E:E,0)),IF(O134="BIFASICO",INDEX(Dados!F:F,MATCH(BF134,Dados!E:E,0),)))</f>
        <v>0</v>
      </c>
    </row>
    <row r="135" spans="1:59" s="33" customFormat="1" x14ac:dyDescent="0.35">
      <c r="A135" s="33">
        <f>'Dados - Cliente'!A135</f>
        <v>0</v>
      </c>
      <c r="B135" s="33">
        <f>'Dados - Cliente'!B135</f>
        <v>0</v>
      </c>
      <c r="C135" s="33">
        <f>'Dados - Cliente'!C135</f>
        <v>0</v>
      </c>
      <c r="D135" s="33">
        <f>'Dados - Cliente'!D135</f>
        <v>0</v>
      </c>
      <c r="E135" s="33">
        <f>'Dados - Cliente'!E135</f>
        <v>0</v>
      </c>
      <c r="F135" s="33">
        <f>'Dados - Cliente'!F135</f>
        <v>0</v>
      </c>
      <c r="G135" s="33">
        <f>'Dados - Cliente'!G135</f>
        <v>0</v>
      </c>
      <c r="H135" s="33">
        <f>'Dados - Cliente'!H135</f>
        <v>0</v>
      </c>
      <c r="I135" s="75" t="s">
        <v>4313</v>
      </c>
      <c r="J135" s="52" t="s">
        <v>4314</v>
      </c>
      <c r="K135" s="52" t="s">
        <v>4314</v>
      </c>
      <c r="L135" s="33">
        <f>'Dados - Cliente'!I135</f>
        <v>0</v>
      </c>
      <c r="M135" s="33">
        <f>'Dados - Cliente'!K135</f>
        <v>0</v>
      </c>
      <c r="N135" s="33">
        <f>'Dados - Cliente'!L135</f>
        <v>0</v>
      </c>
      <c r="O135" s="33">
        <f>'Dados - Cliente'!M135</f>
        <v>0</v>
      </c>
      <c r="P135" s="33">
        <f>'Dados - Cliente'!N135</f>
        <v>0</v>
      </c>
      <c r="Q135" s="33">
        <f>'Dados - Cliente'!O135</f>
        <v>0</v>
      </c>
      <c r="R135" s="33">
        <f>'Dados - Cliente'!P135</f>
        <v>0</v>
      </c>
      <c r="S135" s="33">
        <f>'Dados - Cliente'!Q135</f>
        <v>0</v>
      </c>
      <c r="T135" s="33">
        <f>'Dados - Cliente'!R135</f>
        <v>0</v>
      </c>
      <c r="U135" s="34">
        <f>'Dados - Cliente'!S135</f>
        <v>0</v>
      </c>
      <c r="V135" s="34">
        <f>'Dados - Cliente'!T135</f>
        <v>0</v>
      </c>
      <c r="W135" s="34">
        <f>'Dados - Cliente'!U135</f>
        <v>0</v>
      </c>
      <c r="X135" s="34">
        <f>'Dados - Cliente'!V135</f>
        <v>0</v>
      </c>
      <c r="Y135" s="34">
        <f>'Dados - Cliente'!W135</f>
        <v>0</v>
      </c>
      <c r="Z135" s="34">
        <f>'Dados - Cliente'!X135</f>
        <v>0</v>
      </c>
      <c r="AA135" s="33" t="e">
        <f t="shared" si="15"/>
        <v>#N/A</v>
      </c>
      <c r="AB135" s="33">
        <f>'Dados - Cliente'!Y135</f>
        <v>0</v>
      </c>
      <c r="AC135" s="33">
        <f>'Dados - Cliente'!Z135</f>
        <v>0</v>
      </c>
      <c r="AD135" s="33">
        <f>'Dados - Cliente'!AA135</f>
        <v>0</v>
      </c>
      <c r="AE135" s="33">
        <f>'Dados - Cliente'!AB135</f>
        <v>0</v>
      </c>
      <c r="AF135" s="33">
        <f>'Dados - Cliente'!AC135</f>
        <v>0</v>
      </c>
      <c r="AG135" s="35">
        <f>'Dados - Cliente'!AD135</f>
        <v>0</v>
      </c>
      <c r="AH135" s="33" t="e">
        <f>INDEX('Dados - Placas'!$A:$A,MATCH('1'!AG135,'Dados - Placas'!$D:$D,0))</f>
        <v>#N/A</v>
      </c>
      <c r="AI135" s="35" t="e">
        <f>INDEX('Dados - Placas'!$E:$E,MATCH('1'!AG135,'Dados - Placas'!$D:$D,0))</f>
        <v>#N/A</v>
      </c>
      <c r="AJ135" s="34" t="e">
        <f>INDEX('Dados - Placas'!$F:$F,MATCH('1'!AG135,'Dados - Placas'!$D:$D,0))*AF135</f>
        <v>#N/A</v>
      </c>
      <c r="AK135" s="33">
        <f>'Dados - Cliente'!AE135</f>
        <v>0</v>
      </c>
      <c r="AL135" s="33">
        <f>'Dados - Cliente'!AF135</f>
        <v>0</v>
      </c>
      <c r="AM135" s="36" t="e">
        <f>INDEX('Dados - Inversores'!$A:$A,MATCH('1'!AL135,'Dados - Inversores'!$C:$C,0))</f>
        <v>#N/A</v>
      </c>
      <c r="AN135" s="33">
        <f>'Dados - Cliente'!AG135</f>
        <v>0</v>
      </c>
      <c r="AO135" s="33" t="e">
        <f>AA135*1.25/(0.22*SQRT(INDEX('Dados - Inversores'!AK:AK,MATCH('1'!AL135,'Dados - Inversores'!C:C,0))))</f>
        <v>#N/A</v>
      </c>
      <c r="AP135" s="34">
        <f>INDEX(Dados!$E$2:$E$33,COUNTIF(Dados!$E$2:$E$33,"&lt;="&amp;AN135*1.25/(INDEX('Dados - Inversores'!AL:AL,MATCH('1'!AL135,'Dados - Inversores'!C:C,0))*SQRT(INDEX('Dados - Inversores'!AK:AK,MATCH('1'!AL135,'Dados - Inversores'!C:C,0)))))+1)</f>
        <v>2</v>
      </c>
      <c r="AQ135" s="33" t="s">
        <v>59</v>
      </c>
      <c r="AR135" s="33" t="str">
        <f t="shared" si="16"/>
        <v>Micro</v>
      </c>
      <c r="AS135" s="33">
        <f>'Dados - Cliente'!AH135</f>
        <v>0</v>
      </c>
      <c r="AT135" s="33">
        <f>'Dados - Cliente'!AI135</f>
        <v>0</v>
      </c>
      <c r="AU135" s="33" t="e">
        <f>INDEX('Dados - Placas'!$N:$N,MATCH('1'!AG135,'Dados - Placas'!$D:$D,0))-1</f>
        <v>#N/A</v>
      </c>
      <c r="AV135" s="33" t="e">
        <f>INDEX('Dados - Placas'!$O:$O,MATCH('1'!AG135,'Dados - Placas'!$D:$D,0))</f>
        <v>#N/A</v>
      </c>
      <c r="AW135" s="33" t="e">
        <f>INDEX('Dados - Inversores'!AM:AM,MATCH('1'!AL135,'Dados - Inversores'!$C:$C,0))-1</f>
        <v>#N/A</v>
      </c>
      <c r="AX135" s="33" t="e">
        <f>INDEX('Dados - Inversores'!AN:AN,MATCH('1'!AL135,'Dados - Inversores'!$C:$C,0))-1</f>
        <v>#N/A</v>
      </c>
      <c r="AY135" s="33" t="e">
        <f>MATCH('1'!H135,Dados!$D$89:$D$167,0)+1</f>
        <v>#N/A</v>
      </c>
      <c r="AZ135" s="33" t="e">
        <f>MATCH('1'!N135,'Dados - Solicitação de acesso'!$N$2:$N$8,0)</f>
        <v>#N/A</v>
      </c>
      <c r="BA135" s="33" t="e">
        <f>MATCH('1'!T135,'Dados - Solicitação de acesso'!$T$2:$T$20,0)</f>
        <v>#N/A</v>
      </c>
      <c r="BB135" s="34"/>
      <c r="BC135" s="33">
        <f>MATCH(AT135,'Dados - Solicitação de acesso'!$AT$2:$AT$28,0)</f>
        <v>1</v>
      </c>
      <c r="BD135" s="33" t="b">
        <f>IF(O135="TRIFASICO",INDEX(Dados!G:G,MATCH('1'!AP135,Dados!E:E,0)),IF(O135="BIFASICO",INDEX(Dados!F:F,MATCH('1'!AP135,Dados!E:E,0),)))</f>
        <v>0</v>
      </c>
      <c r="BE135" s="33">
        <f>'Dados - Cliente'!J135</f>
        <v>0</v>
      </c>
      <c r="BF135" s="34">
        <f>INDEX(Dados!$E$2:$E$33,COUNTIF(Dados!$E$2:$E$33,"&lt;="&amp;AN135*1.25*AK135/(0.22*SQRT(INDEX('Dados - Inversores'!AK:AK,MATCH('1'!AL135,'Dados - Inversores'!C:C,0)))))+1)</f>
        <v>2</v>
      </c>
      <c r="BG135" s="34" t="b">
        <f>IF(O135="TRIFASICO",INDEX(Dados!G:G,MATCH(BF135,Dados!E:E,0)),IF(O135="BIFASICO",INDEX(Dados!F:F,MATCH(BF135,Dados!E:E,0),)))</f>
        <v>0</v>
      </c>
    </row>
    <row r="136" spans="1:59" s="33" customFormat="1" x14ac:dyDescent="0.35">
      <c r="A136" s="33">
        <f>'Dados - Cliente'!A136</f>
        <v>0</v>
      </c>
      <c r="B136" s="33">
        <f>'Dados - Cliente'!B136</f>
        <v>0</v>
      </c>
      <c r="C136" s="33">
        <f>'Dados - Cliente'!C136</f>
        <v>0</v>
      </c>
      <c r="D136" s="33">
        <f>'Dados - Cliente'!D136</f>
        <v>0</v>
      </c>
      <c r="E136" s="33">
        <f>'Dados - Cliente'!E136</f>
        <v>0</v>
      </c>
      <c r="F136" s="33">
        <f>'Dados - Cliente'!F136</f>
        <v>0</v>
      </c>
      <c r="G136" s="33">
        <f>'Dados - Cliente'!G136</f>
        <v>0</v>
      </c>
      <c r="H136" s="33">
        <f>'Dados - Cliente'!H136</f>
        <v>0</v>
      </c>
      <c r="I136" s="75" t="s">
        <v>4313</v>
      </c>
      <c r="J136" s="52" t="s">
        <v>4314</v>
      </c>
      <c r="K136" s="52" t="s">
        <v>4314</v>
      </c>
      <c r="L136" s="33">
        <f>'Dados - Cliente'!I136</f>
        <v>0</v>
      </c>
      <c r="M136" s="33">
        <f>'Dados - Cliente'!K136</f>
        <v>0</v>
      </c>
      <c r="N136" s="33">
        <f>'Dados - Cliente'!L136</f>
        <v>0</v>
      </c>
      <c r="O136" s="33">
        <f>'Dados - Cliente'!M136</f>
        <v>0</v>
      </c>
      <c r="P136" s="33">
        <f>'Dados - Cliente'!N136</f>
        <v>0</v>
      </c>
      <c r="Q136" s="33">
        <f>'Dados - Cliente'!O136</f>
        <v>0</v>
      </c>
      <c r="R136" s="33">
        <f>'Dados - Cliente'!P136</f>
        <v>0</v>
      </c>
      <c r="S136" s="33">
        <f>'Dados - Cliente'!Q136</f>
        <v>0</v>
      </c>
      <c r="T136" s="33">
        <f>'Dados - Cliente'!R136</f>
        <v>0</v>
      </c>
      <c r="U136" s="34">
        <f>'Dados - Cliente'!S136</f>
        <v>0</v>
      </c>
      <c r="V136" s="34">
        <f>'Dados - Cliente'!T136</f>
        <v>0</v>
      </c>
      <c r="W136" s="34">
        <f>'Dados - Cliente'!U136</f>
        <v>0</v>
      </c>
      <c r="X136" s="34">
        <f>'Dados - Cliente'!V136</f>
        <v>0</v>
      </c>
      <c r="Y136" s="34">
        <f>'Dados - Cliente'!W136</f>
        <v>0</v>
      </c>
      <c r="Z136" s="34">
        <f>'Dados - Cliente'!X136</f>
        <v>0</v>
      </c>
      <c r="AA136" s="33" t="e">
        <f t="shared" si="15"/>
        <v>#N/A</v>
      </c>
      <c r="AB136" s="33">
        <f>'Dados - Cliente'!Y136</f>
        <v>0</v>
      </c>
      <c r="AC136" s="33">
        <f>'Dados - Cliente'!Z136</f>
        <v>0</v>
      </c>
      <c r="AD136" s="33">
        <f>'Dados - Cliente'!AA136</f>
        <v>0</v>
      </c>
      <c r="AE136" s="33">
        <f>'Dados - Cliente'!AB136</f>
        <v>0</v>
      </c>
      <c r="AF136" s="33">
        <f>'Dados - Cliente'!AC136</f>
        <v>0</v>
      </c>
      <c r="AG136" s="35">
        <f>'Dados - Cliente'!AD136</f>
        <v>0</v>
      </c>
      <c r="AH136" s="33" t="e">
        <f>INDEX('Dados - Placas'!$A:$A,MATCH('1'!AG136,'Dados - Placas'!$D:$D,0))</f>
        <v>#N/A</v>
      </c>
      <c r="AI136" s="35" t="e">
        <f>INDEX('Dados - Placas'!$E:$E,MATCH('1'!AG136,'Dados - Placas'!$D:$D,0))</f>
        <v>#N/A</v>
      </c>
      <c r="AJ136" s="34" t="e">
        <f>INDEX('Dados - Placas'!$F:$F,MATCH('1'!AG136,'Dados - Placas'!$D:$D,0))*AF136</f>
        <v>#N/A</v>
      </c>
      <c r="AK136" s="33">
        <f>'Dados - Cliente'!AE136</f>
        <v>0</v>
      </c>
      <c r="AL136" s="33">
        <f>'Dados - Cliente'!AF136</f>
        <v>0</v>
      </c>
      <c r="AM136" s="36" t="e">
        <f>INDEX('Dados - Inversores'!$A:$A,MATCH('1'!AL136,'Dados - Inversores'!$C:$C,0))</f>
        <v>#N/A</v>
      </c>
      <c r="AN136" s="33">
        <f>'Dados - Cliente'!AG136</f>
        <v>0</v>
      </c>
      <c r="AO136" s="33" t="e">
        <f>AA136*1.25/(0.22*SQRT(INDEX('Dados - Inversores'!AK:AK,MATCH('1'!AL136,'Dados - Inversores'!C:C,0))))</f>
        <v>#N/A</v>
      </c>
      <c r="AP136" s="34">
        <f>INDEX(Dados!$E$2:$E$33,COUNTIF(Dados!$E$2:$E$33,"&lt;="&amp;AN136*1.25/(INDEX('Dados - Inversores'!AL:AL,MATCH('1'!AL136,'Dados - Inversores'!C:C,0))*SQRT(INDEX('Dados - Inversores'!AK:AK,MATCH('1'!AL136,'Dados - Inversores'!C:C,0)))))+1)</f>
        <v>2</v>
      </c>
      <c r="AQ136" s="33" t="s">
        <v>59</v>
      </c>
      <c r="AR136" s="33" t="str">
        <f t="shared" si="16"/>
        <v>Micro</v>
      </c>
      <c r="AS136" s="33">
        <f>'Dados - Cliente'!AH136</f>
        <v>0</v>
      </c>
      <c r="AT136" s="33">
        <f>'Dados - Cliente'!AI136</f>
        <v>0</v>
      </c>
      <c r="AU136" s="33" t="e">
        <f>INDEX('Dados - Placas'!$N:$N,MATCH('1'!AG136,'Dados - Placas'!$D:$D,0))-1</f>
        <v>#N/A</v>
      </c>
      <c r="AV136" s="33" t="e">
        <f>INDEX('Dados - Placas'!$O:$O,MATCH('1'!AG136,'Dados - Placas'!$D:$D,0))</f>
        <v>#N/A</v>
      </c>
      <c r="AW136" s="33" t="e">
        <f>INDEX('Dados - Inversores'!AM:AM,MATCH('1'!AL136,'Dados - Inversores'!$C:$C,0))-1</f>
        <v>#N/A</v>
      </c>
      <c r="AX136" s="33" t="e">
        <f>INDEX('Dados - Inversores'!AN:AN,MATCH('1'!AL136,'Dados - Inversores'!$C:$C,0))-1</f>
        <v>#N/A</v>
      </c>
      <c r="AY136" s="33" t="e">
        <f>MATCH('1'!H136,Dados!$D$89:$D$167,0)+1</f>
        <v>#N/A</v>
      </c>
      <c r="AZ136" s="33" t="e">
        <f>MATCH('1'!N136,'Dados - Solicitação de acesso'!$N$2:$N$8,0)</f>
        <v>#N/A</v>
      </c>
      <c r="BA136" s="33" t="e">
        <f>MATCH('1'!T136,'Dados - Solicitação de acesso'!$T$2:$T$20,0)</f>
        <v>#N/A</v>
      </c>
      <c r="BB136" s="34"/>
      <c r="BC136" s="33">
        <f>MATCH(AT136,'Dados - Solicitação de acesso'!$AT$2:$AT$28,0)</f>
        <v>1</v>
      </c>
      <c r="BD136" s="33" t="b">
        <f>IF(O136="TRIFASICO",INDEX(Dados!G:G,MATCH('1'!AP136,Dados!E:E,0)),IF(O136="BIFASICO",INDEX(Dados!F:F,MATCH('1'!AP136,Dados!E:E,0),)))</f>
        <v>0</v>
      </c>
      <c r="BE136" s="33">
        <f>'Dados - Cliente'!J136</f>
        <v>0</v>
      </c>
      <c r="BF136" s="34">
        <f>INDEX(Dados!$E$2:$E$33,COUNTIF(Dados!$E$2:$E$33,"&lt;="&amp;AN136*1.25*AK136/(0.22*SQRT(INDEX('Dados - Inversores'!AK:AK,MATCH('1'!AL136,'Dados - Inversores'!C:C,0)))))+1)</f>
        <v>2</v>
      </c>
      <c r="BG136" s="34" t="b">
        <f>IF(O136="TRIFASICO",INDEX(Dados!G:G,MATCH(BF136,Dados!E:E,0)),IF(O136="BIFASICO",INDEX(Dados!F:F,MATCH(BF136,Dados!E:E,0),)))</f>
        <v>0</v>
      </c>
    </row>
    <row r="137" spans="1:59" s="33" customFormat="1" x14ac:dyDescent="0.35">
      <c r="A137" s="33">
        <f>'Dados - Cliente'!A137</f>
        <v>0</v>
      </c>
      <c r="B137" s="33">
        <f>'Dados - Cliente'!B137</f>
        <v>0</v>
      </c>
      <c r="C137" s="33">
        <f>'Dados - Cliente'!C137</f>
        <v>0</v>
      </c>
      <c r="D137" s="33">
        <f>'Dados - Cliente'!D137</f>
        <v>0</v>
      </c>
      <c r="E137" s="33">
        <f>'Dados - Cliente'!E137</f>
        <v>0</v>
      </c>
      <c r="F137" s="33">
        <f>'Dados - Cliente'!F137</f>
        <v>0</v>
      </c>
      <c r="G137" s="33">
        <f>'Dados - Cliente'!G137</f>
        <v>0</v>
      </c>
      <c r="H137" s="33">
        <f>'Dados - Cliente'!H137</f>
        <v>0</v>
      </c>
      <c r="I137" s="75" t="s">
        <v>4313</v>
      </c>
      <c r="J137" s="52" t="s">
        <v>4314</v>
      </c>
      <c r="K137" s="52" t="s">
        <v>4314</v>
      </c>
      <c r="L137" s="33">
        <f>'Dados - Cliente'!I137</f>
        <v>0</v>
      </c>
      <c r="M137" s="33">
        <f>'Dados - Cliente'!K137</f>
        <v>0</v>
      </c>
      <c r="N137" s="33">
        <f>'Dados - Cliente'!L137</f>
        <v>0</v>
      </c>
      <c r="O137" s="33">
        <f>'Dados - Cliente'!M137</f>
        <v>0</v>
      </c>
      <c r="P137" s="33">
        <f>'Dados - Cliente'!N137</f>
        <v>0</v>
      </c>
      <c r="Q137" s="33">
        <f>'Dados - Cliente'!O137</f>
        <v>0</v>
      </c>
      <c r="R137" s="33">
        <f>'Dados - Cliente'!P137</f>
        <v>0</v>
      </c>
      <c r="S137" s="33">
        <f>'Dados - Cliente'!Q137</f>
        <v>0</v>
      </c>
      <c r="T137" s="33">
        <f>'Dados - Cliente'!R137</f>
        <v>0</v>
      </c>
      <c r="U137" s="34">
        <f>'Dados - Cliente'!S137</f>
        <v>0</v>
      </c>
      <c r="V137" s="34">
        <f>'Dados - Cliente'!T137</f>
        <v>0</v>
      </c>
      <c r="W137" s="34">
        <f>'Dados - Cliente'!U137</f>
        <v>0</v>
      </c>
      <c r="X137" s="34">
        <f>'Dados - Cliente'!V137</f>
        <v>0</v>
      </c>
      <c r="Y137" s="34">
        <f>'Dados - Cliente'!W137</f>
        <v>0</v>
      </c>
      <c r="Z137" s="34">
        <f>'Dados - Cliente'!X137</f>
        <v>0</v>
      </c>
      <c r="AA137" s="33" t="e">
        <f t="shared" si="15"/>
        <v>#N/A</v>
      </c>
      <c r="AB137" s="33">
        <f>'Dados - Cliente'!Y137</f>
        <v>0</v>
      </c>
      <c r="AC137" s="33">
        <f>'Dados - Cliente'!Z137</f>
        <v>0</v>
      </c>
      <c r="AD137" s="33">
        <f>'Dados - Cliente'!AA137</f>
        <v>0</v>
      </c>
      <c r="AE137" s="33">
        <f>'Dados - Cliente'!AB137</f>
        <v>0</v>
      </c>
      <c r="AF137" s="33">
        <f>'Dados - Cliente'!AC137</f>
        <v>0</v>
      </c>
      <c r="AG137" s="35">
        <f>'Dados - Cliente'!AD137</f>
        <v>0</v>
      </c>
      <c r="AH137" s="33" t="e">
        <f>INDEX('Dados - Placas'!$A:$A,MATCH('1'!AG137,'Dados - Placas'!$D:$D,0))</f>
        <v>#N/A</v>
      </c>
      <c r="AI137" s="35" t="e">
        <f>INDEX('Dados - Placas'!$E:$E,MATCH('1'!AG137,'Dados - Placas'!$D:$D,0))</f>
        <v>#N/A</v>
      </c>
      <c r="AJ137" s="34" t="e">
        <f>INDEX('Dados - Placas'!$F:$F,MATCH('1'!AG137,'Dados - Placas'!$D:$D,0))*AF137</f>
        <v>#N/A</v>
      </c>
      <c r="AK137" s="33">
        <f>'Dados - Cliente'!AE137</f>
        <v>0</v>
      </c>
      <c r="AL137" s="33">
        <f>'Dados - Cliente'!AF137</f>
        <v>0</v>
      </c>
      <c r="AM137" s="36" t="e">
        <f>INDEX('Dados - Inversores'!$A:$A,MATCH('1'!AL137,'Dados - Inversores'!$C:$C,0))</f>
        <v>#N/A</v>
      </c>
      <c r="AN137" s="33">
        <f>'Dados - Cliente'!AG137</f>
        <v>0</v>
      </c>
      <c r="AO137" s="33" t="e">
        <f>AA137*1.25/(0.22*SQRT(INDEX('Dados - Inversores'!AK:AK,MATCH('1'!AL137,'Dados - Inversores'!C:C,0))))</f>
        <v>#N/A</v>
      </c>
      <c r="AP137" s="34">
        <f>INDEX(Dados!$E$2:$E$33,COUNTIF(Dados!$E$2:$E$33,"&lt;="&amp;AN137*1.25/(INDEX('Dados - Inversores'!AL:AL,MATCH('1'!AL137,'Dados - Inversores'!C:C,0))*SQRT(INDEX('Dados - Inversores'!AK:AK,MATCH('1'!AL137,'Dados - Inversores'!C:C,0)))))+1)</f>
        <v>2</v>
      </c>
      <c r="AQ137" s="33" t="s">
        <v>59</v>
      </c>
      <c r="AR137" s="33" t="str">
        <f t="shared" si="16"/>
        <v>Micro</v>
      </c>
      <c r="AS137" s="33">
        <f>'Dados - Cliente'!AH137</f>
        <v>0</v>
      </c>
      <c r="AT137" s="33">
        <f>'Dados - Cliente'!AI137</f>
        <v>0</v>
      </c>
      <c r="AU137" s="33" t="e">
        <f>INDEX('Dados - Placas'!$N:$N,MATCH('1'!AG137,'Dados - Placas'!$D:$D,0))-1</f>
        <v>#N/A</v>
      </c>
      <c r="AV137" s="33" t="e">
        <f>INDEX('Dados - Placas'!$O:$O,MATCH('1'!AG137,'Dados - Placas'!$D:$D,0))</f>
        <v>#N/A</v>
      </c>
      <c r="AW137" s="33" t="e">
        <f>INDEX('Dados - Inversores'!AM:AM,MATCH('1'!AL137,'Dados - Inversores'!$C:$C,0))-1</f>
        <v>#N/A</v>
      </c>
      <c r="AX137" s="33" t="e">
        <f>INDEX('Dados - Inversores'!AN:AN,MATCH('1'!AL137,'Dados - Inversores'!$C:$C,0))-1</f>
        <v>#N/A</v>
      </c>
      <c r="AY137" s="33" t="e">
        <f>MATCH('1'!H137,Dados!$D$89:$D$167,0)+1</f>
        <v>#N/A</v>
      </c>
      <c r="AZ137" s="33" t="e">
        <f>MATCH('1'!N137,'Dados - Solicitação de acesso'!$N$2:$N$8,0)</f>
        <v>#N/A</v>
      </c>
      <c r="BA137" s="33" t="e">
        <f>MATCH('1'!T137,'Dados - Solicitação de acesso'!$T$2:$T$20,0)</f>
        <v>#N/A</v>
      </c>
      <c r="BB137" s="34"/>
      <c r="BC137" s="33">
        <f>MATCH(AT137,'Dados - Solicitação de acesso'!$AT$2:$AT$28,0)</f>
        <v>1</v>
      </c>
      <c r="BD137" s="33" t="b">
        <f>IF(O137="TRIFASICO",INDEX(Dados!G:G,MATCH('1'!AP137,Dados!E:E,0)),IF(O137="BIFASICO",INDEX(Dados!F:F,MATCH('1'!AP137,Dados!E:E,0),)))</f>
        <v>0</v>
      </c>
      <c r="BE137" s="33">
        <f>'Dados - Cliente'!J137</f>
        <v>0</v>
      </c>
      <c r="BF137" s="34">
        <f>INDEX(Dados!$E$2:$E$33,COUNTIF(Dados!$E$2:$E$33,"&lt;="&amp;AN137*1.25*AK137/(0.22*SQRT(INDEX('Dados - Inversores'!AK:AK,MATCH('1'!AL137,'Dados - Inversores'!C:C,0)))))+1)</f>
        <v>2</v>
      </c>
      <c r="BG137" s="34" t="b">
        <f>IF(O137="TRIFASICO",INDEX(Dados!G:G,MATCH(BF137,Dados!E:E,0)),IF(O137="BIFASICO",INDEX(Dados!F:F,MATCH(BF137,Dados!E:E,0),)))</f>
        <v>0</v>
      </c>
    </row>
    <row r="138" spans="1:59" s="33" customFormat="1" x14ac:dyDescent="0.35">
      <c r="A138" s="33">
        <f>'Dados - Cliente'!A138</f>
        <v>0</v>
      </c>
      <c r="B138" s="33">
        <f>'Dados - Cliente'!B138</f>
        <v>0</v>
      </c>
      <c r="C138" s="33">
        <f>'Dados - Cliente'!C138</f>
        <v>0</v>
      </c>
      <c r="D138" s="33">
        <f>'Dados - Cliente'!D138</f>
        <v>0</v>
      </c>
      <c r="E138" s="33">
        <f>'Dados - Cliente'!E138</f>
        <v>0</v>
      </c>
      <c r="F138" s="33">
        <f>'Dados - Cliente'!F138</f>
        <v>0</v>
      </c>
      <c r="G138" s="33">
        <f>'Dados - Cliente'!G138</f>
        <v>0</v>
      </c>
      <c r="H138" s="33">
        <f>'Dados - Cliente'!H138</f>
        <v>0</v>
      </c>
      <c r="I138" s="75" t="s">
        <v>4313</v>
      </c>
      <c r="J138" s="52" t="s">
        <v>4314</v>
      </c>
      <c r="K138" s="52" t="s">
        <v>4314</v>
      </c>
      <c r="L138" s="33">
        <f>'Dados - Cliente'!I138</f>
        <v>0</v>
      </c>
      <c r="M138" s="33">
        <f>'Dados - Cliente'!K138</f>
        <v>0</v>
      </c>
      <c r="N138" s="33">
        <f>'Dados - Cliente'!L138</f>
        <v>0</v>
      </c>
      <c r="O138" s="33">
        <f>'Dados - Cliente'!M138</f>
        <v>0</v>
      </c>
      <c r="P138" s="33">
        <f>'Dados - Cliente'!N138</f>
        <v>0</v>
      </c>
      <c r="Q138" s="33">
        <f>'Dados - Cliente'!O138</f>
        <v>0</v>
      </c>
      <c r="R138" s="33">
        <f>'Dados - Cliente'!P138</f>
        <v>0</v>
      </c>
      <c r="S138" s="33">
        <f>'Dados - Cliente'!Q138</f>
        <v>0</v>
      </c>
      <c r="T138" s="33">
        <f>'Dados - Cliente'!R138</f>
        <v>0</v>
      </c>
      <c r="U138" s="34">
        <f>'Dados - Cliente'!S138</f>
        <v>0</v>
      </c>
      <c r="V138" s="34">
        <f>'Dados - Cliente'!T138</f>
        <v>0</v>
      </c>
      <c r="W138" s="34">
        <f>'Dados - Cliente'!U138</f>
        <v>0</v>
      </c>
      <c r="X138" s="34">
        <f>'Dados - Cliente'!V138</f>
        <v>0</v>
      </c>
      <c r="Y138" s="34">
        <f>'Dados - Cliente'!W138</f>
        <v>0</v>
      </c>
      <c r="Z138" s="34">
        <f>'Dados - Cliente'!X138</f>
        <v>0</v>
      </c>
      <c r="AA138" s="33" t="e">
        <f t="shared" si="15"/>
        <v>#N/A</v>
      </c>
      <c r="AB138" s="33">
        <f>'Dados - Cliente'!Y138</f>
        <v>0</v>
      </c>
      <c r="AC138" s="33">
        <f>'Dados - Cliente'!Z138</f>
        <v>0</v>
      </c>
      <c r="AD138" s="33">
        <f>'Dados - Cliente'!AA138</f>
        <v>0</v>
      </c>
      <c r="AE138" s="33">
        <f>'Dados - Cliente'!AB138</f>
        <v>0</v>
      </c>
      <c r="AF138" s="33">
        <f>'Dados - Cliente'!AC138</f>
        <v>0</v>
      </c>
      <c r="AG138" s="35">
        <f>'Dados - Cliente'!AD138</f>
        <v>0</v>
      </c>
      <c r="AH138" s="33" t="e">
        <f>INDEX('Dados - Placas'!$A:$A,MATCH('1'!AG138,'Dados - Placas'!$D:$D,0))</f>
        <v>#N/A</v>
      </c>
      <c r="AI138" s="35" t="e">
        <f>INDEX('Dados - Placas'!$E:$E,MATCH('1'!AG138,'Dados - Placas'!$D:$D,0))</f>
        <v>#N/A</v>
      </c>
      <c r="AJ138" s="34" t="e">
        <f>INDEX('Dados - Placas'!$F:$F,MATCH('1'!AG138,'Dados - Placas'!$D:$D,0))*AF138</f>
        <v>#N/A</v>
      </c>
      <c r="AK138" s="33">
        <f>'Dados - Cliente'!AE138</f>
        <v>0</v>
      </c>
      <c r="AL138" s="33">
        <f>'Dados - Cliente'!AF138</f>
        <v>0</v>
      </c>
      <c r="AM138" s="36" t="e">
        <f>INDEX('Dados - Inversores'!$A:$A,MATCH('1'!AL138,'Dados - Inversores'!$C:$C,0))</f>
        <v>#N/A</v>
      </c>
      <c r="AN138" s="33">
        <f>'Dados - Cliente'!AG138</f>
        <v>0</v>
      </c>
      <c r="AO138" s="33" t="e">
        <f>AA138*1.25/(0.22*SQRT(INDEX('Dados - Inversores'!AK:AK,MATCH('1'!AL138,'Dados - Inversores'!C:C,0))))</f>
        <v>#N/A</v>
      </c>
      <c r="AP138" s="34">
        <f>INDEX(Dados!$E$2:$E$33,COUNTIF(Dados!$E$2:$E$33,"&lt;="&amp;AN138*1.25/(INDEX('Dados - Inversores'!AL:AL,MATCH('1'!AL138,'Dados - Inversores'!C:C,0))*SQRT(INDEX('Dados - Inversores'!AK:AK,MATCH('1'!AL138,'Dados - Inversores'!C:C,0)))))+1)</f>
        <v>2</v>
      </c>
      <c r="AQ138" s="33" t="s">
        <v>59</v>
      </c>
      <c r="AR138" s="33" t="str">
        <f t="shared" si="16"/>
        <v>Micro</v>
      </c>
      <c r="AS138" s="33">
        <f>'Dados - Cliente'!AH138</f>
        <v>0</v>
      </c>
      <c r="AT138" s="33">
        <f>'Dados - Cliente'!AI138</f>
        <v>0</v>
      </c>
      <c r="AU138" s="33" t="e">
        <f>INDEX('Dados - Placas'!$N:$N,MATCH('1'!AG138,'Dados - Placas'!$D:$D,0))-1</f>
        <v>#N/A</v>
      </c>
      <c r="AV138" s="33" t="e">
        <f>INDEX('Dados - Placas'!$O:$O,MATCH('1'!AG138,'Dados - Placas'!$D:$D,0))</f>
        <v>#N/A</v>
      </c>
      <c r="AW138" s="33" t="e">
        <f>INDEX('Dados - Inversores'!AM:AM,MATCH('1'!AL138,'Dados - Inversores'!$C:$C,0))-1</f>
        <v>#N/A</v>
      </c>
      <c r="AX138" s="33" t="e">
        <f>INDEX('Dados - Inversores'!AN:AN,MATCH('1'!AL138,'Dados - Inversores'!$C:$C,0))-1</f>
        <v>#N/A</v>
      </c>
      <c r="AY138" s="33" t="e">
        <f>MATCH('1'!H138,Dados!$D$89:$D$167,0)+1</f>
        <v>#N/A</v>
      </c>
      <c r="AZ138" s="33" t="e">
        <f>MATCH('1'!N138,'Dados - Solicitação de acesso'!$N$2:$N$8,0)</f>
        <v>#N/A</v>
      </c>
      <c r="BA138" s="33" t="e">
        <f>MATCH('1'!T138,'Dados - Solicitação de acesso'!$T$2:$T$20,0)</f>
        <v>#N/A</v>
      </c>
      <c r="BB138" s="34"/>
      <c r="BC138" s="33">
        <f>MATCH(AT138,'Dados - Solicitação de acesso'!$AT$2:$AT$28,0)</f>
        <v>1</v>
      </c>
      <c r="BD138" s="33" t="b">
        <f>IF(O138="TRIFASICO",INDEX(Dados!G:G,MATCH('1'!AP138,Dados!E:E,0)),IF(O138="BIFASICO",INDEX(Dados!F:F,MATCH('1'!AP138,Dados!E:E,0),)))</f>
        <v>0</v>
      </c>
      <c r="BE138" s="33">
        <f>'Dados - Cliente'!J138</f>
        <v>0</v>
      </c>
      <c r="BF138" s="34">
        <f>INDEX(Dados!$E$2:$E$33,COUNTIF(Dados!$E$2:$E$33,"&lt;="&amp;AN138*1.25*AK138/(0.22*SQRT(INDEX('Dados - Inversores'!AK:AK,MATCH('1'!AL138,'Dados - Inversores'!C:C,0)))))+1)</f>
        <v>2</v>
      </c>
      <c r="BG138" s="34" t="b">
        <f>IF(O138="TRIFASICO",INDEX(Dados!G:G,MATCH(BF138,Dados!E:E,0)),IF(O138="BIFASICO",INDEX(Dados!F:F,MATCH(BF138,Dados!E:E,0),)))</f>
        <v>0</v>
      </c>
    </row>
    <row r="139" spans="1:59" s="33" customFormat="1" x14ac:dyDescent="0.35">
      <c r="A139" s="33">
        <f>'Dados - Cliente'!A139</f>
        <v>0</v>
      </c>
      <c r="B139" s="33">
        <f>'Dados - Cliente'!B139</f>
        <v>0</v>
      </c>
      <c r="C139" s="33">
        <f>'Dados - Cliente'!C139</f>
        <v>0</v>
      </c>
      <c r="D139" s="33">
        <f>'Dados - Cliente'!D139</f>
        <v>0</v>
      </c>
      <c r="E139" s="33">
        <f>'Dados - Cliente'!E139</f>
        <v>0</v>
      </c>
      <c r="F139" s="33">
        <f>'Dados - Cliente'!F139</f>
        <v>0</v>
      </c>
      <c r="G139" s="33">
        <f>'Dados - Cliente'!G139</f>
        <v>0</v>
      </c>
      <c r="H139" s="33">
        <f>'Dados - Cliente'!H139</f>
        <v>0</v>
      </c>
      <c r="I139" s="75" t="s">
        <v>4313</v>
      </c>
      <c r="J139" s="52" t="s">
        <v>4314</v>
      </c>
      <c r="K139" s="52" t="s">
        <v>4314</v>
      </c>
      <c r="L139" s="33">
        <f>'Dados - Cliente'!I139</f>
        <v>0</v>
      </c>
      <c r="M139" s="33">
        <f>'Dados - Cliente'!K139</f>
        <v>0</v>
      </c>
      <c r="N139" s="33">
        <f>'Dados - Cliente'!L139</f>
        <v>0</v>
      </c>
      <c r="O139" s="33">
        <f>'Dados - Cliente'!M139</f>
        <v>0</v>
      </c>
      <c r="P139" s="33">
        <f>'Dados - Cliente'!N139</f>
        <v>0</v>
      </c>
      <c r="Q139" s="33">
        <f>'Dados - Cliente'!O139</f>
        <v>0</v>
      </c>
      <c r="R139" s="33">
        <f>'Dados - Cliente'!P139</f>
        <v>0</v>
      </c>
      <c r="S139" s="33">
        <f>'Dados - Cliente'!Q139</f>
        <v>0</v>
      </c>
      <c r="T139" s="33">
        <f>'Dados - Cliente'!R139</f>
        <v>0</v>
      </c>
      <c r="U139" s="34">
        <f>'Dados - Cliente'!S139</f>
        <v>0</v>
      </c>
      <c r="V139" s="34">
        <f>'Dados - Cliente'!T139</f>
        <v>0</v>
      </c>
      <c r="W139" s="34">
        <f>'Dados - Cliente'!U139</f>
        <v>0</v>
      </c>
      <c r="X139" s="34">
        <f>'Dados - Cliente'!V139</f>
        <v>0</v>
      </c>
      <c r="Y139" s="34">
        <f>'Dados - Cliente'!W139</f>
        <v>0</v>
      </c>
      <c r="Z139" s="34">
        <f>'Dados - Cliente'!X139</f>
        <v>0</v>
      </c>
      <c r="AA139" s="33" t="e">
        <f t="shared" si="15"/>
        <v>#N/A</v>
      </c>
      <c r="AB139" s="33">
        <f>'Dados - Cliente'!Y139</f>
        <v>0</v>
      </c>
      <c r="AC139" s="33">
        <f>'Dados - Cliente'!Z139</f>
        <v>0</v>
      </c>
      <c r="AD139" s="33">
        <f>'Dados - Cliente'!AA139</f>
        <v>0</v>
      </c>
      <c r="AE139" s="33">
        <f>'Dados - Cliente'!AB139</f>
        <v>0</v>
      </c>
      <c r="AF139" s="33">
        <f>'Dados - Cliente'!AC139</f>
        <v>0</v>
      </c>
      <c r="AG139" s="35">
        <f>'Dados - Cliente'!AD139</f>
        <v>0</v>
      </c>
      <c r="AH139" s="33" t="e">
        <f>INDEX('Dados - Placas'!$A:$A,MATCH('1'!AG139,'Dados - Placas'!$D:$D,0))</f>
        <v>#N/A</v>
      </c>
      <c r="AI139" s="35" t="e">
        <f>INDEX('Dados - Placas'!$E:$E,MATCH('1'!AG139,'Dados - Placas'!$D:$D,0))</f>
        <v>#N/A</v>
      </c>
      <c r="AJ139" s="34" t="e">
        <f>INDEX('Dados - Placas'!$F:$F,MATCH('1'!AG139,'Dados - Placas'!$D:$D,0))*AF139</f>
        <v>#N/A</v>
      </c>
      <c r="AK139" s="33">
        <f>'Dados - Cliente'!AE139</f>
        <v>0</v>
      </c>
      <c r="AL139" s="33">
        <f>'Dados - Cliente'!AF139</f>
        <v>0</v>
      </c>
      <c r="AM139" s="36" t="e">
        <f>INDEX('Dados - Inversores'!$A:$A,MATCH('1'!AL139,'Dados - Inversores'!$C:$C,0))</f>
        <v>#N/A</v>
      </c>
      <c r="AN139" s="33">
        <f>'Dados - Cliente'!AG139</f>
        <v>0</v>
      </c>
      <c r="AO139" s="33" t="e">
        <f>AA139*1.25/(0.22*SQRT(INDEX('Dados - Inversores'!AK:AK,MATCH('1'!AL139,'Dados - Inversores'!C:C,0))))</f>
        <v>#N/A</v>
      </c>
      <c r="AP139" s="34">
        <f>INDEX(Dados!$E$2:$E$33,COUNTIF(Dados!$E$2:$E$33,"&lt;="&amp;AN139*1.25/(INDEX('Dados - Inversores'!AL:AL,MATCH('1'!AL139,'Dados - Inversores'!C:C,0))*SQRT(INDEX('Dados - Inversores'!AK:AK,MATCH('1'!AL139,'Dados - Inversores'!C:C,0)))))+1)</f>
        <v>2</v>
      </c>
      <c r="AQ139" s="33" t="s">
        <v>59</v>
      </c>
      <c r="AR139" s="33" t="str">
        <f t="shared" si="16"/>
        <v>Micro</v>
      </c>
      <c r="AS139" s="33">
        <f>'Dados - Cliente'!AH139</f>
        <v>0</v>
      </c>
      <c r="AT139" s="33">
        <f>'Dados - Cliente'!AI139</f>
        <v>0</v>
      </c>
      <c r="AU139" s="33" t="e">
        <f>INDEX('Dados - Placas'!$N:$N,MATCH('1'!AG139,'Dados - Placas'!$D:$D,0))-1</f>
        <v>#N/A</v>
      </c>
      <c r="AV139" s="33" t="e">
        <f>INDEX('Dados - Placas'!$O:$O,MATCH('1'!AG139,'Dados - Placas'!$D:$D,0))</f>
        <v>#N/A</v>
      </c>
      <c r="AW139" s="33" t="e">
        <f>INDEX('Dados - Inversores'!AM:AM,MATCH('1'!AL139,'Dados - Inversores'!$C:$C,0))-1</f>
        <v>#N/A</v>
      </c>
      <c r="AX139" s="33" t="e">
        <f>INDEX('Dados - Inversores'!AN:AN,MATCH('1'!AL139,'Dados - Inversores'!$C:$C,0))-1</f>
        <v>#N/A</v>
      </c>
      <c r="AY139" s="33" t="e">
        <f>MATCH('1'!H139,Dados!$D$89:$D$167,0)+1</f>
        <v>#N/A</v>
      </c>
      <c r="AZ139" s="33" t="e">
        <f>MATCH('1'!N139,'Dados - Solicitação de acesso'!$N$2:$N$8,0)</f>
        <v>#N/A</v>
      </c>
      <c r="BA139" s="33" t="e">
        <f>MATCH('1'!T139,'Dados - Solicitação de acesso'!$T$2:$T$20,0)</f>
        <v>#N/A</v>
      </c>
      <c r="BB139" s="34"/>
      <c r="BC139" s="33">
        <f>MATCH(AT139,'Dados - Solicitação de acesso'!$AT$2:$AT$28,0)</f>
        <v>1</v>
      </c>
      <c r="BD139" s="33" t="b">
        <f>IF(O139="TRIFASICO",INDEX(Dados!G:G,MATCH('1'!AP139,Dados!E:E,0)),IF(O139="BIFASICO",INDEX(Dados!F:F,MATCH('1'!AP139,Dados!E:E,0),)))</f>
        <v>0</v>
      </c>
      <c r="BE139" s="33">
        <f>'Dados - Cliente'!J139</f>
        <v>0</v>
      </c>
      <c r="BF139" s="34">
        <f>INDEX(Dados!$E$2:$E$33,COUNTIF(Dados!$E$2:$E$33,"&lt;="&amp;AN139*1.25*AK139/(0.22*SQRT(INDEX('Dados - Inversores'!AK:AK,MATCH('1'!AL139,'Dados - Inversores'!C:C,0)))))+1)</f>
        <v>2</v>
      </c>
      <c r="BG139" s="34" t="b">
        <f>IF(O139="TRIFASICO",INDEX(Dados!G:G,MATCH(BF139,Dados!E:E,0)),IF(O139="BIFASICO",INDEX(Dados!F:F,MATCH(BF139,Dados!E:E,0),)))</f>
        <v>0</v>
      </c>
    </row>
    <row r="140" spans="1:59" s="33" customFormat="1" x14ac:dyDescent="0.35">
      <c r="A140" s="33">
        <f>'Dados - Cliente'!A140</f>
        <v>0</v>
      </c>
      <c r="B140" s="33">
        <f>'Dados - Cliente'!B140</f>
        <v>0</v>
      </c>
      <c r="C140" s="33">
        <f>'Dados - Cliente'!C140</f>
        <v>0</v>
      </c>
      <c r="D140" s="33">
        <f>'Dados - Cliente'!D140</f>
        <v>0</v>
      </c>
      <c r="E140" s="33">
        <f>'Dados - Cliente'!E140</f>
        <v>0</v>
      </c>
      <c r="F140" s="33">
        <f>'Dados - Cliente'!F140</f>
        <v>0</v>
      </c>
      <c r="G140" s="33">
        <f>'Dados - Cliente'!G140</f>
        <v>0</v>
      </c>
      <c r="H140" s="33">
        <f>'Dados - Cliente'!H140</f>
        <v>0</v>
      </c>
      <c r="I140" s="75" t="s">
        <v>4313</v>
      </c>
      <c r="J140" s="52" t="s">
        <v>4314</v>
      </c>
      <c r="K140" s="52" t="s">
        <v>4314</v>
      </c>
      <c r="L140" s="33">
        <f>'Dados - Cliente'!I140</f>
        <v>0</v>
      </c>
      <c r="M140" s="33">
        <f>'Dados - Cliente'!K140</f>
        <v>0</v>
      </c>
      <c r="N140" s="33">
        <f>'Dados - Cliente'!L140</f>
        <v>0</v>
      </c>
      <c r="O140" s="33">
        <f>'Dados - Cliente'!M140</f>
        <v>0</v>
      </c>
      <c r="P140" s="33">
        <f>'Dados - Cliente'!N140</f>
        <v>0</v>
      </c>
      <c r="Q140" s="33">
        <f>'Dados - Cliente'!O140</f>
        <v>0</v>
      </c>
      <c r="R140" s="33">
        <f>'Dados - Cliente'!P140</f>
        <v>0</v>
      </c>
      <c r="S140" s="33">
        <f>'Dados - Cliente'!Q140</f>
        <v>0</v>
      </c>
      <c r="T140" s="33">
        <f>'Dados - Cliente'!R140</f>
        <v>0</v>
      </c>
      <c r="U140" s="34">
        <f>'Dados - Cliente'!S140</f>
        <v>0</v>
      </c>
      <c r="V140" s="34">
        <f>'Dados - Cliente'!T140</f>
        <v>0</v>
      </c>
      <c r="W140" s="34">
        <f>'Dados - Cliente'!U140</f>
        <v>0</v>
      </c>
      <c r="X140" s="34">
        <f>'Dados - Cliente'!V140</f>
        <v>0</v>
      </c>
      <c r="Y140" s="34">
        <f>'Dados - Cliente'!W140</f>
        <v>0</v>
      </c>
      <c r="Z140" s="34">
        <f>'Dados - Cliente'!X140</f>
        <v>0</v>
      </c>
      <c r="AA140" s="33" t="e">
        <f t="shared" si="15"/>
        <v>#N/A</v>
      </c>
      <c r="AB140" s="33">
        <f>'Dados - Cliente'!Y140</f>
        <v>0</v>
      </c>
      <c r="AC140" s="33">
        <f>'Dados - Cliente'!Z140</f>
        <v>0</v>
      </c>
      <c r="AD140" s="33">
        <f>'Dados - Cliente'!AA140</f>
        <v>0</v>
      </c>
      <c r="AE140" s="33">
        <f>'Dados - Cliente'!AB140</f>
        <v>0</v>
      </c>
      <c r="AF140" s="33">
        <f>'Dados - Cliente'!AC140</f>
        <v>0</v>
      </c>
      <c r="AG140" s="35">
        <f>'Dados - Cliente'!AD140</f>
        <v>0</v>
      </c>
      <c r="AH140" s="33" t="e">
        <f>INDEX('Dados - Placas'!$A:$A,MATCH('1'!AG140,'Dados - Placas'!$D:$D,0))</f>
        <v>#N/A</v>
      </c>
      <c r="AI140" s="35" t="e">
        <f>INDEX('Dados - Placas'!$E:$E,MATCH('1'!AG140,'Dados - Placas'!$D:$D,0))</f>
        <v>#N/A</v>
      </c>
      <c r="AJ140" s="34" t="e">
        <f>INDEX('Dados - Placas'!$F:$F,MATCH('1'!AG140,'Dados - Placas'!$D:$D,0))*AF140</f>
        <v>#N/A</v>
      </c>
      <c r="AK140" s="33">
        <f>'Dados - Cliente'!AE140</f>
        <v>0</v>
      </c>
      <c r="AL140" s="33">
        <f>'Dados - Cliente'!AF140</f>
        <v>0</v>
      </c>
      <c r="AM140" s="36" t="e">
        <f>INDEX('Dados - Inversores'!$A:$A,MATCH('1'!AL140,'Dados - Inversores'!$C:$C,0))</f>
        <v>#N/A</v>
      </c>
      <c r="AN140" s="33">
        <f>'Dados - Cliente'!AG140</f>
        <v>0</v>
      </c>
      <c r="AO140" s="33" t="e">
        <f>AA140*1.25/(0.22*SQRT(INDEX('Dados - Inversores'!AK:AK,MATCH('1'!AL140,'Dados - Inversores'!C:C,0))))</f>
        <v>#N/A</v>
      </c>
      <c r="AP140" s="34">
        <f>INDEX(Dados!$E$2:$E$33,COUNTIF(Dados!$E$2:$E$33,"&lt;="&amp;AN140*1.25/(INDEX('Dados - Inversores'!AL:AL,MATCH('1'!AL140,'Dados - Inversores'!C:C,0))*SQRT(INDEX('Dados - Inversores'!AK:AK,MATCH('1'!AL140,'Dados - Inversores'!C:C,0)))))+1)</f>
        <v>2</v>
      </c>
      <c r="AQ140" s="33" t="s">
        <v>59</v>
      </c>
      <c r="AR140" s="33" t="str">
        <f t="shared" si="16"/>
        <v>Micro</v>
      </c>
      <c r="AS140" s="33">
        <f>'Dados - Cliente'!AH140</f>
        <v>0</v>
      </c>
      <c r="AT140" s="33">
        <f>'Dados - Cliente'!AI140</f>
        <v>0</v>
      </c>
      <c r="AU140" s="33" t="e">
        <f>INDEX('Dados - Placas'!$N:$N,MATCH('1'!AG140,'Dados - Placas'!$D:$D,0))-1</f>
        <v>#N/A</v>
      </c>
      <c r="AV140" s="33" t="e">
        <f>INDEX('Dados - Placas'!$O:$O,MATCH('1'!AG140,'Dados - Placas'!$D:$D,0))</f>
        <v>#N/A</v>
      </c>
      <c r="AW140" s="33" t="e">
        <f>INDEX('Dados - Inversores'!AM:AM,MATCH('1'!AL140,'Dados - Inversores'!$C:$C,0))-1</f>
        <v>#N/A</v>
      </c>
      <c r="AX140" s="33" t="e">
        <f>INDEX('Dados - Inversores'!AN:AN,MATCH('1'!AL140,'Dados - Inversores'!$C:$C,0))-1</f>
        <v>#N/A</v>
      </c>
      <c r="AY140" s="33" t="e">
        <f>MATCH('1'!H140,Dados!$D$89:$D$167,0)+1</f>
        <v>#N/A</v>
      </c>
      <c r="AZ140" s="33" t="e">
        <f>MATCH('1'!N140,'Dados - Solicitação de acesso'!$N$2:$N$8,0)</f>
        <v>#N/A</v>
      </c>
      <c r="BA140" s="33" t="e">
        <f>MATCH('1'!T140,'Dados - Solicitação de acesso'!$T$2:$T$20,0)</f>
        <v>#N/A</v>
      </c>
      <c r="BB140" s="34"/>
      <c r="BC140" s="33">
        <f>MATCH(AT140,'Dados - Solicitação de acesso'!$AT$2:$AT$28,0)</f>
        <v>1</v>
      </c>
      <c r="BD140" s="33" t="b">
        <f>IF(O140="TRIFASICO",INDEX(Dados!G:G,MATCH('1'!AP140,Dados!E:E,0)),IF(O140="BIFASICO",INDEX(Dados!F:F,MATCH('1'!AP140,Dados!E:E,0),)))</f>
        <v>0</v>
      </c>
      <c r="BE140" s="33">
        <f>'Dados - Cliente'!J140</f>
        <v>0</v>
      </c>
      <c r="BF140" s="34">
        <f>INDEX(Dados!$E$2:$E$33,COUNTIF(Dados!$E$2:$E$33,"&lt;="&amp;AN140*1.25*AK140/(0.22*SQRT(INDEX('Dados - Inversores'!AK:AK,MATCH('1'!AL140,'Dados - Inversores'!C:C,0)))))+1)</f>
        <v>2</v>
      </c>
      <c r="BG140" s="34" t="b">
        <f>IF(O140="TRIFASICO",INDEX(Dados!G:G,MATCH(BF140,Dados!E:E,0)),IF(O140="BIFASICO",INDEX(Dados!F:F,MATCH(BF140,Dados!E:E,0),)))</f>
        <v>0</v>
      </c>
    </row>
    <row r="141" spans="1:59" s="33" customFormat="1" x14ac:dyDescent="0.35">
      <c r="A141" s="33">
        <f>'Dados - Cliente'!A141</f>
        <v>0</v>
      </c>
      <c r="B141" s="33">
        <f>'Dados - Cliente'!B141</f>
        <v>0</v>
      </c>
      <c r="C141" s="33">
        <f>'Dados - Cliente'!C141</f>
        <v>0</v>
      </c>
      <c r="D141" s="33">
        <f>'Dados - Cliente'!D141</f>
        <v>0</v>
      </c>
      <c r="E141" s="33">
        <f>'Dados - Cliente'!E141</f>
        <v>0</v>
      </c>
      <c r="F141" s="33">
        <f>'Dados - Cliente'!F141</f>
        <v>0</v>
      </c>
      <c r="G141" s="33">
        <f>'Dados - Cliente'!G141</f>
        <v>0</v>
      </c>
      <c r="H141" s="33">
        <f>'Dados - Cliente'!H141</f>
        <v>0</v>
      </c>
      <c r="I141" s="75" t="s">
        <v>4313</v>
      </c>
      <c r="J141" s="52" t="s">
        <v>4314</v>
      </c>
      <c r="K141" s="52" t="s">
        <v>4314</v>
      </c>
      <c r="L141" s="33">
        <f>'Dados - Cliente'!I141</f>
        <v>0</v>
      </c>
      <c r="M141" s="33">
        <f>'Dados - Cliente'!K141</f>
        <v>0</v>
      </c>
      <c r="N141" s="33">
        <f>'Dados - Cliente'!L141</f>
        <v>0</v>
      </c>
      <c r="O141" s="33">
        <f>'Dados - Cliente'!M141</f>
        <v>0</v>
      </c>
      <c r="P141" s="33">
        <f>'Dados - Cliente'!N141</f>
        <v>0</v>
      </c>
      <c r="Q141" s="33">
        <f>'Dados - Cliente'!O141</f>
        <v>0</v>
      </c>
      <c r="R141" s="33">
        <f>'Dados - Cliente'!P141</f>
        <v>0</v>
      </c>
      <c r="S141" s="33">
        <f>'Dados - Cliente'!Q141</f>
        <v>0</v>
      </c>
      <c r="T141" s="33">
        <f>'Dados - Cliente'!R141</f>
        <v>0</v>
      </c>
      <c r="U141" s="34">
        <f>'Dados - Cliente'!S141</f>
        <v>0</v>
      </c>
      <c r="V141" s="34">
        <f>'Dados - Cliente'!T141</f>
        <v>0</v>
      </c>
      <c r="W141" s="34">
        <f>'Dados - Cliente'!U141</f>
        <v>0</v>
      </c>
      <c r="X141" s="34">
        <f>'Dados - Cliente'!V141</f>
        <v>0</v>
      </c>
      <c r="Y141" s="34">
        <f>'Dados - Cliente'!W141</f>
        <v>0</v>
      </c>
      <c r="Z141" s="34">
        <f>'Dados - Cliente'!X141</f>
        <v>0</v>
      </c>
      <c r="AA141" s="33" t="e">
        <f t="shared" si="15"/>
        <v>#N/A</v>
      </c>
      <c r="AB141" s="33">
        <f>'Dados - Cliente'!Y141</f>
        <v>0</v>
      </c>
      <c r="AC141" s="33">
        <f>'Dados - Cliente'!Z141</f>
        <v>0</v>
      </c>
      <c r="AD141" s="33">
        <f>'Dados - Cliente'!AA141</f>
        <v>0</v>
      </c>
      <c r="AE141" s="33">
        <f>'Dados - Cliente'!AB141</f>
        <v>0</v>
      </c>
      <c r="AF141" s="33">
        <f>'Dados - Cliente'!AC141</f>
        <v>0</v>
      </c>
      <c r="AG141" s="35">
        <f>'Dados - Cliente'!AD141</f>
        <v>0</v>
      </c>
      <c r="AH141" s="33" t="e">
        <f>INDEX('Dados - Placas'!$A:$A,MATCH('1'!AG141,'Dados - Placas'!$D:$D,0))</f>
        <v>#N/A</v>
      </c>
      <c r="AI141" s="35" t="e">
        <f>INDEX('Dados - Placas'!$E:$E,MATCH('1'!AG141,'Dados - Placas'!$D:$D,0))</f>
        <v>#N/A</v>
      </c>
      <c r="AJ141" s="34" t="e">
        <f>INDEX('Dados - Placas'!$F:$F,MATCH('1'!AG141,'Dados - Placas'!$D:$D,0))*AF141</f>
        <v>#N/A</v>
      </c>
      <c r="AK141" s="33">
        <f>'Dados - Cliente'!AE141</f>
        <v>0</v>
      </c>
      <c r="AL141" s="33">
        <f>'Dados - Cliente'!AF141</f>
        <v>0</v>
      </c>
      <c r="AM141" s="36" t="e">
        <f>INDEX('Dados - Inversores'!$A:$A,MATCH('1'!AL141,'Dados - Inversores'!$C:$C,0))</f>
        <v>#N/A</v>
      </c>
      <c r="AN141" s="33">
        <f>'Dados - Cliente'!AG141</f>
        <v>0</v>
      </c>
      <c r="AO141" s="33" t="e">
        <f>AA141*1.25/(0.22*SQRT(INDEX('Dados - Inversores'!AK:AK,MATCH('1'!AL141,'Dados - Inversores'!C:C,0))))</f>
        <v>#N/A</v>
      </c>
      <c r="AP141" s="34">
        <f>INDEX(Dados!$E$2:$E$33,COUNTIF(Dados!$E$2:$E$33,"&lt;="&amp;AN141*1.25/(INDEX('Dados - Inversores'!AL:AL,MATCH('1'!AL141,'Dados - Inversores'!C:C,0))*SQRT(INDEX('Dados - Inversores'!AK:AK,MATCH('1'!AL141,'Dados - Inversores'!C:C,0)))))+1)</f>
        <v>2</v>
      </c>
      <c r="AQ141" s="33" t="s">
        <v>59</v>
      </c>
      <c r="AR141" s="33" t="str">
        <f t="shared" si="16"/>
        <v>Micro</v>
      </c>
      <c r="AS141" s="33">
        <f>'Dados - Cliente'!AH141</f>
        <v>0</v>
      </c>
      <c r="AT141" s="33">
        <f>'Dados - Cliente'!AI141</f>
        <v>0</v>
      </c>
      <c r="AU141" s="33" t="e">
        <f>INDEX('Dados - Placas'!$N:$N,MATCH('1'!AG141,'Dados - Placas'!$D:$D,0))-1</f>
        <v>#N/A</v>
      </c>
      <c r="AV141" s="33" t="e">
        <f>INDEX('Dados - Placas'!$O:$O,MATCH('1'!AG141,'Dados - Placas'!$D:$D,0))</f>
        <v>#N/A</v>
      </c>
      <c r="AW141" s="33" t="e">
        <f>INDEX('Dados - Inversores'!AM:AM,MATCH('1'!AL141,'Dados - Inversores'!$C:$C,0))-1</f>
        <v>#N/A</v>
      </c>
      <c r="AX141" s="33" t="e">
        <f>INDEX('Dados - Inversores'!AN:AN,MATCH('1'!AL141,'Dados - Inversores'!$C:$C,0))-1</f>
        <v>#N/A</v>
      </c>
      <c r="AY141" s="33" t="e">
        <f>MATCH('1'!H141,Dados!$D$89:$D$167,0)+1</f>
        <v>#N/A</v>
      </c>
      <c r="AZ141" s="33" t="e">
        <f>MATCH('1'!N141,'Dados - Solicitação de acesso'!$N$2:$N$8,0)</f>
        <v>#N/A</v>
      </c>
      <c r="BA141" s="33" t="e">
        <f>MATCH('1'!T141,'Dados - Solicitação de acesso'!$T$2:$T$20,0)</f>
        <v>#N/A</v>
      </c>
      <c r="BB141" s="34"/>
      <c r="BC141" s="33">
        <f>MATCH(AT141,'Dados - Solicitação de acesso'!$AT$2:$AT$28,0)</f>
        <v>1</v>
      </c>
      <c r="BD141" s="33" t="b">
        <f>IF(O141="TRIFASICO",INDEX(Dados!G:G,MATCH('1'!AP141,Dados!E:E,0)),IF(O141="BIFASICO",INDEX(Dados!F:F,MATCH('1'!AP141,Dados!E:E,0),)))</f>
        <v>0</v>
      </c>
      <c r="BE141" s="33">
        <f>'Dados - Cliente'!J141</f>
        <v>0</v>
      </c>
      <c r="BF141" s="34">
        <f>INDEX(Dados!$E$2:$E$33,COUNTIF(Dados!$E$2:$E$33,"&lt;="&amp;AN141*1.25*AK141/(0.22*SQRT(INDEX('Dados - Inversores'!AK:AK,MATCH('1'!AL141,'Dados - Inversores'!C:C,0)))))+1)</f>
        <v>2</v>
      </c>
      <c r="BG141" s="34" t="b">
        <f>IF(O141="TRIFASICO",INDEX(Dados!G:G,MATCH(BF141,Dados!E:E,0)),IF(O141="BIFASICO",INDEX(Dados!F:F,MATCH(BF141,Dados!E:E,0),)))</f>
        <v>0</v>
      </c>
    </row>
    <row r="142" spans="1:59" s="33" customFormat="1" x14ac:dyDescent="0.35">
      <c r="A142" s="33">
        <f>'Dados - Cliente'!A142</f>
        <v>0</v>
      </c>
      <c r="B142" s="33">
        <f>'Dados - Cliente'!B142</f>
        <v>0</v>
      </c>
      <c r="C142" s="33">
        <f>'Dados - Cliente'!C142</f>
        <v>0</v>
      </c>
      <c r="D142" s="33">
        <f>'Dados - Cliente'!D142</f>
        <v>0</v>
      </c>
      <c r="E142" s="33">
        <f>'Dados - Cliente'!E142</f>
        <v>0</v>
      </c>
      <c r="F142" s="33">
        <f>'Dados - Cliente'!F142</f>
        <v>0</v>
      </c>
      <c r="G142" s="33">
        <f>'Dados - Cliente'!G142</f>
        <v>0</v>
      </c>
      <c r="H142" s="33">
        <f>'Dados - Cliente'!H142</f>
        <v>0</v>
      </c>
      <c r="I142" s="75" t="s">
        <v>4313</v>
      </c>
      <c r="J142" s="52" t="s">
        <v>4314</v>
      </c>
      <c r="K142" s="52" t="s">
        <v>4314</v>
      </c>
      <c r="L142" s="33">
        <f>'Dados - Cliente'!I142</f>
        <v>0</v>
      </c>
      <c r="M142" s="33">
        <f>'Dados - Cliente'!K142</f>
        <v>0</v>
      </c>
      <c r="N142" s="33">
        <f>'Dados - Cliente'!L142</f>
        <v>0</v>
      </c>
      <c r="O142" s="33">
        <f>'Dados - Cliente'!M142</f>
        <v>0</v>
      </c>
      <c r="P142" s="33">
        <f>'Dados - Cliente'!N142</f>
        <v>0</v>
      </c>
      <c r="Q142" s="33">
        <f>'Dados - Cliente'!O142</f>
        <v>0</v>
      </c>
      <c r="R142" s="33">
        <f>'Dados - Cliente'!P142</f>
        <v>0</v>
      </c>
      <c r="S142" s="33">
        <f>'Dados - Cliente'!Q142</f>
        <v>0</v>
      </c>
      <c r="T142" s="33">
        <f>'Dados - Cliente'!R142</f>
        <v>0</v>
      </c>
      <c r="U142" s="34">
        <f>'Dados - Cliente'!S142</f>
        <v>0</v>
      </c>
      <c r="V142" s="34">
        <f>'Dados - Cliente'!T142</f>
        <v>0</v>
      </c>
      <c r="W142" s="34">
        <f>'Dados - Cliente'!U142</f>
        <v>0</v>
      </c>
      <c r="X142" s="34">
        <f>'Dados - Cliente'!V142</f>
        <v>0</v>
      </c>
      <c r="Y142" s="34">
        <f>'Dados - Cliente'!W142</f>
        <v>0</v>
      </c>
      <c r="Z142" s="34">
        <f>'Dados - Cliente'!X142</f>
        <v>0</v>
      </c>
      <c r="AA142" s="33" t="e">
        <f t="shared" si="15"/>
        <v>#N/A</v>
      </c>
      <c r="AB142" s="33">
        <f>'Dados - Cliente'!Y142</f>
        <v>0</v>
      </c>
      <c r="AC142" s="33">
        <f>'Dados - Cliente'!Z142</f>
        <v>0</v>
      </c>
      <c r="AD142" s="33">
        <f>'Dados - Cliente'!AA142</f>
        <v>0</v>
      </c>
      <c r="AE142" s="33">
        <f>'Dados - Cliente'!AB142</f>
        <v>0</v>
      </c>
      <c r="AF142" s="33">
        <f>'Dados - Cliente'!AC142</f>
        <v>0</v>
      </c>
      <c r="AG142" s="35">
        <f>'Dados - Cliente'!AD142</f>
        <v>0</v>
      </c>
      <c r="AH142" s="33" t="e">
        <f>INDEX('Dados - Placas'!$A:$A,MATCH('1'!AG142,'Dados - Placas'!$D:$D,0))</f>
        <v>#N/A</v>
      </c>
      <c r="AI142" s="35" t="e">
        <f>INDEX('Dados - Placas'!$E:$E,MATCH('1'!AG142,'Dados - Placas'!$D:$D,0))</f>
        <v>#N/A</v>
      </c>
      <c r="AJ142" s="34" t="e">
        <f>INDEX('Dados - Placas'!$F:$F,MATCH('1'!AG142,'Dados - Placas'!$D:$D,0))*AF142</f>
        <v>#N/A</v>
      </c>
      <c r="AK142" s="33">
        <f>'Dados - Cliente'!AE142</f>
        <v>0</v>
      </c>
      <c r="AL142" s="33">
        <f>'Dados - Cliente'!AF142</f>
        <v>0</v>
      </c>
      <c r="AM142" s="36" t="e">
        <f>INDEX('Dados - Inversores'!$A:$A,MATCH('1'!AL142,'Dados - Inversores'!$C:$C,0))</f>
        <v>#N/A</v>
      </c>
      <c r="AN142" s="33">
        <f>'Dados - Cliente'!AG142</f>
        <v>0</v>
      </c>
      <c r="AO142" s="33" t="e">
        <f>AA142*1.25/(0.22*SQRT(INDEX('Dados - Inversores'!AK:AK,MATCH('1'!AL142,'Dados - Inversores'!C:C,0))))</f>
        <v>#N/A</v>
      </c>
      <c r="AP142" s="34">
        <f>INDEX(Dados!$E$2:$E$33,COUNTIF(Dados!$E$2:$E$33,"&lt;="&amp;AN142*1.25/(INDEX('Dados - Inversores'!AL:AL,MATCH('1'!AL142,'Dados - Inversores'!C:C,0))*SQRT(INDEX('Dados - Inversores'!AK:AK,MATCH('1'!AL142,'Dados - Inversores'!C:C,0)))))+1)</f>
        <v>2</v>
      </c>
      <c r="AQ142" s="33" t="s">
        <v>59</v>
      </c>
      <c r="AR142" s="33" t="str">
        <f t="shared" si="16"/>
        <v>Micro</v>
      </c>
      <c r="AS142" s="33">
        <f>'Dados - Cliente'!AH142</f>
        <v>0</v>
      </c>
      <c r="AT142" s="33">
        <f>'Dados - Cliente'!AI142</f>
        <v>0</v>
      </c>
      <c r="AU142" s="33" t="e">
        <f>INDEX('Dados - Placas'!$N:$N,MATCH('1'!AG142,'Dados - Placas'!$D:$D,0))-1</f>
        <v>#N/A</v>
      </c>
      <c r="AV142" s="33" t="e">
        <f>INDEX('Dados - Placas'!$O:$O,MATCH('1'!AG142,'Dados - Placas'!$D:$D,0))</f>
        <v>#N/A</v>
      </c>
      <c r="AW142" s="33" t="e">
        <f>INDEX('Dados - Inversores'!AM:AM,MATCH('1'!AL142,'Dados - Inversores'!$C:$C,0))-1</f>
        <v>#N/A</v>
      </c>
      <c r="AX142" s="33" t="e">
        <f>INDEX('Dados - Inversores'!AN:AN,MATCH('1'!AL142,'Dados - Inversores'!$C:$C,0))-1</f>
        <v>#N/A</v>
      </c>
      <c r="AY142" s="33" t="e">
        <f>MATCH('1'!H142,Dados!$D$89:$D$167,0)+1</f>
        <v>#N/A</v>
      </c>
      <c r="AZ142" s="33" t="e">
        <f>MATCH('1'!N142,'Dados - Solicitação de acesso'!$N$2:$N$8,0)</f>
        <v>#N/A</v>
      </c>
      <c r="BA142" s="33" t="e">
        <f>MATCH('1'!T142,'Dados - Solicitação de acesso'!$T$2:$T$20,0)</f>
        <v>#N/A</v>
      </c>
      <c r="BB142" s="34"/>
      <c r="BC142" s="33">
        <f>MATCH(AT142,'Dados - Solicitação de acesso'!$AT$2:$AT$28,0)</f>
        <v>1</v>
      </c>
      <c r="BD142" s="33" t="b">
        <f>IF(O142="TRIFASICO",INDEX(Dados!G:G,MATCH('1'!AP142,Dados!E:E,0)),IF(O142="BIFASICO",INDEX(Dados!F:F,MATCH('1'!AP142,Dados!E:E,0),)))</f>
        <v>0</v>
      </c>
      <c r="BE142" s="33">
        <f>'Dados - Cliente'!J142</f>
        <v>0</v>
      </c>
      <c r="BF142" s="34">
        <f>INDEX(Dados!$E$2:$E$33,COUNTIF(Dados!$E$2:$E$33,"&lt;="&amp;AN142*1.25*AK142/(0.22*SQRT(INDEX('Dados - Inversores'!AK:AK,MATCH('1'!AL142,'Dados - Inversores'!C:C,0)))))+1)</f>
        <v>2</v>
      </c>
      <c r="BG142" s="34" t="b">
        <f>IF(O142="TRIFASICO",INDEX(Dados!G:G,MATCH(BF142,Dados!E:E,0)),IF(O142="BIFASICO",INDEX(Dados!F:F,MATCH(BF142,Dados!E:E,0),)))</f>
        <v>0</v>
      </c>
    </row>
    <row r="143" spans="1:59" s="33" customFormat="1" x14ac:dyDescent="0.35">
      <c r="A143" s="33">
        <f>'Dados - Cliente'!A143</f>
        <v>0</v>
      </c>
      <c r="B143" s="33">
        <f>'Dados - Cliente'!B143</f>
        <v>0</v>
      </c>
      <c r="C143" s="33">
        <f>'Dados - Cliente'!C143</f>
        <v>0</v>
      </c>
      <c r="D143" s="33">
        <f>'Dados - Cliente'!D143</f>
        <v>0</v>
      </c>
      <c r="E143" s="33">
        <f>'Dados - Cliente'!E143</f>
        <v>0</v>
      </c>
      <c r="F143" s="33">
        <f>'Dados - Cliente'!F143</f>
        <v>0</v>
      </c>
      <c r="G143" s="33">
        <f>'Dados - Cliente'!G143</f>
        <v>0</v>
      </c>
      <c r="H143" s="33">
        <f>'Dados - Cliente'!H143</f>
        <v>0</v>
      </c>
      <c r="I143" s="75" t="s">
        <v>4313</v>
      </c>
      <c r="J143" s="52" t="s">
        <v>4314</v>
      </c>
      <c r="K143" s="52" t="s">
        <v>4314</v>
      </c>
      <c r="L143" s="33">
        <f>'Dados - Cliente'!I143</f>
        <v>0</v>
      </c>
      <c r="M143" s="33">
        <f>'Dados - Cliente'!K143</f>
        <v>0</v>
      </c>
      <c r="N143" s="33">
        <f>'Dados - Cliente'!L143</f>
        <v>0</v>
      </c>
      <c r="O143" s="33">
        <f>'Dados - Cliente'!M143</f>
        <v>0</v>
      </c>
      <c r="P143" s="33">
        <f>'Dados - Cliente'!N143</f>
        <v>0</v>
      </c>
      <c r="Q143" s="33">
        <f>'Dados - Cliente'!O143</f>
        <v>0</v>
      </c>
      <c r="R143" s="33">
        <f>'Dados - Cliente'!P143</f>
        <v>0</v>
      </c>
      <c r="S143" s="33">
        <f>'Dados - Cliente'!Q143</f>
        <v>0</v>
      </c>
      <c r="T143" s="33">
        <f>'Dados - Cliente'!R143</f>
        <v>0</v>
      </c>
      <c r="U143" s="34">
        <f>'Dados - Cliente'!S143</f>
        <v>0</v>
      </c>
      <c r="V143" s="34">
        <f>'Dados - Cliente'!T143</f>
        <v>0</v>
      </c>
      <c r="W143" s="34">
        <f>'Dados - Cliente'!U143</f>
        <v>0</v>
      </c>
      <c r="X143" s="34">
        <f>'Dados - Cliente'!V143</f>
        <v>0</v>
      </c>
      <c r="Y143" s="34">
        <f>'Dados - Cliente'!W143</f>
        <v>0</v>
      </c>
      <c r="Z143" s="34">
        <f>'Dados - Cliente'!X143</f>
        <v>0</v>
      </c>
      <c r="AA143" s="33" t="e">
        <f t="shared" si="15"/>
        <v>#N/A</v>
      </c>
      <c r="AB143" s="33">
        <f>'Dados - Cliente'!Y143</f>
        <v>0</v>
      </c>
      <c r="AC143" s="33">
        <f>'Dados - Cliente'!Z143</f>
        <v>0</v>
      </c>
      <c r="AD143" s="33">
        <f>'Dados - Cliente'!AA143</f>
        <v>0</v>
      </c>
      <c r="AE143" s="33">
        <f>'Dados - Cliente'!AB143</f>
        <v>0</v>
      </c>
      <c r="AF143" s="33">
        <f>'Dados - Cliente'!AC143</f>
        <v>0</v>
      </c>
      <c r="AG143" s="35">
        <f>'Dados - Cliente'!AD143</f>
        <v>0</v>
      </c>
      <c r="AH143" s="33" t="e">
        <f>INDEX('Dados - Placas'!$A:$A,MATCH('1'!AG143,'Dados - Placas'!$D:$D,0))</f>
        <v>#N/A</v>
      </c>
      <c r="AI143" s="35" t="e">
        <f>INDEX('Dados - Placas'!$E:$E,MATCH('1'!AG143,'Dados - Placas'!$D:$D,0))</f>
        <v>#N/A</v>
      </c>
      <c r="AJ143" s="34" t="e">
        <f>INDEX('Dados - Placas'!$F:$F,MATCH('1'!AG143,'Dados - Placas'!$D:$D,0))*AF143</f>
        <v>#N/A</v>
      </c>
      <c r="AK143" s="33">
        <f>'Dados - Cliente'!AE143</f>
        <v>0</v>
      </c>
      <c r="AL143" s="33">
        <f>'Dados - Cliente'!AF143</f>
        <v>0</v>
      </c>
      <c r="AM143" s="36" t="e">
        <f>INDEX('Dados - Inversores'!$A:$A,MATCH('1'!AL143,'Dados - Inversores'!$C:$C,0))</f>
        <v>#N/A</v>
      </c>
      <c r="AN143" s="33">
        <f>'Dados - Cliente'!AG143</f>
        <v>0</v>
      </c>
      <c r="AO143" s="33" t="e">
        <f>AA143*1.25/(0.22*SQRT(INDEX('Dados - Inversores'!AK:AK,MATCH('1'!AL143,'Dados - Inversores'!C:C,0))))</f>
        <v>#N/A</v>
      </c>
      <c r="AP143" s="34">
        <f>INDEX(Dados!$E$2:$E$33,COUNTIF(Dados!$E$2:$E$33,"&lt;="&amp;AN143*1.25/(INDEX('Dados - Inversores'!AL:AL,MATCH('1'!AL143,'Dados - Inversores'!C:C,0))*SQRT(INDEX('Dados - Inversores'!AK:AK,MATCH('1'!AL143,'Dados - Inversores'!C:C,0)))))+1)</f>
        <v>2</v>
      </c>
      <c r="AQ143" s="33" t="s">
        <v>59</v>
      </c>
      <c r="AR143" s="33" t="str">
        <f t="shared" si="16"/>
        <v>Micro</v>
      </c>
      <c r="AS143" s="33">
        <f>'Dados - Cliente'!AH143</f>
        <v>0</v>
      </c>
      <c r="AT143" s="33">
        <f>'Dados - Cliente'!AI143</f>
        <v>0</v>
      </c>
      <c r="AU143" s="33" t="e">
        <f>INDEX('Dados - Placas'!$N:$N,MATCH('1'!AG143,'Dados - Placas'!$D:$D,0))-1</f>
        <v>#N/A</v>
      </c>
      <c r="AV143" s="33" t="e">
        <f>INDEX('Dados - Placas'!$O:$O,MATCH('1'!AG143,'Dados - Placas'!$D:$D,0))</f>
        <v>#N/A</v>
      </c>
      <c r="AW143" s="33" t="e">
        <f>INDEX('Dados - Inversores'!AM:AM,MATCH('1'!AL143,'Dados - Inversores'!$C:$C,0))-1</f>
        <v>#N/A</v>
      </c>
      <c r="AX143" s="33" t="e">
        <f>INDEX('Dados - Inversores'!AN:AN,MATCH('1'!AL143,'Dados - Inversores'!$C:$C,0))-1</f>
        <v>#N/A</v>
      </c>
      <c r="AY143" s="33" t="e">
        <f>MATCH('1'!H143,Dados!$D$89:$D$167,0)+1</f>
        <v>#N/A</v>
      </c>
      <c r="AZ143" s="33" t="e">
        <f>MATCH('1'!N143,'Dados - Solicitação de acesso'!$N$2:$N$8,0)</f>
        <v>#N/A</v>
      </c>
      <c r="BA143" s="33" t="e">
        <f>MATCH('1'!T143,'Dados - Solicitação de acesso'!$T$2:$T$20,0)</f>
        <v>#N/A</v>
      </c>
      <c r="BB143" s="34"/>
      <c r="BC143" s="33">
        <f>MATCH(AT143,'Dados - Solicitação de acesso'!$AT$2:$AT$28,0)</f>
        <v>1</v>
      </c>
      <c r="BD143" s="33" t="b">
        <f>IF(O143="TRIFASICO",INDEX(Dados!G:G,MATCH('1'!AP143,Dados!E:E,0)),IF(O143="BIFASICO",INDEX(Dados!F:F,MATCH('1'!AP143,Dados!E:E,0),)))</f>
        <v>0</v>
      </c>
      <c r="BE143" s="33">
        <f>'Dados - Cliente'!J143</f>
        <v>0</v>
      </c>
      <c r="BF143" s="34">
        <f>INDEX(Dados!$E$2:$E$33,COUNTIF(Dados!$E$2:$E$33,"&lt;="&amp;AN143*1.25*AK143/(0.22*SQRT(INDEX('Dados - Inversores'!AK:AK,MATCH('1'!AL143,'Dados - Inversores'!C:C,0)))))+1)</f>
        <v>2</v>
      </c>
      <c r="BG143" s="34" t="b">
        <f>IF(O143="TRIFASICO",INDEX(Dados!G:G,MATCH(BF143,Dados!E:E,0)),IF(O143="BIFASICO",INDEX(Dados!F:F,MATCH(BF143,Dados!E:E,0),)))</f>
        <v>0</v>
      </c>
    </row>
    <row r="144" spans="1:59" s="33" customFormat="1" x14ac:dyDescent="0.35">
      <c r="A144" s="33">
        <f>'Dados - Cliente'!A144</f>
        <v>0</v>
      </c>
      <c r="B144" s="33">
        <f>'Dados - Cliente'!B144</f>
        <v>0</v>
      </c>
      <c r="C144" s="33">
        <f>'Dados - Cliente'!C144</f>
        <v>0</v>
      </c>
      <c r="D144" s="33">
        <f>'Dados - Cliente'!D144</f>
        <v>0</v>
      </c>
      <c r="E144" s="33">
        <f>'Dados - Cliente'!E144</f>
        <v>0</v>
      </c>
      <c r="F144" s="33">
        <f>'Dados - Cliente'!F144</f>
        <v>0</v>
      </c>
      <c r="G144" s="33">
        <f>'Dados - Cliente'!G144</f>
        <v>0</v>
      </c>
      <c r="H144" s="33">
        <f>'Dados - Cliente'!H144</f>
        <v>0</v>
      </c>
      <c r="I144" s="75" t="s">
        <v>4313</v>
      </c>
      <c r="J144" s="52" t="s">
        <v>4314</v>
      </c>
      <c r="K144" s="52" t="s">
        <v>4314</v>
      </c>
      <c r="L144" s="33">
        <f>'Dados - Cliente'!I144</f>
        <v>0</v>
      </c>
      <c r="M144" s="33">
        <f>'Dados - Cliente'!K144</f>
        <v>0</v>
      </c>
      <c r="N144" s="33">
        <f>'Dados - Cliente'!L144</f>
        <v>0</v>
      </c>
      <c r="O144" s="33">
        <f>'Dados - Cliente'!M144</f>
        <v>0</v>
      </c>
      <c r="P144" s="33">
        <f>'Dados - Cliente'!N144</f>
        <v>0</v>
      </c>
      <c r="Q144" s="33">
        <f>'Dados - Cliente'!O144</f>
        <v>0</v>
      </c>
      <c r="R144" s="33">
        <f>'Dados - Cliente'!P144</f>
        <v>0</v>
      </c>
      <c r="S144" s="33">
        <f>'Dados - Cliente'!Q144</f>
        <v>0</v>
      </c>
      <c r="T144" s="33">
        <f>'Dados - Cliente'!R144</f>
        <v>0</v>
      </c>
      <c r="U144" s="34">
        <f>'Dados - Cliente'!S144</f>
        <v>0</v>
      </c>
      <c r="V144" s="34">
        <f>'Dados - Cliente'!T144</f>
        <v>0</v>
      </c>
      <c r="W144" s="34">
        <f>'Dados - Cliente'!U144</f>
        <v>0</v>
      </c>
      <c r="X144" s="34">
        <f>'Dados - Cliente'!V144</f>
        <v>0</v>
      </c>
      <c r="Y144" s="34">
        <f>'Dados - Cliente'!W144</f>
        <v>0</v>
      </c>
      <c r="Z144" s="34">
        <f>'Dados - Cliente'!X144</f>
        <v>0</v>
      </c>
      <c r="AA144" s="33" t="e">
        <f t="shared" si="15"/>
        <v>#N/A</v>
      </c>
      <c r="AB144" s="33">
        <f>'Dados - Cliente'!Y144</f>
        <v>0</v>
      </c>
      <c r="AC144" s="33">
        <f>'Dados - Cliente'!Z144</f>
        <v>0</v>
      </c>
      <c r="AD144" s="33">
        <f>'Dados - Cliente'!AA144</f>
        <v>0</v>
      </c>
      <c r="AE144" s="33">
        <f>'Dados - Cliente'!AB144</f>
        <v>0</v>
      </c>
      <c r="AF144" s="33">
        <f>'Dados - Cliente'!AC144</f>
        <v>0</v>
      </c>
      <c r="AG144" s="35">
        <f>'Dados - Cliente'!AD144</f>
        <v>0</v>
      </c>
      <c r="AH144" s="33" t="e">
        <f>INDEX('Dados - Placas'!$A:$A,MATCH('1'!AG144,'Dados - Placas'!$D:$D,0))</f>
        <v>#N/A</v>
      </c>
      <c r="AI144" s="35" t="e">
        <f>INDEX('Dados - Placas'!$E:$E,MATCH('1'!AG144,'Dados - Placas'!$D:$D,0))</f>
        <v>#N/A</v>
      </c>
      <c r="AJ144" s="34" t="e">
        <f>INDEX('Dados - Placas'!$F:$F,MATCH('1'!AG144,'Dados - Placas'!$D:$D,0))*AF144</f>
        <v>#N/A</v>
      </c>
      <c r="AK144" s="33">
        <f>'Dados - Cliente'!AE144</f>
        <v>0</v>
      </c>
      <c r="AL144" s="33">
        <f>'Dados - Cliente'!AF144</f>
        <v>0</v>
      </c>
      <c r="AM144" s="36" t="e">
        <f>INDEX('Dados - Inversores'!$A:$A,MATCH('1'!AL144,'Dados - Inversores'!$C:$C,0))</f>
        <v>#N/A</v>
      </c>
      <c r="AN144" s="33">
        <f>'Dados - Cliente'!AG144</f>
        <v>0</v>
      </c>
      <c r="AO144" s="33" t="e">
        <f>AA144*1.25/(0.22*SQRT(INDEX('Dados - Inversores'!AK:AK,MATCH('1'!AL144,'Dados - Inversores'!C:C,0))))</f>
        <v>#N/A</v>
      </c>
      <c r="AP144" s="34">
        <f>INDEX(Dados!$E$2:$E$33,COUNTIF(Dados!$E$2:$E$33,"&lt;="&amp;AN144*1.25/(INDEX('Dados - Inversores'!AL:AL,MATCH('1'!AL144,'Dados - Inversores'!C:C,0))*SQRT(INDEX('Dados - Inversores'!AK:AK,MATCH('1'!AL144,'Dados - Inversores'!C:C,0)))))+1)</f>
        <v>2</v>
      </c>
      <c r="AQ144" s="33" t="s">
        <v>59</v>
      </c>
      <c r="AR144" s="33" t="str">
        <f t="shared" si="16"/>
        <v>Micro</v>
      </c>
      <c r="AS144" s="33">
        <f>'Dados - Cliente'!AH144</f>
        <v>0</v>
      </c>
      <c r="AT144" s="33">
        <f>'Dados - Cliente'!AI144</f>
        <v>0</v>
      </c>
      <c r="AU144" s="33" t="e">
        <f>INDEX('Dados - Placas'!$N:$N,MATCH('1'!AG144,'Dados - Placas'!$D:$D,0))-1</f>
        <v>#N/A</v>
      </c>
      <c r="AV144" s="33" t="e">
        <f>INDEX('Dados - Placas'!$O:$O,MATCH('1'!AG144,'Dados - Placas'!$D:$D,0))</f>
        <v>#N/A</v>
      </c>
      <c r="AW144" s="33" t="e">
        <f>INDEX('Dados - Inversores'!AM:AM,MATCH('1'!AL144,'Dados - Inversores'!$C:$C,0))-1</f>
        <v>#N/A</v>
      </c>
      <c r="AX144" s="33" t="e">
        <f>INDEX('Dados - Inversores'!AN:AN,MATCH('1'!AL144,'Dados - Inversores'!$C:$C,0))-1</f>
        <v>#N/A</v>
      </c>
      <c r="AY144" s="33" t="e">
        <f>MATCH('1'!H144,Dados!$D$89:$D$167,0)+1</f>
        <v>#N/A</v>
      </c>
      <c r="AZ144" s="33" t="e">
        <f>MATCH('1'!N144,'Dados - Solicitação de acesso'!$N$2:$N$8,0)</f>
        <v>#N/A</v>
      </c>
      <c r="BA144" s="33" t="e">
        <f>MATCH('1'!T144,'Dados - Solicitação de acesso'!$T$2:$T$20,0)</f>
        <v>#N/A</v>
      </c>
      <c r="BB144" s="34"/>
      <c r="BC144" s="33">
        <f>MATCH(AT144,'Dados - Solicitação de acesso'!$AT$2:$AT$28,0)</f>
        <v>1</v>
      </c>
      <c r="BD144" s="33" t="b">
        <f>IF(O144="TRIFASICO",INDEX(Dados!G:G,MATCH('1'!AP144,Dados!E:E,0)),IF(O144="BIFASICO",INDEX(Dados!F:F,MATCH('1'!AP144,Dados!E:E,0),)))</f>
        <v>0</v>
      </c>
      <c r="BE144" s="33">
        <f>'Dados - Cliente'!J144</f>
        <v>0</v>
      </c>
      <c r="BF144" s="34">
        <f>INDEX(Dados!$E$2:$E$33,COUNTIF(Dados!$E$2:$E$33,"&lt;="&amp;AN144*1.25*AK144/(0.22*SQRT(INDEX('Dados - Inversores'!AK:AK,MATCH('1'!AL144,'Dados - Inversores'!C:C,0)))))+1)</f>
        <v>2</v>
      </c>
      <c r="BG144" s="34" t="b">
        <f>IF(O144="TRIFASICO",INDEX(Dados!G:G,MATCH(BF144,Dados!E:E,0)),IF(O144="BIFASICO",INDEX(Dados!F:F,MATCH(BF144,Dados!E:E,0),)))</f>
        <v>0</v>
      </c>
    </row>
    <row r="145" spans="1:59" s="33" customFormat="1" x14ac:dyDescent="0.35">
      <c r="A145" s="33">
        <f>'Dados - Cliente'!A145</f>
        <v>0</v>
      </c>
      <c r="B145" s="33">
        <f>'Dados - Cliente'!B145</f>
        <v>0</v>
      </c>
      <c r="C145" s="33">
        <f>'Dados - Cliente'!C145</f>
        <v>0</v>
      </c>
      <c r="D145" s="33">
        <f>'Dados - Cliente'!D145</f>
        <v>0</v>
      </c>
      <c r="E145" s="33">
        <f>'Dados - Cliente'!E145</f>
        <v>0</v>
      </c>
      <c r="F145" s="33">
        <f>'Dados - Cliente'!F145</f>
        <v>0</v>
      </c>
      <c r="G145" s="33">
        <f>'Dados - Cliente'!G145</f>
        <v>0</v>
      </c>
      <c r="H145" s="33">
        <f>'Dados - Cliente'!H145</f>
        <v>0</v>
      </c>
      <c r="I145" s="75" t="s">
        <v>4313</v>
      </c>
      <c r="J145" s="52" t="s">
        <v>4314</v>
      </c>
      <c r="K145" s="52" t="s">
        <v>4314</v>
      </c>
      <c r="L145" s="33">
        <f>'Dados - Cliente'!I145</f>
        <v>0</v>
      </c>
      <c r="M145" s="33">
        <f>'Dados - Cliente'!K145</f>
        <v>0</v>
      </c>
      <c r="N145" s="33">
        <f>'Dados - Cliente'!L145</f>
        <v>0</v>
      </c>
      <c r="O145" s="33">
        <f>'Dados - Cliente'!M145</f>
        <v>0</v>
      </c>
      <c r="P145" s="33">
        <f>'Dados - Cliente'!N145</f>
        <v>0</v>
      </c>
      <c r="Q145" s="33">
        <f>'Dados - Cliente'!O145</f>
        <v>0</v>
      </c>
      <c r="R145" s="33">
        <f>'Dados - Cliente'!P145</f>
        <v>0</v>
      </c>
      <c r="S145" s="33">
        <f>'Dados - Cliente'!Q145</f>
        <v>0</v>
      </c>
      <c r="T145" s="33">
        <f>'Dados - Cliente'!R145</f>
        <v>0</v>
      </c>
      <c r="U145" s="34">
        <f>'Dados - Cliente'!S145</f>
        <v>0</v>
      </c>
      <c r="V145" s="34">
        <f>'Dados - Cliente'!T145</f>
        <v>0</v>
      </c>
      <c r="W145" s="34">
        <f>'Dados - Cliente'!U145</f>
        <v>0</v>
      </c>
      <c r="X145" s="34">
        <f>'Dados - Cliente'!V145</f>
        <v>0</v>
      </c>
      <c r="Y145" s="34">
        <f>'Dados - Cliente'!W145</f>
        <v>0</v>
      </c>
      <c r="Z145" s="34">
        <f>'Dados - Cliente'!X145</f>
        <v>0</v>
      </c>
      <c r="AA145" s="33" t="e">
        <f t="shared" si="15"/>
        <v>#N/A</v>
      </c>
      <c r="AB145" s="33">
        <f>'Dados - Cliente'!Y145</f>
        <v>0</v>
      </c>
      <c r="AC145" s="33">
        <f>'Dados - Cliente'!Z145</f>
        <v>0</v>
      </c>
      <c r="AD145" s="33">
        <f>'Dados - Cliente'!AA145</f>
        <v>0</v>
      </c>
      <c r="AE145" s="33">
        <f>'Dados - Cliente'!AB145</f>
        <v>0</v>
      </c>
      <c r="AF145" s="33">
        <f>'Dados - Cliente'!AC145</f>
        <v>0</v>
      </c>
      <c r="AG145" s="35">
        <f>'Dados - Cliente'!AD145</f>
        <v>0</v>
      </c>
      <c r="AH145" s="33" t="e">
        <f>INDEX('Dados - Placas'!$A:$A,MATCH('1'!AG145,'Dados - Placas'!$D:$D,0))</f>
        <v>#N/A</v>
      </c>
      <c r="AI145" s="35" t="e">
        <f>INDEX('Dados - Placas'!$E:$E,MATCH('1'!AG145,'Dados - Placas'!$D:$D,0))</f>
        <v>#N/A</v>
      </c>
      <c r="AJ145" s="34" t="e">
        <f>INDEX('Dados - Placas'!$F:$F,MATCH('1'!AG145,'Dados - Placas'!$D:$D,0))*AF145</f>
        <v>#N/A</v>
      </c>
      <c r="AK145" s="33">
        <f>'Dados - Cliente'!AE145</f>
        <v>0</v>
      </c>
      <c r="AL145" s="33">
        <f>'Dados - Cliente'!AF145</f>
        <v>0</v>
      </c>
      <c r="AM145" s="36" t="e">
        <f>INDEX('Dados - Inversores'!$A:$A,MATCH('1'!AL145,'Dados - Inversores'!$C:$C,0))</f>
        <v>#N/A</v>
      </c>
      <c r="AN145" s="33">
        <f>'Dados - Cliente'!AG145</f>
        <v>0</v>
      </c>
      <c r="AO145" s="33" t="e">
        <f>AA145*1.25/(0.22*SQRT(INDEX('Dados - Inversores'!AK:AK,MATCH('1'!AL145,'Dados - Inversores'!C:C,0))))</f>
        <v>#N/A</v>
      </c>
      <c r="AP145" s="34">
        <f>INDEX(Dados!$E$2:$E$33,COUNTIF(Dados!$E$2:$E$33,"&lt;="&amp;AN145*1.25/(INDEX('Dados - Inversores'!AL:AL,MATCH('1'!AL145,'Dados - Inversores'!C:C,0))*SQRT(INDEX('Dados - Inversores'!AK:AK,MATCH('1'!AL145,'Dados - Inversores'!C:C,0)))))+1)</f>
        <v>2</v>
      </c>
      <c r="AQ145" s="33" t="s">
        <v>59</v>
      </c>
      <c r="AR145" s="33" t="str">
        <f t="shared" si="16"/>
        <v>Micro</v>
      </c>
      <c r="AS145" s="33">
        <f>'Dados - Cliente'!AH145</f>
        <v>0</v>
      </c>
      <c r="AT145" s="33">
        <f>'Dados - Cliente'!AI145</f>
        <v>0</v>
      </c>
      <c r="AU145" s="33" t="e">
        <f>INDEX('Dados - Placas'!$N:$N,MATCH('1'!AG145,'Dados - Placas'!$D:$D,0))-1</f>
        <v>#N/A</v>
      </c>
      <c r="AV145" s="33" t="e">
        <f>INDEX('Dados - Placas'!$O:$O,MATCH('1'!AG145,'Dados - Placas'!$D:$D,0))</f>
        <v>#N/A</v>
      </c>
      <c r="AW145" s="33" t="e">
        <f>INDEX('Dados - Inversores'!AM:AM,MATCH('1'!AL145,'Dados - Inversores'!$C:$C,0))-1</f>
        <v>#N/A</v>
      </c>
      <c r="AX145" s="33" t="e">
        <f>INDEX('Dados - Inversores'!AN:AN,MATCH('1'!AL145,'Dados - Inversores'!$C:$C,0))-1</f>
        <v>#N/A</v>
      </c>
      <c r="AY145" s="33" t="e">
        <f>MATCH('1'!H145,Dados!$D$89:$D$167,0)+1</f>
        <v>#N/A</v>
      </c>
      <c r="AZ145" s="33" t="e">
        <f>MATCH('1'!N145,'Dados - Solicitação de acesso'!$N$2:$N$8,0)</f>
        <v>#N/A</v>
      </c>
      <c r="BA145" s="33" t="e">
        <f>MATCH('1'!T145,'Dados - Solicitação de acesso'!$T$2:$T$20,0)</f>
        <v>#N/A</v>
      </c>
      <c r="BB145" s="34"/>
      <c r="BC145" s="33">
        <f>MATCH(AT145,'Dados - Solicitação de acesso'!$AT$2:$AT$28,0)</f>
        <v>1</v>
      </c>
      <c r="BD145" s="33" t="b">
        <f>IF(O145="TRIFASICO",INDEX(Dados!G:G,MATCH('1'!AP145,Dados!E:E,0)),IF(O145="BIFASICO",INDEX(Dados!F:F,MATCH('1'!AP145,Dados!E:E,0),)))</f>
        <v>0</v>
      </c>
      <c r="BE145" s="33">
        <f>'Dados - Cliente'!J145</f>
        <v>0</v>
      </c>
      <c r="BF145" s="34">
        <f>INDEX(Dados!$E$2:$E$33,COUNTIF(Dados!$E$2:$E$33,"&lt;="&amp;AN145*1.25*AK145/(0.22*SQRT(INDEX('Dados - Inversores'!AK:AK,MATCH('1'!AL145,'Dados - Inversores'!C:C,0)))))+1)</f>
        <v>2</v>
      </c>
      <c r="BG145" s="34" t="b">
        <f>IF(O145="TRIFASICO",INDEX(Dados!G:G,MATCH(BF145,Dados!E:E,0)),IF(O145="BIFASICO",INDEX(Dados!F:F,MATCH(BF145,Dados!E:E,0),)))</f>
        <v>0</v>
      </c>
    </row>
    <row r="146" spans="1:59" s="33" customFormat="1" x14ac:dyDescent="0.35">
      <c r="A146" s="33">
        <f>'Dados - Cliente'!A146</f>
        <v>0</v>
      </c>
      <c r="B146" s="33">
        <f>'Dados - Cliente'!B146</f>
        <v>0</v>
      </c>
      <c r="C146" s="33">
        <f>'Dados - Cliente'!C146</f>
        <v>0</v>
      </c>
      <c r="D146" s="33">
        <f>'Dados - Cliente'!D146</f>
        <v>0</v>
      </c>
      <c r="E146" s="33">
        <f>'Dados - Cliente'!E146</f>
        <v>0</v>
      </c>
      <c r="F146" s="33">
        <f>'Dados - Cliente'!F146</f>
        <v>0</v>
      </c>
      <c r="G146" s="33">
        <f>'Dados - Cliente'!G146</f>
        <v>0</v>
      </c>
      <c r="H146" s="33">
        <f>'Dados - Cliente'!H146</f>
        <v>0</v>
      </c>
      <c r="I146" s="75" t="s">
        <v>4313</v>
      </c>
      <c r="J146" s="52" t="s">
        <v>4314</v>
      </c>
      <c r="K146" s="52" t="s">
        <v>4314</v>
      </c>
      <c r="L146" s="33">
        <f>'Dados - Cliente'!I146</f>
        <v>0</v>
      </c>
      <c r="M146" s="33">
        <f>'Dados - Cliente'!K146</f>
        <v>0</v>
      </c>
      <c r="N146" s="33">
        <f>'Dados - Cliente'!L146</f>
        <v>0</v>
      </c>
      <c r="O146" s="33">
        <f>'Dados - Cliente'!M146</f>
        <v>0</v>
      </c>
      <c r="P146" s="33">
        <f>'Dados - Cliente'!N146</f>
        <v>0</v>
      </c>
      <c r="Q146" s="33">
        <f>'Dados - Cliente'!O146</f>
        <v>0</v>
      </c>
      <c r="R146" s="33">
        <f>'Dados - Cliente'!P146</f>
        <v>0</v>
      </c>
      <c r="S146" s="33">
        <f>'Dados - Cliente'!Q146</f>
        <v>0</v>
      </c>
      <c r="T146" s="33">
        <f>'Dados - Cliente'!R146</f>
        <v>0</v>
      </c>
      <c r="U146" s="34">
        <f>'Dados - Cliente'!S146</f>
        <v>0</v>
      </c>
      <c r="V146" s="34">
        <f>'Dados - Cliente'!T146</f>
        <v>0</v>
      </c>
      <c r="W146" s="34">
        <f>'Dados - Cliente'!U146</f>
        <v>0</v>
      </c>
      <c r="X146" s="34">
        <f>'Dados - Cliente'!V146</f>
        <v>0</v>
      </c>
      <c r="Y146" s="34">
        <f>'Dados - Cliente'!W146</f>
        <v>0</v>
      </c>
      <c r="Z146" s="34">
        <f>'Dados - Cliente'!X146</f>
        <v>0</v>
      </c>
      <c r="AA146" s="33" t="e">
        <f t="shared" si="15"/>
        <v>#N/A</v>
      </c>
      <c r="AB146" s="33">
        <f>'Dados - Cliente'!Y146</f>
        <v>0</v>
      </c>
      <c r="AC146" s="33">
        <f>'Dados - Cliente'!Z146</f>
        <v>0</v>
      </c>
      <c r="AD146" s="33">
        <f>'Dados - Cliente'!AA146</f>
        <v>0</v>
      </c>
      <c r="AE146" s="33">
        <f>'Dados - Cliente'!AB146</f>
        <v>0</v>
      </c>
      <c r="AF146" s="33">
        <f>'Dados - Cliente'!AC146</f>
        <v>0</v>
      </c>
      <c r="AG146" s="35">
        <f>'Dados - Cliente'!AD146</f>
        <v>0</v>
      </c>
      <c r="AH146" s="33" t="e">
        <f>INDEX('Dados - Placas'!$A:$A,MATCH('1'!AG146,'Dados - Placas'!$D:$D,0))</f>
        <v>#N/A</v>
      </c>
      <c r="AI146" s="35" t="e">
        <f>INDEX('Dados - Placas'!$E:$E,MATCH('1'!AG146,'Dados - Placas'!$D:$D,0))</f>
        <v>#N/A</v>
      </c>
      <c r="AJ146" s="34" t="e">
        <f>INDEX('Dados - Placas'!$F:$F,MATCH('1'!AG146,'Dados - Placas'!$D:$D,0))*AF146</f>
        <v>#N/A</v>
      </c>
      <c r="AK146" s="33">
        <f>'Dados - Cliente'!AE146</f>
        <v>0</v>
      </c>
      <c r="AL146" s="33">
        <f>'Dados - Cliente'!AF146</f>
        <v>0</v>
      </c>
      <c r="AM146" s="36" t="e">
        <f>INDEX('Dados - Inversores'!$A:$A,MATCH('1'!AL146,'Dados - Inversores'!$C:$C,0))</f>
        <v>#N/A</v>
      </c>
      <c r="AN146" s="33">
        <f>'Dados - Cliente'!AG146</f>
        <v>0</v>
      </c>
      <c r="AO146" s="33" t="e">
        <f>AA146*1.25/(0.22*SQRT(INDEX('Dados - Inversores'!AK:AK,MATCH('1'!AL146,'Dados - Inversores'!C:C,0))))</f>
        <v>#N/A</v>
      </c>
      <c r="AP146" s="34">
        <f>INDEX(Dados!$E$2:$E$33,COUNTIF(Dados!$E$2:$E$33,"&lt;="&amp;AN146*1.25/(INDEX('Dados - Inversores'!AL:AL,MATCH('1'!AL146,'Dados - Inversores'!C:C,0))*SQRT(INDEX('Dados - Inversores'!AK:AK,MATCH('1'!AL146,'Dados - Inversores'!C:C,0)))))+1)</f>
        <v>2</v>
      </c>
      <c r="AQ146" s="33" t="s">
        <v>59</v>
      </c>
      <c r="AR146" s="33" t="str">
        <f t="shared" si="16"/>
        <v>Micro</v>
      </c>
      <c r="AS146" s="33">
        <f>'Dados - Cliente'!AH146</f>
        <v>0</v>
      </c>
      <c r="AT146" s="33">
        <f>'Dados - Cliente'!AI146</f>
        <v>0</v>
      </c>
      <c r="AU146" s="33" t="e">
        <f>INDEX('Dados - Placas'!$N:$N,MATCH('1'!AG146,'Dados - Placas'!$D:$D,0))-1</f>
        <v>#N/A</v>
      </c>
      <c r="AV146" s="33" t="e">
        <f>INDEX('Dados - Placas'!$O:$O,MATCH('1'!AG146,'Dados - Placas'!$D:$D,0))</f>
        <v>#N/A</v>
      </c>
      <c r="AW146" s="33" t="e">
        <f>INDEX('Dados - Inversores'!AM:AM,MATCH('1'!AL146,'Dados - Inversores'!$C:$C,0))-1</f>
        <v>#N/A</v>
      </c>
      <c r="AX146" s="33" t="e">
        <f>INDEX('Dados - Inversores'!AN:AN,MATCH('1'!AL146,'Dados - Inversores'!$C:$C,0))-1</f>
        <v>#N/A</v>
      </c>
      <c r="AY146" s="33" t="e">
        <f>MATCH('1'!H146,Dados!$D$89:$D$167,0)+1</f>
        <v>#N/A</v>
      </c>
      <c r="AZ146" s="33" t="e">
        <f>MATCH('1'!N146,'Dados - Solicitação de acesso'!$N$2:$N$8,0)</f>
        <v>#N/A</v>
      </c>
      <c r="BA146" s="33" t="e">
        <f>MATCH('1'!T146,'Dados - Solicitação de acesso'!$T$2:$T$20,0)</f>
        <v>#N/A</v>
      </c>
      <c r="BB146" s="34"/>
      <c r="BC146" s="33">
        <f>MATCH(AT146,'Dados - Solicitação de acesso'!$AT$2:$AT$28,0)</f>
        <v>1</v>
      </c>
      <c r="BD146" s="33" t="b">
        <f>IF(O146="TRIFASICO",INDEX(Dados!G:G,MATCH('1'!AP146,Dados!E:E,0)),IF(O146="BIFASICO",INDEX(Dados!F:F,MATCH('1'!AP146,Dados!E:E,0),)))</f>
        <v>0</v>
      </c>
      <c r="BE146" s="33">
        <f>'Dados - Cliente'!J146</f>
        <v>0</v>
      </c>
      <c r="BF146" s="34">
        <f>INDEX(Dados!$E$2:$E$33,COUNTIF(Dados!$E$2:$E$33,"&lt;="&amp;AN146*1.25*AK146/(0.22*SQRT(INDEX('Dados - Inversores'!AK:AK,MATCH('1'!AL146,'Dados - Inversores'!C:C,0)))))+1)</f>
        <v>2</v>
      </c>
      <c r="BG146" s="34" t="b">
        <f>IF(O146="TRIFASICO",INDEX(Dados!G:G,MATCH(BF146,Dados!E:E,0)),IF(O146="BIFASICO",INDEX(Dados!F:F,MATCH(BF146,Dados!E:E,0),)))</f>
        <v>0</v>
      </c>
    </row>
    <row r="147" spans="1:59" s="33" customFormat="1" x14ac:dyDescent="0.35">
      <c r="A147" s="33">
        <f>'Dados - Cliente'!A147</f>
        <v>0</v>
      </c>
      <c r="B147" s="33">
        <f>'Dados - Cliente'!B147</f>
        <v>0</v>
      </c>
      <c r="C147" s="33">
        <f>'Dados - Cliente'!C147</f>
        <v>0</v>
      </c>
      <c r="D147" s="33">
        <f>'Dados - Cliente'!D147</f>
        <v>0</v>
      </c>
      <c r="E147" s="33">
        <f>'Dados - Cliente'!E147</f>
        <v>0</v>
      </c>
      <c r="F147" s="33">
        <f>'Dados - Cliente'!F147</f>
        <v>0</v>
      </c>
      <c r="G147" s="33">
        <f>'Dados - Cliente'!G147</f>
        <v>0</v>
      </c>
      <c r="H147" s="33">
        <f>'Dados - Cliente'!H147</f>
        <v>0</v>
      </c>
      <c r="I147" s="75" t="s">
        <v>4313</v>
      </c>
      <c r="J147" s="52" t="s">
        <v>4314</v>
      </c>
      <c r="K147" s="52" t="s">
        <v>4314</v>
      </c>
      <c r="L147" s="33">
        <f>'Dados - Cliente'!I147</f>
        <v>0</v>
      </c>
      <c r="M147" s="33">
        <f>'Dados - Cliente'!K147</f>
        <v>0</v>
      </c>
      <c r="N147" s="33">
        <f>'Dados - Cliente'!L147</f>
        <v>0</v>
      </c>
      <c r="O147" s="33">
        <f>'Dados - Cliente'!M147</f>
        <v>0</v>
      </c>
      <c r="P147" s="33">
        <f>'Dados - Cliente'!N147</f>
        <v>0</v>
      </c>
      <c r="Q147" s="33">
        <f>'Dados - Cliente'!O147</f>
        <v>0</v>
      </c>
      <c r="R147" s="33">
        <f>'Dados - Cliente'!P147</f>
        <v>0</v>
      </c>
      <c r="S147" s="33">
        <f>'Dados - Cliente'!Q147</f>
        <v>0</v>
      </c>
      <c r="T147" s="33">
        <f>'Dados - Cliente'!R147</f>
        <v>0</v>
      </c>
      <c r="U147" s="34">
        <f>'Dados - Cliente'!S147</f>
        <v>0</v>
      </c>
      <c r="V147" s="34">
        <f>'Dados - Cliente'!T147</f>
        <v>0</v>
      </c>
      <c r="W147" s="34">
        <f>'Dados - Cliente'!U147</f>
        <v>0</v>
      </c>
      <c r="X147" s="34">
        <f>'Dados - Cliente'!V147</f>
        <v>0</v>
      </c>
      <c r="Y147" s="34">
        <f>'Dados - Cliente'!W147</f>
        <v>0</v>
      </c>
      <c r="Z147" s="34">
        <f>'Dados - Cliente'!X147</f>
        <v>0</v>
      </c>
      <c r="AA147" s="33" t="e">
        <f t="shared" si="15"/>
        <v>#N/A</v>
      </c>
      <c r="AB147" s="33">
        <f>'Dados - Cliente'!Y147</f>
        <v>0</v>
      </c>
      <c r="AC147" s="33">
        <f>'Dados - Cliente'!Z147</f>
        <v>0</v>
      </c>
      <c r="AD147" s="33">
        <f>'Dados - Cliente'!AA147</f>
        <v>0</v>
      </c>
      <c r="AE147" s="33">
        <f>'Dados - Cliente'!AB147</f>
        <v>0</v>
      </c>
      <c r="AF147" s="33">
        <f>'Dados - Cliente'!AC147</f>
        <v>0</v>
      </c>
      <c r="AG147" s="35">
        <f>'Dados - Cliente'!AD147</f>
        <v>0</v>
      </c>
      <c r="AH147" s="33" t="e">
        <f>INDEX('Dados - Placas'!$A:$A,MATCH('1'!AG147,'Dados - Placas'!$D:$D,0))</f>
        <v>#N/A</v>
      </c>
      <c r="AI147" s="35" t="e">
        <f>INDEX('Dados - Placas'!$E:$E,MATCH('1'!AG147,'Dados - Placas'!$D:$D,0))</f>
        <v>#N/A</v>
      </c>
      <c r="AJ147" s="34" t="e">
        <f>INDEX('Dados - Placas'!$F:$F,MATCH('1'!AG147,'Dados - Placas'!$D:$D,0))*AF147</f>
        <v>#N/A</v>
      </c>
      <c r="AK147" s="33">
        <f>'Dados - Cliente'!AE147</f>
        <v>0</v>
      </c>
      <c r="AL147" s="33">
        <f>'Dados - Cliente'!AF147</f>
        <v>0</v>
      </c>
      <c r="AM147" s="36" t="e">
        <f>INDEX('Dados - Inversores'!$A:$A,MATCH('1'!AL147,'Dados - Inversores'!$C:$C,0))</f>
        <v>#N/A</v>
      </c>
      <c r="AN147" s="33">
        <f>'Dados - Cliente'!AG147</f>
        <v>0</v>
      </c>
      <c r="AO147" s="33" t="e">
        <f>AA147*1.25/(0.22*SQRT(INDEX('Dados - Inversores'!AK:AK,MATCH('1'!AL147,'Dados - Inversores'!C:C,0))))</f>
        <v>#N/A</v>
      </c>
      <c r="AP147" s="34">
        <f>INDEX(Dados!$E$2:$E$33,COUNTIF(Dados!$E$2:$E$33,"&lt;="&amp;AN147*1.25/(INDEX('Dados - Inversores'!AL:AL,MATCH('1'!AL147,'Dados - Inversores'!C:C,0))*SQRT(INDEX('Dados - Inversores'!AK:AK,MATCH('1'!AL147,'Dados - Inversores'!C:C,0)))))+1)</f>
        <v>2</v>
      </c>
      <c r="AQ147" s="33" t="s">
        <v>59</v>
      </c>
      <c r="AR147" s="33" t="str">
        <f t="shared" si="16"/>
        <v>Micro</v>
      </c>
      <c r="AS147" s="33">
        <f>'Dados - Cliente'!AH147</f>
        <v>0</v>
      </c>
      <c r="AT147" s="33">
        <f>'Dados - Cliente'!AI147</f>
        <v>0</v>
      </c>
      <c r="AU147" s="33" t="e">
        <f>INDEX('Dados - Placas'!$N:$N,MATCH('1'!AG147,'Dados - Placas'!$D:$D,0))-1</f>
        <v>#N/A</v>
      </c>
      <c r="AV147" s="33" t="e">
        <f>INDEX('Dados - Placas'!$O:$O,MATCH('1'!AG147,'Dados - Placas'!$D:$D,0))</f>
        <v>#N/A</v>
      </c>
      <c r="AW147" s="33" t="e">
        <f>INDEX('Dados - Inversores'!AM:AM,MATCH('1'!AL147,'Dados - Inversores'!$C:$C,0))-1</f>
        <v>#N/A</v>
      </c>
      <c r="AX147" s="33" t="e">
        <f>INDEX('Dados - Inversores'!AN:AN,MATCH('1'!AL147,'Dados - Inversores'!$C:$C,0))-1</f>
        <v>#N/A</v>
      </c>
      <c r="AY147" s="33" t="e">
        <f>MATCH('1'!H147,Dados!$D$89:$D$167,0)+1</f>
        <v>#N/A</v>
      </c>
      <c r="AZ147" s="33" t="e">
        <f>MATCH('1'!N147,'Dados - Solicitação de acesso'!$N$2:$N$8,0)</f>
        <v>#N/A</v>
      </c>
      <c r="BA147" s="33" t="e">
        <f>MATCH('1'!T147,'Dados - Solicitação de acesso'!$T$2:$T$20,0)</f>
        <v>#N/A</v>
      </c>
      <c r="BB147" s="34"/>
      <c r="BC147" s="33">
        <f>MATCH(AT147,'Dados - Solicitação de acesso'!$AT$2:$AT$28,0)</f>
        <v>1</v>
      </c>
      <c r="BD147" s="33" t="b">
        <f>IF(O147="TRIFASICO",INDEX(Dados!G:G,MATCH('1'!AP147,Dados!E:E,0)),IF(O147="BIFASICO",INDEX(Dados!F:F,MATCH('1'!AP147,Dados!E:E,0),)))</f>
        <v>0</v>
      </c>
      <c r="BE147" s="33">
        <f>'Dados - Cliente'!J147</f>
        <v>0</v>
      </c>
      <c r="BF147" s="34">
        <f>INDEX(Dados!$E$2:$E$33,COUNTIF(Dados!$E$2:$E$33,"&lt;="&amp;AN147*1.25*AK147/(0.22*SQRT(INDEX('Dados - Inversores'!AK:AK,MATCH('1'!AL147,'Dados - Inversores'!C:C,0)))))+1)</f>
        <v>2</v>
      </c>
      <c r="BG147" s="34" t="b">
        <f>IF(O147="TRIFASICO",INDEX(Dados!G:G,MATCH(BF147,Dados!E:E,0)),IF(O147="BIFASICO",INDEX(Dados!F:F,MATCH(BF147,Dados!E:E,0),)))</f>
        <v>0</v>
      </c>
    </row>
    <row r="148" spans="1:59" s="33" customFormat="1" x14ac:dyDescent="0.35">
      <c r="A148" s="33">
        <f>'Dados - Cliente'!A148</f>
        <v>0</v>
      </c>
      <c r="B148" s="33">
        <f>'Dados - Cliente'!B148</f>
        <v>0</v>
      </c>
      <c r="C148" s="33">
        <f>'Dados - Cliente'!C148</f>
        <v>0</v>
      </c>
      <c r="D148" s="33">
        <f>'Dados - Cliente'!D148</f>
        <v>0</v>
      </c>
      <c r="E148" s="33">
        <f>'Dados - Cliente'!E148</f>
        <v>0</v>
      </c>
      <c r="F148" s="33">
        <f>'Dados - Cliente'!F148</f>
        <v>0</v>
      </c>
      <c r="G148" s="33">
        <f>'Dados - Cliente'!G148</f>
        <v>0</v>
      </c>
      <c r="H148" s="33">
        <f>'Dados - Cliente'!H148</f>
        <v>0</v>
      </c>
      <c r="I148" s="75" t="s">
        <v>4313</v>
      </c>
      <c r="J148" s="52" t="s">
        <v>4314</v>
      </c>
      <c r="K148" s="52" t="s">
        <v>4314</v>
      </c>
      <c r="L148" s="33">
        <f>'Dados - Cliente'!I148</f>
        <v>0</v>
      </c>
      <c r="M148" s="33">
        <f>'Dados - Cliente'!K148</f>
        <v>0</v>
      </c>
      <c r="N148" s="33">
        <f>'Dados - Cliente'!L148</f>
        <v>0</v>
      </c>
      <c r="O148" s="33">
        <f>'Dados - Cliente'!M148</f>
        <v>0</v>
      </c>
      <c r="P148" s="33">
        <f>'Dados - Cliente'!N148</f>
        <v>0</v>
      </c>
      <c r="Q148" s="33">
        <f>'Dados - Cliente'!O148</f>
        <v>0</v>
      </c>
      <c r="R148" s="33">
        <f>'Dados - Cliente'!P148</f>
        <v>0</v>
      </c>
      <c r="S148" s="33">
        <f>'Dados - Cliente'!Q148</f>
        <v>0</v>
      </c>
      <c r="T148" s="33">
        <f>'Dados - Cliente'!R148</f>
        <v>0</v>
      </c>
      <c r="U148" s="34">
        <f>'Dados - Cliente'!S148</f>
        <v>0</v>
      </c>
      <c r="V148" s="34">
        <f>'Dados - Cliente'!T148</f>
        <v>0</v>
      </c>
      <c r="W148" s="34">
        <f>'Dados - Cliente'!U148</f>
        <v>0</v>
      </c>
      <c r="X148" s="34">
        <f>'Dados - Cliente'!V148</f>
        <v>0</v>
      </c>
      <c r="Y148" s="34">
        <f>'Dados - Cliente'!W148</f>
        <v>0</v>
      </c>
      <c r="Z148" s="34">
        <f>'Dados - Cliente'!X148</f>
        <v>0</v>
      </c>
      <c r="AA148" s="33" t="e">
        <f t="shared" si="15"/>
        <v>#N/A</v>
      </c>
      <c r="AB148" s="33">
        <f>'Dados - Cliente'!Y148</f>
        <v>0</v>
      </c>
      <c r="AC148" s="33">
        <f>'Dados - Cliente'!Z148</f>
        <v>0</v>
      </c>
      <c r="AD148" s="33">
        <f>'Dados - Cliente'!AA148</f>
        <v>0</v>
      </c>
      <c r="AE148" s="33">
        <f>'Dados - Cliente'!AB148</f>
        <v>0</v>
      </c>
      <c r="AF148" s="33">
        <f>'Dados - Cliente'!AC148</f>
        <v>0</v>
      </c>
      <c r="AG148" s="35">
        <f>'Dados - Cliente'!AD148</f>
        <v>0</v>
      </c>
      <c r="AH148" s="33" t="e">
        <f>INDEX('Dados - Placas'!$A:$A,MATCH('1'!AG148,'Dados - Placas'!$D:$D,0))</f>
        <v>#N/A</v>
      </c>
      <c r="AI148" s="35" t="e">
        <f>INDEX('Dados - Placas'!$E:$E,MATCH('1'!AG148,'Dados - Placas'!$D:$D,0))</f>
        <v>#N/A</v>
      </c>
      <c r="AJ148" s="34" t="e">
        <f>INDEX('Dados - Placas'!$F:$F,MATCH('1'!AG148,'Dados - Placas'!$D:$D,0))*AF148</f>
        <v>#N/A</v>
      </c>
      <c r="AK148" s="33">
        <f>'Dados - Cliente'!AE148</f>
        <v>0</v>
      </c>
      <c r="AL148" s="33">
        <f>'Dados - Cliente'!AF148</f>
        <v>0</v>
      </c>
      <c r="AM148" s="36" t="e">
        <f>INDEX('Dados - Inversores'!$A:$A,MATCH('1'!AL148,'Dados - Inversores'!$C:$C,0))</f>
        <v>#N/A</v>
      </c>
      <c r="AN148" s="33">
        <f>'Dados - Cliente'!AG148</f>
        <v>0</v>
      </c>
      <c r="AO148" s="33" t="e">
        <f>AA148*1.25/(0.22*SQRT(INDEX('Dados - Inversores'!AK:AK,MATCH('1'!AL148,'Dados - Inversores'!C:C,0))))</f>
        <v>#N/A</v>
      </c>
      <c r="AP148" s="34">
        <f>INDEX(Dados!$E$2:$E$33,COUNTIF(Dados!$E$2:$E$33,"&lt;="&amp;AN148*1.25/(INDEX('Dados - Inversores'!AL:AL,MATCH('1'!AL148,'Dados - Inversores'!C:C,0))*SQRT(INDEX('Dados - Inversores'!AK:AK,MATCH('1'!AL148,'Dados - Inversores'!C:C,0)))))+1)</f>
        <v>2</v>
      </c>
      <c r="AQ148" s="33" t="s">
        <v>59</v>
      </c>
      <c r="AR148" s="33" t="str">
        <f t="shared" si="16"/>
        <v>Micro</v>
      </c>
      <c r="AS148" s="33">
        <f>'Dados - Cliente'!AH148</f>
        <v>0</v>
      </c>
      <c r="AT148" s="33">
        <f>'Dados - Cliente'!AI148</f>
        <v>0</v>
      </c>
      <c r="AU148" s="33" t="e">
        <f>INDEX('Dados - Placas'!$N:$N,MATCH('1'!AG148,'Dados - Placas'!$D:$D,0))-1</f>
        <v>#N/A</v>
      </c>
      <c r="AV148" s="33" t="e">
        <f>INDEX('Dados - Placas'!$O:$O,MATCH('1'!AG148,'Dados - Placas'!$D:$D,0))</f>
        <v>#N/A</v>
      </c>
      <c r="AW148" s="33" t="e">
        <f>INDEX('Dados - Inversores'!AM:AM,MATCH('1'!AL148,'Dados - Inversores'!$C:$C,0))-1</f>
        <v>#N/A</v>
      </c>
      <c r="AX148" s="33" t="e">
        <f>INDEX('Dados - Inversores'!AN:AN,MATCH('1'!AL148,'Dados - Inversores'!$C:$C,0))-1</f>
        <v>#N/A</v>
      </c>
      <c r="AY148" s="33" t="e">
        <f>MATCH('1'!H148,Dados!$D$89:$D$167,0)+1</f>
        <v>#N/A</v>
      </c>
      <c r="AZ148" s="33" t="e">
        <f>MATCH('1'!N148,'Dados - Solicitação de acesso'!$N$2:$N$8,0)</f>
        <v>#N/A</v>
      </c>
      <c r="BA148" s="33" t="e">
        <f>MATCH('1'!T148,'Dados - Solicitação de acesso'!$T$2:$T$20,0)</f>
        <v>#N/A</v>
      </c>
      <c r="BB148" s="34"/>
      <c r="BC148" s="33">
        <f>MATCH(AT148,'Dados - Solicitação de acesso'!$AT$2:$AT$28,0)</f>
        <v>1</v>
      </c>
      <c r="BD148" s="33" t="b">
        <f>IF(O148="TRIFASICO",INDEX(Dados!G:G,MATCH('1'!AP148,Dados!E:E,0)),IF(O148="BIFASICO",INDEX(Dados!F:F,MATCH('1'!AP148,Dados!E:E,0),)))</f>
        <v>0</v>
      </c>
      <c r="BE148" s="33">
        <f>'Dados - Cliente'!J148</f>
        <v>0</v>
      </c>
      <c r="BF148" s="34">
        <f>INDEX(Dados!$E$2:$E$33,COUNTIF(Dados!$E$2:$E$33,"&lt;="&amp;AN148*1.25*AK148/(0.22*SQRT(INDEX('Dados - Inversores'!AK:AK,MATCH('1'!AL148,'Dados - Inversores'!C:C,0)))))+1)</f>
        <v>2</v>
      </c>
      <c r="BG148" s="34" t="b">
        <f>IF(O148="TRIFASICO",INDEX(Dados!G:G,MATCH(BF148,Dados!E:E,0)),IF(O148="BIFASICO",INDEX(Dados!F:F,MATCH(BF148,Dados!E:E,0),)))</f>
        <v>0</v>
      </c>
    </row>
    <row r="149" spans="1:59" s="33" customFormat="1" x14ac:dyDescent="0.35">
      <c r="A149" s="33">
        <f>'Dados - Cliente'!A149</f>
        <v>0</v>
      </c>
      <c r="B149" s="33">
        <f>'Dados - Cliente'!B149</f>
        <v>0</v>
      </c>
      <c r="C149" s="33">
        <f>'Dados - Cliente'!C149</f>
        <v>0</v>
      </c>
      <c r="D149" s="33">
        <f>'Dados - Cliente'!D149</f>
        <v>0</v>
      </c>
      <c r="E149" s="33">
        <f>'Dados - Cliente'!E149</f>
        <v>0</v>
      </c>
      <c r="F149" s="33">
        <f>'Dados - Cliente'!F149</f>
        <v>0</v>
      </c>
      <c r="G149" s="33">
        <f>'Dados - Cliente'!G149</f>
        <v>0</v>
      </c>
      <c r="H149" s="33">
        <f>'Dados - Cliente'!H149</f>
        <v>0</v>
      </c>
      <c r="I149" s="75" t="s">
        <v>4313</v>
      </c>
      <c r="J149" s="52" t="s">
        <v>4314</v>
      </c>
      <c r="K149" s="52" t="s">
        <v>4314</v>
      </c>
      <c r="L149" s="33">
        <f>'Dados - Cliente'!I149</f>
        <v>0</v>
      </c>
      <c r="M149" s="33">
        <f>'Dados - Cliente'!K149</f>
        <v>0</v>
      </c>
      <c r="N149" s="33">
        <f>'Dados - Cliente'!L149</f>
        <v>0</v>
      </c>
      <c r="O149" s="33">
        <f>'Dados - Cliente'!M149</f>
        <v>0</v>
      </c>
      <c r="P149" s="33">
        <f>'Dados - Cliente'!N149</f>
        <v>0</v>
      </c>
      <c r="Q149" s="33">
        <f>'Dados - Cliente'!O149</f>
        <v>0</v>
      </c>
      <c r="R149" s="33">
        <f>'Dados - Cliente'!P149</f>
        <v>0</v>
      </c>
      <c r="S149" s="33">
        <f>'Dados - Cliente'!Q149</f>
        <v>0</v>
      </c>
      <c r="T149" s="33">
        <f>'Dados - Cliente'!R149</f>
        <v>0</v>
      </c>
      <c r="U149" s="34">
        <f>'Dados - Cliente'!S149</f>
        <v>0</v>
      </c>
      <c r="V149" s="34">
        <f>'Dados - Cliente'!T149</f>
        <v>0</v>
      </c>
      <c r="W149" s="34">
        <f>'Dados - Cliente'!U149</f>
        <v>0</v>
      </c>
      <c r="X149" s="34">
        <f>'Dados - Cliente'!V149</f>
        <v>0</v>
      </c>
      <c r="Y149" s="34">
        <f>'Dados - Cliente'!W149</f>
        <v>0</v>
      </c>
      <c r="Z149" s="34">
        <f>'Dados - Cliente'!X149</f>
        <v>0</v>
      </c>
      <c r="AA149" s="33" t="e">
        <f t="shared" si="15"/>
        <v>#N/A</v>
      </c>
      <c r="AB149" s="33">
        <f>'Dados - Cliente'!Y149</f>
        <v>0</v>
      </c>
      <c r="AC149" s="33">
        <f>'Dados - Cliente'!Z149</f>
        <v>0</v>
      </c>
      <c r="AD149" s="33">
        <f>'Dados - Cliente'!AA149</f>
        <v>0</v>
      </c>
      <c r="AE149" s="33">
        <f>'Dados - Cliente'!AB149</f>
        <v>0</v>
      </c>
      <c r="AF149" s="33">
        <f>'Dados - Cliente'!AC149</f>
        <v>0</v>
      </c>
      <c r="AG149" s="35">
        <f>'Dados - Cliente'!AD149</f>
        <v>0</v>
      </c>
      <c r="AH149" s="33" t="e">
        <f>INDEX('Dados - Placas'!$A:$A,MATCH('1'!AG149,'Dados - Placas'!$D:$D,0))</f>
        <v>#N/A</v>
      </c>
      <c r="AI149" s="35" t="e">
        <f>INDEX('Dados - Placas'!$E:$E,MATCH('1'!AG149,'Dados - Placas'!$D:$D,0))</f>
        <v>#N/A</v>
      </c>
      <c r="AJ149" s="34" t="e">
        <f>INDEX('Dados - Placas'!$F:$F,MATCH('1'!AG149,'Dados - Placas'!$D:$D,0))*AF149</f>
        <v>#N/A</v>
      </c>
      <c r="AK149" s="33">
        <f>'Dados - Cliente'!AE149</f>
        <v>0</v>
      </c>
      <c r="AL149" s="33">
        <f>'Dados - Cliente'!AF149</f>
        <v>0</v>
      </c>
      <c r="AM149" s="36" t="e">
        <f>INDEX('Dados - Inversores'!$A:$A,MATCH('1'!AL149,'Dados - Inversores'!$C:$C,0))</f>
        <v>#N/A</v>
      </c>
      <c r="AN149" s="33">
        <f>'Dados - Cliente'!AG149</f>
        <v>0</v>
      </c>
      <c r="AO149" s="33" t="s">
        <v>4178</v>
      </c>
      <c r="AP149" s="34">
        <f>INDEX(Dados!$E$2:$E$33,COUNTIF(Dados!$E$2:$E$33,"&lt;="&amp;AN149*1.25/(INDEX('Dados - Inversores'!AL:AL,MATCH('1'!AL149,'Dados - Inversores'!C:C,0))*SQRT(INDEX('Dados - Inversores'!AK:AK,MATCH('1'!AL149,'Dados - Inversores'!C:C,0)))))+1)</f>
        <v>2</v>
      </c>
      <c r="AQ149" s="33" t="s">
        <v>59</v>
      </c>
      <c r="AR149" s="33" t="str">
        <f t="shared" si="16"/>
        <v>Micro</v>
      </c>
      <c r="AS149" s="33">
        <f>'Dados - Cliente'!AH149</f>
        <v>0</v>
      </c>
      <c r="AT149" s="33">
        <f>'Dados - Cliente'!AI149</f>
        <v>0</v>
      </c>
      <c r="AU149" s="33" t="e">
        <f>INDEX('Dados - Placas'!$N:$N,MATCH('1'!AG149,'Dados - Placas'!$D:$D,0))-1</f>
        <v>#N/A</v>
      </c>
      <c r="AV149" s="33" t="e">
        <f>INDEX('Dados - Placas'!$O:$O,MATCH('1'!AG149,'Dados - Placas'!$D:$D,0))</f>
        <v>#N/A</v>
      </c>
      <c r="AW149" s="33" t="e">
        <f>INDEX('Dados - Inversores'!AM:AM,MATCH('1'!AL149,'Dados - Inversores'!$C:$C,0))-1</f>
        <v>#N/A</v>
      </c>
      <c r="AX149" s="33" t="e">
        <f>INDEX('Dados - Inversores'!AN:AN,MATCH('1'!AL149,'Dados - Inversores'!$C:$C,0))-1</f>
        <v>#N/A</v>
      </c>
      <c r="AY149" s="33" t="e">
        <f>MATCH('1'!H149,Dados!$D$89:$D$167,0)+1</f>
        <v>#N/A</v>
      </c>
      <c r="AZ149" s="33" t="e">
        <f>MATCH('1'!N149,'Dados - Solicitação de acesso'!$N$2:$N$8,0)</f>
        <v>#N/A</v>
      </c>
      <c r="BA149" s="33" t="e">
        <f>MATCH('1'!T149,'Dados - Solicitação de acesso'!$T$2:$T$20,0)</f>
        <v>#N/A</v>
      </c>
      <c r="BB149" s="34"/>
      <c r="BC149" s="33">
        <f>MATCH(AT149,'Dados - Solicitação de acesso'!$AT$2:$AT$28,0)</f>
        <v>1</v>
      </c>
      <c r="BD149" s="33" t="b">
        <f>IF(O149="TRIFASICO",INDEX(Dados!G:G,MATCH('1'!AP149,Dados!E:E,0)),IF(O149="BIFASICO",INDEX(Dados!F:F,MATCH('1'!AP149,Dados!E:E,0),)))</f>
        <v>0</v>
      </c>
      <c r="BE149" s="33">
        <f>'Dados - Cliente'!J149</f>
        <v>0</v>
      </c>
      <c r="BF149" s="34">
        <f>INDEX(Dados!$E$2:$E$33,COUNTIF(Dados!$E$2:$E$33,"&lt;="&amp;AN149*1.25*AK149/(0.22*SQRT(INDEX('Dados - Inversores'!AK:AK,MATCH('1'!AL149,'Dados - Inversores'!C:C,0)))))+1)</f>
        <v>2</v>
      </c>
      <c r="BG149" s="34" t="b">
        <f>IF(O149="TRIFASICO",INDEX(Dados!G:G,MATCH(BF149,Dados!E:E,0)),IF(O149="BIFASICO",INDEX(Dados!F:F,MATCH(BF149,Dados!E:E,0),)))</f>
        <v>0</v>
      </c>
    </row>
    <row r="150" spans="1:59" s="33" customFormat="1" x14ac:dyDescent="0.35">
      <c r="A150" s="33">
        <f>'Dados - Cliente'!A150</f>
        <v>0</v>
      </c>
      <c r="B150" s="33">
        <f>'Dados - Cliente'!B150</f>
        <v>0</v>
      </c>
      <c r="C150" s="33">
        <f>'Dados - Cliente'!C150</f>
        <v>0</v>
      </c>
      <c r="D150" s="33">
        <f>'Dados - Cliente'!D150</f>
        <v>0</v>
      </c>
      <c r="E150" s="33">
        <f>'Dados - Cliente'!E150</f>
        <v>0</v>
      </c>
      <c r="F150" s="33">
        <f>'Dados - Cliente'!F150</f>
        <v>0</v>
      </c>
      <c r="G150" s="33">
        <f>'Dados - Cliente'!G150</f>
        <v>0</v>
      </c>
      <c r="H150" s="33">
        <f>'Dados - Cliente'!H150</f>
        <v>0</v>
      </c>
      <c r="I150" s="75" t="s">
        <v>4313</v>
      </c>
      <c r="J150" s="52" t="s">
        <v>4314</v>
      </c>
      <c r="K150" s="52" t="s">
        <v>4314</v>
      </c>
      <c r="L150" s="33">
        <f>'Dados - Cliente'!I150</f>
        <v>0</v>
      </c>
      <c r="M150" s="33">
        <f>'Dados - Cliente'!K150</f>
        <v>0</v>
      </c>
      <c r="N150" s="33">
        <f>'Dados - Cliente'!L150</f>
        <v>0</v>
      </c>
      <c r="O150" s="33">
        <f>'Dados - Cliente'!M150</f>
        <v>0</v>
      </c>
      <c r="P150" s="33">
        <f>'Dados - Cliente'!N150</f>
        <v>0</v>
      </c>
      <c r="Q150" s="33">
        <f>'Dados - Cliente'!O150</f>
        <v>0</v>
      </c>
      <c r="R150" s="33">
        <f>'Dados - Cliente'!P150</f>
        <v>0</v>
      </c>
      <c r="S150" s="33">
        <f>'Dados - Cliente'!Q150</f>
        <v>0</v>
      </c>
      <c r="T150" s="33">
        <f>'Dados - Cliente'!R150</f>
        <v>0</v>
      </c>
      <c r="U150" s="34">
        <f>'Dados - Cliente'!S150</f>
        <v>0</v>
      </c>
      <c r="V150" s="34">
        <f>'Dados - Cliente'!T150</f>
        <v>0</v>
      </c>
      <c r="W150" s="34">
        <f>'Dados - Cliente'!U150</f>
        <v>0</v>
      </c>
      <c r="X150" s="34">
        <f>'Dados - Cliente'!V150</f>
        <v>0</v>
      </c>
      <c r="Y150" s="34">
        <f>'Dados - Cliente'!W150</f>
        <v>0</v>
      </c>
      <c r="Z150" s="34">
        <f>'Dados - Cliente'!X150</f>
        <v>0</v>
      </c>
      <c r="AA150" s="33" t="e">
        <f t="shared" si="15"/>
        <v>#N/A</v>
      </c>
      <c r="AB150" s="33">
        <f>'Dados - Cliente'!Y150</f>
        <v>0</v>
      </c>
      <c r="AC150" s="33">
        <f>'Dados - Cliente'!Z150</f>
        <v>0</v>
      </c>
      <c r="AD150" s="33">
        <f>'Dados - Cliente'!AA150</f>
        <v>0</v>
      </c>
      <c r="AE150" s="33">
        <f>'Dados - Cliente'!AB150</f>
        <v>0</v>
      </c>
      <c r="AF150" s="33">
        <f>'Dados - Cliente'!AC150</f>
        <v>0</v>
      </c>
      <c r="AG150" s="35">
        <f>'Dados - Cliente'!AD150</f>
        <v>0</v>
      </c>
      <c r="AH150" s="33" t="e">
        <f>INDEX('Dados - Placas'!$A:$A,MATCH('1'!AG150,'Dados - Placas'!$D:$D,0))</f>
        <v>#N/A</v>
      </c>
      <c r="AI150" s="35" t="e">
        <f>INDEX('Dados - Placas'!$E:$E,MATCH('1'!AG150,'Dados - Placas'!$D:$D,0))</f>
        <v>#N/A</v>
      </c>
      <c r="AJ150" s="34" t="e">
        <f>INDEX('Dados - Placas'!$F:$F,MATCH('1'!AG150,'Dados - Placas'!$D:$D,0))*AF150</f>
        <v>#N/A</v>
      </c>
      <c r="AK150" s="33">
        <f>'Dados - Cliente'!AE150</f>
        <v>0</v>
      </c>
      <c r="AL150" s="33">
        <f>'Dados - Cliente'!AF150</f>
        <v>0</v>
      </c>
      <c r="AM150" s="36" t="e">
        <f>INDEX('Dados - Inversores'!$A:$A,MATCH('1'!AL150,'Dados - Inversores'!$C:$C,0))</f>
        <v>#N/A</v>
      </c>
      <c r="AN150" s="33">
        <f>'Dados - Cliente'!AG150</f>
        <v>0</v>
      </c>
      <c r="AO150" s="33" t="e">
        <f>AA150*1.25/(0.22*SQRT(INDEX('Dados - Inversores'!AK:AK,MATCH('1'!AL150,'Dados - Inversores'!C:C,0))))</f>
        <v>#N/A</v>
      </c>
      <c r="AP150" s="34">
        <f>INDEX(Dados!$E$2:$E$33,COUNTIF(Dados!$E$2:$E$33,"&lt;="&amp;AN150*1.25/(INDEX('Dados - Inversores'!AL:AL,MATCH('1'!AL150,'Dados - Inversores'!C:C,0))*SQRT(INDEX('Dados - Inversores'!AK:AK,MATCH('1'!AL150,'Dados - Inversores'!C:C,0)))))+1)</f>
        <v>2</v>
      </c>
      <c r="AQ150" s="33" t="s">
        <v>59</v>
      </c>
      <c r="AR150" s="33" t="str">
        <f t="shared" si="16"/>
        <v>Micro</v>
      </c>
      <c r="AS150" s="33">
        <f>'Dados - Cliente'!AH150</f>
        <v>0</v>
      </c>
      <c r="AT150" s="33">
        <f>'Dados - Cliente'!AI150</f>
        <v>0</v>
      </c>
      <c r="AU150" s="33" t="e">
        <f>INDEX('Dados - Placas'!$N:$N,MATCH('1'!AG150,'Dados - Placas'!$D:$D,0))-1</f>
        <v>#N/A</v>
      </c>
      <c r="AV150" s="33" t="e">
        <f>INDEX('Dados - Placas'!$O:$O,MATCH('1'!AG150,'Dados - Placas'!$D:$D,0))</f>
        <v>#N/A</v>
      </c>
      <c r="AW150" s="33" t="e">
        <f>INDEX('Dados - Inversores'!AM:AM,MATCH('1'!AL150,'Dados - Inversores'!$C:$C,0))-1</f>
        <v>#N/A</v>
      </c>
      <c r="AX150" s="33" t="e">
        <f>INDEX('Dados - Inversores'!AN:AN,MATCH('1'!AL150,'Dados - Inversores'!$C:$C,0))-1</f>
        <v>#N/A</v>
      </c>
      <c r="AY150" s="33" t="e">
        <f>MATCH('1'!H150,Dados!$D$89:$D$167,0)+1</f>
        <v>#N/A</v>
      </c>
      <c r="AZ150" s="33" t="e">
        <f>MATCH('1'!N150,'Dados - Solicitação de acesso'!$N$2:$N$8,0)</f>
        <v>#N/A</v>
      </c>
      <c r="BA150" s="33" t="e">
        <f>MATCH('1'!T150,'Dados - Solicitação de acesso'!$T$2:$T$20,0)</f>
        <v>#N/A</v>
      </c>
      <c r="BB150" s="34"/>
      <c r="BC150" s="33">
        <f>MATCH(AT150,'Dados - Solicitação de acesso'!$AT$2:$AT$28,0)</f>
        <v>1</v>
      </c>
      <c r="BD150" s="33" t="b">
        <f>IF(O150="TRIFASICO",INDEX(Dados!G:G,MATCH('1'!AP150,Dados!E:E,0)),IF(O150="BIFASICO",INDEX(Dados!F:F,MATCH('1'!AP150,Dados!E:E,0),)))</f>
        <v>0</v>
      </c>
      <c r="BE150" s="33">
        <f>'Dados - Cliente'!J150</f>
        <v>0</v>
      </c>
      <c r="BF150" s="34">
        <f>INDEX(Dados!$E$2:$E$33,COUNTIF(Dados!$E$2:$E$33,"&lt;="&amp;AN150*1.25*AK150/(0.22*SQRT(INDEX('Dados - Inversores'!AK:AK,MATCH('1'!AL150,'Dados - Inversores'!C:C,0)))))+1)</f>
        <v>2</v>
      </c>
      <c r="BG150" s="34" t="b">
        <f>IF(O150="TRIFASICO",INDEX(Dados!G:G,MATCH(BF150,Dados!E:E,0)),IF(O150="BIFASICO",INDEX(Dados!F:F,MATCH(BF150,Dados!E:E,0),)))</f>
        <v>0</v>
      </c>
    </row>
    <row r="151" spans="1:59" s="33" customFormat="1" x14ac:dyDescent="0.35">
      <c r="A151" s="33">
        <f>'Dados - Cliente'!A151</f>
        <v>0</v>
      </c>
      <c r="B151" s="33">
        <f>'Dados - Cliente'!B151</f>
        <v>0</v>
      </c>
      <c r="C151" s="33">
        <f>'Dados - Cliente'!C151</f>
        <v>0</v>
      </c>
      <c r="D151" s="33">
        <f>'Dados - Cliente'!D151</f>
        <v>0</v>
      </c>
      <c r="E151" s="33">
        <f>'Dados - Cliente'!E151</f>
        <v>0</v>
      </c>
      <c r="F151" s="33">
        <f>'Dados - Cliente'!F151</f>
        <v>0</v>
      </c>
      <c r="G151" s="33">
        <f>'Dados - Cliente'!G151</f>
        <v>0</v>
      </c>
      <c r="H151" s="33">
        <f>'Dados - Cliente'!H151</f>
        <v>0</v>
      </c>
      <c r="I151" s="75" t="s">
        <v>4313</v>
      </c>
      <c r="J151" s="52" t="s">
        <v>4314</v>
      </c>
      <c r="K151" s="52" t="s">
        <v>4314</v>
      </c>
      <c r="L151" s="33">
        <f>'Dados - Cliente'!I151</f>
        <v>0</v>
      </c>
      <c r="M151" s="33">
        <f>'Dados - Cliente'!K151</f>
        <v>0</v>
      </c>
      <c r="N151" s="33">
        <f>'Dados - Cliente'!L151</f>
        <v>0</v>
      </c>
      <c r="O151" s="33">
        <f>'Dados - Cliente'!M151</f>
        <v>0</v>
      </c>
      <c r="P151" s="33">
        <f>'Dados - Cliente'!N151</f>
        <v>0</v>
      </c>
      <c r="Q151" s="33">
        <f>'Dados - Cliente'!O151</f>
        <v>0</v>
      </c>
      <c r="R151" s="33">
        <f>'Dados - Cliente'!P151</f>
        <v>0</v>
      </c>
      <c r="S151" s="33">
        <f>'Dados - Cliente'!Q151</f>
        <v>0</v>
      </c>
      <c r="T151" s="33">
        <f>'Dados - Cliente'!R151</f>
        <v>0</v>
      </c>
      <c r="U151" s="34">
        <f>'Dados - Cliente'!S151</f>
        <v>0</v>
      </c>
      <c r="V151" s="34">
        <f>'Dados - Cliente'!T151</f>
        <v>0</v>
      </c>
      <c r="W151" s="34">
        <f>'Dados - Cliente'!U151</f>
        <v>0</v>
      </c>
      <c r="X151" s="34">
        <f>'Dados - Cliente'!V151</f>
        <v>0</v>
      </c>
      <c r="Y151" s="34">
        <f>'Dados - Cliente'!W151</f>
        <v>0</v>
      </c>
      <c r="Z151" s="34">
        <f>'Dados - Cliente'!X151</f>
        <v>0</v>
      </c>
      <c r="AA151" s="33" t="e">
        <f t="shared" si="15"/>
        <v>#N/A</v>
      </c>
      <c r="AB151" s="33">
        <f>'Dados - Cliente'!Y151</f>
        <v>0</v>
      </c>
      <c r="AC151" s="33">
        <f>'Dados - Cliente'!Z151</f>
        <v>0</v>
      </c>
      <c r="AD151" s="33">
        <f>'Dados - Cliente'!AA151</f>
        <v>0</v>
      </c>
      <c r="AE151" s="33">
        <f>'Dados - Cliente'!AB151</f>
        <v>0</v>
      </c>
      <c r="AF151" s="33">
        <f>'Dados - Cliente'!AC151</f>
        <v>0</v>
      </c>
      <c r="AG151" s="35">
        <f>'Dados - Cliente'!AD151</f>
        <v>0</v>
      </c>
      <c r="AH151" s="33" t="e">
        <f>INDEX('Dados - Placas'!$A:$A,MATCH('1'!AG151,'Dados - Placas'!$D:$D,0))</f>
        <v>#N/A</v>
      </c>
      <c r="AI151" s="35" t="e">
        <f>INDEX('Dados - Placas'!$E:$E,MATCH('1'!AG151,'Dados - Placas'!$D:$D,0))</f>
        <v>#N/A</v>
      </c>
      <c r="AJ151" s="34" t="e">
        <f>INDEX('Dados - Placas'!$F:$F,MATCH('1'!AG151,'Dados - Placas'!$D:$D,0))*AF151</f>
        <v>#N/A</v>
      </c>
      <c r="AK151" s="33">
        <f>'Dados - Cliente'!AE151</f>
        <v>0</v>
      </c>
      <c r="AL151" s="33">
        <f>'Dados - Cliente'!AF151</f>
        <v>0</v>
      </c>
      <c r="AM151" s="36" t="e">
        <f>INDEX('Dados - Inversores'!$A:$A,MATCH('1'!AL151,'Dados - Inversores'!$C:$C,0))</f>
        <v>#N/A</v>
      </c>
      <c r="AN151" s="33">
        <f>'Dados - Cliente'!AG151</f>
        <v>0</v>
      </c>
      <c r="AO151" s="33" t="e">
        <f>AA151*1.25/(0.22*SQRT(INDEX('Dados - Inversores'!AK:AK,MATCH('1'!AL151,'Dados - Inversores'!C:C,0))))</f>
        <v>#N/A</v>
      </c>
      <c r="AP151" s="34">
        <f>INDEX(Dados!$E$2:$E$33,COUNTIF(Dados!$E$2:$E$33,"&lt;="&amp;AN151*1.25/(INDEX('Dados - Inversores'!AL:AL,MATCH('1'!AL151,'Dados - Inversores'!C:C,0))*SQRT(INDEX('Dados - Inversores'!AK:AK,MATCH('1'!AL151,'Dados - Inversores'!C:C,0)))))+1)</f>
        <v>2</v>
      </c>
      <c r="AQ151" s="33" t="s">
        <v>59</v>
      </c>
      <c r="AR151" s="33" t="str">
        <f t="shared" si="16"/>
        <v>Micro</v>
      </c>
      <c r="AS151" s="33">
        <f>'Dados - Cliente'!AH151</f>
        <v>0</v>
      </c>
      <c r="AT151" s="33">
        <f>'Dados - Cliente'!AI151</f>
        <v>0</v>
      </c>
      <c r="AU151" s="33" t="e">
        <f>INDEX('Dados - Placas'!$N:$N,MATCH('1'!AG151,'Dados - Placas'!$D:$D,0))-1</f>
        <v>#N/A</v>
      </c>
      <c r="AV151" s="33" t="e">
        <f>INDEX('Dados - Placas'!$O:$O,MATCH('1'!AG151,'Dados - Placas'!$D:$D,0))</f>
        <v>#N/A</v>
      </c>
      <c r="AW151" s="33" t="e">
        <f>INDEX('Dados - Inversores'!AM:AM,MATCH('1'!AL151,'Dados - Inversores'!$C:$C,0))-1</f>
        <v>#N/A</v>
      </c>
      <c r="AX151" s="33" t="e">
        <f>INDEX('Dados - Inversores'!AN:AN,MATCH('1'!AL151,'Dados - Inversores'!$C:$C,0))-1</f>
        <v>#N/A</v>
      </c>
      <c r="AY151" s="33" t="e">
        <f>MATCH('1'!H151,Dados!$D$89:$D$167,0)+1</f>
        <v>#N/A</v>
      </c>
      <c r="AZ151" s="33" t="e">
        <f>MATCH('1'!N151,'Dados - Solicitação de acesso'!$N$2:$N$8,0)</f>
        <v>#N/A</v>
      </c>
      <c r="BA151" s="33" t="e">
        <f>MATCH('1'!T151,'Dados - Solicitação de acesso'!$T$2:$T$20,0)</f>
        <v>#N/A</v>
      </c>
      <c r="BB151" s="34"/>
      <c r="BC151" s="33">
        <f>MATCH(AT151,'Dados - Solicitação de acesso'!$AT$2:$AT$28,0)</f>
        <v>1</v>
      </c>
      <c r="BD151" s="33" t="b">
        <f>IF(O151="TRIFASICO",INDEX(Dados!G:G,MATCH('1'!AP151,Dados!E:E,0)),IF(O151="BIFASICO",INDEX(Dados!F:F,MATCH('1'!AP151,Dados!E:E,0),)))</f>
        <v>0</v>
      </c>
      <c r="BE151" s="33">
        <f>'Dados - Cliente'!J151</f>
        <v>0</v>
      </c>
      <c r="BF151" s="34">
        <f>INDEX(Dados!$E$2:$E$33,COUNTIF(Dados!$E$2:$E$33,"&lt;="&amp;AN151*1.25*AK151/(0.22*SQRT(INDEX('Dados - Inversores'!AK:AK,MATCH('1'!AL151,'Dados - Inversores'!C:C,0)))))+1)</f>
        <v>2</v>
      </c>
      <c r="BG151" s="34" t="b">
        <f>IF(O151="TRIFASICO",INDEX(Dados!G:G,MATCH(BF151,Dados!E:E,0)),IF(O151="BIFASICO",INDEX(Dados!F:F,MATCH(BF151,Dados!E:E,0),)))</f>
        <v>0</v>
      </c>
    </row>
    <row r="152" spans="1:59" s="33" customFormat="1" x14ac:dyDescent="0.35">
      <c r="A152" s="33">
        <f>'Dados - Cliente'!A152</f>
        <v>0</v>
      </c>
      <c r="B152" s="33">
        <f>'Dados - Cliente'!B152</f>
        <v>0</v>
      </c>
      <c r="C152" s="33">
        <f>'Dados - Cliente'!C152</f>
        <v>0</v>
      </c>
      <c r="D152" s="33">
        <f>'Dados - Cliente'!D152</f>
        <v>0</v>
      </c>
      <c r="E152" s="33">
        <f>'Dados - Cliente'!E152</f>
        <v>0</v>
      </c>
      <c r="F152" s="33">
        <f>'Dados - Cliente'!F152</f>
        <v>0</v>
      </c>
      <c r="G152" s="33">
        <f>'Dados - Cliente'!G152</f>
        <v>0</v>
      </c>
      <c r="H152" s="33">
        <f>'Dados - Cliente'!H152</f>
        <v>0</v>
      </c>
      <c r="I152" s="75" t="s">
        <v>4313</v>
      </c>
      <c r="J152" s="52" t="s">
        <v>4314</v>
      </c>
      <c r="K152" s="52" t="s">
        <v>4314</v>
      </c>
      <c r="L152" s="33">
        <f>'Dados - Cliente'!I152</f>
        <v>0</v>
      </c>
      <c r="M152" s="33">
        <f>'Dados - Cliente'!K152</f>
        <v>0</v>
      </c>
      <c r="N152" s="33">
        <f>'Dados - Cliente'!L152</f>
        <v>0</v>
      </c>
      <c r="O152" s="33">
        <f>'Dados - Cliente'!M152</f>
        <v>0</v>
      </c>
      <c r="P152" s="33">
        <f>'Dados - Cliente'!N152</f>
        <v>0</v>
      </c>
      <c r="Q152" s="33">
        <f>'Dados - Cliente'!O152</f>
        <v>0</v>
      </c>
      <c r="R152" s="33">
        <f>'Dados - Cliente'!P152</f>
        <v>0</v>
      </c>
      <c r="S152" s="33">
        <f>'Dados - Cliente'!Q152</f>
        <v>0</v>
      </c>
      <c r="T152" s="33">
        <f>'Dados - Cliente'!R152</f>
        <v>0</v>
      </c>
      <c r="U152" s="34">
        <f>'Dados - Cliente'!S152</f>
        <v>0</v>
      </c>
      <c r="V152" s="34">
        <f>'Dados - Cliente'!T152</f>
        <v>0</v>
      </c>
      <c r="W152" s="34">
        <f>'Dados - Cliente'!U152</f>
        <v>0</v>
      </c>
      <c r="X152" s="34">
        <f>'Dados - Cliente'!V152</f>
        <v>0</v>
      </c>
      <c r="Y152" s="34">
        <f>'Dados - Cliente'!W152</f>
        <v>0</v>
      </c>
      <c r="Z152" s="34">
        <f>'Dados - Cliente'!X152</f>
        <v>0</v>
      </c>
      <c r="AA152" s="33" t="e">
        <f t="shared" si="15"/>
        <v>#N/A</v>
      </c>
      <c r="AB152" s="33">
        <f>'Dados - Cliente'!Y152</f>
        <v>0</v>
      </c>
      <c r="AC152" s="33">
        <f>'Dados - Cliente'!Z152</f>
        <v>0</v>
      </c>
      <c r="AD152" s="33">
        <f>'Dados - Cliente'!AA152</f>
        <v>0</v>
      </c>
      <c r="AE152" s="33">
        <f>'Dados - Cliente'!AB152</f>
        <v>0</v>
      </c>
      <c r="AF152" s="33">
        <f>'Dados - Cliente'!AC152</f>
        <v>0</v>
      </c>
      <c r="AG152" s="35">
        <f>'Dados - Cliente'!AD152</f>
        <v>0</v>
      </c>
      <c r="AH152" s="33" t="e">
        <f>INDEX('Dados - Placas'!$A:$A,MATCH('1'!AG152,'Dados - Placas'!$D:$D,0))</f>
        <v>#N/A</v>
      </c>
      <c r="AI152" s="35" t="e">
        <f>INDEX('Dados - Placas'!$E:$E,MATCH('1'!AG152,'Dados - Placas'!$D:$D,0))</f>
        <v>#N/A</v>
      </c>
      <c r="AJ152" s="34" t="e">
        <f>INDEX('Dados - Placas'!$F:$F,MATCH('1'!AG152,'Dados - Placas'!$D:$D,0))*AF152</f>
        <v>#N/A</v>
      </c>
      <c r="AK152" s="33">
        <f>'Dados - Cliente'!AE152</f>
        <v>0</v>
      </c>
      <c r="AL152" s="33">
        <f>'Dados - Cliente'!AF152</f>
        <v>0</v>
      </c>
      <c r="AM152" s="36" t="e">
        <f>INDEX('Dados - Inversores'!$A:$A,MATCH('1'!AL152,'Dados - Inversores'!$C:$C,0))</f>
        <v>#N/A</v>
      </c>
      <c r="AN152" s="33">
        <f>'Dados - Cliente'!AG152</f>
        <v>0</v>
      </c>
      <c r="AO152" s="33" t="e">
        <f>AA152*1.25/(0.22*SQRT(INDEX('Dados - Inversores'!AK:AK,MATCH('1'!AL152,'Dados - Inversores'!C:C,0))))</f>
        <v>#N/A</v>
      </c>
      <c r="AP152" s="34">
        <f>INDEX(Dados!$E$2:$E$33,COUNTIF(Dados!$E$2:$E$33,"&lt;="&amp;AN152*1.25/(INDEX('Dados - Inversores'!AL:AL,MATCH('1'!AL152,'Dados - Inversores'!C:C,0))*SQRT(INDEX('Dados - Inversores'!AK:AK,MATCH('1'!AL152,'Dados - Inversores'!C:C,0)))))+1)</f>
        <v>2</v>
      </c>
      <c r="AQ152" s="33" t="s">
        <v>59</v>
      </c>
      <c r="AR152" s="33" t="str">
        <f t="shared" si="16"/>
        <v>Micro</v>
      </c>
      <c r="AS152" s="33">
        <f>'Dados - Cliente'!AH152</f>
        <v>0</v>
      </c>
      <c r="AT152" s="33">
        <f>'Dados - Cliente'!AI152</f>
        <v>0</v>
      </c>
      <c r="AU152" s="33" t="e">
        <f>INDEX('Dados - Placas'!$N:$N,MATCH('1'!AG152,'Dados - Placas'!$D:$D,0))-1</f>
        <v>#N/A</v>
      </c>
      <c r="AV152" s="33" t="e">
        <f>INDEX('Dados - Placas'!$O:$O,MATCH('1'!AG152,'Dados - Placas'!$D:$D,0))</f>
        <v>#N/A</v>
      </c>
      <c r="AW152" s="33" t="e">
        <f>INDEX('Dados - Inversores'!AM:AM,MATCH('1'!AL152,'Dados - Inversores'!$C:$C,0))-1</f>
        <v>#N/A</v>
      </c>
      <c r="AX152" s="33" t="e">
        <f>INDEX('Dados - Inversores'!AN:AN,MATCH('1'!AL152,'Dados - Inversores'!$C:$C,0))-1</f>
        <v>#N/A</v>
      </c>
      <c r="AY152" s="33" t="e">
        <f>MATCH('1'!H152,Dados!$D$89:$D$167,0)+1</f>
        <v>#N/A</v>
      </c>
      <c r="AZ152" s="33" t="e">
        <f>MATCH('1'!N152,'Dados - Solicitação de acesso'!$N$2:$N$8,0)</f>
        <v>#N/A</v>
      </c>
      <c r="BA152" s="33" t="e">
        <f>MATCH('1'!T152,'Dados - Solicitação de acesso'!$T$2:$T$20,0)</f>
        <v>#N/A</v>
      </c>
      <c r="BB152" s="34"/>
      <c r="BC152" s="33">
        <f>MATCH(AT152,'Dados - Solicitação de acesso'!$AT$2:$AT$28,0)</f>
        <v>1</v>
      </c>
      <c r="BD152" s="33" t="b">
        <f>IF(O152="TRIFASICO",INDEX(Dados!G:G,MATCH('1'!AP152,Dados!E:E,0)),IF(O152="BIFASICO",INDEX(Dados!F:F,MATCH('1'!AP152,Dados!E:E,0),)))</f>
        <v>0</v>
      </c>
      <c r="BE152" s="33">
        <f>'Dados - Cliente'!J152</f>
        <v>0</v>
      </c>
      <c r="BF152" s="34">
        <f>INDEX(Dados!$E$2:$E$33,COUNTIF(Dados!$E$2:$E$33,"&lt;="&amp;AN152*1.25*AK152/(0.22*SQRT(INDEX('Dados - Inversores'!AK:AK,MATCH('1'!AL152,'Dados - Inversores'!C:C,0)))))+1)</f>
        <v>2</v>
      </c>
      <c r="BG152" s="34" t="b">
        <f>IF(O152="TRIFASICO",INDEX(Dados!G:G,MATCH(BF152,Dados!E:E,0)),IF(O152="BIFASICO",INDEX(Dados!F:F,MATCH(BF152,Dados!E:E,0),)))</f>
        <v>0</v>
      </c>
    </row>
    <row r="153" spans="1:59" s="33" customFormat="1" x14ac:dyDescent="0.35">
      <c r="A153" s="33">
        <f>'Dados - Cliente'!A153</f>
        <v>0</v>
      </c>
      <c r="B153" s="33">
        <f>'Dados - Cliente'!B153</f>
        <v>0</v>
      </c>
      <c r="C153" s="33">
        <f>'Dados - Cliente'!C153</f>
        <v>0</v>
      </c>
      <c r="D153" s="33">
        <f>'Dados - Cliente'!D153</f>
        <v>0</v>
      </c>
      <c r="E153" s="33">
        <f>'Dados - Cliente'!E153</f>
        <v>0</v>
      </c>
      <c r="F153" s="33">
        <f>'Dados - Cliente'!F153</f>
        <v>0</v>
      </c>
      <c r="G153" s="33">
        <f>'Dados - Cliente'!G153</f>
        <v>0</v>
      </c>
      <c r="H153" s="33">
        <f>'Dados - Cliente'!H153</f>
        <v>0</v>
      </c>
      <c r="I153" s="75" t="s">
        <v>4313</v>
      </c>
      <c r="J153" s="52" t="s">
        <v>4314</v>
      </c>
      <c r="K153" s="52" t="s">
        <v>4314</v>
      </c>
      <c r="L153" s="33">
        <f>'Dados - Cliente'!I153</f>
        <v>0</v>
      </c>
      <c r="M153" s="33">
        <f>'Dados - Cliente'!K153</f>
        <v>0</v>
      </c>
      <c r="N153" s="33">
        <f>'Dados - Cliente'!L153</f>
        <v>0</v>
      </c>
      <c r="O153" s="33">
        <f>'Dados - Cliente'!M153</f>
        <v>0</v>
      </c>
      <c r="P153" s="33">
        <f>'Dados - Cliente'!N153</f>
        <v>0</v>
      </c>
      <c r="Q153" s="33">
        <f>'Dados - Cliente'!O153</f>
        <v>0</v>
      </c>
      <c r="R153" s="33">
        <f>'Dados - Cliente'!P153</f>
        <v>0</v>
      </c>
      <c r="S153" s="33">
        <f>'Dados - Cliente'!Q153</f>
        <v>0</v>
      </c>
      <c r="T153" s="33">
        <f>'Dados - Cliente'!R153</f>
        <v>0</v>
      </c>
      <c r="U153" s="34">
        <f>'Dados - Cliente'!S153</f>
        <v>0</v>
      </c>
      <c r="V153" s="34">
        <f>'Dados - Cliente'!T153</f>
        <v>0</v>
      </c>
      <c r="W153" s="34">
        <f>'Dados - Cliente'!U153</f>
        <v>0</v>
      </c>
      <c r="X153" s="34">
        <f>'Dados - Cliente'!V153</f>
        <v>0</v>
      </c>
      <c r="Y153" s="34">
        <f>'Dados - Cliente'!W153</f>
        <v>0</v>
      </c>
      <c r="Z153" s="34">
        <f>'Dados - Cliente'!X153</f>
        <v>0</v>
      </c>
      <c r="AA153" s="33" t="e">
        <f t="shared" si="15"/>
        <v>#N/A</v>
      </c>
      <c r="AB153" s="33">
        <f>'Dados - Cliente'!Y153</f>
        <v>0</v>
      </c>
      <c r="AC153" s="33">
        <f>'Dados - Cliente'!Z153</f>
        <v>0</v>
      </c>
      <c r="AD153" s="33">
        <f>'Dados - Cliente'!AA153</f>
        <v>0</v>
      </c>
      <c r="AE153" s="33">
        <f>'Dados - Cliente'!AB153</f>
        <v>0</v>
      </c>
      <c r="AF153" s="33">
        <f>'Dados - Cliente'!AC153</f>
        <v>0</v>
      </c>
      <c r="AG153" s="35">
        <f>'Dados - Cliente'!AD153</f>
        <v>0</v>
      </c>
      <c r="AH153" s="33" t="e">
        <f>INDEX('Dados - Placas'!$A:$A,MATCH('1'!AG153,'Dados - Placas'!$D:$D,0))</f>
        <v>#N/A</v>
      </c>
      <c r="AI153" s="35" t="e">
        <f>INDEX('Dados - Placas'!$E:$E,MATCH('1'!AG153,'Dados - Placas'!$D:$D,0))</f>
        <v>#N/A</v>
      </c>
      <c r="AJ153" s="34" t="e">
        <f>INDEX('Dados - Placas'!$F:$F,MATCH('1'!AG153,'Dados - Placas'!$D:$D,0))*AF153</f>
        <v>#N/A</v>
      </c>
      <c r="AK153" s="33">
        <f>'Dados - Cliente'!AE153</f>
        <v>0</v>
      </c>
      <c r="AL153" s="33">
        <f>'Dados - Cliente'!AF153</f>
        <v>0</v>
      </c>
      <c r="AM153" s="36" t="e">
        <f>INDEX('Dados - Inversores'!$A:$A,MATCH('1'!AL153,'Dados - Inversores'!$C:$C,0))</f>
        <v>#N/A</v>
      </c>
      <c r="AN153" s="33">
        <f>'Dados - Cliente'!AG153</f>
        <v>0</v>
      </c>
      <c r="AO153" s="33" t="e">
        <f>AA153*1.25/(0.22*SQRT(INDEX('Dados - Inversores'!AK:AK,MATCH('1'!AL153,'Dados - Inversores'!C:C,0))))</f>
        <v>#N/A</v>
      </c>
      <c r="AP153" s="34">
        <f>INDEX(Dados!$E$2:$E$33,COUNTIF(Dados!$E$2:$E$33,"&lt;="&amp;AN153*1.25/(INDEX('Dados - Inversores'!AL:AL,MATCH('1'!AL153,'Dados - Inversores'!C:C,0))*SQRT(INDEX('Dados - Inversores'!AK:AK,MATCH('1'!AL153,'Dados - Inversores'!C:C,0)))))+1)</f>
        <v>2</v>
      </c>
      <c r="AQ153" s="33" t="s">
        <v>59</v>
      </c>
      <c r="AR153" s="33" t="str">
        <f t="shared" si="16"/>
        <v>Micro</v>
      </c>
      <c r="AS153" s="33">
        <f>'Dados - Cliente'!AH153</f>
        <v>0</v>
      </c>
      <c r="AT153" s="33">
        <f>'Dados - Cliente'!AI153</f>
        <v>0</v>
      </c>
      <c r="AU153" s="33" t="e">
        <f>INDEX('Dados - Placas'!$N:$N,MATCH('1'!AG153,'Dados - Placas'!$D:$D,0))-1</f>
        <v>#N/A</v>
      </c>
      <c r="AV153" s="33" t="e">
        <f>INDEX('Dados - Placas'!$O:$O,MATCH('1'!AG153,'Dados - Placas'!$D:$D,0))</f>
        <v>#N/A</v>
      </c>
      <c r="AW153" s="33" t="e">
        <f>INDEX('Dados - Inversores'!AM:AM,MATCH('1'!AL153,'Dados - Inversores'!$C:$C,0))-1</f>
        <v>#N/A</v>
      </c>
      <c r="AX153" s="33" t="e">
        <f>INDEX('Dados - Inversores'!AN:AN,MATCH('1'!AL153,'Dados - Inversores'!$C:$C,0))-1</f>
        <v>#N/A</v>
      </c>
      <c r="AY153" s="33" t="e">
        <f>MATCH('1'!H153,Dados!$D$89:$D$167,0)+1</f>
        <v>#N/A</v>
      </c>
      <c r="AZ153" s="33" t="e">
        <f>MATCH('1'!N153,'Dados - Solicitação de acesso'!$N$2:$N$8,0)</f>
        <v>#N/A</v>
      </c>
      <c r="BA153" s="33" t="e">
        <f>MATCH('1'!T153,'Dados - Solicitação de acesso'!$T$2:$T$20,0)</f>
        <v>#N/A</v>
      </c>
      <c r="BB153" s="34"/>
      <c r="BC153" s="33">
        <f>MATCH(AT153,'Dados - Solicitação de acesso'!$AT$2:$AT$28,0)</f>
        <v>1</v>
      </c>
      <c r="BD153" s="33" t="b">
        <f>IF(O153="TRIFASICO",INDEX(Dados!G:G,MATCH('1'!AP153,Dados!E:E,0)),IF(O153="BIFASICO",INDEX(Dados!F:F,MATCH('1'!AP153,Dados!E:E,0),)))</f>
        <v>0</v>
      </c>
      <c r="BE153" s="33">
        <f>'Dados - Cliente'!J153</f>
        <v>0</v>
      </c>
      <c r="BF153" s="34">
        <f>INDEX(Dados!$E$2:$E$33,COUNTIF(Dados!$E$2:$E$33,"&lt;="&amp;AN153*1.25*AK153/(0.22*SQRT(INDEX('Dados - Inversores'!AK:AK,MATCH('1'!AL153,'Dados - Inversores'!C:C,0)))))+1)</f>
        <v>2</v>
      </c>
      <c r="BG153" s="34" t="b">
        <f>IF(O153="TRIFASICO",INDEX(Dados!G:G,MATCH(BF153,Dados!E:E,0)),IF(O153="BIFASICO",INDEX(Dados!F:F,MATCH(BF153,Dados!E:E,0),)))</f>
        <v>0</v>
      </c>
    </row>
    <row r="154" spans="1:59" s="33" customFormat="1" x14ac:dyDescent="0.35">
      <c r="A154" s="33">
        <f>'Dados - Cliente'!A154</f>
        <v>0</v>
      </c>
      <c r="B154" s="33">
        <f>'Dados - Cliente'!B154</f>
        <v>0</v>
      </c>
      <c r="C154" s="33">
        <f>'Dados - Cliente'!C154</f>
        <v>0</v>
      </c>
      <c r="D154" s="33">
        <f>'Dados - Cliente'!D154</f>
        <v>0</v>
      </c>
      <c r="E154" s="33">
        <f>'Dados - Cliente'!E154</f>
        <v>0</v>
      </c>
      <c r="F154" s="33">
        <f>'Dados - Cliente'!F154</f>
        <v>0</v>
      </c>
      <c r="G154" s="33">
        <f>'Dados - Cliente'!G154</f>
        <v>0</v>
      </c>
      <c r="H154" s="33">
        <f>'Dados - Cliente'!H154</f>
        <v>0</v>
      </c>
      <c r="I154" s="75" t="s">
        <v>4313</v>
      </c>
      <c r="J154" s="52" t="s">
        <v>4314</v>
      </c>
      <c r="K154" s="52" t="s">
        <v>4314</v>
      </c>
      <c r="L154" s="33">
        <f>'Dados - Cliente'!I154</f>
        <v>0</v>
      </c>
      <c r="M154" s="33">
        <f>'Dados - Cliente'!K154</f>
        <v>0</v>
      </c>
      <c r="N154" s="33">
        <f>'Dados - Cliente'!L154</f>
        <v>0</v>
      </c>
      <c r="O154" s="33">
        <f>'Dados - Cliente'!M154</f>
        <v>0</v>
      </c>
      <c r="P154" s="33">
        <f>'Dados - Cliente'!N154</f>
        <v>0</v>
      </c>
      <c r="Q154" s="33">
        <f>'Dados - Cliente'!O154</f>
        <v>0</v>
      </c>
      <c r="R154" s="33">
        <f>'Dados - Cliente'!P154</f>
        <v>0</v>
      </c>
      <c r="S154" s="33">
        <f>'Dados - Cliente'!Q154</f>
        <v>0</v>
      </c>
      <c r="T154" s="33">
        <f>'Dados - Cliente'!R154</f>
        <v>0</v>
      </c>
      <c r="U154" s="34">
        <f>'Dados - Cliente'!S154</f>
        <v>0</v>
      </c>
      <c r="V154" s="34">
        <f>'Dados - Cliente'!T154</f>
        <v>0</v>
      </c>
      <c r="W154" s="34">
        <f>'Dados - Cliente'!U154</f>
        <v>0</v>
      </c>
      <c r="X154" s="34">
        <f>'Dados - Cliente'!V154</f>
        <v>0</v>
      </c>
      <c r="Y154" s="34">
        <f>'Dados - Cliente'!W154</f>
        <v>0</v>
      </c>
      <c r="Z154" s="34">
        <f>'Dados - Cliente'!X154</f>
        <v>0</v>
      </c>
      <c r="AA154" s="33" t="e">
        <f t="shared" si="15"/>
        <v>#N/A</v>
      </c>
      <c r="AB154" s="33">
        <f>'Dados - Cliente'!Y154</f>
        <v>0</v>
      </c>
      <c r="AC154" s="33">
        <f>'Dados - Cliente'!Z154</f>
        <v>0</v>
      </c>
      <c r="AD154" s="33">
        <f>'Dados - Cliente'!AA154</f>
        <v>0</v>
      </c>
      <c r="AE154" s="33">
        <f>'Dados - Cliente'!AB154</f>
        <v>0</v>
      </c>
      <c r="AF154" s="33">
        <f>'Dados - Cliente'!AC154</f>
        <v>0</v>
      </c>
      <c r="AG154" s="35">
        <f>'Dados - Cliente'!AD154</f>
        <v>0</v>
      </c>
      <c r="AH154" s="33" t="e">
        <f>INDEX('Dados - Placas'!$A:$A,MATCH('1'!AG154,'Dados - Placas'!$D:$D,0))</f>
        <v>#N/A</v>
      </c>
      <c r="AI154" s="35" t="e">
        <f>INDEX('Dados - Placas'!$E:$E,MATCH('1'!AG154,'Dados - Placas'!$D:$D,0))</f>
        <v>#N/A</v>
      </c>
      <c r="AJ154" s="34" t="e">
        <f>INDEX('Dados - Placas'!$F:$F,MATCH('1'!AG154,'Dados - Placas'!$D:$D,0))*AF154</f>
        <v>#N/A</v>
      </c>
      <c r="AK154" s="33">
        <f>'Dados - Cliente'!AE154</f>
        <v>0</v>
      </c>
      <c r="AL154" s="33">
        <f>'Dados - Cliente'!AF154</f>
        <v>0</v>
      </c>
      <c r="AM154" s="36" t="e">
        <f>INDEX('Dados - Inversores'!$A:$A,MATCH('1'!AL154,'Dados - Inversores'!$C:$C,0))</f>
        <v>#N/A</v>
      </c>
      <c r="AN154" s="33">
        <f>'Dados - Cliente'!AG154</f>
        <v>0</v>
      </c>
      <c r="AO154" s="33" t="e">
        <f>AA154*1.25/(0.22*SQRT(INDEX('Dados - Inversores'!AK:AK,MATCH('1'!AL154,'Dados - Inversores'!C:C,0))))</f>
        <v>#N/A</v>
      </c>
      <c r="AP154" s="34">
        <f>INDEX(Dados!$E$2:$E$33,COUNTIF(Dados!$E$2:$E$33,"&lt;="&amp;AN154*1.25/(INDEX('Dados - Inversores'!AL:AL,MATCH('1'!AL154,'Dados - Inversores'!C:C,0))*SQRT(INDEX('Dados - Inversores'!AK:AK,MATCH('1'!AL154,'Dados - Inversores'!C:C,0)))))+1)</f>
        <v>2</v>
      </c>
      <c r="AQ154" s="33" t="s">
        <v>59</v>
      </c>
      <c r="AR154" s="33" t="str">
        <f t="shared" si="16"/>
        <v>Micro</v>
      </c>
      <c r="AS154" s="33">
        <f>'Dados - Cliente'!AH154</f>
        <v>0</v>
      </c>
      <c r="AT154" s="33">
        <f>'Dados - Cliente'!AI154</f>
        <v>0</v>
      </c>
      <c r="AU154" s="33" t="e">
        <f>INDEX('Dados - Placas'!$N:$N,MATCH('1'!AG154,'Dados - Placas'!$D:$D,0))-1</f>
        <v>#N/A</v>
      </c>
      <c r="AV154" s="33" t="e">
        <f>INDEX('Dados - Placas'!$O:$O,MATCH('1'!AG154,'Dados - Placas'!$D:$D,0))</f>
        <v>#N/A</v>
      </c>
      <c r="AW154" s="33" t="e">
        <f>INDEX('Dados - Inversores'!AM:AM,MATCH('1'!AL154,'Dados - Inversores'!$C:$C,0))-1</f>
        <v>#N/A</v>
      </c>
      <c r="AX154" s="33" t="e">
        <f>INDEX('Dados - Inversores'!AN:AN,MATCH('1'!AL154,'Dados - Inversores'!$C:$C,0))-1</f>
        <v>#N/A</v>
      </c>
      <c r="AY154" s="33" t="e">
        <f>MATCH('1'!H154,Dados!$D$89:$D$167,0)+1</f>
        <v>#N/A</v>
      </c>
      <c r="AZ154" s="33" t="e">
        <f>MATCH('1'!N154,'Dados - Solicitação de acesso'!$N$2:$N$8,0)</f>
        <v>#N/A</v>
      </c>
      <c r="BA154" s="33" t="e">
        <f>MATCH('1'!T154,'Dados - Solicitação de acesso'!$T$2:$T$20,0)</f>
        <v>#N/A</v>
      </c>
      <c r="BB154" s="34"/>
      <c r="BC154" s="33">
        <f>MATCH(AT154,'Dados - Solicitação de acesso'!$AT$2:$AT$28,0)</f>
        <v>1</v>
      </c>
      <c r="BD154" s="33" t="b">
        <f>IF(O154="TRIFASICO",INDEX(Dados!G:G,MATCH('1'!AP154,Dados!E:E,0)),IF(O154="BIFASICO",INDEX(Dados!F:F,MATCH('1'!AP154,Dados!E:E,0),)))</f>
        <v>0</v>
      </c>
      <c r="BE154" s="33">
        <f>'Dados - Cliente'!J154</f>
        <v>0</v>
      </c>
      <c r="BF154" s="34">
        <f>INDEX(Dados!$E$2:$E$33,COUNTIF(Dados!$E$2:$E$33,"&lt;="&amp;AN154*1.25*AK154/(0.22*SQRT(INDEX('Dados - Inversores'!AK:AK,MATCH('1'!AL154,'Dados - Inversores'!C:C,0)))))+1)</f>
        <v>2</v>
      </c>
      <c r="BG154" s="34" t="b">
        <f>IF(O154="TRIFASICO",INDEX(Dados!G:G,MATCH(BF154,Dados!E:E,0)),IF(O154="BIFASICO",INDEX(Dados!F:F,MATCH(BF154,Dados!E:E,0),)))</f>
        <v>0</v>
      </c>
    </row>
    <row r="155" spans="1:59" s="33" customFormat="1" x14ac:dyDescent="0.35">
      <c r="A155" s="33">
        <f>'Dados - Cliente'!A155</f>
        <v>0</v>
      </c>
      <c r="B155" s="33">
        <f>'Dados - Cliente'!B155</f>
        <v>0</v>
      </c>
      <c r="C155" s="33">
        <f>'Dados - Cliente'!C155</f>
        <v>0</v>
      </c>
      <c r="D155" s="33">
        <f>'Dados - Cliente'!D155</f>
        <v>0</v>
      </c>
      <c r="E155" s="33">
        <f>'Dados - Cliente'!E155</f>
        <v>0</v>
      </c>
      <c r="F155" s="33">
        <f>'Dados - Cliente'!F155</f>
        <v>0</v>
      </c>
      <c r="G155" s="33">
        <f>'Dados - Cliente'!G155</f>
        <v>0</v>
      </c>
      <c r="H155" s="33">
        <f>'Dados - Cliente'!H155</f>
        <v>0</v>
      </c>
      <c r="I155" s="75" t="s">
        <v>4313</v>
      </c>
      <c r="J155" s="52" t="s">
        <v>4314</v>
      </c>
      <c r="K155" s="52" t="s">
        <v>4314</v>
      </c>
      <c r="L155" s="33">
        <f>'Dados - Cliente'!I155</f>
        <v>0</v>
      </c>
      <c r="M155" s="33">
        <f>'Dados - Cliente'!K155</f>
        <v>0</v>
      </c>
      <c r="N155" s="33">
        <f>'Dados - Cliente'!L155</f>
        <v>0</v>
      </c>
      <c r="O155" s="33">
        <f>'Dados - Cliente'!M155</f>
        <v>0</v>
      </c>
      <c r="P155" s="33">
        <f>'Dados - Cliente'!N155</f>
        <v>0</v>
      </c>
      <c r="Q155" s="33">
        <f>'Dados - Cliente'!O155</f>
        <v>0</v>
      </c>
      <c r="R155" s="33">
        <f>'Dados - Cliente'!P155</f>
        <v>0</v>
      </c>
      <c r="S155" s="33">
        <f>'Dados - Cliente'!Q155</f>
        <v>0</v>
      </c>
      <c r="T155" s="33">
        <f>'Dados - Cliente'!R155</f>
        <v>0</v>
      </c>
      <c r="U155" s="34">
        <f>'Dados - Cliente'!S155</f>
        <v>0</v>
      </c>
      <c r="V155" s="34">
        <f>'Dados - Cliente'!T155</f>
        <v>0</v>
      </c>
      <c r="W155" s="34">
        <f>'Dados - Cliente'!U155</f>
        <v>0</v>
      </c>
      <c r="X155" s="34">
        <f>'Dados - Cliente'!V155</f>
        <v>0</v>
      </c>
      <c r="Y155" s="34">
        <f>'Dados - Cliente'!W155</f>
        <v>0</v>
      </c>
      <c r="Z155" s="34">
        <f>'Dados - Cliente'!X155</f>
        <v>0</v>
      </c>
      <c r="AA155" s="33" t="e">
        <f t="shared" si="15"/>
        <v>#N/A</v>
      </c>
      <c r="AB155" s="33">
        <f>'Dados - Cliente'!Y155</f>
        <v>0</v>
      </c>
      <c r="AC155" s="33">
        <f>'Dados - Cliente'!Z155</f>
        <v>0</v>
      </c>
      <c r="AD155" s="33">
        <f>'Dados - Cliente'!AA155</f>
        <v>0</v>
      </c>
      <c r="AE155" s="33">
        <f>'Dados - Cliente'!AB155</f>
        <v>0</v>
      </c>
      <c r="AF155" s="33">
        <f>'Dados - Cliente'!AC155</f>
        <v>0</v>
      </c>
      <c r="AG155" s="35">
        <f>'Dados - Cliente'!AD155</f>
        <v>0</v>
      </c>
      <c r="AH155" s="33" t="e">
        <f>INDEX('Dados - Placas'!$A:$A,MATCH('1'!AG155,'Dados - Placas'!$D:$D,0))</f>
        <v>#N/A</v>
      </c>
      <c r="AI155" s="35" t="e">
        <f>INDEX('Dados - Placas'!$E:$E,MATCH('1'!AG155,'Dados - Placas'!$D:$D,0))</f>
        <v>#N/A</v>
      </c>
      <c r="AJ155" s="34" t="e">
        <f>INDEX('Dados - Placas'!$F:$F,MATCH('1'!AG155,'Dados - Placas'!$D:$D,0))*AF155</f>
        <v>#N/A</v>
      </c>
      <c r="AK155" s="33">
        <f>'Dados - Cliente'!AE155</f>
        <v>0</v>
      </c>
      <c r="AL155" s="33">
        <f>'Dados - Cliente'!AF155</f>
        <v>0</v>
      </c>
      <c r="AM155" s="36" t="e">
        <f>INDEX('Dados - Inversores'!$A:$A,MATCH('1'!AL155,'Dados - Inversores'!$C:$C,0))</f>
        <v>#N/A</v>
      </c>
      <c r="AN155" s="33">
        <f>'Dados - Cliente'!AG155</f>
        <v>0</v>
      </c>
      <c r="AO155" s="33" t="e">
        <f>AA155*1.25/(0.22*SQRT(INDEX('Dados - Inversores'!AK:AK,MATCH('1'!AL155,'Dados - Inversores'!C:C,0))))</f>
        <v>#N/A</v>
      </c>
      <c r="AP155" s="34">
        <f>INDEX(Dados!$E$2:$E$33,COUNTIF(Dados!$E$2:$E$33,"&lt;="&amp;AN155*1.25/(INDEX('Dados - Inversores'!AL:AL,MATCH('1'!AL155,'Dados - Inversores'!C:C,0))*SQRT(INDEX('Dados - Inversores'!AK:AK,MATCH('1'!AL155,'Dados - Inversores'!C:C,0)))))+1)</f>
        <v>2</v>
      </c>
      <c r="AQ155" s="33" t="s">
        <v>59</v>
      </c>
      <c r="AR155" s="33" t="str">
        <f t="shared" si="16"/>
        <v>Micro</v>
      </c>
      <c r="AS155" s="33">
        <f>'Dados - Cliente'!AH155</f>
        <v>0</v>
      </c>
      <c r="AT155" s="33">
        <f>'Dados - Cliente'!AI155</f>
        <v>0</v>
      </c>
      <c r="AU155" s="33" t="e">
        <f>INDEX('Dados - Placas'!$N:$N,MATCH('1'!AG155,'Dados - Placas'!$D:$D,0))-1</f>
        <v>#N/A</v>
      </c>
      <c r="AV155" s="33" t="e">
        <f>INDEX('Dados - Placas'!$O:$O,MATCH('1'!AG155,'Dados - Placas'!$D:$D,0))</f>
        <v>#N/A</v>
      </c>
      <c r="AW155" s="33" t="e">
        <f>INDEX('Dados - Inversores'!AM:AM,MATCH('1'!AL155,'Dados - Inversores'!$C:$C,0))-1</f>
        <v>#N/A</v>
      </c>
      <c r="AX155" s="33" t="e">
        <f>INDEX('Dados - Inversores'!AN:AN,MATCH('1'!AL155,'Dados - Inversores'!$C:$C,0))-1</f>
        <v>#N/A</v>
      </c>
      <c r="AY155" s="33" t="e">
        <f>MATCH('1'!H155,Dados!$D$89:$D$167,0)+1</f>
        <v>#N/A</v>
      </c>
      <c r="AZ155" s="33" t="e">
        <f>MATCH('1'!N155,'Dados - Solicitação de acesso'!$N$2:$N$8,0)</f>
        <v>#N/A</v>
      </c>
      <c r="BA155" s="33" t="e">
        <f>MATCH('1'!T155,'Dados - Solicitação de acesso'!$T$2:$T$20,0)</f>
        <v>#N/A</v>
      </c>
      <c r="BB155" s="34"/>
      <c r="BC155" s="33">
        <f>MATCH(AT155,'Dados - Solicitação de acesso'!$AT$2:$AT$28,0)</f>
        <v>1</v>
      </c>
      <c r="BD155" s="33" t="b">
        <f>IF(O155="TRIFASICO",INDEX(Dados!G:G,MATCH('1'!AP155,Dados!E:E,0)),IF(O155="BIFASICO",INDEX(Dados!F:F,MATCH('1'!AP155,Dados!E:E,0),)))</f>
        <v>0</v>
      </c>
      <c r="BE155" s="33">
        <f>'Dados - Cliente'!J155</f>
        <v>0</v>
      </c>
      <c r="BF155" s="34">
        <f>INDEX(Dados!$E$2:$E$33,COUNTIF(Dados!$E$2:$E$33,"&lt;="&amp;AN155*1.25*AK155/(0.22*SQRT(INDEX('Dados - Inversores'!AK:AK,MATCH('1'!AL155,'Dados - Inversores'!C:C,0)))))+1)</f>
        <v>2</v>
      </c>
      <c r="BG155" s="34" t="b">
        <f>IF(O155="TRIFASICO",INDEX(Dados!G:G,MATCH(BF155,Dados!E:E,0)),IF(O155="BIFASICO",INDEX(Dados!F:F,MATCH(BF155,Dados!E:E,0),)))</f>
        <v>0</v>
      </c>
    </row>
    <row r="156" spans="1:59" s="33" customFormat="1" x14ac:dyDescent="0.35">
      <c r="A156" s="33">
        <f>'Dados - Cliente'!A156</f>
        <v>0</v>
      </c>
      <c r="B156" s="33">
        <f>'Dados - Cliente'!B156</f>
        <v>0</v>
      </c>
      <c r="C156" s="33">
        <f>'Dados - Cliente'!C156</f>
        <v>0</v>
      </c>
      <c r="D156" s="33">
        <f>'Dados - Cliente'!D156</f>
        <v>0</v>
      </c>
      <c r="E156" s="33">
        <f>'Dados - Cliente'!E156</f>
        <v>0</v>
      </c>
      <c r="F156" s="33">
        <f>'Dados - Cliente'!F156</f>
        <v>0</v>
      </c>
      <c r="G156" s="33">
        <f>'Dados - Cliente'!G156</f>
        <v>0</v>
      </c>
      <c r="H156" s="33">
        <f>'Dados - Cliente'!H156</f>
        <v>0</v>
      </c>
      <c r="I156" s="75" t="s">
        <v>4313</v>
      </c>
      <c r="J156" s="52" t="s">
        <v>4314</v>
      </c>
      <c r="K156" s="52" t="s">
        <v>4314</v>
      </c>
      <c r="L156" s="33">
        <f>'Dados - Cliente'!I156</f>
        <v>0</v>
      </c>
      <c r="M156" s="33">
        <f>'Dados - Cliente'!K156</f>
        <v>0</v>
      </c>
      <c r="N156" s="33">
        <f>'Dados - Cliente'!L156</f>
        <v>0</v>
      </c>
      <c r="O156" s="33">
        <f>'Dados - Cliente'!M156</f>
        <v>0</v>
      </c>
      <c r="P156" s="33">
        <f>'Dados - Cliente'!N156</f>
        <v>0</v>
      </c>
      <c r="Q156" s="33">
        <f>'Dados - Cliente'!O156</f>
        <v>0</v>
      </c>
      <c r="R156" s="33">
        <f>'Dados - Cliente'!P156</f>
        <v>0</v>
      </c>
      <c r="S156" s="33">
        <f>'Dados - Cliente'!Q156</f>
        <v>0</v>
      </c>
      <c r="T156" s="33">
        <f>'Dados - Cliente'!R156</f>
        <v>0</v>
      </c>
      <c r="U156" s="34">
        <f>'Dados - Cliente'!S156</f>
        <v>0</v>
      </c>
      <c r="V156" s="34">
        <f>'Dados - Cliente'!T156</f>
        <v>0</v>
      </c>
      <c r="W156" s="34">
        <f>'Dados - Cliente'!U156</f>
        <v>0</v>
      </c>
      <c r="X156" s="34">
        <f>'Dados - Cliente'!V156</f>
        <v>0</v>
      </c>
      <c r="Y156" s="34">
        <f>'Dados - Cliente'!W156</f>
        <v>0</v>
      </c>
      <c r="Z156" s="34">
        <f>'Dados - Cliente'!X156</f>
        <v>0</v>
      </c>
      <c r="AA156" s="33" t="e">
        <f t="shared" si="15"/>
        <v>#N/A</v>
      </c>
      <c r="AB156" s="33">
        <f>'Dados - Cliente'!Y156</f>
        <v>0</v>
      </c>
      <c r="AC156" s="33">
        <f>'Dados - Cliente'!Z156</f>
        <v>0</v>
      </c>
      <c r="AD156" s="33">
        <f>'Dados - Cliente'!AA156</f>
        <v>0</v>
      </c>
      <c r="AE156" s="33">
        <f>'Dados - Cliente'!AB156</f>
        <v>0</v>
      </c>
      <c r="AF156" s="33">
        <f>'Dados - Cliente'!AC156</f>
        <v>0</v>
      </c>
      <c r="AG156" s="35">
        <f>'Dados - Cliente'!AD156</f>
        <v>0</v>
      </c>
      <c r="AH156" s="33" t="e">
        <f>INDEX('Dados - Placas'!$A:$A,MATCH('1'!AG156,'Dados - Placas'!$D:$D,0))</f>
        <v>#N/A</v>
      </c>
      <c r="AI156" s="35" t="e">
        <f>INDEX('Dados - Placas'!$E:$E,MATCH('1'!AG156,'Dados - Placas'!$D:$D,0))</f>
        <v>#N/A</v>
      </c>
      <c r="AJ156" s="34" t="e">
        <f>INDEX('Dados - Placas'!$F:$F,MATCH('1'!AG156,'Dados - Placas'!$D:$D,0))*AF156</f>
        <v>#N/A</v>
      </c>
      <c r="AK156" s="33">
        <f>'Dados - Cliente'!AE156</f>
        <v>0</v>
      </c>
      <c r="AL156" s="33">
        <f>'Dados - Cliente'!AF156</f>
        <v>0</v>
      </c>
      <c r="AM156" s="36" t="e">
        <f>INDEX('Dados - Inversores'!$A:$A,MATCH('1'!AL156,'Dados - Inversores'!$C:$C,0))</f>
        <v>#N/A</v>
      </c>
      <c r="AN156" s="33">
        <f>'Dados - Cliente'!AG156</f>
        <v>0</v>
      </c>
      <c r="AO156" s="33" t="e">
        <f>AA156*1.25/(0.22*SQRT(INDEX('Dados - Inversores'!AK:AK,MATCH('1'!AL156,'Dados - Inversores'!C:C,0))))</f>
        <v>#N/A</v>
      </c>
      <c r="AP156" s="34">
        <f>INDEX(Dados!$E$2:$E$33,COUNTIF(Dados!$E$2:$E$33,"&lt;="&amp;AN156*1.25/(INDEX('Dados - Inversores'!AL:AL,MATCH('1'!AL156,'Dados - Inversores'!C:C,0))*SQRT(INDEX('Dados - Inversores'!AK:AK,MATCH('1'!AL156,'Dados - Inversores'!C:C,0)))))+1)</f>
        <v>2</v>
      </c>
      <c r="AQ156" s="33" t="s">
        <v>59</v>
      </c>
      <c r="AR156" s="33" t="str">
        <f t="shared" si="16"/>
        <v>Micro</v>
      </c>
      <c r="AS156" s="33">
        <f>'Dados - Cliente'!AH156</f>
        <v>0</v>
      </c>
      <c r="AT156" s="33">
        <f>'Dados - Cliente'!AI156</f>
        <v>0</v>
      </c>
      <c r="AU156" s="33" t="e">
        <f>INDEX('Dados - Placas'!$N:$N,MATCH('1'!AG156,'Dados - Placas'!$D:$D,0))-1</f>
        <v>#N/A</v>
      </c>
      <c r="AV156" s="33" t="e">
        <f>INDEX('Dados - Placas'!$O:$O,MATCH('1'!AG156,'Dados - Placas'!$D:$D,0))</f>
        <v>#N/A</v>
      </c>
      <c r="AW156" s="33" t="e">
        <f>INDEX('Dados - Inversores'!AM:AM,MATCH('1'!AL156,'Dados - Inversores'!$C:$C,0))-1</f>
        <v>#N/A</v>
      </c>
      <c r="AX156" s="33" t="e">
        <f>INDEX('Dados - Inversores'!AN:AN,MATCH('1'!AL156,'Dados - Inversores'!$C:$C,0))-1</f>
        <v>#N/A</v>
      </c>
      <c r="AY156" s="33" t="e">
        <f>MATCH('1'!H156,Dados!$D$89:$D$167,0)+1</f>
        <v>#N/A</v>
      </c>
      <c r="AZ156" s="33" t="e">
        <f>MATCH('1'!N156,'Dados - Solicitação de acesso'!$N$2:$N$8,0)</f>
        <v>#N/A</v>
      </c>
      <c r="BA156" s="33" t="e">
        <f>MATCH('1'!T156,'Dados - Solicitação de acesso'!$T$2:$T$20,0)</f>
        <v>#N/A</v>
      </c>
      <c r="BB156" s="34"/>
      <c r="BC156" s="33">
        <f>MATCH(AT156,'Dados - Solicitação de acesso'!$AT$2:$AT$28,0)</f>
        <v>1</v>
      </c>
      <c r="BD156" s="33" t="b">
        <f>IF(O156="TRIFASICO",INDEX(Dados!G:G,MATCH('1'!AP156,Dados!E:E,0)),IF(O156="BIFASICO",INDEX(Dados!F:F,MATCH('1'!AP156,Dados!E:E,0),)))</f>
        <v>0</v>
      </c>
      <c r="BE156" s="33">
        <f>'Dados - Cliente'!J156</f>
        <v>0</v>
      </c>
      <c r="BF156" s="34">
        <f>INDEX(Dados!$E$2:$E$33,COUNTIF(Dados!$E$2:$E$33,"&lt;="&amp;AN156*1.25*AK156/(0.22*SQRT(INDEX('Dados - Inversores'!AK:AK,MATCH('1'!AL156,'Dados - Inversores'!C:C,0)))))+1)</f>
        <v>2</v>
      </c>
      <c r="BG156" s="34" t="b">
        <f>IF(O156="TRIFASICO",INDEX(Dados!G:G,MATCH(BF156,Dados!E:E,0)),IF(O156="BIFASICO",INDEX(Dados!F:F,MATCH(BF156,Dados!E:E,0),)))</f>
        <v>0</v>
      </c>
    </row>
    <row r="157" spans="1:59" s="33" customFormat="1" x14ac:dyDescent="0.35">
      <c r="A157" s="33">
        <f>'Dados - Cliente'!A157</f>
        <v>0</v>
      </c>
      <c r="B157" s="33">
        <f>'Dados - Cliente'!B157</f>
        <v>0</v>
      </c>
      <c r="C157" s="33">
        <f>'Dados - Cliente'!C157</f>
        <v>0</v>
      </c>
      <c r="D157" s="33">
        <f>'Dados - Cliente'!D157</f>
        <v>0</v>
      </c>
      <c r="E157" s="33">
        <f>'Dados - Cliente'!E157</f>
        <v>0</v>
      </c>
      <c r="F157" s="33">
        <f>'Dados - Cliente'!F157</f>
        <v>0</v>
      </c>
      <c r="G157" s="33">
        <f>'Dados - Cliente'!G157</f>
        <v>0</v>
      </c>
      <c r="H157" s="33">
        <f>'Dados - Cliente'!H157</f>
        <v>0</v>
      </c>
      <c r="I157" s="75" t="s">
        <v>4313</v>
      </c>
      <c r="J157" s="52" t="s">
        <v>4314</v>
      </c>
      <c r="K157" s="52" t="s">
        <v>4314</v>
      </c>
      <c r="L157" s="33">
        <f>'Dados - Cliente'!I157</f>
        <v>0</v>
      </c>
      <c r="M157" s="33">
        <f>'Dados - Cliente'!K157</f>
        <v>0</v>
      </c>
      <c r="N157" s="33">
        <f>'Dados - Cliente'!L157</f>
        <v>0</v>
      </c>
      <c r="O157" s="33">
        <f>'Dados - Cliente'!M157</f>
        <v>0</v>
      </c>
      <c r="P157" s="33">
        <f>'Dados - Cliente'!N157</f>
        <v>0</v>
      </c>
      <c r="Q157" s="33">
        <f>'Dados - Cliente'!O157</f>
        <v>0</v>
      </c>
      <c r="R157" s="33">
        <f>'Dados - Cliente'!P157</f>
        <v>0</v>
      </c>
      <c r="S157" s="33">
        <f>'Dados - Cliente'!Q157</f>
        <v>0</v>
      </c>
      <c r="T157" s="33">
        <f>'Dados - Cliente'!R157</f>
        <v>0</v>
      </c>
      <c r="U157" s="34">
        <f>'Dados - Cliente'!S157</f>
        <v>0</v>
      </c>
      <c r="V157" s="34">
        <f>'Dados - Cliente'!T157</f>
        <v>0</v>
      </c>
      <c r="W157" s="34">
        <f>'Dados - Cliente'!U157</f>
        <v>0</v>
      </c>
      <c r="X157" s="34">
        <f>'Dados - Cliente'!V157</f>
        <v>0</v>
      </c>
      <c r="Y157" s="34">
        <f>'Dados - Cliente'!W157</f>
        <v>0</v>
      </c>
      <c r="Z157" s="34">
        <f>'Dados - Cliente'!X157</f>
        <v>0</v>
      </c>
      <c r="AA157" s="33" t="e">
        <f t="shared" si="15"/>
        <v>#N/A</v>
      </c>
      <c r="AB157" s="33">
        <f>'Dados - Cliente'!Y157</f>
        <v>0</v>
      </c>
      <c r="AC157" s="33">
        <f>'Dados - Cliente'!Z157</f>
        <v>0</v>
      </c>
      <c r="AD157" s="33">
        <f>'Dados - Cliente'!AA157</f>
        <v>0</v>
      </c>
      <c r="AE157" s="33">
        <f>'Dados - Cliente'!AB157</f>
        <v>0</v>
      </c>
      <c r="AF157" s="33">
        <f>'Dados - Cliente'!AC157</f>
        <v>0</v>
      </c>
      <c r="AG157" s="35">
        <f>'Dados - Cliente'!AD157</f>
        <v>0</v>
      </c>
      <c r="AH157" s="33" t="e">
        <f>INDEX('Dados - Placas'!$A:$A,MATCH('1'!AG157,'Dados - Placas'!$D:$D,0))</f>
        <v>#N/A</v>
      </c>
      <c r="AI157" s="35" t="e">
        <f>INDEX('Dados - Placas'!$E:$E,MATCH('1'!AG157,'Dados - Placas'!$D:$D,0))</f>
        <v>#N/A</v>
      </c>
      <c r="AJ157" s="34" t="e">
        <f>INDEX('Dados - Placas'!$F:$F,MATCH('1'!AG157,'Dados - Placas'!$D:$D,0))*AF157</f>
        <v>#N/A</v>
      </c>
      <c r="AK157" s="33">
        <f>'Dados - Cliente'!AE157</f>
        <v>0</v>
      </c>
      <c r="AL157" s="33">
        <f>'Dados - Cliente'!AF157</f>
        <v>0</v>
      </c>
      <c r="AM157" s="36" t="e">
        <f>INDEX('Dados - Inversores'!$A:$A,MATCH('1'!AL157,'Dados - Inversores'!$C:$C,0))</f>
        <v>#N/A</v>
      </c>
      <c r="AN157" s="33">
        <f>'Dados - Cliente'!AG157</f>
        <v>0</v>
      </c>
      <c r="AO157" s="33" t="e">
        <f>AA157*1.25/(0.22*SQRT(INDEX('Dados - Inversores'!AK:AK,MATCH('1'!AL157,'Dados - Inversores'!C:C,0))))</f>
        <v>#N/A</v>
      </c>
      <c r="AP157" s="34">
        <f>INDEX(Dados!$E$2:$E$33,COUNTIF(Dados!$E$2:$E$33,"&lt;="&amp;AN157*1.25/(INDEX('Dados - Inversores'!AL:AL,MATCH('1'!AL157,'Dados - Inversores'!C:C,0))*SQRT(INDEX('Dados - Inversores'!AK:AK,MATCH('1'!AL157,'Dados - Inversores'!C:C,0)))))+1)</f>
        <v>2</v>
      </c>
      <c r="AQ157" s="33" t="s">
        <v>59</v>
      </c>
      <c r="AR157" s="33" t="str">
        <f t="shared" si="16"/>
        <v>Micro</v>
      </c>
      <c r="AS157" s="33">
        <f>'Dados - Cliente'!AH157</f>
        <v>0</v>
      </c>
      <c r="AT157" s="33">
        <f>'Dados - Cliente'!AI157</f>
        <v>0</v>
      </c>
      <c r="AU157" s="33" t="e">
        <f>INDEX('Dados - Placas'!$N:$N,MATCH('1'!AG157,'Dados - Placas'!$D:$D,0))-1</f>
        <v>#N/A</v>
      </c>
      <c r="AV157" s="33" t="e">
        <f>INDEX('Dados - Placas'!$O:$O,MATCH('1'!AG157,'Dados - Placas'!$D:$D,0))</f>
        <v>#N/A</v>
      </c>
      <c r="AW157" s="33" t="e">
        <f>INDEX('Dados - Inversores'!AM:AM,MATCH('1'!AL157,'Dados - Inversores'!$C:$C,0))-1</f>
        <v>#N/A</v>
      </c>
      <c r="AX157" s="33" t="e">
        <f>INDEX('Dados - Inversores'!AN:AN,MATCH('1'!AL157,'Dados - Inversores'!$C:$C,0))-1</f>
        <v>#N/A</v>
      </c>
      <c r="AY157" s="33" t="e">
        <f>MATCH('1'!H157,Dados!$D$89:$D$167,0)+1</f>
        <v>#N/A</v>
      </c>
      <c r="AZ157" s="33" t="e">
        <f>MATCH('1'!N157,'Dados - Solicitação de acesso'!$N$2:$N$8,0)</f>
        <v>#N/A</v>
      </c>
      <c r="BA157" s="33" t="e">
        <f>MATCH('1'!T157,'Dados - Solicitação de acesso'!$T$2:$T$20,0)</f>
        <v>#N/A</v>
      </c>
      <c r="BB157" s="34"/>
      <c r="BC157" s="33">
        <f>MATCH(AT157,'Dados - Solicitação de acesso'!$AT$2:$AT$28,0)</f>
        <v>1</v>
      </c>
      <c r="BD157" s="33" t="b">
        <f>IF(O157="TRIFASICO",INDEX(Dados!G:G,MATCH('1'!AP157,Dados!E:E,0)),IF(O157="BIFASICO",INDEX(Dados!F:F,MATCH('1'!AP157,Dados!E:E,0),)))</f>
        <v>0</v>
      </c>
      <c r="BE157" s="33">
        <f>'Dados - Cliente'!J157</f>
        <v>0</v>
      </c>
      <c r="BF157" s="34">
        <f>INDEX(Dados!$E$2:$E$33,COUNTIF(Dados!$E$2:$E$33,"&lt;="&amp;AN157*1.25*AK157/(0.22*SQRT(INDEX('Dados - Inversores'!AK:AK,MATCH('1'!AL157,'Dados - Inversores'!C:C,0)))))+1)</f>
        <v>2</v>
      </c>
      <c r="BG157" s="34" t="b">
        <f>IF(O157="TRIFASICO",INDEX(Dados!G:G,MATCH(BF157,Dados!E:E,0)),IF(O157="BIFASICO",INDEX(Dados!F:F,MATCH(BF157,Dados!E:E,0),)))</f>
        <v>0</v>
      </c>
    </row>
    <row r="158" spans="1:59" s="33" customFormat="1" x14ac:dyDescent="0.35">
      <c r="A158" s="33">
        <f>'Dados - Cliente'!A158</f>
        <v>0</v>
      </c>
      <c r="B158" s="33">
        <f>'Dados - Cliente'!B158</f>
        <v>0</v>
      </c>
      <c r="C158" s="33">
        <f>'Dados - Cliente'!C158</f>
        <v>0</v>
      </c>
      <c r="D158" s="33">
        <f>'Dados - Cliente'!D158</f>
        <v>0</v>
      </c>
      <c r="E158" s="33">
        <f>'Dados - Cliente'!E158</f>
        <v>0</v>
      </c>
      <c r="F158" s="33">
        <f>'Dados - Cliente'!F158</f>
        <v>0</v>
      </c>
      <c r="G158" s="33">
        <f>'Dados - Cliente'!G158</f>
        <v>0</v>
      </c>
      <c r="H158" s="33">
        <f>'Dados - Cliente'!H158</f>
        <v>0</v>
      </c>
      <c r="I158" s="75" t="s">
        <v>4313</v>
      </c>
      <c r="J158" s="52" t="s">
        <v>4314</v>
      </c>
      <c r="K158" s="52" t="s">
        <v>4314</v>
      </c>
      <c r="L158" s="33">
        <f>'Dados - Cliente'!I158</f>
        <v>0</v>
      </c>
      <c r="M158" s="33">
        <f>'Dados - Cliente'!K158</f>
        <v>0</v>
      </c>
      <c r="N158" s="33">
        <f>'Dados - Cliente'!L158</f>
        <v>0</v>
      </c>
      <c r="O158" s="33">
        <f>'Dados - Cliente'!M158</f>
        <v>0</v>
      </c>
      <c r="P158" s="33">
        <f>'Dados - Cliente'!N158</f>
        <v>0</v>
      </c>
      <c r="Q158" s="33">
        <f>'Dados - Cliente'!O158</f>
        <v>0</v>
      </c>
      <c r="R158" s="33">
        <f>'Dados - Cliente'!P158</f>
        <v>0</v>
      </c>
      <c r="S158" s="33">
        <f>'Dados - Cliente'!Q158</f>
        <v>0</v>
      </c>
      <c r="T158" s="33">
        <f>'Dados - Cliente'!R158</f>
        <v>0</v>
      </c>
      <c r="U158" s="34">
        <f>'Dados - Cliente'!S158</f>
        <v>0</v>
      </c>
      <c r="V158" s="34">
        <f>'Dados - Cliente'!T158</f>
        <v>0</v>
      </c>
      <c r="W158" s="34">
        <f>'Dados - Cliente'!U158</f>
        <v>0</v>
      </c>
      <c r="X158" s="34">
        <f>'Dados - Cliente'!V158</f>
        <v>0</v>
      </c>
      <c r="Y158" s="34">
        <f>'Dados - Cliente'!W158</f>
        <v>0</v>
      </c>
      <c r="Z158" s="34">
        <f>'Dados - Cliente'!X158</f>
        <v>0</v>
      </c>
      <c r="AA158" s="33" t="e">
        <f t="shared" si="15"/>
        <v>#N/A</v>
      </c>
      <c r="AB158" s="33">
        <f>'Dados - Cliente'!Y158</f>
        <v>0</v>
      </c>
      <c r="AC158" s="33">
        <f>'Dados - Cliente'!Z158</f>
        <v>0</v>
      </c>
      <c r="AD158" s="33">
        <f>'Dados - Cliente'!AA158</f>
        <v>0</v>
      </c>
      <c r="AE158" s="33">
        <f>'Dados - Cliente'!AB158</f>
        <v>0</v>
      </c>
      <c r="AF158" s="33">
        <f>'Dados - Cliente'!AC158</f>
        <v>0</v>
      </c>
      <c r="AG158" s="35">
        <f>'Dados - Cliente'!AD158</f>
        <v>0</v>
      </c>
      <c r="AH158" s="33" t="e">
        <f>INDEX('Dados - Placas'!$A:$A,MATCH('1'!AG158,'Dados - Placas'!$D:$D,0))</f>
        <v>#N/A</v>
      </c>
      <c r="AI158" s="35" t="e">
        <f>INDEX('Dados - Placas'!$E:$E,MATCH('1'!AG158,'Dados - Placas'!$D:$D,0))</f>
        <v>#N/A</v>
      </c>
      <c r="AJ158" s="34" t="e">
        <f>INDEX('Dados - Placas'!$F:$F,MATCH('1'!AG158,'Dados - Placas'!$D:$D,0))*AF158</f>
        <v>#N/A</v>
      </c>
      <c r="AK158" s="33">
        <f>'Dados - Cliente'!AE158</f>
        <v>0</v>
      </c>
      <c r="AL158" s="33">
        <f>'Dados - Cliente'!AF158</f>
        <v>0</v>
      </c>
      <c r="AM158" s="36" t="e">
        <f>INDEX('Dados - Inversores'!$A:$A,MATCH('1'!AL158,'Dados - Inversores'!$C:$C,0))</f>
        <v>#N/A</v>
      </c>
      <c r="AN158" s="33">
        <f>'Dados - Cliente'!AG158</f>
        <v>0</v>
      </c>
      <c r="AO158" s="33" t="e">
        <f>AA158*1.25/(0.22*SQRT(INDEX('Dados - Inversores'!AK:AK,MATCH('1'!AL158,'Dados - Inversores'!C:C,0))))</f>
        <v>#N/A</v>
      </c>
      <c r="AP158" s="34">
        <f>INDEX(Dados!$E$2:$E$33,COUNTIF(Dados!$E$2:$E$33,"&lt;="&amp;AN158*1.25/(INDEX('Dados - Inversores'!AL:AL,MATCH('1'!AL158,'Dados - Inversores'!C:C,0))*SQRT(INDEX('Dados - Inversores'!AK:AK,MATCH('1'!AL158,'Dados - Inversores'!C:C,0)))))+1)</f>
        <v>2</v>
      </c>
      <c r="AQ158" s="33" t="s">
        <v>59</v>
      </c>
      <c r="AR158" s="33" t="str">
        <f t="shared" si="16"/>
        <v>Micro</v>
      </c>
      <c r="AS158" s="33">
        <f>'Dados - Cliente'!AH158</f>
        <v>0</v>
      </c>
      <c r="AT158" s="33">
        <f>'Dados - Cliente'!AI158</f>
        <v>0</v>
      </c>
      <c r="AU158" s="33" t="e">
        <f>INDEX('Dados - Placas'!$N:$N,MATCH('1'!AG158,'Dados - Placas'!$D:$D,0))-1</f>
        <v>#N/A</v>
      </c>
      <c r="AV158" s="33" t="e">
        <f>INDEX('Dados - Placas'!$O:$O,MATCH('1'!AG158,'Dados - Placas'!$D:$D,0))</f>
        <v>#N/A</v>
      </c>
      <c r="AW158" s="33" t="e">
        <f>INDEX('Dados - Inversores'!AM:AM,MATCH('1'!AL158,'Dados - Inversores'!$C:$C,0))-1</f>
        <v>#N/A</v>
      </c>
      <c r="AX158" s="33" t="e">
        <f>INDEX('Dados - Inversores'!AN:AN,MATCH('1'!AL158,'Dados - Inversores'!$C:$C,0))-1</f>
        <v>#N/A</v>
      </c>
      <c r="AY158" s="33" t="e">
        <f>MATCH('1'!H158,Dados!$D$89:$D$167,0)+1</f>
        <v>#N/A</v>
      </c>
      <c r="AZ158" s="33" t="e">
        <f>MATCH('1'!N158,'Dados - Solicitação de acesso'!$N$2:$N$8,0)</f>
        <v>#N/A</v>
      </c>
      <c r="BA158" s="33" t="e">
        <f>MATCH('1'!T158,'Dados - Solicitação de acesso'!$T$2:$T$20,0)</f>
        <v>#N/A</v>
      </c>
      <c r="BB158" s="34"/>
      <c r="BC158" s="33">
        <f>MATCH(AT158,'Dados - Solicitação de acesso'!$AT$2:$AT$28,0)</f>
        <v>1</v>
      </c>
      <c r="BD158" s="33" t="b">
        <f>IF(O158="TRIFASICO",INDEX(Dados!G:G,MATCH('1'!AP158,Dados!E:E,0)),IF(O158="BIFASICO",INDEX(Dados!F:F,MATCH('1'!AP158,Dados!E:E,0),)))</f>
        <v>0</v>
      </c>
      <c r="BE158" s="33">
        <f>'Dados - Cliente'!J158</f>
        <v>0</v>
      </c>
      <c r="BF158" s="34">
        <f>INDEX(Dados!$E$2:$E$33,COUNTIF(Dados!$E$2:$E$33,"&lt;="&amp;AN158*1.25*AK158/(0.22*SQRT(INDEX('Dados - Inversores'!AK:AK,MATCH('1'!AL158,'Dados - Inversores'!C:C,0)))))+1)</f>
        <v>2</v>
      </c>
      <c r="BG158" s="34" t="b">
        <f>IF(O158="TRIFASICO",INDEX(Dados!G:G,MATCH(BF158,Dados!E:E,0)),IF(O158="BIFASICO",INDEX(Dados!F:F,MATCH(BF158,Dados!E:E,0),)))</f>
        <v>0</v>
      </c>
    </row>
    <row r="159" spans="1:59" s="33" customFormat="1" x14ac:dyDescent="0.35">
      <c r="A159" s="33">
        <f>'Dados - Cliente'!A159</f>
        <v>0</v>
      </c>
      <c r="B159" s="33">
        <f>'Dados - Cliente'!B159</f>
        <v>0</v>
      </c>
      <c r="C159" s="33">
        <f>'Dados - Cliente'!C159</f>
        <v>0</v>
      </c>
      <c r="D159" s="33">
        <f>'Dados - Cliente'!D159</f>
        <v>0</v>
      </c>
      <c r="E159" s="33">
        <f>'Dados - Cliente'!E159</f>
        <v>0</v>
      </c>
      <c r="F159" s="33">
        <f>'Dados - Cliente'!F159</f>
        <v>0</v>
      </c>
      <c r="G159" s="33">
        <f>'Dados - Cliente'!G159</f>
        <v>0</v>
      </c>
      <c r="H159" s="33">
        <f>'Dados - Cliente'!H159</f>
        <v>0</v>
      </c>
      <c r="I159" s="75" t="s">
        <v>4313</v>
      </c>
      <c r="J159" s="52" t="s">
        <v>4314</v>
      </c>
      <c r="K159" s="52" t="s">
        <v>4314</v>
      </c>
      <c r="L159" s="33">
        <f>'Dados - Cliente'!I159</f>
        <v>0</v>
      </c>
      <c r="M159" s="33">
        <f>'Dados - Cliente'!K159</f>
        <v>0</v>
      </c>
      <c r="N159" s="33">
        <f>'Dados - Cliente'!L159</f>
        <v>0</v>
      </c>
      <c r="O159" s="33">
        <f>'Dados - Cliente'!M159</f>
        <v>0</v>
      </c>
      <c r="P159" s="33">
        <f>'Dados - Cliente'!N159</f>
        <v>0</v>
      </c>
      <c r="Q159" s="33">
        <f>'Dados - Cliente'!O159</f>
        <v>0</v>
      </c>
      <c r="R159" s="33">
        <f>'Dados - Cliente'!P159</f>
        <v>0</v>
      </c>
      <c r="S159" s="33">
        <f>'Dados - Cliente'!Q159</f>
        <v>0</v>
      </c>
      <c r="T159" s="33">
        <f>'Dados - Cliente'!R159</f>
        <v>0</v>
      </c>
      <c r="U159" s="34">
        <f>'Dados - Cliente'!S159</f>
        <v>0</v>
      </c>
      <c r="V159" s="34">
        <f>'Dados - Cliente'!T159</f>
        <v>0</v>
      </c>
      <c r="W159" s="34">
        <f>'Dados - Cliente'!U159</f>
        <v>0</v>
      </c>
      <c r="X159" s="34">
        <f>'Dados - Cliente'!V159</f>
        <v>0</v>
      </c>
      <c r="Y159" s="34">
        <f>'Dados - Cliente'!W159</f>
        <v>0</v>
      </c>
      <c r="Z159" s="34">
        <f>'Dados - Cliente'!X159</f>
        <v>0</v>
      </c>
      <c r="AA159" s="33" t="e">
        <f t="shared" si="15"/>
        <v>#N/A</v>
      </c>
      <c r="AB159" s="33">
        <f>'Dados - Cliente'!Y159</f>
        <v>0</v>
      </c>
      <c r="AC159" s="33">
        <f>'Dados - Cliente'!Z159</f>
        <v>0</v>
      </c>
      <c r="AD159" s="33">
        <f>'Dados - Cliente'!AA159</f>
        <v>0</v>
      </c>
      <c r="AE159" s="33">
        <f>'Dados - Cliente'!AB159</f>
        <v>0</v>
      </c>
      <c r="AF159" s="33">
        <f>'Dados - Cliente'!AC159</f>
        <v>0</v>
      </c>
      <c r="AG159" s="35">
        <f>'Dados - Cliente'!AD159</f>
        <v>0</v>
      </c>
      <c r="AH159" s="33" t="e">
        <f>INDEX('Dados - Placas'!$A:$A,MATCH('1'!AG159,'Dados - Placas'!$D:$D,0))</f>
        <v>#N/A</v>
      </c>
      <c r="AI159" s="35" t="e">
        <f>INDEX('Dados - Placas'!$E:$E,MATCH('1'!AG159,'Dados - Placas'!$D:$D,0))</f>
        <v>#N/A</v>
      </c>
      <c r="AJ159" s="34" t="e">
        <f>INDEX('Dados - Placas'!$F:$F,MATCH('1'!AG159,'Dados - Placas'!$D:$D,0))*AF159</f>
        <v>#N/A</v>
      </c>
      <c r="AK159" s="33">
        <f>'Dados - Cliente'!AE159</f>
        <v>0</v>
      </c>
      <c r="AL159" s="33">
        <f>'Dados - Cliente'!AF159</f>
        <v>0</v>
      </c>
      <c r="AM159" s="36" t="e">
        <f>INDEX('Dados - Inversores'!$A:$A,MATCH('1'!AL159,'Dados - Inversores'!$C:$C,0))</f>
        <v>#N/A</v>
      </c>
      <c r="AN159" s="33">
        <f>'Dados - Cliente'!AG159</f>
        <v>0</v>
      </c>
      <c r="AO159" s="33" t="e">
        <f>AA159*1.25/(0.22*SQRT(INDEX('Dados - Inversores'!AK:AK,MATCH('1'!AL159,'Dados - Inversores'!C:C,0))))</f>
        <v>#N/A</v>
      </c>
      <c r="AP159" s="34">
        <f>INDEX(Dados!$E$2:$E$33,COUNTIF(Dados!$E$2:$E$33,"&lt;="&amp;AN159*1.25/(INDEX('Dados - Inversores'!AL:AL,MATCH('1'!AL159,'Dados - Inversores'!C:C,0))*SQRT(INDEX('Dados - Inversores'!AK:AK,MATCH('1'!AL159,'Dados - Inversores'!C:C,0)))))+1)</f>
        <v>2</v>
      </c>
      <c r="AQ159" s="33" t="s">
        <v>59</v>
      </c>
      <c r="AR159" s="33" t="str">
        <f t="shared" si="16"/>
        <v>Micro</v>
      </c>
      <c r="AS159" s="33">
        <f>'Dados - Cliente'!AH159</f>
        <v>0</v>
      </c>
      <c r="AT159" s="33">
        <f>'Dados - Cliente'!AI159</f>
        <v>0</v>
      </c>
      <c r="AU159" s="33" t="e">
        <f>INDEX('Dados - Placas'!$N:$N,MATCH('1'!AG159,'Dados - Placas'!$D:$D,0))-1</f>
        <v>#N/A</v>
      </c>
      <c r="AV159" s="33" t="e">
        <f>INDEX('Dados - Placas'!$O:$O,MATCH('1'!AG159,'Dados - Placas'!$D:$D,0))</f>
        <v>#N/A</v>
      </c>
      <c r="AW159" s="33" t="e">
        <f>INDEX('Dados - Inversores'!AM:AM,MATCH('1'!AL159,'Dados - Inversores'!$C:$C,0))-1</f>
        <v>#N/A</v>
      </c>
      <c r="AX159" s="33" t="e">
        <f>INDEX('Dados - Inversores'!AN:AN,MATCH('1'!AL159,'Dados - Inversores'!$C:$C,0))-1</f>
        <v>#N/A</v>
      </c>
      <c r="AY159" s="33" t="e">
        <f>MATCH('1'!H159,Dados!$D$89:$D$167,0)+1</f>
        <v>#N/A</v>
      </c>
      <c r="AZ159" s="33" t="e">
        <f>MATCH('1'!N159,'Dados - Solicitação de acesso'!$N$2:$N$8,0)</f>
        <v>#N/A</v>
      </c>
      <c r="BA159" s="33" t="e">
        <f>MATCH('1'!T159,'Dados - Solicitação de acesso'!$T$2:$T$20,0)</f>
        <v>#N/A</v>
      </c>
      <c r="BB159" s="34"/>
      <c r="BC159" s="33">
        <f>MATCH(AT159,'Dados - Solicitação de acesso'!$AT$2:$AT$28,0)</f>
        <v>1</v>
      </c>
      <c r="BD159" s="33" t="b">
        <f>IF(O159="TRIFASICO",INDEX(Dados!G:G,MATCH('1'!AP159,Dados!E:E,0)),IF(O159="BIFASICO",INDEX(Dados!F:F,MATCH('1'!AP159,Dados!E:E,0),)))</f>
        <v>0</v>
      </c>
      <c r="BE159" s="33">
        <f>'Dados - Cliente'!J159</f>
        <v>0</v>
      </c>
      <c r="BF159" s="34">
        <f>INDEX(Dados!$E$2:$E$33,COUNTIF(Dados!$E$2:$E$33,"&lt;="&amp;AN159*1.25*AK159/(0.22*SQRT(INDEX('Dados - Inversores'!AK:AK,MATCH('1'!AL159,'Dados - Inversores'!C:C,0)))))+1)</f>
        <v>2</v>
      </c>
      <c r="BG159" s="34" t="b">
        <f>IF(O159="TRIFASICO",INDEX(Dados!G:G,MATCH(BF159,Dados!E:E,0)),IF(O159="BIFASICO",INDEX(Dados!F:F,MATCH(BF159,Dados!E:E,0),)))</f>
        <v>0</v>
      </c>
    </row>
    <row r="160" spans="1:59" s="33" customFormat="1" x14ac:dyDescent="0.35">
      <c r="A160" s="33">
        <f>'Dados - Cliente'!A160</f>
        <v>0</v>
      </c>
      <c r="B160" s="33">
        <f>'Dados - Cliente'!B160</f>
        <v>0</v>
      </c>
      <c r="C160" s="33">
        <f>'Dados - Cliente'!C160</f>
        <v>0</v>
      </c>
      <c r="D160" s="33">
        <f>'Dados - Cliente'!D160</f>
        <v>0</v>
      </c>
      <c r="E160" s="33">
        <f>'Dados - Cliente'!E160</f>
        <v>0</v>
      </c>
      <c r="F160" s="33">
        <f>'Dados - Cliente'!F160</f>
        <v>0</v>
      </c>
      <c r="G160" s="33">
        <f>'Dados - Cliente'!G160</f>
        <v>0</v>
      </c>
      <c r="H160" s="33">
        <f>'Dados - Cliente'!H160</f>
        <v>0</v>
      </c>
      <c r="I160" s="75" t="s">
        <v>4313</v>
      </c>
      <c r="J160" s="52" t="s">
        <v>4314</v>
      </c>
      <c r="K160" s="52" t="s">
        <v>4314</v>
      </c>
      <c r="L160" s="33">
        <f>'Dados - Cliente'!I160</f>
        <v>0</v>
      </c>
      <c r="M160" s="33">
        <f>'Dados - Cliente'!K160</f>
        <v>0</v>
      </c>
      <c r="N160" s="33">
        <f>'Dados - Cliente'!L160</f>
        <v>0</v>
      </c>
      <c r="O160" s="33">
        <f>'Dados - Cliente'!M160</f>
        <v>0</v>
      </c>
      <c r="P160" s="33">
        <f>'Dados - Cliente'!N160</f>
        <v>0</v>
      </c>
      <c r="Q160" s="33">
        <f>'Dados - Cliente'!O160</f>
        <v>0</v>
      </c>
      <c r="R160" s="33">
        <f>'Dados - Cliente'!P160</f>
        <v>0</v>
      </c>
      <c r="S160" s="33">
        <f>'Dados - Cliente'!Q160</f>
        <v>0</v>
      </c>
      <c r="T160" s="33">
        <f>'Dados - Cliente'!R160</f>
        <v>0</v>
      </c>
      <c r="U160" s="34">
        <f>'Dados - Cliente'!S160</f>
        <v>0</v>
      </c>
      <c r="V160" s="34">
        <f>'Dados - Cliente'!T160</f>
        <v>0</v>
      </c>
      <c r="W160" s="34">
        <f>'Dados - Cliente'!U160</f>
        <v>0</v>
      </c>
      <c r="X160" s="34">
        <f>'Dados - Cliente'!V160</f>
        <v>0</v>
      </c>
      <c r="Y160" s="34">
        <f>'Dados - Cliente'!W160</f>
        <v>0</v>
      </c>
      <c r="Z160" s="34">
        <f>'Dados - Cliente'!X160</f>
        <v>0</v>
      </c>
      <c r="AA160" s="33" t="e">
        <f t="shared" si="15"/>
        <v>#N/A</v>
      </c>
      <c r="AB160" s="33">
        <f>'Dados - Cliente'!Y160</f>
        <v>0</v>
      </c>
      <c r="AC160" s="33">
        <f>'Dados - Cliente'!Z160</f>
        <v>0</v>
      </c>
      <c r="AD160" s="33">
        <f>'Dados - Cliente'!AA160</f>
        <v>0</v>
      </c>
      <c r="AE160" s="33">
        <f>'Dados - Cliente'!AB160</f>
        <v>0</v>
      </c>
      <c r="AF160" s="33">
        <f>'Dados - Cliente'!AC160</f>
        <v>0</v>
      </c>
      <c r="AG160" s="35">
        <f>'Dados - Cliente'!AD160</f>
        <v>0</v>
      </c>
      <c r="AH160" s="33" t="e">
        <f>INDEX('Dados - Placas'!$A:$A,MATCH('1'!AG160,'Dados - Placas'!$D:$D,0))</f>
        <v>#N/A</v>
      </c>
      <c r="AI160" s="35" t="e">
        <f>INDEX('Dados - Placas'!$E:$E,MATCH('1'!AG160,'Dados - Placas'!$D:$D,0))</f>
        <v>#N/A</v>
      </c>
      <c r="AJ160" s="34" t="e">
        <f>INDEX('Dados - Placas'!$F:$F,MATCH('1'!AG160,'Dados - Placas'!$D:$D,0))*AF160</f>
        <v>#N/A</v>
      </c>
      <c r="AK160" s="33">
        <f>'Dados - Cliente'!AE160</f>
        <v>0</v>
      </c>
      <c r="AL160" s="33">
        <f>'Dados - Cliente'!AF160</f>
        <v>0</v>
      </c>
      <c r="AM160" s="36" t="e">
        <f>INDEX('Dados - Inversores'!$A:$A,MATCH('1'!AL160,'Dados - Inversores'!$C:$C,0))</f>
        <v>#N/A</v>
      </c>
      <c r="AN160" s="33">
        <f>'Dados - Cliente'!AG160</f>
        <v>0</v>
      </c>
      <c r="AO160" s="33" t="e">
        <f>AA160*1.25/(0.22*SQRT(INDEX('Dados - Inversores'!AK:AK,MATCH('1'!AL160,'Dados - Inversores'!C:C,0))))</f>
        <v>#N/A</v>
      </c>
      <c r="AP160" s="34">
        <f>INDEX(Dados!$E$2:$E$33,COUNTIF(Dados!$E$2:$E$33,"&lt;="&amp;AN160*1.25/(INDEX('Dados - Inversores'!AL:AL,MATCH('1'!AL160,'Dados - Inversores'!C:C,0))*SQRT(INDEX('Dados - Inversores'!AK:AK,MATCH('1'!AL160,'Dados - Inversores'!C:C,0)))))+1)</f>
        <v>2</v>
      </c>
      <c r="AQ160" s="33" t="s">
        <v>59</v>
      </c>
      <c r="AR160" s="33" t="str">
        <f t="shared" si="16"/>
        <v>Micro</v>
      </c>
      <c r="AS160" s="33">
        <f>'Dados - Cliente'!AH160</f>
        <v>0</v>
      </c>
      <c r="AT160" s="33">
        <f>'Dados - Cliente'!AI160</f>
        <v>0</v>
      </c>
      <c r="AU160" s="33" t="e">
        <f>INDEX('Dados - Placas'!$N:$N,MATCH('1'!AG160,'Dados - Placas'!$D:$D,0))-1</f>
        <v>#N/A</v>
      </c>
      <c r="AV160" s="33" t="e">
        <f>INDEX('Dados - Placas'!$O:$O,MATCH('1'!AG160,'Dados - Placas'!$D:$D,0))</f>
        <v>#N/A</v>
      </c>
      <c r="AW160" s="33" t="e">
        <f>INDEX('Dados - Inversores'!AM:AM,MATCH('1'!AL160,'Dados - Inversores'!$C:$C,0))-1</f>
        <v>#N/A</v>
      </c>
      <c r="AX160" s="33" t="e">
        <f>INDEX('Dados - Inversores'!AN:AN,MATCH('1'!AL160,'Dados - Inversores'!$C:$C,0))-1</f>
        <v>#N/A</v>
      </c>
      <c r="AY160" s="33" t="e">
        <f>MATCH('1'!H160,Dados!$D$89:$D$167,0)+1</f>
        <v>#N/A</v>
      </c>
      <c r="AZ160" s="33" t="e">
        <f>MATCH('1'!N160,'Dados - Solicitação de acesso'!$N$2:$N$8,0)</f>
        <v>#N/A</v>
      </c>
      <c r="BA160" s="33" t="e">
        <f>MATCH('1'!T160,'Dados - Solicitação de acesso'!$T$2:$T$20,0)</f>
        <v>#N/A</v>
      </c>
      <c r="BB160" s="34"/>
      <c r="BC160" s="33">
        <f>MATCH(AT160,'Dados - Solicitação de acesso'!$AT$2:$AT$28,0)</f>
        <v>1</v>
      </c>
      <c r="BD160" s="33" t="b">
        <f>IF(O160="TRIFASICO",INDEX(Dados!G:G,MATCH('1'!AP160,Dados!E:E,0)),IF(O160="BIFASICO",INDEX(Dados!F:F,MATCH('1'!AP160,Dados!E:E,0),)))</f>
        <v>0</v>
      </c>
      <c r="BE160" s="33">
        <f>'Dados - Cliente'!J160</f>
        <v>0</v>
      </c>
      <c r="BF160" s="34">
        <f>INDEX(Dados!$E$2:$E$33,COUNTIF(Dados!$E$2:$E$33,"&lt;="&amp;AN160*1.25*AK160/(0.22*SQRT(INDEX('Dados - Inversores'!AK:AK,MATCH('1'!AL160,'Dados - Inversores'!C:C,0)))))+1)</f>
        <v>2</v>
      </c>
      <c r="BG160" s="34" t="b">
        <f>IF(O160="TRIFASICO",INDEX(Dados!G:G,MATCH(BF160,Dados!E:E,0)),IF(O160="BIFASICO",INDEX(Dados!F:F,MATCH(BF160,Dados!E:E,0),)))</f>
        <v>0</v>
      </c>
    </row>
    <row r="161" spans="1:59" s="33" customFormat="1" x14ac:dyDescent="0.35">
      <c r="A161" s="33">
        <f>'Dados - Cliente'!A161</f>
        <v>0</v>
      </c>
      <c r="B161" s="33">
        <f>'Dados - Cliente'!B161</f>
        <v>0</v>
      </c>
      <c r="C161" s="33">
        <f>'Dados - Cliente'!C161</f>
        <v>0</v>
      </c>
      <c r="D161" s="33">
        <f>'Dados - Cliente'!D161</f>
        <v>0</v>
      </c>
      <c r="E161" s="33">
        <f>'Dados - Cliente'!E161</f>
        <v>0</v>
      </c>
      <c r="F161" s="33">
        <f>'Dados - Cliente'!F161</f>
        <v>0</v>
      </c>
      <c r="G161" s="33">
        <f>'Dados - Cliente'!G161</f>
        <v>0</v>
      </c>
      <c r="H161" s="33">
        <f>'Dados - Cliente'!H161</f>
        <v>0</v>
      </c>
      <c r="I161" s="75" t="s">
        <v>4313</v>
      </c>
      <c r="J161" s="52" t="s">
        <v>4314</v>
      </c>
      <c r="K161" s="52" t="s">
        <v>4314</v>
      </c>
      <c r="L161" s="33">
        <f>'Dados - Cliente'!I161</f>
        <v>0</v>
      </c>
      <c r="M161" s="33">
        <f>'Dados - Cliente'!K161</f>
        <v>0</v>
      </c>
      <c r="N161" s="33">
        <f>'Dados - Cliente'!L161</f>
        <v>0</v>
      </c>
      <c r="O161" s="33">
        <f>'Dados - Cliente'!M161</f>
        <v>0</v>
      </c>
      <c r="P161" s="33">
        <f>'Dados - Cliente'!N161</f>
        <v>0</v>
      </c>
      <c r="Q161" s="33">
        <f>'Dados - Cliente'!O161</f>
        <v>0</v>
      </c>
      <c r="R161" s="33">
        <f>'Dados - Cliente'!P161</f>
        <v>0</v>
      </c>
      <c r="S161" s="33">
        <f>'Dados - Cliente'!Q161</f>
        <v>0</v>
      </c>
      <c r="T161" s="33">
        <f>'Dados - Cliente'!R161</f>
        <v>0</v>
      </c>
      <c r="U161" s="34">
        <f>'Dados - Cliente'!S161</f>
        <v>0</v>
      </c>
      <c r="V161" s="34">
        <f>'Dados - Cliente'!T161</f>
        <v>0</v>
      </c>
      <c r="W161" s="34">
        <f>'Dados - Cliente'!U161</f>
        <v>0</v>
      </c>
      <c r="X161" s="34">
        <f>'Dados - Cliente'!V161</f>
        <v>0</v>
      </c>
      <c r="Y161" s="34">
        <f>'Dados - Cliente'!W161</f>
        <v>0</v>
      </c>
      <c r="Z161" s="34">
        <f>'Dados - Cliente'!X161</f>
        <v>0</v>
      </c>
      <c r="AA161" s="33" t="e">
        <f t="shared" si="15"/>
        <v>#N/A</v>
      </c>
      <c r="AB161" s="33">
        <f>'Dados - Cliente'!Y161</f>
        <v>0</v>
      </c>
      <c r="AC161" s="33">
        <f>'Dados - Cliente'!Z161</f>
        <v>0</v>
      </c>
      <c r="AD161" s="33">
        <f>'Dados - Cliente'!AA161</f>
        <v>0</v>
      </c>
      <c r="AE161" s="33">
        <f>'Dados - Cliente'!AB161</f>
        <v>0</v>
      </c>
      <c r="AF161" s="33">
        <f>'Dados - Cliente'!AC161</f>
        <v>0</v>
      </c>
      <c r="AG161" s="35">
        <f>'Dados - Cliente'!AD161</f>
        <v>0</v>
      </c>
      <c r="AH161" s="33" t="e">
        <f>INDEX('Dados - Placas'!$A:$A,MATCH('1'!AG161,'Dados - Placas'!$D:$D,0))</f>
        <v>#N/A</v>
      </c>
      <c r="AI161" s="35" t="e">
        <f>INDEX('Dados - Placas'!$E:$E,MATCH('1'!AG161,'Dados - Placas'!$D:$D,0))</f>
        <v>#N/A</v>
      </c>
      <c r="AJ161" s="34" t="e">
        <f>INDEX('Dados - Placas'!$F:$F,MATCH('1'!AG161,'Dados - Placas'!$D:$D,0))*AF161</f>
        <v>#N/A</v>
      </c>
      <c r="AK161" s="33">
        <f>'Dados - Cliente'!AE161</f>
        <v>0</v>
      </c>
      <c r="AL161" s="33">
        <f>'Dados - Cliente'!AF161</f>
        <v>0</v>
      </c>
      <c r="AM161" s="36" t="e">
        <f>INDEX('Dados - Inversores'!$A:$A,MATCH('1'!AL161,'Dados - Inversores'!$C:$C,0))</f>
        <v>#N/A</v>
      </c>
      <c r="AN161" s="33">
        <f>'Dados - Cliente'!AG161</f>
        <v>0</v>
      </c>
      <c r="AO161" s="33" t="e">
        <f>AA161*1.25/(0.22*SQRT(INDEX('Dados - Inversores'!AK:AK,MATCH('1'!AL161,'Dados - Inversores'!C:C,0))))</f>
        <v>#N/A</v>
      </c>
      <c r="AP161" s="34">
        <f>INDEX(Dados!$E$2:$E$33,COUNTIF(Dados!$E$2:$E$33,"&lt;="&amp;AN161*1.25/(INDEX('Dados - Inversores'!AL:AL,MATCH('1'!AL161,'Dados - Inversores'!C:C,0))*SQRT(INDEX('Dados - Inversores'!AK:AK,MATCH('1'!AL161,'Dados - Inversores'!C:C,0)))))+1)</f>
        <v>2</v>
      </c>
      <c r="AQ161" s="33" t="s">
        <v>59</v>
      </c>
      <c r="AR161" s="33" t="str">
        <f t="shared" si="16"/>
        <v>Micro</v>
      </c>
      <c r="AS161" s="33">
        <f>'Dados - Cliente'!AH161</f>
        <v>0</v>
      </c>
      <c r="AT161" s="33">
        <f>'Dados - Cliente'!AI161</f>
        <v>0</v>
      </c>
      <c r="AU161" s="33" t="e">
        <f>INDEX('Dados - Placas'!$N:$N,MATCH('1'!AG161,'Dados - Placas'!$D:$D,0))-1</f>
        <v>#N/A</v>
      </c>
      <c r="AV161" s="33" t="e">
        <f>INDEX('Dados - Placas'!$O:$O,MATCH('1'!AG161,'Dados - Placas'!$D:$D,0))</f>
        <v>#N/A</v>
      </c>
      <c r="AW161" s="33" t="e">
        <f>INDEX('Dados - Inversores'!AM:AM,MATCH('1'!AL161,'Dados - Inversores'!$C:$C,0))-1</f>
        <v>#N/A</v>
      </c>
      <c r="AX161" s="33" t="e">
        <f>INDEX('Dados - Inversores'!AN:AN,MATCH('1'!AL161,'Dados - Inversores'!$C:$C,0))-1</f>
        <v>#N/A</v>
      </c>
      <c r="AY161" s="33" t="e">
        <f>MATCH('1'!H161,Dados!$D$89:$D$167,0)+1</f>
        <v>#N/A</v>
      </c>
      <c r="AZ161" s="33" t="e">
        <f>MATCH('1'!N161,'Dados - Solicitação de acesso'!$N$2:$N$8,0)</f>
        <v>#N/A</v>
      </c>
      <c r="BA161" s="33" t="e">
        <f>MATCH('1'!T161,'Dados - Solicitação de acesso'!$T$2:$T$20,0)</f>
        <v>#N/A</v>
      </c>
      <c r="BB161" s="34"/>
      <c r="BC161" s="33">
        <f>MATCH(AT161,'Dados - Solicitação de acesso'!$AT$2:$AT$28,0)</f>
        <v>1</v>
      </c>
      <c r="BD161" s="33" t="b">
        <f>IF(O161="TRIFASICO",INDEX(Dados!G:G,MATCH('1'!AP161,Dados!E:E,0)),IF(O161="BIFASICO",INDEX(Dados!F:F,MATCH('1'!AP161,Dados!E:E,0),)))</f>
        <v>0</v>
      </c>
      <c r="BE161" s="33">
        <f>'Dados - Cliente'!J161</f>
        <v>0</v>
      </c>
      <c r="BF161" s="34">
        <f>INDEX(Dados!$E$2:$E$33,COUNTIF(Dados!$E$2:$E$33,"&lt;="&amp;AN161*1.25*AK161/(0.22*SQRT(INDEX('Dados - Inversores'!AK:AK,MATCH('1'!AL161,'Dados - Inversores'!C:C,0)))))+1)</f>
        <v>2</v>
      </c>
      <c r="BG161" s="34" t="b">
        <f>IF(O161="TRIFASICO",INDEX(Dados!G:G,MATCH(BF161,Dados!E:E,0)),IF(O161="BIFASICO",INDEX(Dados!F:F,MATCH(BF161,Dados!E:E,0),)))</f>
        <v>0</v>
      </c>
    </row>
    <row r="162" spans="1:59" s="33" customFormat="1" x14ac:dyDescent="0.35">
      <c r="A162" s="33">
        <f>'Dados - Cliente'!A162</f>
        <v>0</v>
      </c>
      <c r="B162" s="33">
        <f>'Dados - Cliente'!B162</f>
        <v>0</v>
      </c>
      <c r="C162" s="33">
        <f>'Dados - Cliente'!C162</f>
        <v>0</v>
      </c>
      <c r="D162" s="33">
        <f>'Dados - Cliente'!D162</f>
        <v>0</v>
      </c>
      <c r="E162" s="33">
        <f>'Dados - Cliente'!E162</f>
        <v>0</v>
      </c>
      <c r="F162" s="33">
        <f>'Dados - Cliente'!F162</f>
        <v>0</v>
      </c>
      <c r="G162" s="33">
        <f>'Dados - Cliente'!G162</f>
        <v>0</v>
      </c>
      <c r="H162" s="33">
        <f>'Dados - Cliente'!H162</f>
        <v>0</v>
      </c>
      <c r="I162" s="75" t="s">
        <v>4313</v>
      </c>
      <c r="J162" s="52" t="s">
        <v>4314</v>
      </c>
      <c r="K162" s="52" t="s">
        <v>4314</v>
      </c>
      <c r="L162" s="33">
        <f>'Dados - Cliente'!I162</f>
        <v>0</v>
      </c>
      <c r="M162" s="33">
        <f>'Dados - Cliente'!K162</f>
        <v>0</v>
      </c>
      <c r="N162" s="33">
        <f>'Dados - Cliente'!L162</f>
        <v>0</v>
      </c>
      <c r="O162" s="33">
        <f>'Dados - Cliente'!M162</f>
        <v>0</v>
      </c>
      <c r="P162" s="33">
        <f>'Dados - Cliente'!N162</f>
        <v>0</v>
      </c>
      <c r="Q162" s="33">
        <f>'Dados - Cliente'!O162</f>
        <v>0</v>
      </c>
      <c r="R162" s="33">
        <f>'Dados - Cliente'!P162</f>
        <v>0</v>
      </c>
      <c r="S162" s="33">
        <f>'Dados - Cliente'!Q162</f>
        <v>0</v>
      </c>
      <c r="T162" s="33">
        <f>'Dados - Cliente'!R162</f>
        <v>0</v>
      </c>
      <c r="U162" s="34">
        <f>'Dados - Cliente'!S162</f>
        <v>0</v>
      </c>
      <c r="V162" s="34">
        <f>'Dados - Cliente'!T162</f>
        <v>0</v>
      </c>
      <c r="W162" s="34">
        <f>'Dados - Cliente'!U162</f>
        <v>0</v>
      </c>
      <c r="X162" s="34">
        <f>'Dados - Cliente'!V162</f>
        <v>0</v>
      </c>
      <c r="Y162" s="34">
        <f>'Dados - Cliente'!W162</f>
        <v>0</v>
      </c>
      <c r="Z162" s="34">
        <f>'Dados - Cliente'!X162</f>
        <v>0</v>
      </c>
      <c r="AA162" s="33" t="e">
        <f t="shared" si="15"/>
        <v>#N/A</v>
      </c>
      <c r="AB162" s="33">
        <f>'Dados - Cliente'!Y162</f>
        <v>0</v>
      </c>
      <c r="AC162" s="33">
        <f>'Dados - Cliente'!Z162</f>
        <v>0</v>
      </c>
      <c r="AD162" s="33">
        <f>'Dados - Cliente'!AA162</f>
        <v>0</v>
      </c>
      <c r="AE162" s="33">
        <f>'Dados - Cliente'!AB162</f>
        <v>0</v>
      </c>
      <c r="AF162" s="33">
        <f>'Dados - Cliente'!AC162</f>
        <v>0</v>
      </c>
      <c r="AG162" s="35">
        <f>'Dados - Cliente'!AD162</f>
        <v>0</v>
      </c>
      <c r="AH162" s="33" t="e">
        <f>INDEX('Dados - Placas'!$A:$A,MATCH('1'!AG162,'Dados - Placas'!$D:$D,0))</f>
        <v>#N/A</v>
      </c>
      <c r="AI162" s="35" t="e">
        <f>INDEX('Dados - Placas'!$E:$E,MATCH('1'!AG162,'Dados - Placas'!$D:$D,0))</f>
        <v>#N/A</v>
      </c>
      <c r="AJ162" s="34" t="e">
        <f>INDEX('Dados - Placas'!$F:$F,MATCH('1'!AG162,'Dados - Placas'!$D:$D,0))*AF162</f>
        <v>#N/A</v>
      </c>
      <c r="AK162" s="33">
        <f>'Dados - Cliente'!AE162</f>
        <v>0</v>
      </c>
      <c r="AL162" s="33">
        <f>'Dados - Cliente'!AF162</f>
        <v>0</v>
      </c>
      <c r="AM162" s="36" t="e">
        <f>INDEX('Dados - Inversores'!$A:$A,MATCH('1'!AL162,'Dados - Inversores'!$C:$C,0))</f>
        <v>#N/A</v>
      </c>
      <c r="AN162" s="33">
        <f>'Dados - Cliente'!AG162</f>
        <v>0</v>
      </c>
      <c r="AO162" s="33" t="e">
        <f>AA162*1.25/(0.22*SQRT(INDEX('Dados - Inversores'!AK:AK,MATCH('1'!AL162,'Dados - Inversores'!C:C,0))))</f>
        <v>#N/A</v>
      </c>
      <c r="AP162" s="34">
        <f>INDEX(Dados!$E$2:$E$33,COUNTIF(Dados!$E$2:$E$33,"&lt;="&amp;AN162*1.25/(INDEX('Dados - Inversores'!AL:AL,MATCH('1'!AL162,'Dados - Inversores'!C:C,0))*SQRT(INDEX('Dados - Inversores'!AK:AK,MATCH('1'!AL162,'Dados - Inversores'!C:C,0)))))+1)</f>
        <v>2</v>
      </c>
      <c r="AQ162" s="33" t="s">
        <v>59</v>
      </c>
      <c r="AR162" s="33" t="str">
        <f t="shared" si="16"/>
        <v>Micro</v>
      </c>
      <c r="AS162" s="33">
        <f>'Dados - Cliente'!AH162</f>
        <v>0</v>
      </c>
      <c r="AT162" s="33">
        <f>'Dados - Cliente'!AI162</f>
        <v>0</v>
      </c>
      <c r="AU162" s="33" t="e">
        <f>INDEX('Dados - Placas'!$N:$N,MATCH('1'!AG162,'Dados - Placas'!$D:$D,0))-1</f>
        <v>#N/A</v>
      </c>
      <c r="AV162" s="33" t="e">
        <f>INDEX('Dados - Placas'!$O:$O,MATCH('1'!AG162,'Dados - Placas'!$D:$D,0))</f>
        <v>#N/A</v>
      </c>
      <c r="AW162" s="33" t="e">
        <f>INDEX('Dados - Inversores'!AM:AM,MATCH('1'!AL162,'Dados - Inversores'!$C:$C,0))-1</f>
        <v>#N/A</v>
      </c>
      <c r="AX162" s="33" t="e">
        <f>INDEX('Dados - Inversores'!AN:AN,MATCH('1'!AL162,'Dados - Inversores'!$C:$C,0))-1</f>
        <v>#N/A</v>
      </c>
      <c r="AY162" s="33" t="e">
        <f>MATCH('1'!H162,Dados!$D$89:$D$167,0)+1</f>
        <v>#N/A</v>
      </c>
      <c r="AZ162" s="33" t="e">
        <f>MATCH('1'!N162,'Dados - Solicitação de acesso'!$N$2:$N$8,0)</f>
        <v>#N/A</v>
      </c>
      <c r="BA162" s="33" t="e">
        <f>MATCH('1'!T162,'Dados - Solicitação de acesso'!$T$2:$T$20,0)</f>
        <v>#N/A</v>
      </c>
      <c r="BB162" s="34"/>
      <c r="BC162" s="33">
        <f>MATCH(AT162,'Dados - Solicitação de acesso'!$AT$2:$AT$28,0)</f>
        <v>1</v>
      </c>
      <c r="BD162" s="33" t="b">
        <f>IF(O162="TRIFASICO",INDEX(Dados!G:G,MATCH('1'!AP162,Dados!E:E,0)),IF(O162="BIFASICO",INDEX(Dados!F:F,MATCH('1'!AP162,Dados!E:E,0),)))</f>
        <v>0</v>
      </c>
      <c r="BE162" s="33">
        <f>'Dados - Cliente'!J162</f>
        <v>0</v>
      </c>
      <c r="BF162" s="34">
        <f>INDEX(Dados!$E$2:$E$33,COUNTIF(Dados!$E$2:$E$33,"&lt;="&amp;AN162*1.25*AK162/(0.22*SQRT(INDEX('Dados - Inversores'!AK:AK,MATCH('1'!AL162,'Dados - Inversores'!C:C,0)))))+1)</f>
        <v>2</v>
      </c>
      <c r="BG162" s="34" t="b">
        <f>IF(O162="TRIFASICO",INDEX(Dados!G:G,MATCH(BF162,Dados!E:E,0)),IF(O162="BIFASICO",INDEX(Dados!F:F,MATCH(BF162,Dados!E:E,0),)))</f>
        <v>0</v>
      </c>
    </row>
    <row r="163" spans="1:59" s="33" customFormat="1" x14ac:dyDescent="0.35">
      <c r="A163" s="33">
        <f>'Dados - Cliente'!A163</f>
        <v>0</v>
      </c>
      <c r="B163" s="33">
        <f>'Dados - Cliente'!B163</f>
        <v>0</v>
      </c>
      <c r="C163" s="33">
        <f>'Dados - Cliente'!C163</f>
        <v>0</v>
      </c>
      <c r="D163" s="33">
        <f>'Dados - Cliente'!D163</f>
        <v>0</v>
      </c>
      <c r="E163" s="33">
        <f>'Dados - Cliente'!E163</f>
        <v>0</v>
      </c>
      <c r="F163" s="33">
        <f>'Dados - Cliente'!F163</f>
        <v>0</v>
      </c>
      <c r="G163" s="33">
        <f>'Dados - Cliente'!G163</f>
        <v>0</v>
      </c>
      <c r="H163" s="33">
        <f>'Dados - Cliente'!H163</f>
        <v>0</v>
      </c>
      <c r="I163" s="75" t="s">
        <v>4313</v>
      </c>
      <c r="J163" s="52" t="s">
        <v>4314</v>
      </c>
      <c r="K163" s="52" t="s">
        <v>4314</v>
      </c>
      <c r="L163" s="33">
        <f>'Dados - Cliente'!I163</f>
        <v>0</v>
      </c>
      <c r="M163" s="33">
        <f>'Dados - Cliente'!K163</f>
        <v>0</v>
      </c>
      <c r="N163" s="33">
        <f>'Dados - Cliente'!L163</f>
        <v>0</v>
      </c>
      <c r="O163" s="33">
        <f>'Dados - Cliente'!M163</f>
        <v>0</v>
      </c>
      <c r="P163" s="33">
        <f>'Dados - Cliente'!N163</f>
        <v>0</v>
      </c>
      <c r="Q163" s="33">
        <f>'Dados - Cliente'!O163</f>
        <v>0</v>
      </c>
      <c r="R163" s="33">
        <f>'Dados - Cliente'!P163</f>
        <v>0</v>
      </c>
      <c r="S163" s="33">
        <f>'Dados - Cliente'!Q163</f>
        <v>0</v>
      </c>
      <c r="T163" s="33">
        <f>'Dados - Cliente'!R163</f>
        <v>0</v>
      </c>
      <c r="U163" s="34">
        <f>'Dados - Cliente'!S163</f>
        <v>0</v>
      </c>
      <c r="V163" s="34">
        <f>'Dados - Cliente'!T163</f>
        <v>0</v>
      </c>
      <c r="W163" s="34">
        <f>'Dados - Cliente'!U163</f>
        <v>0</v>
      </c>
      <c r="X163" s="34">
        <f>'Dados - Cliente'!V163</f>
        <v>0</v>
      </c>
      <c r="Y163" s="34">
        <f>'Dados - Cliente'!W163</f>
        <v>0</v>
      </c>
      <c r="Z163" s="34">
        <f>'Dados - Cliente'!X163</f>
        <v>0</v>
      </c>
      <c r="AA163" s="33" t="e">
        <f t="shared" si="15"/>
        <v>#N/A</v>
      </c>
      <c r="AB163" s="33">
        <f>'Dados - Cliente'!Y163</f>
        <v>0</v>
      </c>
      <c r="AC163" s="33">
        <f>'Dados - Cliente'!Z163</f>
        <v>0</v>
      </c>
      <c r="AD163" s="33">
        <f>'Dados - Cliente'!AA163</f>
        <v>0</v>
      </c>
      <c r="AE163" s="33">
        <f>'Dados - Cliente'!AB163</f>
        <v>0</v>
      </c>
      <c r="AF163" s="33">
        <f>'Dados - Cliente'!AC163</f>
        <v>0</v>
      </c>
      <c r="AG163" s="35">
        <f>'Dados - Cliente'!AD163</f>
        <v>0</v>
      </c>
      <c r="AH163" s="33" t="e">
        <f>INDEX('Dados - Placas'!$A:$A,MATCH('1'!AG163,'Dados - Placas'!$D:$D,0))</f>
        <v>#N/A</v>
      </c>
      <c r="AI163" s="35" t="e">
        <f>INDEX('Dados - Placas'!$E:$E,MATCH('1'!AG163,'Dados - Placas'!$D:$D,0))</f>
        <v>#N/A</v>
      </c>
      <c r="AJ163" s="34" t="e">
        <f>INDEX('Dados - Placas'!$F:$F,MATCH('1'!AG163,'Dados - Placas'!$D:$D,0))*AF163</f>
        <v>#N/A</v>
      </c>
      <c r="AK163" s="33">
        <f>'Dados - Cliente'!AE163</f>
        <v>0</v>
      </c>
      <c r="AL163" s="33">
        <f>'Dados - Cliente'!AF163</f>
        <v>0</v>
      </c>
      <c r="AM163" s="36" t="e">
        <f>INDEX('Dados - Inversores'!$A:$A,MATCH('1'!AL163,'Dados - Inversores'!$C:$C,0))</f>
        <v>#N/A</v>
      </c>
      <c r="AN163" s="33">
        <f>'Dados - Cliente'!AG163</f>
        <v>0</v>
      </c>
      <c r="AO163" s="33" t="e">
        <f>AA163*1.25/(0.22*SQRT(INDEX('Dados - Inversores'!AK:AK,MATCH('1'!AL163,'Dados - Inversores'!C:C,0))))</f>
        <v>#N/A</v>
      </c>
      <c r="AP163" s="34">
        <f>INDEX(Dados!$E$2:$E$33,COUNTIF(Dados!$E$2:$E$33,"&lt;="&amp;AN163*1.25/(INDEX('Dados - Inversores'!AL:AL,MATCH('1'!AL163,'Dados - Inversores'!C:C,0))*SQRT(INDEX('Dados - Inversores'!AK:AK,MATCH('1'!AL163,'Dados - Inversores'!C:C,0)))))+1)</f>
        <v>2</v>
      </c>
      <c r="AQ163" s="33" t="s">
        <v>59</v>
      </c>
      <c r="AR163" s="33" t="str">
        <f t="shared" si="16"/>
        <v>Micro</v>
      </c>
      <c r="AS163" s="33">
        <f>'Dados - Cliente'!AH163</f>
        <v>0</v>
      </c>
      <c r="AT163" s="33">
        <f>'Dados - Cliente'!AI163</f>
        <v>0</v>
      </c>
      <c r="AU163" s="33" t="e">
        <f>INDEX('Dados - Placas'!$N:$N,MATCH('1'!AG163,'Dados - Placas'!$D:$D,0))-1</f>
        <v>#N/A</v>
      </c>
      <c r="AV163" s="33" t="e">
        <f>INDEX('Dados - Placas'!$O:$O,MATCH('1'!AG163,'Dados - Placas'!$D:$D,0))</f>
        <v>#N/A</v>
      </c>
      <c r="AW163" s="33" t="e">
        <f>INDEX('Dados - Inversores'!AM:AM,MATCH('1'!AL163,'Dados - Inversores'!$C:$C,0))-1</f>
        <v>#N/A</v>
      </c>
      <c r="AX163" s="33" t="e">
        <f>INDEX('Dados - Inversores'!AN:AN,MATCH('1'!AL163,'Dados - Inversores'!$C:$C,0))-1</f>
        <v>#N/A</v>
      </c>
      <c r="AY163" s="33" t="e">
        <f>MATCH('1'!H163,Dados!$D$89:$D$167,0)+1</f>
        <v>#N/A</v>
      </c>
      <c r="AZ163" s="33" t="e">
        <f>MATCH('1'!N163,'Dados - Solicitação de acesso'!$N$2:$N$8,0)</f>
        <v>#N/A</v>
      </c>
      <c r="BA163" s="33" t="e">
        <f>MATCH('1'!T163,'Dados - Solicitação de acesso'!$T$2:$T$20,0)</f>
        <v>#N/A</v>
      </c>
      <c r="BB163" s="34"/>
      <c r="BC163" s="33">
        <f>MATCH(AT163,'Dados - Solicitação de acesso'!$AT$2:$AT$28,0)</f>
        <v>1</v>
      </c>
      <c r="BD163" s="33" t="b">
        <f>IF(O163="TRIFASICO",INDEX(Dados!G:G,MATCH('1'!AP163,Dados!E:E,0)),IF(O163="BIFASICO",INDEX(Dados!F:F,MATCH('1'!AP163,Dados!E:E,0),)))</f>
        <v>0</v>
      </c>
      <c r="BE163" s="33">
        <f>'Dados - Cliente'!J163</f>
        <v>0</v>
      </c>
      <c r="BF163" s="34">
        <f>INDEX(Dados!$E$2:$E$33,COUNTIF(Dados!$E$2:$E$33,"&lt;="&amp;AN163*1.25*AK163/(0.22*SQRT(INDEX('Dados - Inversores'!AK:AK,MATCH('1'!AL163,'Dados - Inversores'!C:C,0)))))+1)</f>
        <v>2</v>
      </c>
      <c r="BG163" s="34" t="b">
        <f>IF(O163="TRIFASICO",INDEX(Dados!G:G,MATCH(BF163,Dados!E:E,0)),IF(O163="BIFASICO",INDEX(Dados!F:F,MATCH(BF163,Dados!E:E,0),)))</f>
        <v>0</v>
      </c>
    </row>
    <row r="164" spans="1:59" s="33" customFormat="1" x14ac:dyDescent="0.35">
      <c r="A164" s="33">
        <f>'Dados - Cliente'!A164</f>
        <v>0</v>
      </c>
      <c r="B164" s="33">
        <f>'Dados - Cliente'!B164</f>
        <v>0</v>
      </c>
      <c r="C164" s="33">
        <f>'Dados - Cliente'!C164</f>
        <v>0</v>
      </c>
      <c r="D164" s="33">
        <f>'Dados - Cliente'!D164</f>
        <v>0</v>
      </c>
      <c r="E164" s="33">
        <f>'Dados - Cliente'!E164</f>
        <v>0</v>
      </c>
      <c r="F164" s="33">
        <f>'Dados - Cliente'!F164</f>
        <v>0</v>
      </c>
      <c r="G164" s="33">
        <f>'Dados - Cliente'!G164</f>
        <v>0</v>
      </c>
      <c r="H164" s="33">
        <f>'Dados - Cliente'!H164</f>
        <v>0</v>
      </c>
      <c r="I164" s="75" t="s">
        <v>4313</v>
      </c>
      <c r="J164" s="52" t="s">
        <v>4314</v>
      </c>
      <c r="K164" s="52" t="s">
        <v>4314</v>
      </c>
      <c r="L164" s="33">
        <f>'Dados - Cliente'!I164</f>
        <v>0</v>
      </c>
      <c r="M164" s="33">
        <f>'Dados - Cliente'!K164</f>
        <v>0</v>
      </c>
      <c r="N164" s="33">
        <f>'Dados - Cliente'!L164</f>
        <v>0</v>
      </c>
      <c r="O164" s="33">
        <f>'Dados - Cliente'!M164</f>
        <v>0</v>
      </c>
      <c r="P164" s="33">
        <f>'Dados - Cliente'!N164</f>
        <v>0</v>
      </c>
      <c r="Q164" s="33">
        <f>'Dados - Cliente'!O164</f>
        <v>0</v>
      </c>
      <c r="R164" s="33">
        <f>'Dados - Cliente'!P164</f>
        <v>0</v>
      </c>
      <c r="S164" s="33">
        <f>'Dados - Cliente'!Q164</f>
        <v>0</v>
      </c>
      <c r="T164" s="33">
        <f>'Dados - Cliente'!R164</f>
        <v>0</v>
      </c>
      <c r="U164" s="34">
        <f>'Dados - Cliente'!S164</f>
        <v>0</v>
      </c>
      <c r="V164" s="34">
        <f>'Dados - Cliente'!T164</f>
        <v>0</v>
      </c>
      <c r="W164" s="34">
        <f>'Dados - Cliente'!U164</f>
        <v>0</v>
      </c>
      <c r="X164" s="34">
        <f>'Dados - Cliente'!V164</f>
        <v>0</v>
      </c>
      <c r="Y164" s="34">
        <f>'Dados - Cliente'!W164</f>
        <v>0</v>
      </c>
      <c r="Z164" s="34">
        <f>'Dados - Cliente'!X164</f>
        <v>0</v>
      </c>
      <c r="AA164" s="33" t="e">
        <f t="shared" si="15"/>
        <v>#N/A</v>
      </c>
      <c r="AB164" s="33">
        <f>'Dados - Cliente'!Y164</f>
        <v>0</v>
      </c>
      <c r="AC164" s="33">
        <f>'Dados - Cliente'!Z164</f>
        <v>0</v>
      </c>
      <c r="AD164" s="33">
        <f>'Dados - Cliente'!AA164</f>
        <v>0</v>
      </c>
      <c r="AE164" s="33">
        <f>'Dados - Cliente'!AB164</f>
        <v>0</v>
      </c>
      <c r="AF164" s="33">
        <f>'Dados - Cliente'!AC164</f>
        <v>0</v>
      </c>
      <c r="AG164" s="35">
        <f>'Dados - Cliente'!AD164</f>
        <v>0</v>
      </c>
      <c r="AH164" s="33" t="e">
        <f>INDEX('Dados - Placas'!$A:$A,MATCH('1'!AG164,'Dados - Placas'!$D:$D,0))</f>
        <v>#N/A</v>
      </c>
      <c r="AI164" s="35" t="e">
        <f>INDEX('Dados - Placas'!$E:$E,MATCH('1'!AG164,'Dados - Placas'!$D:$D,0))</f>
        <v>#N/A</v>
      </c>
      <c r="AJ164" s="34" t="e">
        <f>INDEX('Dados - Placas'!$F:$F,MATCH('1'!AG164,'Dados - Placas'!$D:$D,0))*AF164</f>
        <v>#N/A</v>
      </c>
      <c r="AK164" s="33">
        <f>'Dados - Cliente'!AE164</f>
        <v>0</v>
      </c>
      <c r="AL164" s="33">
        <f>'Dados - Cliente'!AF164</f>
        <v>0</v>
      </c>
      <c r="AM164" s="36" t="e">
        <f>INDEX('Dados - Inversores'!$A:$A,MATCH('1'!AL164,'Dados - Inversores'!$C:$C,0))</f>
        <v>#N/A</v>
      </c>
      <c r="AN164" s="33">
        <f>'Dados - Cliente'!AG164</f>
        <v>0</v>
      </c>
      <c r="AO164" s="33" t="e">
        <f>AA164*1.25/(0.22*SQRT(INDEX('Dados - Inversores'!AK:AK,MATCH('1'!AL164,'Dados - Inversores'!C:C,0))))</f>
        <v>#N/A</v>
      </c>
      <c r="AP164" s="34">
        <f>INDEX(Dados!$E$2:$E$33,COUNTIF(Dados!$E$2:$E$33,"&lt;="&amp;AN164*1.25/(INDEX('Dados - Inversores'!AL:AL,MATCH('1'!AL164,'Dados - Inversores'!C:C,0))*SQRT(INDEX('Dados - Inversores'!AK:AK,MATCH('1'!AL164,'Dados - Inversores'!C:C,0)))))+1)</f>
        <v>2</v>
      </c>
      <c r="AQ164" s="33" t="s">
        <v>59</v>
      </c>
      <c r="AR164" s="33" t="str">
        <f t="shared" si="16"/>
        <v>Micro</v>
      </c>
      <c r="AS164" s="33">
        <f>'Dados - Cliente'!AH164</f>
        <v>0</v>
      </c>
      <c r="AT164" s="33">
        <f>'Dados - Cliente'!AI164</f>
        <v>0</v>
      </c>
      <c r="AU164" s="33" t="e">
        <f>INDEX('Dados - Placas'!$N:$N,MATCH('1'!AG164,'Dados - Placas'!$D:$D,0))-1</f>
        <v>#N/A</v>
      </c>
      <c r="AV164" s="33" t="e">
        <f>INDEX('Dados - Placas'!$O:$O,MATCH('1'!AG164,'Dados - Placas'!$D:$D,0))</f>
        <v>#N/A</v>
      </c>
      <c r="AW164" s="33" t="e">
        <f>INDEX('Dados - Inversores'!AM:AM,MATCH('1'!AL164,'Dados - Inversores'!$C:$C,0))-1</f>
        <v>#N/A</v>
      </c>
      <c r="AX164" s="33" t="e">
        <f>INDEX('Dados - Inversores'!AN:AN,MATCH('1'!AL164,'Dados - Inversores'!$C:$C,0))-1</f>
        <v>#N/A</v>
      </c>
      <c r="AY164" s="33" t="e">
        <f>MATCH('1'!H164,Dados!$D$89:$D$167,0)+1</f>
        <v>#N/A</v>
      </c>
      <c r="AZ164" s="33" t="e">
        <f>MATCH('1'!N164,'Dados - Solicitação de acesso'!$N$2:$N$8,0)</f>
        <v>#N/A</v>
      </c>
      <c r="BA164" s="33" t="e">
        <f>MATCH('1'!T164,'Dados - Solicitação de acesso'!$T$2:$T$20,0)</f>
        <v>#N/A</v>
      </c>
      <c r="BB164" s="34"/>
      <c r="BC164" s="33">
        <f>MATCH(AT164,'Dados - Solicitação de acesso'!$AT$2:$AT$28,0)</f>
        <v>1</v>
      </c>
      <c r="BD164" s="33" t="b">
        <f>IF(O164="TRIFASICO",INDEX(Dados!G:G,MATCH('1'!AP164,Dados!E:E,0)),IF(O164="BIFASICO",INDEX(Dados!F:F,MATCH('1'!AP164,Dados!E:E,0),)))</f>
        <v>0</v>
      </c>
      <c r="BE164" s="33">
        <f>'Dados - Cliente'!J164</f>
        <v>0</v>
      </c>
      <c r="BF164" s="34">
        <f>INDEX(Dados!$E$2:$E$33,COUNTIF(Dados!$E$2:$E$33,"&lt;="&amp;AN164*1.25*AK164/(0.22*SQRT(INDEX('Dados - Inversores'!AK:AK,MATCH('1'!AL164,'Dados - Inversores'!C:C,0)))))+1)</f>
        <v>2</v>
      </c>
      <c r="BG164" s="34" t="b">
        <f>IF(O164="TRIFASICO",INDEX(Dados!G:G,MATCH(BF164,Dados!E:E,0)),IF(O164="BIFASICO",INDEX(Dados!F:F,MATCH(BF164,Dados!E:E,0),)))</f>
        <v>0</v>
      </c>
    </row>
    <row r="165" spans="1:59" s="33" customFormat="1" x14ac:dyDescent="0.35">
      <c r="A165" s="33">
        <f>'Dados - Cliente'!A165</f>
        <v>0</v>
      </c>
      <c r="B165" s="33">
        <f>'Dados - Cliente'!B165</f>
        <v>0</v>
      </c>
      <c r="C165" s="33">
        <f>'Dados - Cliente'!C165</f>
        <v>0</v>
      </c>
      <c r="D165" s="33">
        <f>'Dados - Cliente'!D165</f>
        <v>0</v>
      </c>
      <c r="E165" s="33">
        <f>'Dados - Cliente'!E165</f>
        <v>0</v>
      </c>
      <c r="F165" s="33">
        <f>'Dados - Cliente'!F165</f>
        <v>0</v>
      </c>
      <c r="G165" s="33">
        <f>'Dados - Cliente'!G165</f>
        <v>0</v>
      </c>
      <c r="H165" s="33">
        <f>'Dados - Cliente'!H165</f>
        <v>0</v>
      </c>
      <c r="I165" s="75" t="s">
        <v>4313</v>
      </c>
      <c r="J165" s="52" t="s">
        <v>4314</v>
      </c>
      <c r="K165" s="52" t="s">
        <v>4314</v>
      </c>
      <c r="L165" s="33">
        <f>'Dados - Cliente'!I165</f>
        <v>0</v>
      </c>
      <c r="M165" s="33">
        <f>'Dados - Cliente'!K165</f>
        <v>0</v>
      </c>
      <c r="N165" s="33">
        <f>'Dados - Cliente'!L165</f>
        <v>0</v>
      </c>
      <c r="O165" s="33">
        <f>'Dados - Cliente'!M165</f>
        <v>0</v>
      </c>
      <c r="P165" s="33">
        <f>'Dados - Cliente'!N165</f>
        <v>0</v>
      </c>
      <c r="Q165" s="33">
        <f>'Dados - Cliente'!O165</f>
        <v>0</v>
      </c>
      <c r="R165" s="33">
        <f>'Dados - Cliente'!P165</f>
        <v>0</v>
      </c>
      <c r="S165" s="33">
        <f>'Dados - Cliente'!Q165</f>
        <v>0</v>
      </c>
      <c r="T165" s="33">
        <f>'Dados - Cliente'!R165</f>
        <v>0</v>
      </c>
      <c r="U165" s="34">
        <f>'Dados - Cliente'!S165</f>
        <v>0</v>
      </c>
      <c r="V165" s="34">
        <f>'Dados - Cliente'!T165</f>
        <v>0</v>
      </c>
      <c r="W165" s="34">
        <f>'Dados - Cliente'!U165</f>
        <v>0</v>
      </c>
      <c r="X165" s="34">
        <f>'Dados - Cliente'!V165</f>
        <v>0</v>
      </c>
      <c r="Y165" s="34">
        <f>'Dados - Cliente'!W165</f>
        <v>0</v>
      </c>
      <c r="Z165" s="34">
        <f>'Dados - Cliente'!X165</f>
        <v>0</v>
      </c>
      <c r="AA165" s="33" t="e">
        <f t="shared" si="15"/>
        <v>#N/A</v>
      </c>
      <c r="AB165" s="33">
        <f>'Dados - Cliente'!Y165</f>
        <v>0</v>
      </c>
      <c r="AC165" s="33">
        <f>'Dados - Cliente'!Z165</f>
        <v>0</v>
      </c>
      <c r="AD165" s="33">
        <f>'Dados - Cliente'!AA165</f>
        <v>0</v>
      </c>
      <c r="AE165" s="33">
        <f>'Dados - Cliente'!AB165</f>
        <v>0</v>
      </c>
      <c r="AF165" s="33">
        <f>'Dados - Cliente'!AC165</f>
        <v>0</v>
      </c>
      <c r="AG165" s="35">
        <f>'Dados - Cliente'!AD165</f>
        <v>0</v>
      </c>
      <c r="AH165" s="33" t="e">
        <f>INDEX('Dados - Placas'!$A:$A,MATCH('1'!AG165,'Dados - Placas'!$D:$D,0))</f>
        <v>#N/A</v>
      </c>
      <c r="AI165" s="35" t="e">
        <f>INDEX('Dados - Placas'!$E:$E,MATCH('1'!AG165,'Dados - Placas'!$D:$D,0))</f>
        <v>#N/A</v>
      </c>
      <c r="AJ165" s="34" t="e">
        <f>INDEX('Dados - Placas'!$F:$F,MATCH('1'!AG165,'Dados - Placas'!$D:$D,0))*AF165</f>
        <v>#N/A</v>
      </c>
      <c r="AK165" s="33">
        <f>'Dados - Cliente'!AE165</f>
        <v>0</v>
      </c>
      <c r="AL165" s="33">
        <f>'Dados - Cliente'!AF165</f>
        <v>0</v>
      </c>
      <c r="AM165" s="36" t="e">
        <f>INDEX('Dados - Inversores'!$A:$A,MATCH('1'!AL165,'Dados - Inversores'!$C:$C,0))</f>
        <v>#N/A</v>
      </c>
      <c r="AN165" s="33">
        <f>'Dados - Cliente'!AG165</f>
        <v>0</v>
      </c>
      <c r="AO165" s="33" t="e">
        <f>AA165*1.25/(0.22*SQRT(INDEX('Dados - Inversores'!AK:AK,MATCH('1'!AL165,'Dados - Inversores'!C:C,0))))</f>
        <v>#N/A</v>
      </c>
      <c r="AP165" s="34">
        <f>INDEX(Dados!$E$2:$E$33,COUNTIF(Dados!$E$2:$E$33,"&lt;="&amp;AN165*1.25/(INDEX('Dados - Inversores'!AL:AL,MATCH('1'!AL165,'Dados - Inversores'!C:C,0))*SQRT(INDEX('Dados - Inversores'!AK:AK,MATCH('1'!AL165,'Dados - Inversores'!C:C,0)))))+1)</f>
        <v>2</v>
      </c>
      <c r="AQ165" s="33" t="s">
        <v>59</v>
      </c>
      <c r="AR165" s="33" t="str">
        <f t="shared" si="16"/>
        <v>Micro</v>
      </c>
      <c r="AS165" s="33">
        <f>'Dados - Cliente'!AH165</f>
        <v>0</v>
      </c>
      <c r="AT165" s="33">
        <f>'Dados - Cliente'!AI165</f>
        <v>0</v>
      </c>
      <c r="AU165" s="33" t="e">
        <f>INDEX('Dados - Placas'!$N:$N,MATCH('1'!AG165,'Dados - Placas'!$D:$D,0))-1</f>
        <v>#N/A</v>
      </c>
      <c r="AV165" s="33" t="e">
        <f>INDEX('Dados - Placas'!$O:$O,MATCH('1'!AG165,'Dados - Placas'!$D:$D,0))</f>
        <v>#N/A</v>
      </c>
      <c r="AW165" s="33" t="e">
        <f>INDEX('Dados - Inversores'!AM:AM,MATCH('1'!AL165,'Dados - Inversores'!$C:$C,0))-1</f>
        <v>#N/A</v>
      </c>
      <c r="AX165" s="33" t="e">
        <f>INDEX('Dados - Inversores'!AN:AN,MATCH('1'!AL165,'Dados - Inversores'!$C:$C,0))-1</f>
        <v>#N/A</v>
      </c>
      <c r="AY165" s="33" t="e">
        <f>MATCH('1'!H165,Dados!$D$89:$D$167,0)+1</f>
        <v>#N/A</v>
      </c>
      <c r="AZ165" s="33" t="e">
        <f>MATCH('1'!N165,'Dados - Solicitação de acesso'!$N$2:$N$8,0)</f>
        <v>#N/A</v>
      </c>
      <c r="BA165" s="33" t="e">
        <f>MATCH('1'!T165,'Dados - Solicitação de acesso'!$T$2:$T$20,0)</f>
        <v>#N/A</v>
      </c>
      <c r="BB165" s="34"/>
      <c r="BC165" s="33">
        <f>MATCH(AT165,'Dados - Solicitação de acesso'!$AT$2:$AT$28,0)</f>
        <v>1</v>
      </c>
      <c r="BD165" s="33" t="b">
        <f>IF(O165="TRIFASICO",INDEX(Dados!G:G,MATCH('1'!AP165,Dados!E:E,0)),IF(O165="BIFASICO",INDEX(Dados!F:F,MATCH('1'!AP165,Dados!E:E,0),)))</f>
        <v>0</v>
      </c>
      <c r="BE165" s="33">
        <f>'Dados - Cliente'!J165</f>
        <v>0</v>
      </c>
      <c r="BF165" s="34">
        <f>INDEX(Dados!$E$2:$E$33,COUNTIF(Dados!$E$2:$E$33,"&lt;="&amp;AN165*1.25*AK165/(0.22*SQRT(INDEX('Dados - Inversores'!AK:AK,MATCH('1'!AL165,'Dados - Inversores'!C:C,0)))))+1)</f>
        <v>2</v>
      </c>
      <c r="BG165" s="34" t="b">
        <f>IF(O165="TRIFASICO",INDEX(Dados!G:G,MATCH(BF165,Dados!E:E,0)),IF(O165="BIFASICO",INDEX(Dados!F:F,MATCH(BF165,Dados!E:E,0),)))</f>
        <v>0</v>
      </c>
    </row>
    <row r="166" spans="1:59" s="33" customFormat="1" x14ac:dyDescent="0.35">
      <c r="A166" s="33">
        <f>'Dados - Cliente'!A166</f>
        <v>0</v>
      </c>
      <c r="B166" s="33">
        <f>'Dados - Cliente'!B166</f>
        <v>0</v>
      </c>
      <c r="C166" s="33">
        <f>'Dados - Cliente'!C166</f>
        <v>0</v>
      </c>
      <c r="D166" s="33">
        <f>'Dados - Cliente'!D166</f>
        <v>0</v>
      </c>
      <c r="E166" s="33">
        <f>'Dados - Cliente'!E166</f>
        <v>0</v>
      </c>
      <c r="F166" s="33">
        <f>'Dados - Cliente'!F166</f>
        <v>0</v>
      </c>
      <c r="G166" s="33">
        <f>'Dados - Cliente'!G166</f>
        <v>0</v>
      </c>
      <c r="H166" s="33">
        <f>'Dados - Cliente'!H166</f>
        <v>0</v>
      </c>
      <c r="I166" s="75" t="s">
        <v>4313</v>
      </c>
      <c r="J166" s="52" t="s">
        <v>4314</v>
      </c>
      <c r="K166" s="52" t="s">
        <v>4314</v>
      </c>
      <c r="L166" s="33">
        <f>'Dados - Cliente'!I166</f>
        <v>0</v>
      </c>
      <c r="M166" s="33">
        <f>'Dados - Cliente'!K166</f>
        <v>0</v>
      </c>
      <c r="N166" s="33">
        <f>'Dados - Cliente'!L166</f>
        <v>0</v>
      </c>
      <c r="O166" s="33">
        <f>'Dados - Cliente'!M166</f>
        <v>0</v>
      </c>
      <c r="P166" s="33">
        <f>'Dados - Cliente'!N166</f>
        <v>0</v>
      </c>
      <c r="Q166" s="33">
        <f>'Dados - Cliente'!O166</f>
        <v>0</v>
      </c>
      <c r="R166" s="33">
        <f>'Dados - Cliente'!P166</f>
        <v>0</v>
      </c>
      <c r="S166" s="33">
        <f>'Dados - Cliente'!Q166</f>
        <v>0</v>
      </c>
      <c r="T166" s="33">
        <f>'Dados - Cliente'!R166</f>
        <v>0</v>
      </c>
      <c r="U166" s="34">
        <f>'Dados - Cliente'!S166</f>
        <v>0</v>
      </c>
      <c r="V166" s="34">
        <f>'Dados - Cliente'!T166</f>
        <v>0</v>
      </c>
      <c r="W166" s="34">
        <f>'Dados - Cliente'!U166</f>
        <v>0</v>
      </c>
      <c r="X166" s="34">
        <f>'Dados - Cliente'!V166</f>
        <v>0</v>
      </c>
      <c r="Y166" s="34">
        <f>'Dados - Cliente'!W166</f>
        <v>0</v>
      </c>
      <c r="Z166" s="34">
        <f>'Dados - Cliente'!X166</f>
        <v>0</v>
      </c>
      <c r="AA166" s="33" t="e">
        <f t="shared" si="15"/>
        <v>#N/A</v>
      </c>
      <c r="AB166" s="33">
        <f>'Dados - Cliente'!Y166</f>
        <v>0</v>
      </c>
      <c r="AC166" s="33">
        <f>'Dados - Cliente'!Z166</f>
        <v>0</v>
      </c>
      <c r="AD166" s="33">
        <f>'Dados - Cliente'!AA166</f>
        <v>0</v>
      </c>
      <c r="AE166" s="33">
        <f>'Dados - Cliente'!AB166</f>
        <v>0</v>
      </c>
      <c r="AF166" s="33">
        <f>'Dados - Cliente'!AC166</f>
        <v>0</v>
      </c>
      <c r="AG166" s="35">
        <f>'Dados - Cliente'!AD166</f>
        <v>0</v>
      </c>
      <c r="AH166" s="33" t="e">
        <f>INDEX('Dados - Placas'!$A:$A,MATCH('1'!AG166,'Dados - Placas'!$D:$D,0))</f>
        <v>#N/A</v>
      </c>
      <c r="AI166" s="35" t="e">
        <f>INDEX('Dados - Placas'!$E:$E,MATCH('1'!AG166,'Dados - Placas'!$D:$D,0))</f>
        <v>#N/A</v>
      </c>
      <c r="AJ166" s="34" t="e">
        <f>INDEX('Dados - Placas'!$F:$F,MATCH('1'!AG166,'Dados - Placas'!$D:$D,0))*AF166</f>
        <v>#N/A</v>
      </c>
      <c r="AK166" s="33">
        <f>'Dados - Cliente'!AE166</f>
        <v>0</v>
      </c>
      <c r="AL166" s="33">
        <f>'Dados - Cliente'!AF166</f>
        <v>0</v>
      </c>
      <c r="AM166" s="36" t="e">
        <f>INDEX('Dados - Inversores'!$A:$A,MATCH('1'!AL166,'Dados - Inversores'!$C:$C,0))</f>
        <v>#N/A</v>
      </c>
      <c r="AN166" s="33">
        <f>'Dados - Cliente'!AG166</f>
        <v>0</v>
      </c>
      <c r="AO166" s="33" t="e">
        <f>AA166*1.25/(0.22*SQRT(INDEX('Dados - Inversores'!AK:AK,MATCH('1'!AL166,'Dados - Inversores'!C:C,0))))</f>
        <v>#N/A</v>
      </c>
      <c r="AP166" s="34">
        <f>INDEX(Dados!$E$2:$E$33,COUNTIF(Dados!$E$2:$E$33,"&lt;="&amp;AN166*1.25/(INDEX('Dados - Inversores'!AL:AL,MATCH('1'!AL166,'Dados - Inversores'!C:C,0))*SQRT(INDEX('Dados - Inversores'!AK:AK,MATCH('1'!AL166,'Dados - Inversores'!C:C,0)))))+1)</f>
        <v>2</v>
      </c>
      <c r="AQ166" s="33" t="s">
        <v>59</v>
      </c>
      <c r="AR166" s="33" t="str">
        <f t="shared" si="16"/>
        <v>Micro</v>
      </c>
      <c r="AS166" s="33">
        <f>'Dados - Cliente'!AH166</f>
        <v>0</v>
      </c>
      <c r="AT166" s="33">
        <f>'Dados - Cliente'!AI166</f>
        <v>0</v>
      </c>
      <c r="AU166" s="33" t="e">
        <f>INDEX('Dados - Placas'!$N:$N,MATCH('1'!AG166,'Dados - Placas'!$D:$D,0))-1</f>
        <v>#N/A</v>
      </c>
      <c r="AV166" s="33" t="e">
        <f>INDEX('Dados - Placas'!$O:$O,MATCH('1'!AG166,'Dados - Placas'!$D:$D,0))</f>
        <v>#N/A</v>
      </c>
      <c r="AW166" s="33" t="e">
        <f>INDEX('Dados - Inversores'!AM:AM,MATCH('1'!AL166,'Dados - Inversores'!$C:$C,0))-1</f>
        <v>#N/A</v>
      </c>
      <c r="AX166" s="33" t="e">
        <f>INDEX('Dados - Inversores'!AN:AN,MATCH('1'!AL166,'Dados - Inversores'!$C:$C,0))-1</f>
        <v>#N/A</v>
      </c>
      <c r="AY166" s="33" t="e">
        <f>MATCH('1'!H166,Dados!$D$89:$D$167,0)+1</f>
        <v>#N/A</v>
      </c>
      <c r="AZ166" s="33" t="e">
        <f>MATCH('1'!N166,'Dados - Solicitação de acesso'!$N$2:$N$8,0)</f>
        <v>#N/A</v>
      </c>
      <c r="BA166" s="33" t="e">
        <f>MATCH('1'!T166,'Dados - Solicitação de acesso'!$T$2:$T$20,0)</f>
        <v>#N/A</v>
      </c>
      <c r="BB166" s="34"/>
      <c r="BC166" s="33">
        <f>MATCH(AT166,'Dados - Solicitação de acesso'!$AT$2:$AT$28,0)</f>
        <v>1</v>
      </c>
      <c r="BD166" s="33" t="b">
        <f>IF(O166="TRIFASICO",INDEX(Dados!G:G,MATCH('1'!AP166,Dados!E:E,0)),IF(O166="BIFASICO",INDEX(Dados!F:F,MATCH('1'!AP166,Dados!E:E,0),)))</f>
        <v>0</v>
      </c>
      <c r="BE166" s="33">
        <f>'Dados - Cliente'!J166</f>
        <v>0</v>
      </c>
      <c r="BF166" s="34">
        <f>INDEX(Dados!$E$2:$E$33,COUNTIF(Dados!$E$2:$E$33,"&lt;="&amp;AN166*1.25*AK166/(0.22*SQRT(INDEX('Dados - Inversores'!AK:AK,MATCH('1'!AL166,'Dados - Inversores'!C:C,0)))))+1)</f>
        <v>2</v>
      </c>
      <c r="BG166" s="34" t="b">
        <f>IF(O166="TRIFASICO",INDEX(Dados!G:G,MATCH(BF166,Dados!E:E,0)),IF(O166="BIFASICO",INDEX(Dados!F:F,MATCH(BF166,Dados!E:E,0),)))</f>
        <v>0</v>
      </c>
    </row>
    <row r="167" spans="1:59" s="33" customFormat="1" x14ac:dyDescent="0.35">
      <c r="A167" s="33">
        <f>'Dados - Cliente'!A167</f>
        <v>0</v>
      </c>
      <c r="B167" s="33">
        <f>'Dados - Cliente'!B167</f>
        <v>0</v>
      </c>
      <c r="C167" s="33">
        <f>'Dados - Cliente'!C167</f>
        <v>0</v>
      </c>
      <c r="D167" s="33">
        <f>'Dados - Cliente'!D167</f>
        <v>0</v>
      </c>
      <c r="E167" s="33">
        <f>'Dados - Cliente'!E167</f>
        <v>0</v>
      </c>
      <c r="F167" s="33">
        <f>'Dados - Cliente'!F167</f>
        <v>0</v>
      </c>
      <c r="G167" s="33">
        <f>'Dados - Cliente'!G167</f>
        <v>0</v>
      </c>
      <c r="H167" s="33">
        <f>'Dados - Cliente'!H167</f>
        <v>0</v>
      </c>
      <c r="I167" s="75" t="s">
        <v>4313</v>
      </c>
      <c r="J167" s="52" t="s">
        <v>4314</v>
      </c>
      <c r="K167" s="52" t="s">
        <v>4314</v>
      </c>
      <c r="L167" s="33">
        <f>'Dados - Cliente'!I167</f>
        <v>0</v>
      </c>
      <c r="M167" s="33">
        <f>'Dados - Cliente'!K167</f>
        <v>0</v>
      </c>
      <c r="N167" s="33">
        <f>'Dados - Cliente'!L167</f>
        <v>0</v>
      </c>
      <c r="O167" s="33">
        <f>'Dados - Cliente'!M167</f>
        <v>0</v>
      </c>
      <c r="P167" s="33">
        <f>'Dados - Cliente'!N167</f>
        <v>0</v>
      </c>
      <c r="Q167" s="33">
        <f>'Dados - Cliente'!O167</f>
        <v>0</v>
      </c>
      <c r="R167" s="33">
        <f>'Dados - Cliente'!P167</f>
        <v>0</v>
      </c>
      <c r="S167" s="33">
        <f>'Dados - Cliente'!Q167</f>
        <v>0</v>
      </c>
      <c r="T167" s="33">
        <f>'Dados - Cliente'!R167</f>
        <v>0</v>
      </c>
      <c r="U167" s="34">
        <f>'Dados - Cliente'!S167</f>
        <v>0</v>
      </c>
      <c r="V167" s="34">
        <f>'Dados - Cliente'!T167</f>
        <v>0</v>
      </c>
      <c r="W167" s="34">
        <f>'Dados - Cliente'!U167</f>
        <v>0</v>
      </c>
      <c r="X167" s="34">
        <f>'Dados - Cliente'!V167</f>
        <v>0</v>
      </c>
      <c r="Y167" s="34">
        <f>'Dados - Cliente'!W167</f>
        <v>0</v>
      </c>
      <c r="Z167" s="34">
        <f>'Dados - Cliente'!X167</f>
        <v>0</v>
      </c>
      <c r="AA167" s="33" t="e">
        <f t="shared" si="15"/>
        <v>#N/A</v>
      </c>
      <c r="AB167" s="33">
        <f>'Dados - Cliente'!Y167</f>
        <v>0</v>
      </c>
      <c r="AC167" s="33">
        <f>'Dados - Cliente'!Z167</f>
        <v>0</v>
      </c>
      <c r="AD167" s="33">
        <f>'Dados - Cliente'!AA167</f>
        <v>0</v>
      </c>
      <c r="AE167" s="33">
        <f>'Dados - Cliente'!AB167</f>
        <v>0</v>
      </c>
      <c r="AF167" s="33">
        <f>'Dados - Cliente'!AC167</f>
        <v>0</v>
      </c>
      <c r="AG167" s="35">
        <f>'Dados - Cliente'!AD167</f>
        <v>0</v>
      </c>
      <c r="AH167" s="33" t="e">
        <f>INDEX('Dados - Placas'!$A:$A,MATCH('1'!AG167,'Dados - Placas'!$D:$D,0))</f>
        <v>#N/A</v>
      </c>
      <c r="AI167" s="35" t="e">
        <f>INDEX('Dados - Placas'!$E:$E,MATCH('1'!AG167,'Dados - Placas'!$D:$D,0))</f>
        <v>#N/A</v>
      </c>
      <c r="AJ167" s="34" t="e">
        <f>INDEX('Dados - Placas'!$F:$F,MATCH('1'!AG167,'Dados - Placas'!$D:$D,0))*AF167</f>
        <v>#N/A</v>
      </c>
      <c r="AK167" s="33">
        <f>'Dados - Cliente'!AE167</f>
        <v>0</v>
      </c>
      <c r="AL167" s="33">
        <f>'Dados - Cliente'!AF167</f>
        <v>0</v>
      </c>
      <c r="AM167" s="36" t="e">
        <f>INDEX('Dados - Inversores'!$A:$A,MATCH('1'!AL167,'Dados - Inversores'!$C:$C,0))</f>
        <v>#N/A</v>
      </c>
      <c r="AN167" s="33">
        <f>'Dados - Cliente'!AG167</f>
        <v>0</v>
      </c>
      <c r="AO167" s="33" t="e">
        <f>AA167*1.25/(0.22*SQRT(INDEX('Dados - Inversores'!AK:AK,MATCH('1'!AL167,'Dados - Inversores'!C:C,0))))</f>
        <v>#N/A</v>
      </c>
      <c r="AP167" s="34">
        <f>INDEX(Dados!$E$2:$E$33,COUNTIF(Dados!$E$2:$E$33,"&lt;="&amp;AN167*1.25/(INDEX('Dados - Inversores'!AL:AL,MATCH('1'!AL167,'Dados - Inversores'!C:C,0))*SQRT(INDEX('Dados - Inversores'!AK:AK,MATCH('1'!AL167,'Dados - Inversores'!C:C,0)))))+1)</f>
        <v>2</v>
      </c>
      <c r="AQ167" s="33" t="s">
        <v>59</v>
      </c>
      <c r="AR167" s="33" t="str">
        <f t="shared" si="16"/>
        <v>Micro</v>
      </c>
      <c r="AS167" s="33">
        <f>'Dados - Cliente'!AH167</f>
        <v>0</v>
      </c>
      <c r="AT167" s="33">
        <f>'Dados - Cliente'!AI167</f>
        <v>0</v>
      </c>
      <c r="AU167" s="33" t="e">
        <f>INDEX('Dados - Placas'!$N:$N,MATCH('1'!AG167,'Dados - Placas'!$D:$D,0))-1</f>
        <v>#N/A</v>
      </c>
      <c r="AV167" s="33" t="e">
        <f>INDEX('Dados - Placas'!$O:$O,MATCH('1'!AG167,'Dados - Placas'!$D:$D,0))</f>
        <v>#N/A</v>
      </c>
      <c r="AW167" s="33" t="e">
        <f>INDEX('Dados - Inversores'!AM:AM,MATCH('1'!AL167,'Dados - Inversores'!$C:$C,0))-1</f>
        <v>#N/A</v>
      </c>
      <c r="AX167" s="33" t="e">
        <f>INDEX('Dados - Inversores'!AN:AN,MATCH('1'!AL167,'Dados - Inversores'!$C:$C,0))-1</f>
        <v>#N/A</v>
      </c>
      <c r="AY167" s="33" t="e">
        <f>MATCH('1'!H167,Dados!$D$89:$D$167,0)+1</f>
        <v>#N/A</v>
      </c>
      <c r="AZ167" s="33" t="e">
        <f>MATCH('1'!N167,'Dados - Solicitação de acesso'!$N$2:$N$8,0)</f>
        <v>#N/A</v>
      </c>
      <c r="BA167" s="33" t="e">
        <f>MATCH('1'!T167,'Dados - Solicitação de acesso'!$T$2:$T$20,0)</f>
        <v>#N/A</v>
      </c>
      <c r="BB167" s="34"/>
      <c r="BC167" s="33">
        <f>MATCH(AT167,'Dados - Solicitação de acesso'!$AT$2:$AT$28,0)</f>
        <v>1</v>
      </c>
      <c r="BD167" s="33" t="b">
        <f>IF(O167="TRIFASICO",INDEX(Dados!G:G,MATCH('1'!AP167,Dados!E:E,0)),IF(O167="BIFASICO",INDEX(Dados!F:F,MATCH('1'!AP167,Dados!E:E,0),)))</f>
        <v>0</v>
      </c>
      <c r="BE167" s="33">
        <f>'Dados - Cliente'!J167</f>
        <v>0</v>
      </c>
      <c r="BF167" s="34">
        <f>INDEX(Dados!$E$2:$E$33,COUNTIF(Dados!$E$2:$E$33,"&lt;="&amp;AN167*1.25*AK167/(0.22*SQRT(INDEX('Dados - Inversores'!AK:AK,MATCH('1'!AL167,'Dados - Inversores'!C:C,0)))))+1)</f>
        <v>2</v>
      </c>
      <c r="BG167" s="34" t="b">
        <f>IF(O167="TRIFASICO",INDEX(Dados!G:G,MATCH(BF167,Dados!E:E,0)),IF(O167="BIFASICO",INDEX(Dados!F:F,MATCH(BF167,Dados!E:E,0),)))</f>
        <v>0</v>
      </c>
    </row>
    <row r="168" spans="1:59" s="33" customFormat="1" x14ac:dyDescent="0.35">
      <c r="A168" s="33">
        <f>'Dados - Cliente'!A168</f>
        <v>0</v>
      </c>
      <c r="B168" s="33">
        <f>'Dados - Cliente'!B168</f>
        <v>0</v>
      </c>
      <c r="C168" s="33">
        <f>'Dados - Cliente'!C168</f>
        <v>0</v>
      </c>
      <c r="D168" s="33">
        <f>'Dados - Cliente'!D168</f>
        <v>0</v>
      </c>
      <c r="E168" s="33">
        <f>'Dados - Cliente'!E168</f>
        <v>0</v>
      </c>
      <c r="F168" s="33">
        <f>'Dados - Cliente'!F168</f>
        <v>0</v>
      </c>
      <c r="G168" s="33">
        <f>'Dados - Cliente'!G168</f>
        <v>0</v>
      </c>
      <c r="H168" s="33">
        <f>'Dados - Cliente'!H168</f>
        <v>0</v>
      </c>
      <c r="I168" s="75" t="s">
        <v>4313</v>
      </c>
      <c r="J168" s="52" t="s">
        <v>4314</v>
      </c>
      <c r="K168" s="52" t="s">
        <v>4314</v>
      </c>
      <c r="L168" s="33">
        <f>'Dados - Cliente'!I168</f>
        <v>0</v>
      </c>
      <c r="M168" s="33">
        <f>'Dados - Cliente'!K168</f>
        <v>0</v>
      </c>
      <c r="N168" s="33">
        <f>'Dados - Cliente'!L168</f>
        <v>0</v>
      </c>
      <c r="O168" s="33">
        <f>'Dados - Cliente'!M168</f>
        <v>0</v>
      </c>
      <c r="P168" s="33">
        <f>'Dados - Cliente'!N168</f>
        <v>0</v>
      </c>
      <c r="Q168" s="33">
        <f>'Dados - Cliente'!O168</f>
        <v>0</v>
      </c>
      <c r="R168" s="33">
        <f>'Dados - Cliente'!P168</f>
        <v>0</v>
      </c>
      <c r="S168" s="33">
        <f>'Dados - Cliente'!Q168</f>
        <v>0</v>
      </c>
      <c r="T168" s="33">
        <f>'Dados - Cliente'!R168</f>
        <v>0</v>
      </c>
      <c r="U168" s="34">
        <f>'Dados - Cliente'!S168</f>
        <v>0</v>
      </c>
      <c r="V168" s="34">
        <f>'Dados - Cliente'!T168</f>
        <v>0</v>
      </c>
      <c r="W168" s="34">
        <f>'Dados - Cliente'!U168</f>
        <v>0</v>
      </c>
      <c r="X168" s="34">
        <f>'Dados - Cliente'!V168</f>
        <v>0</v>
      </c>
      <c r="Y168" s="34">
        <f>'Dados - Cliente'!W168</f>
        <v>0</v>
      </c>
      <c r="Z168" s="34">
        <f>'Dados - Cliente'!X168</f>
        <v>0</v>
      </c>
      <c r="AA168" s="33" t="e">
        <f t="shared" si="15"/>
        <v>#N/A</v>
      </c>
      <c r="AB168" s="33">
        <f>'Dados - Cliente'!Y168</f>
        <v>0</v>
      </c>
      <c r="AC168" s="33">
        <f>'Dados - Cliente'!Z168</f>
        <v>0</v>
      </c>
      <c r="AD168" s="33">
        <f>'Dados - Cliente'!AA168</f>
        <v>0</v>
      </c>
      <c r="AE168" s="33">
        <f>'Dados - Cliente'!AB168</f>
        <v>0</v>
      </c>
      <c r="AF168" s="33">
        <f>'Dados - Cliente'!AC168</f>
        <v>0</v>
      </c>
      <c r="AG168" s="35">
        <f>'Dados - Cliente'!AD168</f>
        <v>0</v>
      </c>
      <c r="AH168" s="33" t="e">
        <f>INDEX('Dados - Placas'!$A:$A,MATCH('1'!AG168,'Dados - Placas'!$D:$D,0))</f>
        <v>#N/A</v>
      </c>
      <c r="AI168" s="35" t="e">
        <f>INDEX('Dados - Placas'!$E:$E,MATCH('1'!AG168,'Dados - Placas'!$D:$D,0))</f>
        <v>#N/A</v>
      </c>
      <c r="AJ168" s="34" t="e">
        <f>INDEX('Dados - Placas'!$F:$F,MATCH('1'!AG168,'Dados - Placas'!$D:$D,0))*AF168</f>
        <v>#N/A</v>
      </c>
      <c r="AK168" s="33">
        <f>'Dados - Cliente'!AE168</f>
        <v>0</v>
      </c>
      <c r="AL168" s="33">
        <f>'Dados - Cliente'!AF168</f>
        <v>0</v>
      </c>
      <c r="AM168" s="36" t="e">
        <f>INDEX('Dados - Inversores'!$A:$A,MATCH('1'!AL168,'Dados - Inversores'!$C:$C,0))</f>
        <v>#N/A</v>
      </c>
      <c r="AN168" s="33">
        <f>'Dados - Cliente'!AG168</f>
        <v>0</v>
      </c>
      <c r="AO168" s="33" t="e">
        <f>AA168*1.25/(0.22*SQRT(INDEX('Dados - Inversores'!AK:AK,MATCH('1'!AL168,'Dados - Inversores'!C:C,0))))</f>
        <v>#N/A</v>
      </c>
      <c r="AP168" s="34">
        <f>INDEX(Dados!$E$2:$E$33,COUNTIF(Dados!$E$2:$E$33,"&lt;="&amp;AN168*1.25/(INDEX('Dados - Inversores'!AL:AL,MATCH('1'!AL168,'Dados - Inversores'!C:C,0))*SQRT(INDEX('Dados - Inversores'!AK:AK,MATCH('1'!AL168,'Dados - Inversores'!C:C,0)))))+1)</f>
        <v>2</v>
      </c>
      <c r="AQ168" s="33" t="s">
        <v>59</v>
      </c>
      <c r="AR168" s="33" t="str">
        <f t="shared" si="16"/>
        <v>Micro</v>
      </c>
      <c r="AS168" s="33">
        <f>'Dados - Cliente'!AH168</f>
        <v>0</v>
      </c>
      <c r="AT168" s="33">
        <f>'Dados - Cliente'!AI168</f>
        <v>0</v>
      </c>
      <c r="AU168" s="33" t="e">
        <f>INDEX('Dados - Placas'!$N:$N,MATCH('1'!AG168,'Dados - Placas'!$D:$D,0))-1</f>
        <v>#N/A</v>
      </c>
      <c r="AV168" s="33" t="e">
        <f>INDEX('Dados - Placas'!$O:$O,MATCH('1'!AG168,'Dados - Placas'!$D:$D,0))</f>
        <v>#N/A</v>
      </c>
      <c r="AW168" s="33" t="e">
        <f>INDEX('Dados - Inversores'!AM:AM,MATCH('1'!AL168,'Dados - Inversores'!$C:$C,0))-1</f>
        <v>#N/A</v>
      </c>
      <c r="AX168" s="33" t="e">
        <f>INDEX('Dados - Inversores'!AN:AN,MATCH('1'!AL168,'Dados - Inversores'!$C:$C,0))-1</f>
        <v>#N/A</v>
      </c>
      <c r="AY168" s="33" t="e">
        <f>MATCH('1'!H168,Dados!$D$89:$D$167,0)+1</f>
        <v>#N/A</v>
      </c>
      <c r="AZ168" s="33" t="e">
        <f>MATCH('1'!N168,'Dados - Solicitação de acesso'!$N$2:$N$8,0)</f>
        <v>#N/A</v>
      </c>
      <c r="BA168" s="33" t="e">
        <f>MATCH('1'!T168,'Dados - Solicitação de acesso'!$T$2:$T$20,0)</f>
        <v>#N/A</v>
      </c>
      <c r="BB168" s="34"/>
      <c r="BC168" s="33">
        <f>MATCH(AT168,'Dados - Solicitação de acesso'!$AT$2:$AT$28,0)</f>
        <v>1</v>
      </c>
      <c r="BD168" s="33" t="b">
        <f>IF(O168="TRIFASICO",INDEX(Dados!G:G,MATCH('1'!AP168,Dados!E:E,0)),IF(O168="BIFASICO",INDEX(Dados!F:F,MATCH('1'!AP168,Dados!E:E,0),)))</f>
        <v>0</v>
      </c>
      <c r="BE168" s="33">
        <f>'Dados - Cliente'!J168</f>
        <v>0</v>
      </c>
      <c r="BF168" s="34">
        <f>INDEX(Dados!$E$2:$E$33,COUNTIF(Dados!$E$2:$E$33,"&lt;="&amp;AN168*1.25*AK168/(0.22*SQRT(INDEX('Dados - Inversores'!AK:AK,MATCH('1'!AL168,'Dados - Inversores'!C:C,0)))))+1)</f>
        <v>2</v>
      </c>
      <c r="BG168" s="34" t="b">
        <f>IF(O168="TRIFASICO",INDEX(Dados!G:G,MATCH(BF168,Dados!E:E,0)),IF(O168="BIFASICO",INDEX(Dados!F:F,MATCH(BF168,Dados!E:E,0),)))</f>
        <v>0</v>
      </c>
    </row>
    <row r="169" spans="1:59" s="33" customFormat="1" x14ac:dyDescent="0.35">
      <c r="A169" s="33">
        <f>'Dados - Cliente'!A169</f>
        <v>0</v>
      </c>
      <c r="B169" s="33">
        <f>'Dados - Cliente'!B169</f>
        <v>0</v>
      </c>
      <c r="C169" s="33">
        <f>'Dados - Cliente'!C169</f>
        <v>0</v>
      </c>
      <c r="D169" s="33">
        <f>'Dados - Cliente'!D169</f>
        <v>0</v>
      </c>
      <c r="E169" s="33">
        <f>'Dados - Cliente'!E169</f>
        <v>0</v>
      </c>
      <c r="F169" s="33">
        <f>'Dados - Cliente'!F169</f>
        <v>0</v>
      </c>
      <c r="G169" s="33">
        <f>'Dados - Cliente'!G169</f>
        <v>0</v>
      </c>
      <c r="H169" s="33">
        <f>'Dados - Cliente'!H169</f>
        <v>0</v>
      </c>
      <c r="I169" s="75" t="s">
        <v>4313</v>
      </c>
      <c r="J169" s="52" t="s">
        <v>4314</v>
      </c>
      <c r="K169" s="52" t="s">
        <v>4314</v>
      </c>
      <c r="L169" s="33">
        <f>'Dados - Cliente'!I169</f>
        <v>0</v>
      </c>
      <c r="M169" s="33">
        <f>'Dados - Cliente'!K169</f>
        <v>0</v>
      </c>
      <c r="N169" s="33">
        <f>'Dados - Cliente'!L169</f>
        <v>0</v>
      </c>
      <c r="O169" s="33">
        <f>'Dados - Cliente'!M169</f>
        <v>0</v>
      </c>
      <c r="P169" s="33">
        <f>'Dados - Cliente'!N169</f>
        <v>0</v>
      </c>
      <c r="Q169" s="33">
        <f>'Dados - Cliente'!O169</f>
        <v>0</v>
      </c>
      <c r="R169" s="33">
        <f>'Dados - Cliente'!P169</f>
        <v>0</v>
      </c>
      <c r="S169" s="33">
        <f>'Dados - Cliente'!Q169</f>
        <v>0</v>
      </c>
      <c r="T169" s="33">
        <f>'Dados - Cliente'!R169</f>
        <v>0</v>
      </c>
      <c r="U169" s="34">
        <f>'Dados - Cliente'!S169</f>
        <v>0</v>
      </c>
      <c r="V169" s="34">
        <f>'Dados - Cliente'!T169</f>
        <v>0</v>
      </c>
      <c r="W169" s="34">
        <f>'Dados - Cliente'!U169</f>
        <v>0</v>
      </c>
      <c r="X169" s="34">
        <f>'Dados - Cliente'!V169</f>
        <v>0</v>
      </c>
      <c r="Y169" s="34">
        <f>'Dados - Cliente'!W169</f>
        <v>0</v>
      </c>
      <c r="Z169" s="34">
        <f>'Dados - Cliente'!X169</f>
        <v>0</v>
      </c>
      <c r="AA169" s="33" t="e">
        <f t="shared" ref="AA169:AA204" si="17">AI169*AF169</f>
        <v>#N/A</v>
      </c>
      <c r="AB169" s="33">
        <f>'Dados - Cliente'!Y169</f>
        <v>0</v>
      </c>
      <c r="AC169" s="33">
        <f>'Dados - Cliente'!Z169</f>
        <v>0</v>
      </c>
      <c r="AD169" s="33">
        <f>'Dados - Cliente'!AA169</f>
        <v>0</v>
      </c>
      <c r="AE169" s="33">
        <f>'Dados - Cliente'!AB169</f>
        <v>0</v>
      </c>
      <c r="AF169" s="33">
        <f>'Dados - Cliente'!AC169</f>
        <v>0</v>
      </c>
      <c r="AG169" s="35">
        <f>'Dados - Cliente'!AD169</f>
        <v>0</v>
      </c>
      <c r="AH169" s="33" t="e">
        <f>INDEX('Dados - Placas'!$A:$A,MATCH('1'!AG169,'Dados - Placas'!$D:$D,0))</f>
        <v>#N/A</v>
      </c>
      <c r="AI169" s="35" t="e">
        <f>INDEX('Dados - Placas'!$E:$E,MATCH('1'!AG169,'Dados - Placas'!$D:$D,0))</f>
        <v>#N/A</v>
      </c>
      <c r="AJ169" s="34" t="e">
        <f>INDEX('Dados - Placas'!$F:$F,MATCH('1'!AG169,'Dados - Placas'!$D:$D,0))*AF169</f>
        <v>#N/A</v>
      </c>
      <c r="AK169" s="33">
        <f>'Dados - Cliente'!AE169</f>
        <v>0</v>
      </c>
      <c r="AL169" s="33">
        <f>'Dados - Cliente'!AF169</f>
        <v>0</v>
      </c>
      <c r="AM169" s="36" t="e">
        <f>INDEX('Dados - Inversores'!$A:$A,MATCH('1'!AL169,'Dados - Inversores'!$C:$C,0))</f>
        <v>#N/A</v>
      </c>
      <c r="AN169" s="33">
        <f>'Dados - Cliente'!AG169</f>
        <v>0</v>
      </c>
      <c r="AO169" s="33" t="e">
        <f>AA169*1.25/(0.22*SQRT(INDEX('Dados - Inversores'!AK:AK,MATCH('1'!AL169,'Dados - Inversores'!C:C,0))))</f>
        <v>#N/A</v>
      </c>
      <c r="AP169" s="34">
        <f>INDEX(Dados!$E$2:$E$33,COUNTIF(Dados!$E$2:$E$33,"&lt;="&amp;AN169*1.25/(INDEX('Dados - Inversores'!AL:AL,MATCH('1'!AL169,'Dados - Inversores'!C:C,0))*SQRT(INDEX('Dados - Inversores'!AK:AK,MATCH('1'!AL169,'Dados - Inversores'!C:C,0)))))+1)</f>
        <v>2</v>
      </c>
      <c r="AQ169" s="33" t="s">
        <v>59</v>
      </c>
      <c r="AR169" s="33" t="str">
        <f t="shared" ref="AR169:AR204" si="18">IF((AN169*AK169)&gt;10,"Mini","Micro")</f>
        <v>Micro</v>
      </c>
      <c r="AS169" s="33">
        <f>'Dados - Cliente'!AH169</f>
        <v>0</v>
      </c>
      <c r="AT169" s="33">
        <f>'Dados - Cliente'!AI169</f>
        <v>0</v>
      </c>
      <c r="AU169" s="33" t="e">
        <f>INDEX('Dados - Placas'!$N:$N,MATCH('1'!AG169,'Dados - Placas'!$D:$D,0))-1</f>
        <v>#N/A</v>
      </c>
      <c r="AV169" s="33" t="e">
        <f>INDEX('Dados - Placas'!$O:$O,MATCH('1'!AG169,'Dados - Placas'!$D:$D,0))</f>
        <v>#N/A</v>
      </c>
      <c r="AW169" s="33" t="e">
        <f>INDEX('Dados - Inversores'!AM:AM,MATCH('1'!AL169,'Dados - Inversores'!$C:$C,0))-1</f>
        <v>#N/A</v>
      </c>
      <c r="AX169" s="33" t="e">
        <f>INDEX('Dados - Inversores'!AN:AN,MATCH('1'!AL169,'Dados - Inversores'!$C:$C,0))-1</f>
        <v>#N/A</v>
      </c>
      <c r="AY169" s="33" t="e">
        <f>MATCH('1'!H169,Dados!$D$89:$D$167,0)+1</f>
        <v>#N/A</v>
      </c>
      <c r="AZ169" s="33" t="e">
        <f>MATCH('1'!N169,'Dados - Solicitação de acesso'!$N$2:$N$8,0)</f>
        <v>#N/A</v>
      </c>
      <c r="BA169" s="33" t="e">
        <f>MATCH('1'!T169,'Dados - Solicitação de acesso'!$T$2:$T$20,0)</f>
        <v>#N/A</v>
      </c>
      <c r="BB169" s="34"/>
      <c r="BC169" s="33">
        <f>MATCH(AT169,'Dados - Solicitação de acesso'!$AT$2:$AT$28,0)</f>
        <v>1</v>
      </c>
      <c r="BD169" s="33" t="b">
        <f>IF(O169="TRIFASICO",INDEX(Dados!G:G,MATCH('1'!AP169,Dados!E:E,0)),IF(O169="BIFASICO",INDEX(Dados!F:F,MATCH('1'!AP169,Dados!E:E,0),)))</f>
        <v>0</v>
      </c>
      <c r="BE169" s="33">
        <f>'Dados - Cliente'!J169</f>
        <v>0</v>
      </c>
      <c r="BF169" s="34">
        <f>INDEX(Dados!$E$2:$E$33,COUNTIF(Dados!$E$2:$E$33,"&lt;="&amp;AN169*1.25*AK169/(0.22*SQRT(INDEX('Dados - Inversores'!AK:AK,MATCH('1'!AL169,'Dados - Inversores'!C:C,0)))))+1)</f>
        <v>2</v>
      </c>
      <c r="BG169" s="34" t="b">
        <f>IF(O169="TRIFASICO",INDEX(Dados!G:G,MATCH(BF169,Dados!E:E,0)),IF(O169="BIFASICO",INDEX(Dados!F:F,MATCH(BF169,Dados!E:E,0),)))</f>
        <v>0</v>
      </c>
    </row>
    <row r="170" spans="1:59" s="33" customFormat="1" x14ac:dyDescent="0.35">
      <c r="A170" s="33">
        <f>'Dados - Cliente'!A170</f>
        <v>0</v>
      </c>
      <c r="B170" s="33">
        <f>'Dados - Cliente'!B170</f>
        <v>0</v>
      </c>
      <c r="C170" s="33">
        <f>'Dados - Cliente'!C170</f>
        <v>0</v>
      </c>
      <c r="D170" s="33">
        <f>'Dados - Cliente'!D170</f>
        <v>0</v>
      </c>
      <c r="E170" s="33">
        <f>'Dados - Cliente'!E170</f>
        <v>0</v>
      </c>
      <c r="F170" s="33">
        <f>'Dados - Cliente'!F170</f>
        <v>0</v>
      </c>
      <c r="G170" s="33">
        <f>'Dados - Cliente'!G170</f>
        <v>0</v>
      </c>
      <c r="H170" s="33">
        <f>'Dados - Cliente'!H170</f>
        <v>0</v>
      </c>
      <c r="I170" s="75" t="s">
        <v>4313</v>
      </c>
      <c r="J170" s="52" t="s">
        <v>4314</v>
      </c>
      <c r="K170" s="52" t="s">
        <v>4314</v>
      </c>
      <c r="L170" s="33">
        <f>'Dados - Cliente'!I170</f>
        <v>0</v>
      </c>
      <c r="M170" s="33">
        <f>'Dados - Cliente'!K170</f>
        <v>0</v>
      </c>
      <c r="N170" s="33">
        <f>'Dados - Cliente'!L170</f>
        <v>0</v>
      </c>
      <c r="O170" s="33">
        <f>'Dados - Cliente'!M170</f>
        <v>0</v>
      </c>
      <c r="P170" s="33">
        <f>'Dados - Cliente'!N170</f>
        <v>0</v>
      </c>
      <c r="Q170" s="33">
        <f>'Dados - Cliente'!O170</f>
        <v>0</v>
      </c>
      <c r="R170" s="33">
        <f>'Dados - Cliente'!P170</f>
        <v>0</v>
      </c>
      <c r="S170" s="33">
        <f>'Dados - Cliente'!Q170</f>
        <v>0</v>
      </c>
      <c r="T170" s="33">
        <f>'Dados - Cliente'!R170</f>
        <v>0</v>
      </c>
      <c r="U170" s="34">
        <f>'Dados - Cliente'!S170</f>
        <v>0</v>
      </c>
      <c r="V170" s="34">
        <f>'Dados - Cliente'!T170</f>
        <v>0</v>
      </c>
      <c r="W170" s="34">
        <f>'Dados - Cliente'!U170</f>
        <v>0</v>
      </c>
      <c r="X170" s="34">
        <f>'Dados - Cliente'!V170</f>
        <v>0</v>
      </c>
      <c r="Y170" s="34">
        <f>'Dados - Cliente'!W170</f>
        <v>0</v>
      </c>
      <c r="Z170" s="34">
        <f>'Dados - Cliente'!X170</f>
        <v>0</v>
      </c>
      <c r="AA170" s="33" t="e">
        <f t="shared" si="17"/>
        <v>#N/A</v>
      </c>
      <c r="AB170" s="33">
        <f>'Dados - Cliente'!Y170</f>
        <v>0</v>
      </c>
      <c r="AC170" s="33">
        <f>'Dados - Cliente'!Z170</f>
        <v>0</v>
      </c>
      <c r="AD170" s="33">
        <f>'Dados - Cliente'!AA170</f>
        <v>0</v>
      </c>
      <c r="AE170" s="33">
        <f>'Dados - Cliente'!AB170</f>
        <v>0</v>
      </c>
      <c r="AF170" s="33">
        <f>'Dados - Cliente'!AC170</f>
        <v>0</v>
      </c>
      <c r="AG170" s="35">
        <f>'Dados - Cliente'!AD170</f>
        <v>0</v>
      </c>
      <c r="AH170" s="33" t="e">
        <f>INDEX('Dados - Placas'!$A:$A,MATCH('1'!AG170,'Dados - Placas'!$D:$D,0))</f>
        <v>#N/A</v>
      </c>
      <c r="AI170" s="35" t="e">
        <f>INDEX('Dados - Placas'!$E:$E,MATCH('1'!AG170,'Dados - Placas'!$D:$D,0))</f>
        <v>#N/A</v>
      </c>
      <c r="AJ170" s="34" t="e">
        <f>INDEX('Dados - Placas'!$F:$F,MATCH('1'!AG170,'Dados - Placas'!$D:$D,0))*AF170</f>
        <v>#N/A</v>
      </c>
      <c r="AK170" s="33">
        <f>'Dados - Cliente'!AE170</f>
        <v>0</v>
      </c>
      <c r="AL170" s="33">
        <f>'Dados - Cliente'!AF170</f>
        <v>0</v>
      </c>
      <c r="AM170" s="36" t="e">
        <f>INDEX('Dados - Inversores'!$A:$A,MATCH('1'!AL170,'Dados - Inversores'!$C:$C,0))</f>
        <v>#N/A</v>
      </c>
      <c r="AN170" s="33">
        <f>'Dados - Cliente'!AG170</f>
        <v>0</v>
      </c>
      <c r="AO170" s="33" t="e">
        <f>AA170*1.25/(0.22*SQRT(INDEX('Dados - Inversores'!AK:AK,MATCH('1'!AL170,'Dados - Inversores'!C:C,0))))</f>
        <v>#N/A</v>
      </c>
      <c r="AP170" s="34">
        <f>INDEX(Dados!$E$2:$E$33,COUNTIF(Dados!$E$2:$E$33,"&lt;="&amp;AN170*1.25/(INDEX('Dados - Inversores'!AL:AL,MATCH('1'!AL170,'Dados - Inversores'!C:C,0))*SQRT(INDEX('Dados - Inversores'!AK:AK,MATCH('1'!AL170,'Dados - Inversores'!C:C,0)))))+1)</f>
        <v>2</v>
      </c>
      <c r="AQ170" s="33" t="s">
        <v>59</v>
      </c>
      <c r="AR170" s="33" t="str">
        <f t="shared" si="18"/>
        <v>Micro</v>
      </c>
      <c r="AS170" s="33">
        <f>'Dados - Cliente'!AH170</f>
        <v>0</v>
      </c>
      <c r="AT170" s="33">
        <f>'Dados - Cliente'!AI170</f>
        <v>0</v>
      </c>
      <c r="AU170" s="33" t="e">
        <f>INDEX('Dados - Placas'!$N:$N,MATCH('1'!AG170,'Dados - Placas'!$D:$D,0))-1</f>
        <v>#N/A</v>
      </c>
      <c r="AV170" s="33" t="e">
        <f>INDEX('Dados - Placas'!$O:$O,MATCH('1'!AG170,'Dados - Placas'!$D:$D,0))</f>
        <v>#N/A</v>
      </c>
      <c r="AW170" s="33" t="e">
        <f>INDEX('Dados - Inversores'!AM:AM,MATCH('1'!AL170,'Dados - Inversores'!$C:$C,0))-1</f>
        <v>#N/A</v>
      </c>
      <c r="AX170" s="33" t="e">
        <f>INDEX('Dados - Inversores'!AN:AN,MATCH('1'!AL170,'Dados - Inversores'!$C:$C,0))-1</f>
        <v>#N/A</v>
      </c>
      <c r="AY170" s="33" t="e">
        <f>MATCH('1'!H170,Dados!$D$89:$D$167,0)+1</f>
        <v>#N/A</v>
      </c>
      <c r="AZ170" s="33" t="e">
        <f>MATCH('1'!N170,'Dados - Solicitação de acesso'!$N$2:$N$8,0)</f>
        <v>#N/A</v>
      </c>
      <c r="BA170" s="33" t="e">
        <f>MATCH('1'!T170,'Dados - Solicitação de acesso'!$T$2:$T$20,0)</f>
        <v>#N/A</v>
      </c>
      <c r="BB170" s="34"/>
      <c r="BC170" s="33">
        <f>MATCH(AT170,'Dados - Solicitação de acesso'!$AT$2:$AT$28,0)</f>
        <v>1</v>
      </c>
      <c r="BD170" s="33" t="b">
        <f>IF(O170="TRIFASICO",INDEX(Dados!G:G,MATCH('1'!AP170,Dados!E:E,0)),IF(O170="BIFASICO",INDEX(Dados!F:F,MATCH('1'!AP170,Dados!E:E,0),)))</f>
        <v>0</v>
      </c>
      <c r="BE170" s="33">
        <f>'Dados - Cliente'!J170</f>
        <v>0</v>
      </c>
      <c r="BF170" s="34">
        <f>INDEX(Dados!$E$2:$E$33,COUNTIF(Dados!$E$2:$E$33,"&lt;="&amp;AN170*1.25*AK170/(0.22*SQRT(INDEX('Dados - Inversores'!AK:AK,MATCH('1'!AL170,'Dados - Inversores'!C:C,0)))))+1)</f>
        <v>2</v>
      </c>
      <c r="BG170" s="34" t="b">
        <f>IF(O170="TRIFASICO",INDEX(Dados!G:G,MATCH(BF170,Dados!E:E,0)),IF(O170="BIFASICO",INDEX(Dados!F:F,MATCH(BF170,Dados!E:E,0),)))</f>
        <v>0</v>
      </c>
    </row>
    <row r="171" spans="1:59" s="33" customFormat="1" x14ac:dyDescent="0.35">
      <c r="A171" s="33">
        <f>'Dados - Cliente'!A171</f>
        <v>0</v>
      </c>
      <c r="B171" s="33">
        <f>'Dados - Cliente'!B171</f>
        <v>0</v>
      </c>
      <c r="C171" s="33">
        <f>'Dados - Cliente'!C171</f>
        <v>0</v>
      </c>
      <c r="D171" s="33">
        <f>'Dados - Cliente'!D171</f>
        <v>0</v>
      </c>
      <c r="E171" s="33">
        <f>'Dados - Cliente'!E171</f>
        <v>0</v>
      </c>
      <c r="F171" s="33">
        <f>'Dados - Cliente'!F171</f>
        <v>0</v>
      </c>
      <c r="G171" s="33">
        <f>'Dados - Cliente'!G171</f>
        <v>0</v>
      </c>
      <c r="H171" s="33">
        <f>'Dados - Cliente'!H171</f>
        <v>0</v>
      </c>
      <c r="I171" s="75" t="s">
        <v>4313</v>
      </c>
      <c r="J171" s="52" t="s">
        <v>4314</v>
      </c>
      <c r="K171" s="52" t="s">
        <v>4314</v>
      </c>
      <c r="L171" s="33">
        <f>'Dados - Cliente'!I171</f>
        <v>0</v>
      </c>
      <c r="M171" s="33">
        <f>'Dados - Cliente'!K171</f>
        <v>0</v>
      </c>
      <c r="N171" s="33">
        <f>'Dados - Cliente'!L171</f>
        <v>0</v>
      </c>
      <c r="O171" s="33">
        <f>'Dados - Cliente'!M171</f>
        <v>0</v>
      </c>
      <c r="P171" s="33">
        <f>'Dados - Cliente'!N171</f>
        <v>0</v>
      </c>
      <c r="Q171" s="33">
        <f>'Dados - Cliente'!O171</f>
        <v>0</v>
      </c>
      <c r="R171" s="33">
        <f>'Dados - Cliente'!P171</f>
        <v>0</v>
      </c>
      <c r="S171" s="33">
        <f>'Dados - Cliente'!Q171</f>
        <v>0</v>
      </c>
      <c r="T171" s="33">
        <f>'Dados - Cliente'!R171</f>
        <v>0</v>
      </c>
      <c r="U171" s="34">
        <f>'Dados - Cliente'!S171</f>
        <v>0</v>
      </c>
      <c r="V171" s="34">
        <f>'Dados - Cliente'!T171</f>
        <v>0</v>
      </c>
      <c r="W171" s="34">
        <f>'Dados - Cliente'!U171</f>
        <v>0</v>
      </c>
      <c r="X171" s="34">
        <f>'Dados - Cliente'!V171</f>
        <v>0</v>
      </c>
      <c r="Y171" s="34">
        <f>'Dados - Cliente'!W171</f>
        <v>0</v>
      </c>
      <c r="Z171" s="34">
        <f>'Dados - Cliente'!X171</f>
        <v>0</v>
      </c>
      <c r="AA171" s="33" t="e">
        <f t="shared" si="17"/>
        <v>#N/A</v>
      </c>
      <c r="AB171" s="33">
        <f>'Dados - Cliente'!Y171</f>
        <v>0</v>
      </c>
      <c r="AC171" s="33">
        <f>'Dados - Cliente'!Z171</f>
        <v>0</v>
      </c>
      <c r="AD171" s="33">
        <f>'Dados - Cliente'!AA171</f>
        <v>0</v>
      </c>
      <c r="AE171" s="33">
        <f>'Dados - Cliente'!AB171</f>
        <v>0</v>
      </c>
      <c r="AF171" s="33">
        <f>'Dados - Cliente'!AC171</f>
        <v>0</v>
      </c>
      <c r="AG171" s="35">
        <f>'Dados - Cliente'!AD171</f>
        <v>0</v>
      </c>
      <c r="AH171" s="33" t="e">
        <f>INDEX('Dados - Placas'!$A:$A,MATCH('1'!AG171,'Dados - Placas'!$D:$D,0))</f>
        <v>#N/A</v>
      </c>
      <c r="AI171" s="35" t="e">
        <f>INDEX('Dados - Placas'!$E:$E,MATCH('1'!AG171,'Dados - Placas'!$D:$D,0))</f>
        <v>#N/A</v>
      </c>
      <c r="AJ171" s="34" t="e">
        <f>INDEX('Dados - Placas'!$F:$F,MATCH('1'!AG171,'Dados - Placas'!$D:$D,0))*AF171</f>
        <v>#N/A</v>
      </c>
      <c r="AK171" s="33">
        <f>'Dados - Cliente'!AE171</f>
        <v>0</v>
      </c>
      <c r="AL171" s="33">
        <f>'Dados - Cliente'!AF171</f>
        <v>0</v>
      </c>
      <c r="AM171" s="36" t="e">
        <f>INDEX('Dados - Inversores'!$A:$A,MATCH('1'!AL171,'Dados - Inversores'!$C:$C,0))</f>
        <v>#N/A</v>
      </c>
      <c r="AN171" s="33">
        <f>'Dados - Cliente'!AG171</f>
        <v>0</v>
      </c>
      <c r="AO171" s="33" t="e">
        <f>AA171*1.25/(0.22*SQRT(INDEX('Dados - Inversores'!AK:AK,MATCH('1'!AL171,'Dados - Inversores'!C:C,0))))</f>
        <v>#N/A</v>
      </c>
      <c r="AP171" s="34">
        <f>INDEX(Dados!$E$2:$E$33,COUNTIF(Dados!$E$2:$E$33,"&lt;="&amp;AN171*1.25/(INDEX('Dados - Inversores'!AL:AL,MATCH('1'!AL171,'Dados - Inversores'!C:C,0))*SQRT(INDEX('Dados - Inversores'!AK:AK,MATCH('1'!AL171,'Dados - Inversores'!C:C,0)))))+1)</f>
        <v>2</v>
      </c>
      <c r="AQ171" s="33" t="s">
        <v>59</v>
      </c>
      <c r="AR171" s="33" t="str">
        <f t="shared" si="18"/>
        <v>Micro</v>
      </c>
      <c r="AS171" s="33">
        <f>'Dados - Cliente'!AH171</f>
        <v>0</v>
      </c>
      <c r="AT171" s="33">
        <f>'Dados - Cliente'!AI171</f>
        <v>0</v>
      </c>
      <c r="AU171" s="33" t="e">
        <f>INDEX('Dados - Placas'!$N:$N,MATCH('1'!AG171,'Dados - Placas'!$D:$D,0))-1</f>
        <v>#N/A</v>
      </c>
      <c r="AV171" s="33" t="e">
        <f>INDEX('Dados - Placas'!$O:$O,MATCH('1'!AG171,'Dados - Placas'!$D:$D,0))</f>
        <v>#N/A</v>
      </c>
      <c r="AW171" s="33" t="e">
        <f>INDEX('Dados - Inversores'!AM:AM,MATCH('1'!AL171,'Dados - Inversores'!$C:$C,0))-1</f>
        <v>#N/A</v>
      </c>
      <c r="AX171" s="33" t="e">
        <f>INDEX('Dados - Inversores'!AN:AN,MATCH('1'!AL171,'Dados - Inversores'!$C:$C,0))-1</f>
        <v>#N/A</v>
      </c>
      <c r="AY171" s="33" t="e">
        <f>MATCH('1'!H171,Dados!$D$89:$D$167,0)+1</f>
        <v>#N/A</v>
      </c>
      <c r="AZ171" s="33" t="e">
        <f>MATCH('1'!N171,'Dados - Solicitação de acesso'!$N$2:$N$8,0)</f>
        <v>#N/A</v>
      </c>
      <c r="BA171" s="33" t="e">
        <f>MATCH('1'!T171,'Dados - Solicitação de acesso'!$T$2:$T$20,0)</f>
        <v>#N/A</v>
      </c>
      <c r="BB171" s="34"/>
      <c r="BC171" s="33">
        <f>MATCH(AT171,'Dados - Solicitação de acesso'!$AT$2:$AT$28,0)</f>
        <v>1</v>
      </c>
      <c r="BD171" s="33" t="b">
        <f>IF(O171="TRIFASICO",INDEX(Dados!G:G,MATCH('1'!AP171,Dados!E:E,0)),IF(O171="BIFASICO",INDEX(Dados!F:F,MATCH('1'!AP171,Dados!E:E,0),)))</f>
        <v>0</v>
      </c>
      <c r="BE171" s="33">
        <f>'Dados - Cliente'!J171</f>
        <v>0</v>
      </c>
      <c r="BF171" s="34">
        <f>INDEX(Dados!$E$2:$E$33,COUNTIF(Dados!$E$2:$E$33,"&lt;="&amp;AN171*1.25*AK171/(0.22*SQRT(INDEX('Dados - Inversores'!AK:AK,MATCH('1'!AL171,'Dados - Inversores'!C:C,0)))))+1)</f>
        <v>2</v>
      </c>
      <c r="BG171" s="34" t="b">
        <f>IF(O171="TRIFASICO",INDEX(Dados!G:G,MATCH(BF171,Dados!E:E,0)),IF(O171="BIFASICO",INDEX(Dados!F:F,MATCH(BF171,Dados!E:E,0),)))</f>
        <v>0</v>
      </c>
    </row>
    <row r="172" spans="1:59" s="33" customFormat="1" x14ac:dyDescent="0.35">
      <c r="A172" s="33">
        <f>'Dados - Cliente'!A172</f>
        <v>0</v>
      </c>
      <c r="B172" s="33">
        <f>'Dados - Cliente'!B172</f>
        <v>0</v>
      </c>
      <c r="C172" s="33">
        <f>'Dados - Cliente'!C172</f>
        <v>0</v>
      </c>
      <c r="D172" s="33">
        <f>'Dados - Cliente'!D172</f>
        <v>0</v>
      </c>
      <c r="E172" s="33">
        <f>'Dados - Cliente'!E172</f>
        <v>0</v>
      </c>
      <c r="F172" s="33">
        <f>'Dados - Cliente'!F172</f>
        <v>0</v>
      </c>
      <c r="G172" s="33">
        <f>'Dados - Cliente'!G172</f>
        <v>0</v>
      </c>
      <c r="H172" s="33">
        <f>'Dados - Cliente'!H172</f>
        <v>0</v>
      </c>
      <c r="I172" s="75" t="s">
        <v>4313</v>
      </c>
      <c r="J172" s="52" t="s">
        <v>4314</v>
      </c>
      <c r="K172" s="52" t="s">
        <v>4314</v>
      </c>
      <c r="L172" s="33">
        <f>'Dados - Cliente'!I172</f>
        <v>0</v>
      </c>
      <c r="M172" s="33">
        <f>'Dados - Cliente'!K172</f>
        <v>0</v>
      </c>
      <c r="N172" s="33">
        <f>'Dados - Cliente'!L172</f>
        <v>0</v>
      </c>
      <c r="O172" s="33">
        <f>'Dados - Cliente'!M172</f>
        <v>0</v>
      </c>
      <c r="P172" s="33">
        <f>'Dados - Cliente'!N172</f>
        <v>0</v>
      </c>
      <c r="Q172" s="33">
        <f>'Dados - Cliente'!O172</f>
        <v>0</v>
      </c>
      <c r="R172" s="33">
        <f>'Dados - Cliente'!P172</f>
        <v>0</v>
      </c>
      <c r="S172" s="33">
        <f>'Dados - Cliente'!Q172</f>
        <v>0</v>
      </c>
      <c r="T172" s="33">
        <f>'Dados - Cliente'!R172</f>
        <v>0</v>
      </c>
      <c r="U172" s="34">
        <f>'Dados - Cliente'!S172</f>
        <v>0</v>
      </c>
      <c r="V172" s="34">
        <f>'Dados - Cliente'!T172</f>
        <v>0</v>
      </c>
      <c r="W172" s="34">
        <f>'Dados - Cliente'!U172</f>
        <v>0</v>
      </c>
      <c r="X172" s="34">
        <f>'Dados - Cliente'!V172</f>
        <v>0</v>
      </c>
      <c r="Y172" s="34">
        <f>'Dados - Cliente'!W172</f>
        <v>0</v>
      </c>
      <c r="Z172" s="34">
        <f>'Dados - Cliente'!X172</f>
        <v>0</v>
      </c>
      <c r="AA172" s="33" t="e">
        <f t="shared" si="17"/>
        <v>#N/A</v>
      </c>
      <c r="AB172" s="33">
        <f>'Dados - Cliente'!Y172</f>
        <v>0</v>
      </c>
      <c r="AC172" s="33">
        <f>'Dados - Cliente'!Z172</f>
        <v>0</v>
      </c>
      <c r="AD172" s="33">
        <f>'Dados - Cliente'!AA172</f>
        <v>0</v>
      </c>
      <c r="AE172" s="33">
        <f>'Dados - Cliente'!AB172</f>
        <v>0</v>
      </c>
      <c r="AF172" s="33">
        <f>'Dados - Cliente'!AC172</f>
        <v>0</v>
      </c>
      <c r="AG172" s="35">
        <f>'Dados - Cliente'!AD172</f>
        <v>0</v>
      </c>
      <c r="AH172" s="33" t="e">
        <f>INDEX('Dados - Placas'!$A:$A,MATCH('1'!AG172,'Dados - Placas'!$D:$D,0))</f>
        <v>#N/A</v>
      </c>
      <c r="AI172" s="35" t="e">
        <f>INDEX('Dados - Placas'!$E:$E,MATCH('1'!AG172,'Dados - Placas'!$D:$D,0))</f>
        <v>#N/A</v>
      </c>
      <c r="AJ172" s="34" t="e">
        <f>INDEX('Dados - Placas'!$F:$F,MATCH('1'!AG172,'Dados - Placas'!$D:$D,0))*AF172</f>
        <v>#N/A</v>
      </c>
      <c r="AK172" s="33">
        <f>'Dados - Cliente'!AE172</f>
        <v>0</v>
      </c>
      <c r="AL172" s="33">
        <f>'Dados - Cliente'!AF172</f>
        <v>0</v>
      </c>
      <c r="AM172" s="36" t="e">
        <f>INDEX('Dados - Inversores'!$A:$A,MATCH('1'!AL172,'Dados - Inversores'!$C:$C,0))</f>
        <v>#N/A</v>
      </c>
      <c r="AN172" s="33">
        <f>'Dados - Cliente'!AG172</f>
        <v>0</v>
      </c>
      <c r="AO172" s="33" t="e">
        <f>AA172*1.25/(0.22*SQRT(INDEX('Dados - Inversores'!AK:AK,MATCH('1'!AL172,'Dados - Inversores'!C:C,0))))</f>
        <v>#N/A</v>
      </c>
      <c r="AP172" s="34">
        <f>INDEX(Dados!$E$2:$E$33,COUNTIF(Dados!$E$2:$E$33,"&lt;="&amp;AN172*1.25/(INDEX('Dados - Inversores'!AL:AL,MATCH('1'!AL172,'Dados - Inversores'!C:C,0))*SQRT(INDEX('Dados - Inversores'!AK:AK,MATCH('1'!AL172,'Dados - Inversores'!C:C,0)))))+1)</f>
        <v>2</v>
      </c>
      <c r="AQ172" s="33" t="s">
        <v>59</v>
      </c>
      <c r="AR172" s="33" t="str">
        <f t="shared" si="18"/>
        <v>Micro</v>
      </c>
      <c r="AS172" s="33">
        <f>'Dados - Cliente'!AH172</f>
        <v>0</v>
      </c>
      <c r="AT172" s="33">
        <f>'Dados - Cliente'!AI172</f>
        <v>0</v>
      </c>
      <c r="AU172" s="33" t="e">
        <f>INDEX('Dados - Placas'!$N:$N,MATCH('1'!AG172,'Dados - Placas'!$D:$D,0))-1</f>
        <v>#N/A</v>
      </c>
      <c r="AV172" s="33" t="e">
        <f>INDEX('Dados - Placas'!$O:$O,MATCH('1'!AG172,'Dados - Placas'!$D:$D,0))</f>
        <v>#N/A</v>
      </c>
      <c r="AW172" s="33" t="e">
        <f>INDEX('Dados - Inversores'!AM:AM,MATCH('1'!AL172,'Dados - Inversores'!$C:$C,0))-1</f>
        <v>#N/A</v>
      </c>
      <c r="AX172" s="33" t="e">
        <f>INDEX('Dados - Inversores'!AN:AN,MATCH('1'!AL172,'Dados - Inversores'!$C:$C,0))-1</f>
        <v>#N/A</v>
      </c>
      <c r="AY172" s="33" t="e">
        <f>MATCH('1'!H172,Dados!$D$89:$D$167,0)+1</f>
        <v>#N/A</v>
      </c>
      <c r="AZ172" s="33" t="e">
        <f>MATCH('1'!N172,'Dados - Solicitação de acesso'!$N$2:$N$8,0)</f>
        <v>#N/A</v>
      </c>
      <c r="BA172" s="33" t="e">
        <f>MATCH('1'!T172,'Dados - Solicitação de acesso'!$T$2:$T$20,0)</f>
        <v>#N/A</v>
      </c>
      <c r="BB172" s="34"/>
      <c r="BC172" s="33">
        <f>MATCH(AT172,'Dados - Solicitação de acesso'!$AT$2:$AT$28,0)</f>
        <v>1</v>
      </c>
      <c r="BD172" s="33" t="b">
        <f>IF(O172="TRIFASICO",INDEX(Dados!G:G,MATCH('1'!AP172,Dados!E:E,0)),IF(O172="BIFASICO",INDEX(Dados!F:F,MATCH('1'!AP172,Dados!E:E,0),)))</f>
        <v>0</v>
      </c>
      <c r="BE172" s="33">
        <f>'Dados - Cliente'!J172</f>
        <v>0</v>
      </c>
      <c r="BF172" s="34">
        <f>INDEX(Dados!$E$2:$E$33,COUNTIF(Dados!$E$2:$E$33,"&lt;="&amp;AN172*1.25*AK172/(0.22*SQRT(INDEX('Dados - Inversores'!AK:AK,MATCH('1'!AL172,'Dados - Inversores'!C:C,0)))))+1)</f>
        <v>2</v>
      </c>
      <c r="BG172" s="34" t="b">
        <f>IF(O172="TRIFASICO",INDEX(Dados!G:G,MATCH(BF172,Dados!E:E,0)),IF(O172="BIFASICO",INDEX(Dados!F:F,MATCH(BF172,Dados!E:E,0),)))</f>
        <v>0</v>
      </c>
    </row>
    <row r="173" spans="1:59" s="33" customFormat="1" x14ac:dyDescent="0.35">
      <c r="A173" s="33">
        <f>'Dados - Cliente'!A173</f>
        <v>0</v>
      </c>
      <c r="B173" s="33">
        <f>'Dados - Cliente'!B173</f>
        <v>0</v>
      </c>
      <c r="C173" s="33">
        <f>'Dados - Cliente'!C173</f>
        <v>0</v>
      </c>
      <c r="D173" s="33">
        <f>'Dados - Cliente'!D173</f>
        <v>0</v>
      </c>
      <c r="E173" s="33">
        <f>'Dados - Cliente'!E173</f>
        <v>0</v>
      </c>
      <c r="F173" s="33">
        <f>'Dados - Cliente'!F173</f>
        <v>0</v>
      </c>
      <c r="G173" s="33">
        <f>'Dados - Cliente'!G173</f>
        <v>0</v>
      </c>
      <c r="H173" s="33">
        <f>'Dados - Cliente'!H173</f>
        <v>0</v>
      </c>
      <c r="I173" s="75" t="s">
        <v>4313</v>
      </c>
      <c r="J173" s="52" t="s">
        <v>4314</v>
      </c>
      <c r="K173" s="52" t="s">
        <v>4314</v>
      </c>
      <c r="L173" s="33">
        <f>'Dados - Cliente'!I173</f>
        <v>0</v>
      </c>
      <c r="M173" s="33">
        <f>'Dados - Cliente'!K173</f>
        <v>0</v>
      </c>
      <c r="N173" s="33">
        <f>'Dados - Cliente'!L173</f>
        <v>0</v>
      </c>
      <c r="O173" s="33">
        <f>'Dados - Cliente'!M173</f>
        <v>0</v>
      </c>
      <c r="P173" s="33">
        <f>'Dados - Cliente'!N173</f>
        <v>0</v>
      </c>
      <c r="Q173" s="33">
        <f>'Dados - Cliente'!O173</f>
        <v>0</v>
      </c>
      <c r="R173" s="33">
        <f>'Dados - Cliente'!P173</f>
        <v>0</v>
      </c>
      <c r="S173" s="33">
        <f>'Dados - Cliente'!Q173</f>
        <v>0</v>
      </c>
      <c r="T173" s="33">
        <f>'Dados - Cliente'!R173</f>
        <v>0</v>
      </c>
      <c r="U173" s="34">
        <f>'Dados - Cliente'!S173</f>
        <v>0</v>
      </c>
      <c r="V173" s="34">
        <f>'Dados - Cliente'!T173</f>
        <v>0</v>
      </c>
      <c r="W173" s="34">
        <f>'Dados - Cliente'!U173</f>
        <v>0</v>
      </c>
      <c r="X173" s="34">
        <f>'Dados - Cliente'!V173</f>
        <v>0</v>
      </c>
      <c r="Y173" s="34">
        <f>'Dados - Cliente'!W173</f>
        <v>0</v>
      </c>
      <c r="Z173" s="34">
        <f>'Dados - Cliente'!X173</f>
        <v>0</v>
      </c>
      <c r="AA173" s="33" t="e">
        <f t="shared" si="17"/>
        <v>#N/A</v>
      </c>
      <c r="AB173" s="33">
        <f>'Dados - Cliente'!Y173</f>
        <v>0</v>
      </c>
      <c r="AC173" s="33">
        <f>'Dados - Cliente'!Z173</f>
        <v>0</v>
      </c>
      <c r="AD173" s="33">
        <f>'Dados - Cliente'!AA173</f>
        <v>0</v>
      </c>
      <c r="AE173" s="33">
        <f>'Dados - Cliente'!AB173</f>
        <v>0</v>
      </c>
      <c r="AF173" s="33">
        <f>'Dados - Cliente'!AC173</f>
        <v>0</v>
      </c>
      <c r="AG173" s="35">
        <f>'Dados - Cliente'!AD173</f>
        <v>0</v>
      </c>
      <c r="AH173" s="33" t="e">
        <f>INDEX('Dados - Placas'!$A:$A,MATCH('1'!AG173,'Dados - Placas'!$D:$D,0))</f>
        <v>#N/A</v>
      </c>
      <c r="AI173" s="35" t="e">
        <f>INDEX('Dados - Placas'!$E:$E,MATCH('1'!AG173,'Dados - Placas'!$D:$D,0))</f>
        <v>#N/A</v>
      </c>
      <c r="AJ173" s="34" t="e">
        <f>INDEX('Dados - Placas'!$F:$F,MATCH('1'!AG173,'Dados - Placas'!$D:$D,0))*AF173</f>
        <v>#N/A</v>
      </c>
      <c r="AK173" s="33">
        <f>'Dados - Cliente'!AE173</f>
        <v>0</v>
      </c>
      <c r="AL173" s="33">
        <f>'Dados - Cliente'!AF173</f>
        <v>0</v>
      </c>
      <c r="AM173" s="36" t="e">
        <f>INDEX('Dados - Inversores'!$A:$A,MATCH('1'!AL173,'Dados - Inversores'!$C:$C,0))</f>
        <v>#N/A</v>
      </c>
      <c r="AN173" s="33">
        <f>'Dados - Cliente'!AG173</f>
        <v>0</v>
      </c>
      <c r="AO173" s="33" t="e">
        <f>AA173*1.25/(0.22*SQRT(INDEX('Dados - Inversores'!AK:AK,MATCH('1'!AL173,'Dados - Inversores'!C:C,0))))</f>
        <v>#N/A</v>
      </c>
      <c r="AP173" s="34">
        <f>INDEX(Dados!$E$2:$E$33,COUNTIF(Dados!$E$2:$E$33,"&lt;="&amp;AN173*1.25/(INDEX('Dados - Inversores'!AL:AL,MATCH('1'!AL173,'Dados - Inversores'!C:C,0))*SQRT(INDEX('Dados - Inversores'!AK:AK,MATCH('1'!AL173,'Dados - Inversores'!C:C,0)))))+1)</f>
        <v>2</v>
      </c>
      <c r="AQ173" s="33" t="s">
        <v>59</v>
      </c>
      <c r="AR173" s="33" t="str">
        <f t="shared" si="18"/>
        <v>Micro</v>
      </c>
      <c r="AS173" s="33">
        <f>'Dados - Cliente'!AH173</f>
        <v>0</v>
      </c>
      <c r="AT173" s="33">
        <f>'Dados - Cliente'!AI173</f>
        <v>0</v>
      </c>
      <c r="AU173" s="33" t="e">
        <f>INDEX('Dados - Placas'!$N:$N,MATCH('1'!AG173,'Dados - Placas'!$D:$D,0))-1</f>
        <v>#N/A</v>
      </c>
      <c r="AV173" s="33" t="e">
        <f>INDEX('Dados - Placas'!$O:$O,MATCH('1'!AG173,'Dados - Placas'!$D:$D,0))</f>
        <v>#N/A</v>
      </c>
      <c r="AW173" s="33" t="e">
        <f>INDEX('Dados - Inversores'!AM:AM,MATCH('1'!AL173,'Dados - Inversores'!$C:$C,0))-1</f>
        <v>#N/A</v>
      </c>
      <c r="AX173" s="33" t="e">
        <f>INDEX('Dados - Inversores'!AN:AN,MATCH('1'!AL173,'Dados - Inversores'!$C:$C,0))-1</f>
        <v>#N/A</v>
      </c>
      <c r="AY173" s="33" t="e">
        <f>MATCH('1'!H173,Dados!$D$89:$D$167,0)+1</f>
        <v>#N/A</v>
      </c>
      <c r="AZ173" s="33" t="e">
        <f>MATCH('1'!N173,'Dados - Solicitação de acesso'!$N$2:$N$8,0)</f>
        <v>#N/A</v>
      </c>
      <c r="BA173" s="33" t="e">
        <f>MATCH('1'!T173,'Dados - Solicitação de acesso'!$T$2:$T$20,0)</f>
        <v>#N/A</v>
      </c>
      <c r="BB173" s="34"/>
      <c r="BC173" s="33">
        <f>MATCH(AT173,'Dados - Solicitação de acesso'!$AT$2:$AT$28,0)</f>
        <v>1</v>
      </c>
      <c r="BD173" s="33" t="b">
        <f>IF(O173="TRIFASICO",INDEX(Dados!G:G,MATCH('1'!AP173,Dados!E:E,0)),IF(O173="BIFASICO",INDEX(Dados!F:F,MATCH('1'!AP173,Dados!E:E,0),)))</f>
        <v>0</v>
      </c>
      <c r="BE173" s="33">
        <f>'Dados - Cliente'!J173</f>
        <v>0</v>
      </c>
      <c r="BF173" s="34">
        <f>INDEX(Dados!$E$2:$E$33,COUNTIF(Dados!$E$2:$E$33,"&lt;="&amp;AN173*1.25*AK173/(0.22*SQRT(INDEX('Dados - Inversores'!AK:AK,MATCH('1'!AL173,'Dados - Inversores'!C:C,0)))))+1)</f>
        <v>2</v>
      </c>
      <c r="BG173" s="34" t="b">
        <f>IF(O173="TRIFASICO",INDEX(Dados!G:G,MATCH(BF173,Dados!E:E,0)),IF(O173="BIFASICO",INDEX(Dados!F:F,MATCH(BF173,Dados!E:E,0),)))</f>
        <v>0</v>
      </c>
    </row>
    <row r="174" spans="1:59" s="33" customFormat="1" x14ac:dyDescent="0.35">
      <c r="A174" s="33">
        <f>'Dados - Cliente'!A174</f>
        <v>0</v>
      </c>
      <c r="B174" s="33">
        <f>'Dados - Cliente'!B174</f>
        <v>0</v>
      </c>
      <c r="C174" s="33">
        <f>'Dados - Cliente'!C174</f>
        <v>0</v>
      </c>
      <c r="D174" s="33">
        <f>'Dados - Cliente'!D174</f>
        <v>0</v>
      </c>
      <c r="E174" s="33">
        <f>'Dados - Cliente'!E174</f>
        <v>0</v>
      </c>
      <c r="F174" s="33">
        <f>'Dados - Cliente'!F174</f>
        <v>0</v>
      </c>
      <c r="G174" s="33">
        <f>'Dados - Cliente'!G174</f>
        <v>0</v>
      </c>
      <c r="H174" s="33">
        <f>'Dados - Cliente'!H174</f>
        <v>0</v>
      </c>
      <c r="I174" s="75" t="s">
        <v>4313</v>
      </c>
      <c r="J174" s="52" t="s">
        <v>4314</v>
      </c>
      <c r="K174" s="52" t="s">
        <v>4314</v>
      </c>
      <c r="L174" s="33">
        <f>'Dados - Cliente'!I174</f>
        <v>0</v>
      </c>
      <c r="M174" s="33">
        <f>'Dados - Cliente'!K174</f>
        <v>0</v>
      </c>
      <c r="N174" s="33">
        <f>'Dados - Cliente'!L174</f>
        <v>0</v>
      </c>
      <c r="O174" s="33">
        <f>'Dados - Cliente'!M174</f>
        <v>0</v>
      </c>
      <c r="P174" s="33">
        <f>'Dados - Cliente'!N174</f>
        <v>0</v>
      </c>
      <c r="Q174" s="33">
        <f>'Dados - Cliente'!O174</f>
        <v>0</v>
      </c>
      <c r="R174" s="33">
        <f>'Dados - Cliente'!P174</f>
        <v>0</v>
      </c>
      <c r="S174" s="33">
        <f>'Dados - Cliente'!Q174</f>
        <v>0</v>
      </c>
      <c r="T174" s="33">
        <f>'Dados - Cliente'!R174</f>
        <v>0</v>
      </c>
      <c r="U174" s="34">
        <f>'Dados - Cliente'!S174</f>
        <v>0</v>
      </c>
      <c r="V174" s="34">
        <f>'Dados - Cliente'!T174</f>
        <v>0</v>
      </c>
      <c r="W174" s="34">
        <f>'Dados - Cliente'!U174</f>
        <v>0</v>
      </c>
      <c r="X174" s="34">
        <f>'Dados - Cliente'!V174</f>
        <v>0</v>
      </c>
      <c r="Y174" s="34">
        <f>'Dados - Cliente'!W174</f>
        <v>0</v>
      </c>
      <c r="Z174" s="34">
        <f>'Dados - Cliente'!X174</f>
        <v>0</v>
      </c>
      <c r="AA174" s="33" t="e">
        <f t="shared" si="17"/>
        <v>#N/A</v>
      </c>
      <c r="AB174" s="33">
        <f>'Dados - Cliente'!Y174</f>
        <v>0</v>
      </c>
      <c r="AC174" s="33">
        <f>'Dados - Cliente'!Z174</f>
        <v>0</v>
      </c>
      <c r="AD174" s="33">
        <f>'Dados - Cliente'!AA174</f>
        <v>0</v>
      </c>
      <c r="AE174" s="33">
        <f>'Dados - Cliente'!AB174</f>
        <v>0</v>
      </c>
      <c r="AF174" s="33">
        <f>'Dados - Cliente'!AC174</f>
        <v>0</v>
      </c>
      <c r="AG174" s="35">
        <f>'Dados - Cliente'!AD174</f>
        <v>0</v>
      </c>
      <c r="AH174" s="33" t="e">
        <f>INDEX('Dados - Placas'!$A:$A,MATCH('1'!AG174,'Dados - Placas'!$D:$D,0))</f>
        <v>#N/A</v>
      </c>
      <c r="AI174" s="35" t="e">
        <f>INDEX('Dados - Placas'!$E:$E,MATCH('1'!AG174,'Dados - Placas'!$D:$D,0))</f>
        <v>#N/A</v>
      </c>
      <c r="AJ174" s="34" t="e">
        <f>INDEX('Dados - Placas'!$F:$F,MATCH('1'!AG174,'Dados - Placas'!$D:$D,0))*AF174</f>
        <v>#N/A</v>
      </c>
      <c r="AK174" s="33">
        <f>'Dados - Cliente'!AE174</f>
        <v>0</v>
      </c>
      <c r="AL174" s="33">
        <f>'Dados - Cliente'!AF174</f>
        <v>0</v>
      </c>
      <c r="AM174" s="36" t="e">
        <f>INDEX('Dados - Inversores'!$A:$A,MATCH('1'!AL174,'Dados - Inversores'!$C:$C,0))</f>
        <v>#N/A</v>
      </c>
      <c r="AN174" s="33">
        <f>'Dados - Cliente'!AG174</f>
        <v>0</v>
      </c>
      <c r="AO174" s="33" t="e">
        <f>AA174*1.25/(0.22*SQRT(INDEX('Dados - Inversores'!AK:AK,MATCH('1'!AL174,'Dados - Inversores'!C:C,0))))</f>
        <v>#N/A</v>
      </c>
      <c r="AP174" s="34">
        <f>INDEX(Dados!$E$2:$E$33,COUNTIF(Dados!$E$2:$E$33,"&lt;="&amp;AN174*1.25/(INDEX('Dados - Inversores'!AL:AL,MATCH('1'!AL174,'Dados - Inversores'!C:C,0))*SQRT(INDEX('Dados - Inversores'!AK:AK,MATCH('1'!AL174,'Dados - Inversores'!C:C,0)))))+1)</f>
        <v>2</v>
      </c>
      <c r="AQ174" s="33" t="s">
        <v>59</v>
      </c>
      <c r="AR174" s="33" t="str">
        <f t="shared" si="18"/>
        <v>Micro</v>
      </c>
      <c r="AS174" s="33">
        <f>'Dados - Cliente'!AH174</f>
        <v>0</v>
      </c>
      <c r="AT174" s="33">
        <f>'Dados - Cliente'!AI174</f>
        <v>0</v>
      </c>
      <c r="AU174" s="33" t="e">
        <f>INDEX('Dados - Placas'!$N:$N,MATCH('1'!AG174,'Dados - Placas'!$D:$D,0))-1</f>
        <v>#N/A</v>
      </c>
      <c r="AV174" s="33" t="e">
        <f>INDEX('Dados - Placas'!$O:$O,MATCH('1'!AG174,'Dados - Placas'!$D:$D,0))</f>
        <v>#N/A</v>
      </c>
      <c r="AW174" s="33" t="e">
        <f>INDEX('Dados - Inversores'!AM:AM,MATCH('1'!AL174,'Dados - Inversores'!$C:$C,0))-1</f>
        <v>#N/A</v>
      </c>
      <c r="AX174" s="33" t="e">
        <f>INDEX('Dados - Inversores'!AN:AN,MATCH('1'!AL174,'Dados - Inversores'!$C:$C,0))-1</f>
        <v>#N/A</v>
      </c>
      <c r="AY174" s="33" t="e">
        <f>MATCH('1'!H174,Dados!$D$89:$D$167,0)+1</f>
        <v>#N/A</v>
      </c>
      <c r="AZ174" s="33" t="e">
        <f>MATCH('1'!N174,'Dados - Solicitação de acesso'!$N$2:$N$8,0)</f>
        <v>#N/A</v>
      </c>
      <c r="BA174" s="33" t="e">
        <f>MATCH('1'!T174,'Dados - Solicitação de acesso'!$T$2:$T$20,0)</f>
        <v>#N/A</v>
      </c>
      <c r="BB174" s="34"/>
      <c r="BC174" s="33">
        <f>MATCH(AT174,'Dados - Solicitação de acesso'!$AT$2:$AT$28,0)</f>
        <v>1</v>
      </c>
      <c r="BD174" s="33" t="b">
        <f>IF(O174="TRIFASICO",INDEX(Dados!G:G,MATCH('1'!AP174,Dados!E:E,0)),IF(O174="BIFASICO",INDEX(Dados!F:F,MATCH('1'!AP174,Dados!E:E,0),)))</f>
        <v>0</v>
      </c>
      <c r="BE174" s="33">
        <f>'Dados - Cliente'!J174</f>
        <v>0</v>
      </c>
      <c r="BF174" s="34">
        <f>INDEX(Dados!$E$2:$E$33,COUNTIF(Dados!$E$2:$E$33,"&lt;="&amp;AN174*1.25*AK174/(0.22*SQRT(INDEX('Dados - Inversores'!AK:AK,MATCH('1'!AL174,'Dados - Inversores'!C:C,0)))))+1)</f>
        <v>2</v>
      </c>
      <c r="BG174" s="34" t="b">
        <f>IF(O174="TRIFASICO",INDEX(Dados!G:G,MATCH(BF174,Dados!E:E,0)),IF(O174="BIFASICO",INDEX(Dados!F:F,MATCH(BF174,Dados!E:E,0),)))</f>
        <v>0</v>
      </c>
    </row>
    <row r="175" spans="1:59" s="33" customFormat="1" x14ac:dyDescent="0.35">
      <c r="A175" s="33">
        <f>'Dados - Cliente'!A175</f>
        <v>0</v>
      </c>
      <c r="B175" s="33">
        <f>'Dados - Cliente'!B175</f>
        <v>0</v>
      </c>
      <c r="C175" s="33">
        <f>'Dados - Cliente'!C175</f>
        <v>0</v>
      </c>
      <c r="D175" s="33">
        <f>'Dados - Cliente'!D175</f>
        <v>0</v>
      </c>
      <c r="E175" s="33">
        <f>'Dados - Cliente'!E175</f>
        <v>0</v>
      </c>
      <c r="F175" s="33">
        <f>'Dados - Cliente'!F175</f>
        <v>0</v>
      </c>
      <c r="G175" s="33">
        <f>'Dados - Cliente'!G175</f>
        <v>0</v>
      </c>
      <c r="H175" s="33">
        <f>'Dados - Cliente'!H175</f>
        <v>0</v>
      </c>
      <c r="I175" s="75" t="s">
        <v>4313</v>
      </c>
      <c r="J175" s="52" t="s">
        <v>4314</v>
      </c>
      <c r="K175" s="52" t="s">
        <v>4314</v>
      </c>
      <c r="L175" s="33">
        <f>'Dados - Cliente'!I175</f>
        <v>0</v>
      </c>
      <c r="M175" s="33">
        <f>'Dados - Cliente'!K175</f>
        <v>0</v>
      </c>
      <c r="N175" s="33">
        <f>'Dados - Cliente'!L175</f>
        <v>0</v>
      </c>
      <c r="O175" s="33">
        <f>'Dados - Cliente'!M175</f>
        <v>0</v>
      </c>
      <c r="P175" s="33">
        <f>'Dados - Cliente'!N175</f>
        <v>0</v>
      </c>
      <c r="Q175" s="33">
        <f>'Dados - Cliente'!O175</f>
        <v>0</v>
      </c>
      <c r="R175" s="33">
        <f>'Dados - Cliente'!P175</f>
        <v>0</v>
      </c>
      <c r="S175" s="33">
        <f>'Dados - Cliente'!Q175</f>
        <v>0</v>
      </c>
      <c r="T175" s="33">
        <f>'Dados - Cliente'!R175</f>
        <v>0</v>
      </c>
      <c r="U175" s="34">
        <f>'Dados - Cliente'!S175</f>
        <v>0</v>
      </c>
      <c r="V175" s="34">
        <f>'Dados - Cliente'!T175</f>
        <v>0</v>
      </c>
      <c r="W175" s="34">
        <f>'Dados - Cliente'!U175</f>
        <v>0</v>
      </c>
      <c r="X175" s="34">
        <f>'Dados - Cliente'!V175</f>
        <v>0</v>
      </c>
      <c r="Y175" s="34">
        <f>'Dados - Cliente'!W175</f>
        <v>0</v>
      </c>
      <c r="Z175" s="34">
        <f>'Dados - Cliente'!X175</f>
        <v>0</v>
      </c>
      <c r="AA175" s="33" t="e">
        <f t="shared" si="17"/>
        <v>#N/A</v>
      </c>
      <c r="AB175" s="33">
        <f>'Dados - Cliente'!Y175</f>
        <v>0</v>
      </c>
      <c r="AC175" s="33">
        <f>'Dados - Cliente'!Z175</f>
        <v>0</v>
      </c>
      <c r="AD175" s="33">
        <f>'Dados - Cliente'!AA175</f>
        <v>0</v>
      </c>
      <c r="AE175" s="33">
        <f>'Dados - Cliente'!AB175</f>
        <v>0</v>
      </c>
      <c r="AF175" s="33">
        <f>'Dados - Cliente'!AC175</f>
        <v>0</v>
      </c>
      <c r="AG175" s="35">
        <f>'Dados - Cliente'!AD175</f>
        <v>0</v>
      </c>
      <c r="AH175" s="33" t="e">
        <f>INDEX('Dados - Placas'!$A:$A,MATCH('1'!AG175,'Dados - Placas'!$D:$D,0))</f>
        <v>#N/A</v>
      </c>
      <c r="AI175" s="35" t="e">
        <f>INDEX('Dados - Placas'!$E:$E,MATCH('1'!AG175,'Dados - Placas'!$D:$D,0))</f>
        <v>#N/A</v>
      </c>
      <c r="AJ175" s="34" t="e">
        <f>INDEX('Dados - Placas'!$F:$F,MATCH('1'!AG175,'Dados - Placas'!$D:$D,0))*AF175</f>
        <v>#N/A</v>
      </c>
      <c r="AK175" s="33">
        <f>'Dados - Cliente'!AE175</f>
        <v>0</v>
      </c>
      <c r="AL175" s="33">
        <f>'Dados - Cliente'!AF175</f>
        <v>0</v>
      </c>
      <c r="AM175" s="36" t="e">
        <f>INDEX('Dados - Inversores'!$A:$A,MATCH('1'!AL175,'Dados - Inversores'!$C:$C,0))</f>
        <v>#N/A</v>
      </c>
      <c r="AN175" s="33">
        <f>'Dados - Cliente'!AG175</f>
        <v>0</v>
      </c>
      <c r="AO175" s="33" t="e">
        <f>AA175*1.25/(0.22*SQRT(INDEX('Dados - Inversores'!AK:AK,MATCH('1'!AL175,'Dados - Inversores'!C:C,0))))</f>
        <v>#N/A</v>
      </c>
      <c r="AP175" s="34">
        <f>INDEX(Dados!$E$2:$E$33,COUNTIF(Dados!$E$2:$E$33,"&lt;="&amp;AN175*1.25/(INDEX('Dados - Inversores'!AL:AL,MATCH('1'!AL175,'Dados - Inversores'!C:C,0))*SQRT(INDEX('Dados - Inversores'!AK:AK,MATCH('1'!AL175,'Dados - Inversores'!C:C,0)))))+1)</f>
        <v>2</v>
      </c>
      <c r="AQ175" s="33" t="s">
        <v>59</v>
      </c>
      <c r="AR175" s="33" t="str">
        <f t="shared" si="18"/>
        <v>Micro</v>
      </c>
      <c r="AS175" s="33">
        <f>'Dados - Cliente'!AH175</f>
        <v>0</v>
      </c>
      <c r="AT175" s="33">
        <f>'Dados - Cliente'!AI175</f>
        <v>0</v>
      </c>
      <c r="AU175" s="33" t="e">
        <f>INDEX('Dados - Placas'!$N:$N,MATCH('1'!AG175,'Dados - Placas'!$D:$D,0))-1</f>
        <v>#N/A</v>
      </c>
      <c r="AV175" s="33" t="e">
        <f>INDEX('Dados - Placas'!$O:$O,MATCH('1'!AG175,'Dados - Placas'!$D:$D,0))</f>
        <v>#N/A</v>
      </c>
      <c r="AW175" s="33" t="e">
        <f>INDEX('Dados - Inversores'!AM:AM,MATCH('1'!AL175,'Dados - Inversores'!$C:$C,0))-1</f>
        <v>#N/A</v>
      </c>
      <c r="AX175" s="33" t="e">
        <f>INDEX('Dados - Inversores'!AN:AN,MATCH('1'!AL175,'Dados - Inversores'!$C:$C,0))-1</f>
        <v>#N/A</v>
      </c>
      <c r="AY175" s="33" t="e">
        <f>MATCH('1'!H175,Dados!$D$89:$D$167,0)+1</f>
        <v>#N/A</v>
      </c>
      <c r="AZ175" s="33" t="e">
        <f>MATCH('1'!N175,'Dados - Solicitação de acesso'!$N$2:$N$8,0)</f>
        <v>#N/A</v>
      </c>
      <c r="BA175" s="33" t="e">
        <f>MATCH('1'!T175,'Dados - Solicitação de acesso'!$T$2:$T$20,0)</f>
        <v>#N/A</v>
      </c>
      <c r="BB175" s="34"/>
      <c r="BC175" s="33">
        <f>MATCH(AT175,'Dados - Solicitação de acesso'!$AT$2:$AT$28,0)</f>
        <v>1</v>
      </c>
      <c r="BD175" s="33" t="b">
        <f>IF(O175="TRIFASICO",INDEX(Dados!G:G,MATCH('1'!AP175,Dados!E:E,0)),IF(O175="BIFASICO",INDEX(Dados!F:F,MATCH('1'!AP175,Dados!E:E,0),)))</f>
        <v>0</v>
      </c>
      <c r="BE175" s="33">
        <f>'Dados - Cliente'!J175</f>
        <v>0</v>
      </c>
      <c r="BF175" s="34">
        <f>INDEX(Dados!$E$2:$E$33,COUNTIF(Dados!$E$2:$E$33,"&lt;="&amp;AN175*1.25*AK175/(0.22*SQRT(INDEX('Dados - Inversores'!AK:AK,MATCH('1'!AL175,'Dados - Inversores'!C:C,0)))))+1)</f>
        <v>2</v>
      </c>
      <c r="BG175" s="34" t="b">
        <f>IF(O175="TRIFASICO",INDEX(Dados!G:G,MATCH(BF175,Dados!E:E,0)),IF(O175="BIFASICO",INDEX(Dados!F:F,MATCH(BF175,Dados!E:E,0),)))</f>
        <v>0</v>
      </c>
    </row>
    <row r="176" spans="1:59" s="33" customFormat="1" x14ac:dyDescent="0.35">
      <c r="A176" s="33">
        <f>'Dados - Cliente'!A176</f>
        <v>0</v>
      </c>
      <c r="B176" s="33">
        <f>'Dados - Cliente'!B176</f>
        <v>0</v>
      </c>
      <c r="C176" s="33">
        <f>'Dados - Cliente'!C176</f>
        <v>0</v>
      </c>
      <c r="D176" s="33">
        <f>'Dados - Cliente'!D176</f>
        <v>0</v>
      </c>
      <c r="E176" s="33">
        <f>'Dados - Cliente'!E176</f>
        <v>0</v>
      </c>
      <c r="F176" s="33">
        <f>'Dados - Cliente'!F176</f>
        <v>0</v>
      </c>
      <c r="G176" s="33">
        <f>'Dados - Cliente'!G176</f>
        <v>0</v>
      </c>
      <c r="H176" s="33">
        <f>'Dados - Cliente'!H176</f>
        <v>0</v>
      </c>
      <c r="I176" s="75" t="s">
        <v>4313</v>
      </c>
      <c r="J176" s="52" t="s">
        <v>4314</v>
      </c>
      <c r="K176" s="52" t="s">
        <v>4314</v>
      </c>
      <c r="L176" s="33">
        <f>'Dados - Cliente'!I176</f>
        <v>0</v>
      </c>
      <c r="M176" s="33">
        <f>'Dados - Cliente'!K176</f>
        <v>0</v>
      </c>
      <c r="N176" s="33">
        <f>'Dados - Cliente'!L176</f>
        <v>0</v>
      </c>
      <c r="O176" s="33">
        <f>'Dados - Cliente'!M176</f>
        <v>0</v>
      </c>
      <c r="P176" s="33">
        <f>'Dados - Cliente'!N176</f>
        <v>0</v>
      </c>
      <c r="Q176" s="33">
        <f>'Dados - Cliente'!O176</f>
        <v>0</v>
      </c>
      <c r="R176" s="33">
        <f>'Dados - Cliente'!P176</f>
        <v>0</v>
      </c>
      <c r="S176" s="33">
        <f>'Dados - Cliente'!Q176</f>
        <v>0</v>
      </c>
      <c r="T176" s="33">
        <f>'Dados - Cliente'!R176</f>
        <v>0</v>
      </c>
      <c r="U176" s="34">
        <f>'Dados - Cliente'!S176</f>
        <v>0</v>
      </c>
      <c r="V176" s="34">
        <f>'Dados - Cliente'!T176</f>
        <v>0</v>
      </c>
      <c r="W176" s="34">
        <f>'Dados - Cliente'!U176</f>
        <v>0</v>
      </c>
      <c r="X176" s="34">
        <f>'Dados - Cliente'!V176</f>
        <v>0</v>
      </c>
      <c r="Y176" s="34">
        <f>'Dados - Cliente'!W176</f>
        <v>0</v>
      </c>
      <c r="Z176" s="34">
        <f>'Dados - Cliente'!X176</f>
        <v>0</v>
      </c>
      <c r="AA176" s="33" t="e">
        <f t="shared" si="17"/>
        <v>#N/A</v>
      </c>
      <c r="AB176" s="33">
        <f>'Dados - Cliente'!Y176</f>
        <v>0</v>
      </c>
      <c r="AC176" s="33">
        <f>'Dados - Cliente'!Z176</f>
        <v>0</v>
      </c>
      <c r="AD176" s="33">
        <f>'Dados - Cliente'!AA176</f>
        <v>0</v>
      </c>
      <c r="AE176" s="33">
        <f>'Dados - Cliente'!AB176</f>
        <v>0</v>
      </c>
      <c r="AF176" s="33">
        <f>'Dados - Cliente'!AC176</f>
        <v>0</v>
      </c>
      <c r="AG176" s="35">
        <f>'Dados - Cliente'!AD176</f>
        <v>0</v>
      </c>
      <c r="AH176" s="33" t="e">
        <f>INDEX('Dados - Placas'!$A:$A,MATCH('1'!AG176,'Dados - Placas'!$D:$D,0))</f>
        <v>#N/A</v>
      </c>
      <c r="AI176" s="35" t="e">
        <f>INDEX('Dados - Placas'!$E:$E,MATCH('1'!AG176,'Dados - Placas'!$D:$D,0))</f>
        <v>#N/A</v>
      </c>
      <c r="AJ176" s="34" t="e">
        <f>INDEX('Dados - Placas'!$F:$F,MATCH('1'!AG176,'Dados - Placas'!$D:$D,0))*AF176</f>
        <v>#N/A</v>
      </c>
      <c r="AK176" s="33">
        <f>'Dados - Cliente'!AE176</f>
        <v>0</v>
      </c>
      <c r="AL176" s="33">
        <f>'Dados - Cliente'!AF176</f>
        <v>0</v>
      </c>
      <c r="AM176" s="36" t="e">
        <f>INDEX('Dados - Inversores'!$A:$A,MATCH('1'!AL176,'Dados - Inversores'!$C:$C,0))</f>
        <v>#N/A</v>
      </c>
      <c r="AN176" s="33">
        <f>'Dados - Cliente'!AG176</f>
        <v>0</v>
      </c>
      <c r="AO176" s="33" t="e">
        <f>AA176*1.25/(0.22*SQRT(INDEX('Dados - Inversores'!AK:AK,MATCH('1'!AL176,'Dados - Inversores'!C:C,0))))</f>
        <v>#N/A</v>
      </c>
      <c r="AP176" s="34">
        <f>INDEX(Dados!$E$2:$E$33,COUNTIF(Dados!$E$2:$E$33,"&lt;="&amp;AN176*1.25/(INDEX('Dados - Inversores'!AL:AL,MATCH('1'!AL176,'Dados - Inversores'!C:C,0))*SQRT(INDEX('Dados - Inversores'!AK:AK,MATCH('1'!AL176,'Dados - Inversores'!C:C,0)))))+1)</f>
        <v>2</v>
      </c>
      <c r="AQ176" s="33" t="s">
        <v>59</v>
      </c>
      <c r="AR176" s="33" t="str">
        <f t="shared" si="18"/>
        <v>Micro</v>
      </c>
      <c r="AS176" s="33">
        <f>'Dados - Cliente'!AH176</f>
        <v>0</v>
      </c>
      <c r="AT176" s="33">
        <f>'Dados - Cliente'!AI176</f>
        <v>0</v>
      </c>
      <c r="AU176" s="33" t="e">
        <f>INDEX('Dados - Placas'!$N:$N,MATCH('1'!AG176,'Dados - Placas'!$D:$D,0))-1</f>
        <v>#N/A</v>
      </c>
      <c r="AV176" s="33" t="e">
        <f>INDEX('Dados - Placas'!$O:$O,MATCH('1'!AG176,'Dados - Placas'!$D:$D,0))</f>
        <v>#N/A</v>
      </c>
      <c r="AW176" s="33" t="e">
        <f>INDEX('Dados - Inversores'!AM:AM,MATCH('1'!AL176,'Dados - Inversores'!$C:$C,0))-1</f>
        <v>#N/A</v>
      </c>
      <c r="AX176" s="33" t="e">
        <f>INDEX('Dados - Inversores'!AN:AN,MATCH('1'!AL176,'Dados - Inversores'!$C:$C,0))-1</f>
        <v>#N/A</v>
      </c>
      <c r="AY176" s="33" t="e">
        <f>MATCH('1'!H176,Dados!$D$89:$D$167,0)+1</f>
        <v>#N/A</v>
      </c>
      <c r="AZ176" s="33" t="e">
        <f>MATCH('1'!N176,'Dados - Solicitação de acesso'!$N$2:$N$8,0)</f>
        <v>#N/A</v>
      </c>
      <c r="BA176" s="33" t="e">
        <f>MATCH('1'!T176,'Dados - Solicitação de acesso'!$T$2:$T$20,0)</f>
        <v>#N/A</v>
      </c>
      <c r="BB176" s="34"/>
      <c r="BC176" s="33">
        <f>MATCH(AT176,'Dados - Solicitação de acesso'!$AT$2:$AT$28,0)</f>
        <v>1</v>
      </c>
      <c r="BD176" s="33" t="b">
        <f>IF(O176="TRIFASICO",INDEX(Dados!G:G,MATCH('1'!AP176,Dados!E:E,0)),IF(O176="BIFASICO",INDEX(Dados!F:F,MATCH('1'!AP176,Dados!E:E,0),)))</f>
        <v>0</v>
      </c>
      <c r="BE176" s="33">
        <f>'Dados - Cliente'!J176</f>
        <v>0</v>
      </c>
      <c r="BF176" s="34">
        <f>INDEX(Dados!$E$2:$E$33,COUNTIF(Dados!$E$2:$E$33,"&lt;="&amp;AN176*1.25*AK176/(0.22*SQRT(INDEX('Dados - Inversores'!AK:AK,MATCH('1'!AL176,'Dados - Inversores'!C:C,0)))))+1)</f>
        <v>2</v>
      </c>
      <c r="BG176" s="34" t="b">
        <f>IF(O176="TRIFASICO",INDEX(Dados!G:G,MATCH(BF176,Dados!E:E,0)),IF(O176="BIFASICO",INDEX(Dados!F:F,MATCH(BF176,Dados!E:E,0),)))</f>
        <v>0</v>
      </c>
    </row>
    <row r="177" spans="1:59" s="33" customFormat="1" x14ac:dyDescent="0.35">
      <c r="A177" s="33">
        <f>'Dados - Cliente'!A177</f>
        <v>0</v>
      </c>
      <c r="B177" s="33">
        <f>'Dados - Cliente'!B177</f>
        <v>0</v>
      </c>
      <c r="C177" s="33">
        <f>'Dados - Cliente'!C177</f>
        <v>0</v>
      </c>
      <c r="D177" s="33">
        <f>'Dados - Cliente'!D177</f>
        <v>0</v>
      </c>
      <c r="E177" s="33">
        <f>'Dados - Cliente'!E177</f>
        <v>0</v>
      </c>
      <c r="F177" s="33">
        <f>'Dados - Cliente'!F177</f>
        <v>0</v>
      </c>
      <c r="G177" s="33">
        <f>'Dados - Cliente'!G177</f>
        <v>0</v>
      </c>
      <c r="H177" s="33">
        <f>'Dados - Cliente'!H177</f>
        <v>0</v>
      </c>
      <c r="I177" s="75" t="s">
        <v>4313</v>
      </c>
      <c r="J177" s="52" t="s">
        <v>4314</v>
      </c>
      <c r="K177" s="52" t="s">
        <v>4314</v>
      </c>
      <c r="L177" s="33">
        <f>'Dados - Cliente'!I177</f>
        <v>0</v>
      </c>
      <c r="M177" s="33">
        <f>'Dados - Cliente'!K177</f>
        <v>0</v>
      </c>
      <c r="N177" s="33">
        <f>'Dados - Cliente'!L177</f>
        <v>0</v>
      </c>
      <c r="O177" s="33">
        <f>'Dados - Cliente'!M177</f>
        <v>0</v>
      </c>
      <c r="P177" s="33">
        <f>'Dados - Cliente'!N177</f>
        <v>0</v>
      </c>
      <c r="Q177" s="33">
        <f>'Dados - Cliente'!O177</f>
        <v>0</v>
      </c>
      <c r="R177" s="33">
        <f>'Dados - Cliente'!P177</f>
        <v>0</v>
      </c>
      <c r="S177" s="33">
        <f>'Dados - Cliente'!Q177</f>
        <v>0</v>
      </c>
      <c r="T177" s="33">
        <f>'Dados - Cliente'!R177</f>
        <v>0</v>
      </c>
      <c r="U177" s="34">
        <f>'Dados - Cliente'!S177</f>
        <v>0</v>
      </c>
      <c r="V177" s="34">
        <f>'Dados - Cliente'!T177</f>
        <v>0</v>
      </c>
      <c r="W177" s="34">
        <f>'Dados - Cliente'!U177</f>
        <v>0</v>
      </c>
      <c r="X177" s="34">
        <f>'Dados - Cliente'!V177</f>
        <v>0</v>
      </c>
      <c r="Y177" s="34">
        <f>'Dados - Cliente'!W177</f>
        <v>0</v>
      </c>
      <c r="Z177" s="34">
        <f>'Dados - Cliente'!X177</f>
        <v>0</v>
      </c>
      <c r="AA177" s="33" t="e">
        <f t="shared" si="17"/>
        <v>#N/A</v>
      </c>
      <c r="AB177" s="33">
        <f>'Dados - Cliente'!Y177</f>
        <v>0</v>
      </c>
      <c r="AC177" s="33">
        <f>'Dados - Cliente'!Z177</f>
        <v>0</v>
      </c>
      <c r="AD177" s="33">
        <f>'Dados - Cliente'!AA177</f>
        <v>0</v>
      </c>
      <c r="AE177" s="33">
        <f>'Dados - Cliente'!AB177</f>
        <v>0</v>
      </c>
      <c r="AF177" s="33">
        <f>'Dados - Cliente'!AC177</f>
        <v>0</v>
      </c>
      <c r="AG177" s="35">
        <f>'Dados - Cliente'!AD177</f>
        <v>0</v>
      </c>
      <c r="AH177" s="33" t="e">
        <f>INDEX('Dados - Placas'!$A:$A,MATCH('1'!AG177,'Dados - Placas'!$D:$D,0))</f>
        <v>#N/A</v>
      </c>
      <c r="AI177" s="35" t="e">
        <f>INDEX('Dados - Placas'!$E:$E,MATCH('1'!AG177,'Dados - Placas'!$D:$D,0))</f>
        <v>#N/A</v>
      </c>
      <c r="AJ177" s="34" t="e">
        <f>INDEX('Dados - Placas'!$F:$F,MATCH('1'!AG177,'Dados - Placas'!$D:$D,0))*AF177</f>
        <v>#N/A</v>
      </c>
      <c r="AK177" s="33">
        <f>'Dados - Cliente'!AE177</f>
        <v>0</v>
      </c>
      <c r="AL177" s="33">
        <f>'Dados - Cliente'!AF177</f>
        <v>0</v>
      </c>
      <c r="AM177" s="36" t="e">
        <f>INDEX('Dados - Inversores'!$A:$A,MATCH('1'!AL177,'Dados - Inversores'!$C:$C,0))</f>
        <v>#N/A</v>
      </c>
      <c r="AN177" s="33">
        <f>'Dados - Cliente'!AG177</f>
        <v>0</v>
      </c>
      <c r="AO177" s="33" t="e">
        <f>AA177*1.25/(0.22*SQRT(INDEX('Dados - Inversores'!AK:AK,MATCH('1'!AL177,'Dados - Inversores'!C:C,0))))</f>
        <v>#N/A</v>
      </c>
      <c r="AP177" s="34">
        <f>INDEX(Dados!$E$2:$E$33,COUNTIF(Dados!$E$2:$E$33,"&lt;="&amp;AN177*1.25/(INDEX('Dados - Inversores'!AL:AL,MATCH('1'!AL177,'Dados - Inversores'!C:C,0))*SQRT(INDEX('Dados - Inversores'!AK:AK,MATCH('1'!AL177,'Dados - Inversores'!C:C,0)))))+1)</f>
        <v>2</v>
      </c>
      <c r="AQ177" s="33" t="s">
        <v>59</v>
      </c>
      <c r="AR177" s="33" t="str">
        <f t="shared" si="18"/>
        <v>Micro</v>
      </c>
      <c r="AS177" s="33">
        <f>'Dados - Cliente'!AH177</f>
        <v>0</v>
      </c>
      <c r="AT177" s="33">
        <f>'Dados - Cliente'!AI177</f>
        <v>0</v>
      </c>
      <c r="AU177" s="33" t="e">
        <f>INDEX('Dados - Placas'!$N:$N,MATCH('1'!AG177,'Dados - Placas'!$D:$D,0))-1</f>
        <v>#N/A</v>
      </c>
      <c r="AV177" s="33" t="e">
        <f>INDEX('Dados - Placas'!$O:$O,MATCH('1'!AG177,'Dados - Placas'!$D:$D,0))</f>
        <v>#N/A</v>
      </c>
      <c r="AW177" s="33" t="e">
        <f>INDEX('Dados - Inversores'!AM:AM,MATCH('1'!AL177,'Dados - Inversores'!$C:$C,0))-1</f>
        <v>#N/A</v>
      </c>
      <c r="AX177" s="33" t="e">
        <f>INDEX('Dados - Inversores'!AN:AN,MATCH('1'!AL177,'Dados - Inversores'!$C:$C,0))-1</f>
        <v>#N/A</v>
      </c>
      <c r="AY177" s="33" t="e">
        <f>MATCH('1'!H177,Dados!$D$89:$D$167,0)+1</f>
        <v>#N/A</v>
      </c>
      <c r="AZ177" s="33" t="e">
        <f>MATCH('1'!N177,'Dados - Solicitação de acesso'!$N$2:$N$8,0)</f>
        <v>#N/A</v>
      </c>
      <c r="BA177" s="33" t="e">
        <f>MATCH('1'!T177,'Dados - Solicitação de acesso'!$T$2:$T$20,0)</f>
        <v>#N/A</v>
      </c>
      <c r="BB177" s="34"/>
      <c r="BC177" s="33">
        <f>MATCH(AT177,'Dados - Solicitação de acesso'!$AT$2:$AT$28,0)</f>
        <v>1</v>
      </c>
      <c r="BD177" s="33" t="b">
        <f>IF(O177="TRIFASICO",INDEX(Dados!G:G,MATCH('1'!AP177,Dados!E:E,0)),IF(O177="BIFASICO",INDEX(Dados!F:F,MATCH('1'!AP177,Dados!E:E,0),)))</f>
        <v>0</v>
      </c>
      <c r="BE177" s="33">
        <f>'Dados - Cliente'!J177</f>
        <v>0</v>
      </c>
      <c r="BF177" s="34">
        <f>INDEX(Dados!$E$2:$E$33,COUNTIF(Dados!$E$2:$E$33,"&lt;="&amp;AN177*1.25*AK177/(0.22*SQRT(INDEX('Dados - Inversores'!AK:AK,MATCH('1'!AL177,'Dados - Inversores'!C:C,0)))))+1)</f>
        <v>2</v>
      </c>
      <c r="BG177" s="34" t="b">
        <f>IF(O177="TRIFASICO",INDEX(Dados!G:G,MATCH(BF177,Dados!E:E,0)),IF(O177="BIFASICO",INDEX(Dados!F:F,MATCH(BF177,Dados!E:E,0),)))</f>
        <v>0</v>
      </c>
    </row>
    <row r="178" spans="1:59" s="33" customFormat="1" x14ac:dyDescent="0.35">
      <c r="A178" s="33">
        <f>'Dados - Cliente'!A178</f>
        <v>0</v>
      </c>
      <c r="B178" s="33">
        <f>'Dados - Cliente'!B178</f>
        <v>0</v>
      </c>
      <c r="C178" s="33">
        <f>'Dados - Cliente'!C178</f>
        <v>0</v>
      </c>
      <c r="D178" s="33">
        <f>'Dados - Cliente'!D178</f>
        <v>0</v>
      </c>
      <c r="E178" s="33">
        <f>'Dados - Cliente'!E178</f>
        <v>0</v>
      </c>
      <c r="F178" s="33">
        <f>'Dados - Cliente'!F178</f>
        <v>0</v>
      </c>
      <c r="G178" s="33">
        <f>'Dados - Cliente'!G178</f>
        <v>0</v>
      </c>
      <c r="H178" s="33">
        <f>'Dados - Cliente'!H178</f>
        <v>0</v>
      </c>
      <c r="I178" s="75" t="s">
        <v>4313</v>
      </c>
      <c r="J178" s="52" t="s">
        <v>4314</v>
      </c>
      <c r="K178" s="52" t="s">
        <v>4314</v>
      </c>
      <c r="L178" s="33">
        <f>'Dados - Cliente'!I178</f>
        <v>0</v>
      </c>
      <c r="M178" s="33">
        <f>'Dados - Cliente'!K178</f>
        <v>0</v>
      </c>
      <c r="N178" s="33">
        <f>'Dados - Cliente'!L178</f>
        <v>0</v>
      </c>
      <c r="O178" s="33">
        <f>'Dados - Cliente'!M178</f>
        <v>0</v>
      </c>
      <c r="P178" s="33">
        <f>'Dados - Cliente'!N178</f>
        <v>0</v>
      </c>
      <c r="Q178" s="33">
        <f>'Dados - Cliente'!O178</f>
        <v>0</v>
      </c>
      <c r="R178" s="33">
        <f>'Dados - Cliente'!P178</f>
        <v>0</v>
      </c>
      <c r="S178" s="33">
        <f>'Dados - Cliente'!Q178</f>
        <v>0</v>
      </c>
      <c r="T178" s="33">
        <f>'Dados - Cliente'!R178</f>
        <v>0</v>
      </c>
      <c r="U178" s="34">
        <f>'Dados - Cliente'!S178</f>
        <v>0</v>
      </c>
      <c r="V178" s="34">
        <f>'Dados - Cliente'!T178</f>
        <v>0</v>
      </c>
      <c r="W178" s="34">
        <f>'Dados - Cliente'!U178</f>
        <v>0</v>
      </c>
      <c r="X178" s="34">
        <f>'Dados - Cliente'!V178</f>
        <v>0</v>
      </c>
      <c r="Y178" s="34">
        <f>'Dados - Cliente'!W178</f>
        <v>0</v>
      </c>
      <c r="Z178" s="34">
        <f>'Dados - Cliente'!X178</f>
        <v>0</v>
      </c>
      <c r="AA178" s="33" t="e">
        <f t="shared" si="17"/>
        <v>#N/A</v>
      </c>
      <c r="AB178" s="33">
        <f>'Dados - Cliente'!Y178</f>
        <v>0</v>
      </c>
      <c r="AC178" s="33">
        <f>'Dados - Cliente'!Z178</f>
        <v>0</v>
      </c>
      <c r="AD178" s="33">
        <f>'Dados - Cliente'!AA178</f>
        <v>0</v>
      </c>
      <c r="AE178" s="33">
        <f>'Dados - Cliente'!AB178</f>
        <v>0</v>
      </c>
      <c r="AF178" s="33">
        <f>'Dados - Cliente'!AC178</f>
        <v>0</v>
      </c>
      <c r="AG178" s="35">
        <f>'Dados - Cliente'!AD178</f>
        <v>0</v>
      </c>
      <c r="AH178" s="33" t="e">
        <f>INDEX('Dados - Placas'!$A:$A,MATCH('1'!AG178,'Dados - Placas'!$D:$D,0))</f>
        <v>#N/A</v>
      </c>
      <c r="AI178" s="35" t="e">
        <f>INDEX('Dados - Placas'!$E:$E,MATCH('1'!AG178,'Dados - Placas'!$D:$D,0))</f>
        <v>#N/A</v>
      </c>
      <c r="AJ178" s="34" t="e">
        <f>INDEX('Dados - Placas'!$F:$F,MATCH('1'!AG178,'Dados - Placas'!$D:$D,0))*AF178</f>
        <v>#N/A</v>
      </c>
      <c r="AK178" s="33">
        <f>'Dados - Cliente'!AE178</f>
        <v>0</v>
      </c>
      <c r="AL178" s="33">
        <f>'Dados - Cliente'!AF178</f>
        <v>0</v>
      </c>
      <c r="AM178" s="36" t="e">
        <f>INDEX('Dados - Inversores'!$A:$A,MATCH('1'!AL178,'Dados - Inversores'!$C:$C,0))</f>
        <v>#N/A</v>
      </c>
      <c r="AN178" s="33">
        <f>'Dados - Cliente'!AG178</f>
        <v>0</v>
      </c>
      <c r="AO178" s="33" t="e">
        <f>AA178*1.25/(0.22*SQRT(INDEX('Dados - Inversores'!AK:AK,MATCH('1'!AL178,'Dados - Inversores'!C:C,0))))</f>
        <v>#N/A</v>
      </c>
      <c r="AP178" s="34">
        <f>INDEX(Dados!$E$2:$E$33,COUNTIF(Dados!$E$2:$E$33,"&lt;="&amp;AN178*1.25/(INDEX('Dados - Inversores'!AL:AL,MATCH('1'!AL178,'Dados - Inversores'!C:C,0))*SQRT(INDEX('Dados - Inversores'!AK:AK,MATCH('1'!AL178,'Dados - Inversores'!C:C,0)))))+1)</f>
        <v>2</v>
      </c>
      <c r="AQ178" s="33" t="s">
        <v>59</v>
      </c>
      <c r="AR178" s="33" t="str">
        <f t="shared" si="18"/>
        <v>Micro</v>
      </c>
      <c r="AS178" s="33">
        <f>'Dados - Cliente'!AH178</f>
        <v>0</v>
      </c>
      <c r="AT178" s="33">
        <f>'Dados - Cliente'!AI178</f>
        <v>0</v>
      </c>
      <c r="AU178" s="33" t="e">
        <f>INDEX('Dados - Placas'!$N:$N,MATCH('1'!AG178,'Dados - Placas'!$D:$D,0))-1</f>
        <v>#N/A</v>
      </c>
      <c r="AV178" s="33" t="e">
        <f>INDEX('Dados - Placas'!$O:$O,MATCH('1'!AG178,'Dados - Placas'!$D:$D,0))</f>
        <v>#N/A</v>
      </c>
      <c r="AW178" s="33" t="e">
        <f>INDEX('Dados - Inversores'!AM:AM,MATCH('1'!AL178,'Dados - Inversores'!$C:$C,0))-1</f>
        <v>#N/A</v>
      </c>
      <c r="AX178" s="33" t="e">
        <f>INDEX('Dados - Inversores'!AN:AN,MATCH('1'!AL178,'Dados - Inversores'!$C:$C,0))-1</f>
        <v>#N/A</v>
      </c>
      <c r="AY178" s="33" t="e">
        <f>MATCH('1'!H178,Dados!$D$89:$D$167,0)+1</f>
        <v>#N/A</v>
      </c>
      <c r="AZ178" s="33" t="e">
        <f>MATCH('1'!N178,'Dados - Solicitação de acesso'!$N$2:$N$8,0)</f>
        <v>#N/A</v>
      </c>
      <c r="BA178" s="33" t="e">
        <f>MATCH('1'!T178,'Dados - Solicitação de acesso'!$T$2:$T$20,0)</f>
        <v>#N/A</v>
      </c>
      <c r="BB178" s="34"/>
      <c r="BC178" s="33">
        <f>MATCH(AT178,'Dados - Solicitação de acesso'!$AT$2:$AT$28,0)</f>
        <v>1</v>
      </c>
      <c r="BD178" s="33" t="b">
        <f>IF(O178="TRIFASICO",INDEX(Dados!G:G,MATCH('1'!AP178,Dados!E:E,0)),IF(O178="BIFASICO",INDEX(Dados!F:F,MATCH('1'!AP178,Dados!E:E,0),)))</f>
        <v>0</v>
      </c>
      <c r="BE178" s="33">
        <f>'Dados - Cliente'!J178</f>
        <v>0</v>
      </c>
      <c r="BF178" s="34">
        <f>INDEX(Dados!$E$2:$E$33,COUNTIF(Dados!$E$2:$E$33,"&lt;="&amp;AN178*1.25*AK178/(0.22*SQRT(INDEX('Dados - Inversores'!AK:AK,MATCH('1'!AL178,'Dados - Inversores'!C:C,0)))))+1)</f>
        <v>2</v>
      </c>
      <c r="BG178" s="34" t="b">
        <f>IF(O178="TRIFASICO",INDEX(Dados!G:G,MATCH(BF178,Dados!E:E,0)),IF(O178="BIFASICO",INDEX(Dados!F:F,MATCH(BF178,Dados!E:E,0),)))</f>
        <v>0</v>
      </c>
    </row>
    <row r="179" spans="1:59" s="33" customFormat="1" x14ac:dyDescent="0.35">
      <c r="A179" s="33">
        <f>'Dados - Cliente'!A179</f>
        <v>0</v>
      </c>
      <c r="B179" s="33">
        <f>'Dados - Cliente'!B179</f>
        <v>0</v>
      </c>
      <c r="C179" s="33">
        <f>'Dados - Cliente'!C179</f>
        <v>0</v>
      </c>
      <c r="D179" s="33">
        <f>'Dados - Cliente'!D179</f>
        <v>0</v>
      </c>
      <c r="E179" s="33">
        <f>'Dados - Cliente'!E179</f>
        <v>0</v>
      </c>
      <c r="F179" s="33">
        <f>'Dados - Cliente'!F179</f>
        <v>0</v>
      </c>
      <c r="G179" s="33">
        <f>'Dados - Cliente'!G179</f>
        <v>0</v>
      </c>
      <c r="H179" s="33">
        <f>'Dados - Cliente'!H179</f>
        <v>0</v>
      </c>
      <c r="I179" s="75" t="s">
        <v>4313</v>
      </c>
      <c r="J179" s="52" t="s">
        <v>4314</v>
      </c>
      <c r="K179" s="52" t="s">
        <v>4314</v>
      </c>
      <c r="L179" s="33">
        <f>'Dados - Cliente'!I179</f>
        <v>0</v>
      </c>
      <c r="M179" s="33">
        <f>'Dados - Cliente'!K179</f>
        <v>0</v>
      </c>
      <c r="N179" s="33">
        <f>'Dados - Cliente'!L179</f>
        <v>0</v>
      </c>
      <c r="O179" s="33">
        <f>'Dados - Cliente'!M179</f>
        <v>0</v>
      </c>
      <c r="P179" s="33">
        <f>'Dados - Cliente'!N179</f>
        <v>0</v>
      </c>
      <c r="Q179" s="33">
        <f>'Dados - Cliente'!O179</f>
        <v>0</v>
      </c>
      <c r="R179" s="33">
        <f>'Dados - Cliente'!P179</f>
        <v>0</v>
      </c>
      <c r="S179" s="33">
        <f>'Dados - Cliente'!Q179</f>
        <v>0</v>
      </c>
      <c r="T179" s="33">
        <f>'Dados - Cliente'!R179</f>
        <v>0</v>
      </c>
      <c r="U179" s="34">
        <f>'Dados - Cliente'!S179</f>
        <v>0</v>
      </c>
      <c r="V179" s="34">
        <f>'Dados - Cliente'!T179</f>
        <v>0</v>
      </c>
      <c r="W179" s="34">
        <f>'Dados - Cliente'!U179</f>
        <v>0</v>
      </c>
      <c r="X179" s="34">
        <f>'Dados - Cliente'!V179</f>
        <v>0</v>
      </c>
      <c r="Y179" s="34">
        <f>'Dados - Cliente'!W179</f>
        <v>0</v>
      </c>
      <c r="Z179" s="34">
        <f>'Dados - Cliente'!X179</f>
        <v>0</v>
      </c>
      <c r="AA179" s="33" t="e">
        <f t="shared" si="17"/>
        <v>#N/A</v>
      </c>
      <c r="AB179" s="33">
        <f>'Dados - Cliente'!Y179</f>
        <v>0</v>
      </c>
      <c r="AC179" s="33">
        <f>'Dados - Cliente'!Z179</f>
        <v>0</v>
      </c>
      <c r="AD179" s="33">
        <f>'Dados - Cliente'!AA179</f>
        <v>0</v>
      </c>
      <c r="AE179" s="33">
        <f>'Dados - Cliente'!AB179</f>
        <v>0</v>
      </c>
      <c r="AF179" s="33">
        <f>'Dados - Cliente'!AC179</f>
        <v>0</v>
      </c>
      <c r="AG179" s="35">
        <f>'Dados - Cliente'!AD179</f>
        <v>0</v>
      </c>
      <c r="AH179" s="33" t="e">
        <f>INDEX('Dados - Placas'!$A:$A,MATCH('1'!AG179,'Dados - Placas'!$D:$D,0))</f>
        <v>#N/A</v>
      </c>
      <c r="AI179" s="35" t="e">
        <f>INDEX('Dados - Placas'!$E:$E,MATCH('1'!AG179,'Dados - Placas'!$D:$D,0))</f>
        <v>#N/A</v>
      </c>
      <c r="AJ179" s="34" t="e">
        <f>INDEX('Dados - Placas'!$F:$F,MATCH('1'!AG179,'Dados - Placas'!$D:$D,0))*AF179</f>
        <v>#N/A</v>
      </c>
      <c r="AK179" s="33">
        <f>'Dados - Cliente'!AE179</f>
        <v>0</v>
      </c>
      <c r="AL179" s="33">
        <f>'Dados - Cliente'!AF179</f>
        <v>0</v>
      </c>
      <c r="AM179" s="36" t="e">
        <f>INDEX('Dados - Inversores'!$A:$A,MATCH('1'!AL179,'Dados - Inversores'!$C:$C,0))</f>
        <v>#N/A</v>
      </c>
      <c r="AN179" s="33">
        <f>'Dados - Cliente'!AG179</f>
        <v>0</v>
      </c>
      <c r="AO179" s="33" t="e">
        <f>AA179*1.25/(0.22*SQRT(INDEX('Dados - Inversores'!AK:AK,MATCH('1'!AL179,'Dados - Inversores'!C:C,0))))</f>
        <v>#N/A</v>
      </c>
      <c r="AP179" s="34">
        <f>INDEX(Dados!$E$2:$E$33,COUNTIF(Dados!$E$2:$E$33,"&lt;="&amp;AN179*1.25/(INDEX('Dados - Inversores'!AL:AL,MATCH('1'!AL179,'Dados - Inversores'!C:C,0))*SQRT(INDEX('Dados - Inversores'!AK:AK,MATCH('1'!AL179,'Dados - Inversores'!C:C,0)))))+1)</f>
        <v>2</v>
      </c>
      <c r="AQ179" s="33" t="s">
        <v>59</v>
      </c>
      <c r="AR179" s="33" t="str">
        <f t="shared" si="18"/>
        <v>Micro</v>
      </c>
      <c r="AS179" s="33">
        <f>'Dados - Cliente'!AH179</f>
        <v>0</v>
      </c>
      <c r="AT179" s="33">
        <f>'Dados - Cliente'!AI179</f>
        <v>0</v>
      </c>
      <c r="AU179" s="33" t="e">
        <f>INDEX('Dados - Placas'!$N:$N,MATCH('1'!AG179,'Dados - Placas'!$D:$D,0))-1</f>
        <v>#N/A</v>
      </c>
      <c r="AV179" s="33" t="e">
        <f>INDEX('Dados - Placas'!$O:$O,MATCH('1'!AG179,'Dados - Placas'!$D:$D,0))</f>
        <v>#N/A</v>
      </c>
      <c r="AW179" s="33" t="e">
        <f>INDEX('Dados - Inversores'!AM:AM,MATCH('1'!AL179,'Dados - Inversores'!$C:$C,0))-1</f>
        <v>#N/A</v>
      </c>
      <c r="AX179" s="33" t="e">
        <f>INDEX('Dados - Inversores'!AN:AN,MATCH('1'!AL179,'Dados - Inversores'!$C:$C,0))-1</f>
        <v>#N/A</v>
      </c>
      <c r="AY179" s="33" t="e">
        <f>MATCH('1'!H179,Dados!$D$89:$D$167,0)+1</f>
        <v>#N/A</v>
      </c>
      <c r="AZ179" s="33" t="e">
        <f>MATCH('1'!N179,'Dados - Solicitação de acesso'!$N$2:$N$8,0)</f>
        <v>#N/A</v>
      </c>
      <c r="BA179" s="33" t="e">
        <f>MATCH('1'!T179,'Dados - Solicitação de acesso'!$T$2:$T$20,0)</f>
        <v>#N/A</v>
      </c>
      <c r="BB179" s="34"/>
      <c r="BC179" s="33">
        <f>MATCH(AT179,'Dados - Solicitação de acesso'!$AT$2:$AT$28,0)</f>
        <v>1</v>
      </c>
      <c r="BD179" s="33" t="b">
        <f>IF(O179="TRIFASICO",INDEX(Dados!G:G,MATCH('1'!AP179,Dados!E:E,0)),IF(O179="BIFASICO",INDEX(Dados!F:F,MATCH('1'!AP179,Dados!E:E,0),)))</f>
        <v>0</v>
      </c>
      <c r="BE179" s="33">
        <f>'Dados - Cliente'!J179</f>
        <v>0</v>
      </c>
      <c r="BF179" s="34">
        <f>INDEX(Dados!$E$2:$E$33,COUNTIF(Dados!$E$2:$E$33,"&lt;="&amp;AN179*1.25*AK179/(0.22*SQRT(INDEX('Dados - Inversores'!AK:AK,MATCH('1'!AL179,'Dados - Inversores'!C:C,0)))))+1)</f>
        <v>2</v>
      </c>
      <c r="BG179" s="34" t="b">
        <f>IF(O179="TRIFASICO",INDEX(Dados!G:G,MATCH(BF179,Dados!E:E,0)),IF(O179="BIFASICO",INDEX(Dados!F:F,MATCH(BF179,Dados!E:E,0),)))</f>
        <v>0</v>
      </c>
    </row>
    <row r="180" spans="1:59" s="33" customFormat="1" x14ac:dyDescent="0.35">
      <c r="A180" s="33">
        <f>'Dados - Cliente'!A180</f>
        <v>0</v>
      </c>
      <c r="B180" s="33">
        <f>'Dados - Cliente'!B180</f>
        <v>0</v>
      </c>
      <c r="C180" s="33">
        <f>'Dados - Cliente'!C180</f>
        <v>0</v>
      </c>
      <c r="D180" s="33">
        <f>'Dados - Cliente'!D180</f>
        <v>0</v>
      </c>
      <c r="E180" s="33">
        <f>'Dados - Cliente'!E180</f>
        <v>0</v>
      </c>
      <c r="F180" s="33">
        <f>'Dados - Cliente'!F180</f>
        <v>0</v>
      </c>
      <c r="G180" s="33">
        <f>'Dados - Cliente'!G180</f>
        <v>0</v>
      </c>
      <c r="H180" s="33">
        <f>'Dados - Cliente'!H180</f>
        <v>0</v>
      </c>
      <c r="I180" s="75" t="s">
        <v>4313</v>
      </c>
      <c r="J180" s="52" t="s">
        <v>4314</v>
      </c>
      <c r="K180" s="52" t="s">
        <v>4314</v>
      </c>
      <c r="L180" s="33">
        <f>'Dados - Cliente'!I180</f>
        <v>0</v>
      </c>
      <c r="M180" s="33">
        <f>'Dados - Cliente'!K180</f>
        <v>0</v>
      </c>
      <c r="N180" s="33">
        <f>'Dados - Cliente'!L180</f>
        <v>0</v>
      </c>
      <c r="O180" s="33">
        <f>'Dados - Cliente'!M180</f>
        <v>0</v>
      </c>
      <c r="P180" s="33">
        <f>'Dados - Cliente'!N180</f>
        <v>0</v>
      </c>
      <c r="Q180" s="33">
        <f>'Dados - Cliente'!O180</f>
        <v>0</v>
      </c>
      <c r="R180" s="33">
        <f>'Dados - Cliente'!P180</f>
        <v>0</v>
      </c>
      <c r="S180" s="33">
        <f>'Dados - Cliente'!Q180</f>
        <v>0</v>
      </c>
      <c r="T180" s="33">
        <f>'Dados - Cliente'!R180</f>
        <v>0</v>
      </c>
      <c r="U180" s="34">
        <f>'Dados - Cliente'!S180</f>
        <v>0</v>
      </c>
      <c r="V180" s="34">
        <f>'Dados - Cliente'!T180</f>
        <v>0</v>
      </c>
      <c r="W180" s="34">
        <f>'Dados - Cliente'!U180</f>
        <v>0</v>
      </c>
      <c r="X180" s="34">
        <f>'Dados - Cliente'!V180</f>
        <v>0</v>
      </c>
      <c r="Y180" s="34">
        <f>'Dados - Cliente'!W180</f>
        <v>0</v>
      </c>
      <c r="Z180" s="34">
        <f>'Dados - Cliente'!X180</f>
        <v>0</v>
      </c>
      <c r="AA180" s="33" t="e">
        <f t="shared" si="17"/>
        <v>#N/A</v>
      </c>
      <c r="AB180" s="33">
        <f>'Dados - Cliente'!Y180</f>
        <v>0</v>
      </c>
      <c r="AC180" s="33">
        <f>'Dados - Cliente'!Z180</f>
        <v>0</v>
      </c>
      <c r="AD180" s="33">
        <f>'Dados - Cliente'!AA180</f>
        <v>0</v>
      </c>
      <c r="AE180" s="33">
        <f>'Dados - Cliente'!AB180</f>
        <v>0</v>
      </c>
      <c r="AF180" s="33">
        <f>'Dados - Cliente'!AC180</f>
        <v>0</v>
      </c>
      <c r="AG180" s="35">
        <f>'Dados - Cliente'!AD180</f>
        <v>0</v>
      </c>
      <c r="AH180" s="33" t="e">
        <f>INDEX('Dados - Placas'!$A:$A,MATCH('1'!AG180,'Dados - Placas'!$D:$D,0))</f>
        <v>#N/A</v>
      </c>
      <c r="AI180" s="35" t="e">
        <f>INDEX('Dados - Placas'!$E:$E,MATCH('1'!AG180,'Dados - Placas'!$D:$D,0))</f>
        <v>#N/A</v>
      </c>
      <c r="AJ180" s="34" t="e">
        <f>INDEX('Dados - Placas'!$F:$F,MATCH('1'!AG180,'Dados - Placas'!$D:$D,0))*AF180</f>
        <v>#N/A</v>
      </c>
      <c r="AK180" s="33">
        <f>'Dados - Cliente'!AE180</f>
        <v>0</v>
      </c>
      <c r="AL180" s="33">
        <f>'Dados - Cliente'!AF180</f>
        <v>0</v>
      </c>
      <c r="AM180" s="36" t="e">
        <f>INDEX('Dados - Inversores'!$A:$A,MATCH('1'!AL180,'Dados - Inversores'!$C:$C,0))</f>
        <v>#N/A</v>
      </c>
      <c r="AN180" s="33">
        <f>'Dados - Cliente'!AG180</f>
        <v>0</v>
      </c>
      <c r="AO180" s="33" t="e">
        <f>AA180*1.25/(0.22*SQRT(INDEX('Dados - Inversores'!AK:AK,MATCH('1'!AL180,'Dados - Inversores'!C:C,0))))</f>
        <v>#N/A</v>
      </c>
      <c r="AP180" s="34">
        <f>INDEX(Dados!$E$2:$E$33,COUNTIF(Dados!$E$2:$E$33,"&lt;="&amp;AN180*1.25/(INDEX('Dados - Inversores'!AL:AL,MATCH('1'!AL180,'Dados - Inversores'!C:C,0))*SQRT(INDEX('Dados - Inversores'!AK:AK,MATCH('1'!AL180,'Dados - Inversores'!C:C,0)))))+1)</f>
        <v>2</v>
      </c>
      <c r="AQ180" s="33" t="s">
        <v>59</v>
      </c>
      <c r="AR180" s="33" t="str">
        <f t="shared" si="18"/>
        <v>Micro</v>
      </c>
      <c r="AS180" s="33">
        <f>'Dados - Cliente'!AH180</f>
        <v>0</v>
      </c>
      <c r="AT180" s="33">
        <f>'Dados - Cliente'!AI180</f>
        <v>0</v>
      </c>
      <c r="AU180" s="33" t="e">
        <f>INDEX('Dados - Placas'!$N:$N,MATCH('1'!AG180,'Dados - Placas'!$D:$D,0))-1</f>
        <v>#N/A</v>
      </c>
      <c r="AV180" s="33" t="e">
        <f>INDEX('Dados - Placas'!$O:$O,MATCH('1'!AG180,'Dados - Placas'!$D:$D,0))</f>
        <v>#N/A</v>
      </c>
      <c r="AW180" s="33" t="e">
        <f>INDEX('Dados - Inversores'!AM:AM,MATCH('1'!AL180,'Dados - Inversores'!$C:$C,0))-1</f>
        <v>#N/A</v>
      </c>
      <c r="AX180" s="33" t="e">
        <f>INDEX('Dados - Inversores'!AN:AN,MATCH('1'!AL180,'Dados - Inversores'!$C:$C,0))-1</f>
        <v>#N/A</v>
      </c>
      <c r="AY180" s="33" t="e">
        <f>MATCH('1'!H180,Dados!$D$89:$D$167,0)+1</f>
        <v>#N/A</v>
      </c>
      <c r="AZ180" s="33" t="e">
        <f>MATCH('1'!N180,'Dados - Solicitação de acesso'!$N$2:$N$8,0)</f>
        <v>#N/A</v>
      </c>
      <c r="BA180" s="33" t="e">
        <f>MATCH('1'!T180,'Dados - Solicitação de acesso'!$T$2:$T$20,0)</f>
        <v>#N/A</v>
      </c>
      <c r="BB180" s="34"/>
      <c r="BC180" s="33">
        <f>MATCH(AT180,'Dados - Solicitação de acesso'!$AT$2:$AT$28,0)</f>
        <v>1</v>
      </c>
      <c r="BD180" s="33" t="b">
        <f>IF(O180="TRIFASICO",INDEX(Dados!G:G,MATCH('1'!AP180,Dados!E:E,0)),IF(O180="BIFASICO",INDEX(Dados!F:F,MATCH('1'!AP180,Dados!E:E,0),)))</f>
        <v>0</v>
      </c>
      <c r="BE180" s="33">
        <f>'Dados - Cliente'!J180</f>
        <v>0</v>
      </c>
      <c r="BF180" s="34">
        <f>INDEX(Dados!$E$2:$E$33,COUNTIF(Dados!$E$2:$E$33,"&lt;="&amp;AN180*1.25*AK180/(0.22*SQRT(INDEX('Dados - Inversores'!AK:AK,MATCH('1'!AL180,'Dados - Inversores'!C:C,0)))))+1)</f>
        <v>2</v>
      </c>
      <c r="BG180" s="34" t="b">
        <f>IF(O180="TRIFASICO",INDEX(Dados!G:G,MATCH(BF180,Dados!E:E,0)),IF(O180="BIFASICO",INDEX(Dados!F:F,MATCH(BF180,Dados!E:E,0),)))</f>
        <v>0</v>
      </c>
    </row>
    <row r="181" spans="1:59" s="33" customFormat="1" x14ac:dyDescent="0.35">
      <c r="A181" s="33">
        <f>'Dados - Cliente'!A181</f>
        <v>0</v>
      </c>
      <c r="B181" s="33">
        <f>'Dados - Cliente'!B181</f>
        <v>0</v>
      </c>
      <c r="C181" s="33">
        <f>'Dados - Cliente'!C181</f>
        <v>0</v>
      </c>
      <c r="D181" s="33">
        <f>'Dados - Cliente'!D181</f>
        <v>0</v>
      </c>
      <c r="E181" s="33">
        <f>'Dados - Cliente'!E181</f>
        <v>0</v>
      </c>
      <c r="F181" s="33">
        <f>'Dados - Cliente'!F181</f>
        <v>0</v>
      </c>
      <c r="G181" s="33">
        <f>'Dados - Cliente'!G181</f>
        <v>0</v>
      </c>
      <c r="H181" s="33">
        <f>'Dados - Cliente'!H181</f>
        <v>0</v>
      </c>
      <c r="I181" s="75" t="s">
        <v>4313</v>
      </c>
      <c r="J181" s="52" t="s">
        <v>4314</v>
      </c>
      <c r="K181" s="52" t="s">
        <v>4314</v>
      </c>
      <c r="L181" s="33">
        <f>'Dados - Cliente'!I181</f>
        <v>0</v>
      </c>
      <c r="M181" s="33">
        <f>'Dados - Cliente'!K181</f>
        <v>0</v>
      </c>
      <c r="N181" s="33">
        <f>'Dados - Cliente'!L181</f>
        <v>0</v>
      </c>
      <c r="O181" s="33">
        <f>'Dados - Cliente'!M181</f>
        <v>0</v>
      </c>
      <c r="P181" s="33">
        <f>'Dados - Cliente'!N181</f>
        <v>0</v>
      </c>
      <c r="Q181" s="33">
        <f>'Dados - Cliente'!O181</f>
        <v>0</v>
      </c>
      <c r="R181" s="33">
        <f>'Dados - Cliente'!P181</f>
        <v>0</v>
      </c>
      <c r="S181" s="33">
        <f>'Dados - Cliente'!Q181</f>
        <v>0</v>
      </c>
      <c r="T181" s="33">
        <f>'Dados - Cliente'!R181</f>
        <v>0</v>
      </c>
      <c r="U181" s="34">
        <f>'Dados - Cliente'!S181</f>
        <v>0</v>
      </c>
      <c r="V181" s="34">
        <f>'Dados - Cliente'!T181</f>
        <v>0</v>
      </c>
      <c r="W181" s="34">
        <f>'Dados - Cliente'!U181</f>
        <v>0</v>
      </c>
      <c r="X181" s="34">
        <f>'Dados - Cliente'!V181</f>
        <v>0</v>
      </c>
      <c r="Y181" s="34">
        <f>'Dados - Cliente'!W181</f>
        <v>0</v>
      </c>
      <c r="Z181" s="34">
        <f>'Dados - Cliente'!X181</f>
        <v>0</v>
      </c>
      <c r="AA181" s="33" t="e">
        <f t="shared" si="17"/>
        <v>#N/A</v>
      </c>
      <c r="AB181" s="33">
        <f>'Dados - Cliente'!Y181</f>
        <v>0</v>
      </c>
      <c r="AC181" s="33">
        <f>'Dados - Cliente'!Z181</f>
        <v>0</v>
      </c>
      <c r="AD181" s="33">
        <f>'Dados - Cliente'!AA181</f>
        <v>0</v>
      </c>
      <c r="AE181" s="33">
        <f>'Dados - Cliente'!AB181</f>
        <v>0</v>
      </c>
      <c r="AF181" s="33">
        <f>'Dados - Cliente'!AC181</f>
        <v>0</v>
      </c>
      <c r="AG181" s="35">
        <f>'Dados - Cliente'!AD181</f>
        <v>0</v>
      </c>
      <c r="AH181" s="33" t="e">
        <f>INDEX('Dados - Placas'!$A:$A,MATCH('1'!AG181,'Dados - Placas'!$D:$D,0))</f>
        <v>#N/A</v>
      </c>
      <c r="AI181" s="35" t="e">
        <f>INDEX('Dados - Placas'!$E:$E,MATCH('1'!AG181,'Dados - Placas'!$D:$D,0))</f>
        <v>#N/A</v>
      </c>
      <c r="AJ181" s="34" t="e">
        <f>INDEX('Dados - Placas'!$F:$F,MATCH('1'!AG181,'Dados - Placas'!$D:$D,0))*AF181</f>
        <v>#N/A</v>
      </c>
      <c r="AK181" s="33">
        <f>'Dados - Cliente'!AE181</f>
        <v>0</v>
      </c>
      <c r="AL181" s="33">
        <f>'Dados - Cliente'!AF181</f>
        <v>0</v>
      </c>
      <c r="AM181" s="36" t="e">
        <f>INDEX('Dados - Inversores'!$A:$A,MATCH('1'!AL181,'Dados - Inversores'!$C:$C,0))</f>
        <v>#N/A</v>
      </c>
      <c r="AN181" s="33">
        <f>'Dados - Cliente'!AG181</f>
        <v>0</v>
      </c>
      <c r="AO181" s="33" t="e">
        <f>AA181*1.25/(0.22*SQRT(INDEX('Dados - Inversores'!AK:AK,MATCH('1'!AL181,'Dados - Inversores'!C:C,0))))</f>
        <v>#N/A</v>
      </c>
      <c r="AP181" s="34">
        <f>INDEX(Dados!$E$2:$E$33,COUNTIF(Dados!$E$2:$E$33,"&lt;="&amp;AN181*1.25/(INDEX('Dados - Inversores'!AL:AL,MATCH('1'!AL181,'Dados - Inversores'!C:C,0))*SQRT(INDEX('Dados - Inversores'!AK:AK,MATCH('1'!AL181,'Dados - Inversores'!C:C,0)))))+1)</f>
        <v>2</v>
      </c>
      <c r="AQ181" s="33" t="s">
        <v>59</v>
      </c>
      <c r="AR181" s="33" t="str">
        <f t="shared" si="18"/>
        <v>Micro</v>
      </c>
      <c r="AS181" s="33">
        <f>'Dados - Cliente'!AH181</f>
        <v>0</v>
      </c>
      <c r="AT181" s="33">
        <f>'Dados - Cliente'!AI181</f>
        <v>0</v>
      </c>
      <c r="AU181" s="33" t="e">
        <f>INDEX('Dados - Placas'!$N:$N,MATCH('1'!AG181,'Dados - Placas'!$D:$D,0))-1</f>
        <v>#N/A</v>
      </c>
      <c r="AV181" s="33" t="e">
        <f>INDEX('Dados - Placas'!$O:$O,MATCH('1'!AG181,'Dados - Placas'!$D:$D,0))</f>
        <v>#N/A</v>
      </c>
      <c r="AW181" s="33" t="e">
        <f>INDEX('Dados - Inversores'!AM:AM,MATCH('1'!AL181,'Dados - Inversores'!$C:$C,0))-1</f>
        <v>#N/A</v>
      </c>
      <c r="AX181" s="33" t="e">
        <f>INDEX('Dados - Inversores'!AN:AN,MATCH('1'!AL181,'Dados - Inversores'!$C:$C,0))-1</f>
        <v>#N/A</v>
      </c>
      <c r="AY181" s="33" t="e">
        <f>MATCH('1'!H181,Dados!$D$89:$D$167,0)+1</f>
        <v>#N/A</v>
      </c>
      <c r="AZ181" s="33" t="e">
        <f>MATCH('1'!N181,'Dados - Solicitação de acesso'!$N$2:$N$8,0)</f>
        <v>#N/A</v>
      </c>
      <c r="BA181" s="33" t="e">
        <f>MATCH('1'!T181,'Dados - Solicitação de acesso'!$T$2:$T$20,0)</f>
        <v>#N/A</v>
      </c>
      <c r="BB181" s="34"/>
      <c r="BC181" s="33">
        <f>MATCH(AT181,'Dados - Solicitação de acesso'!$AT$2:$AT$28,0)</f>
        <v>1</v>
      </c>
      <c r="BD181" s="33" t="b">
        <f>IF(O181="TRIFASICO",INDEX(Dados!G:G,MATCH('1'!AP181,Dados!E:E,0)),IF(O181="BIFASICO",INDEX(Dados!F:F,MATCH('1'!AP181,Dados!E:E,0),)))</f>
        <v>0</v>
      </c>
      <c r="BE181" s="33">
        <f>'Dados - Cliente'!J181</f>
        <v>0</v>
      </c>
      <c r="BF181" s="34">
        <f>INDEX(Dados!$E$2:$E$33,COUNTIF(Dados!$E$2:$E$33,"&lt;="&amp;AN181*1.25*AK181/(0.22*SQRT(INDEX('Dados - Inversores'!AK:AK,MATCH('1'!AL181,'Dados - Inversores'!C:C,0)))))+1)</f>
        <v>2</v>
      </c>
      <c r="BG181" s="34" t="b">
        <f>IF(O181="TRIFASICO",INDEX(Dados!G:G,MATCH(BF181,Dados!E:E,0)),IF(O181="BIFASICO",INDEX(Dados!F:F,MATCH(BF181,Dados!E:E,0),)))</f>
        <v>0</v>
      </c>
    </row>
    <row r="182" spans="1:59" s="33" customFormat="1" x14ac:dyDescent="0.35">
      <c r="A182" s="33">
        <f>'Dados - Cliente'!A182</f>
        <v>0</v>
      </c>
      <c r="B182" s="33">
        <f>'Dados - Cliente'!B182</f>
        <v>0</v>
      </c>
      <c r="C182" s="33">
        <f>'Dados - Cliente'!C182</f>
        <v>0</v>
      </c>
      <c r="D182" s="33">
        <f>'Dados - Cliente'!D182</f>
        <v>0</v>
      </c>
      <c r="E182" s="33">
        <f>'Dados - Cliente'!E182</f>
        <v>0</v>
      </c>
      <c r="F182" s="33">
        <f>'Dados - Cliente'!F182</f>
        <v>0</v>
      </c>
      <c r="G182" s="33">
        <f>'Dados - Cliente'!G182</f>
        <v>0</v>
      </c>
      <c r="H182" s="33">
        <f>'Dados - Cliente'!H182</f>
        <v>0</v>
      </c>
      <c r="I182" s="75" t="s">
        <v>4313</v>
      </c>
      <c r="J182" s="52" t="s">
        <v>4314</v>
      </c>
      <c r="K182" s="52" t="s">
        <v>4314</v>
      </c>
      <c r="L182" s="33">
        <f>'Dados - Cliente'!I182</f>
        <v>0</v>
      </c>
      <c r="M182" s="33">
        <f>'Dados - Cliente'!K182</f>
        <v>0</v>
      </c>
      <c r="N182" s="33">
        <f>'Dados - Cliente'!L182</f>
        <v>0</v>
      </c>
      <c r="O182" s="33">
        <f>'Dados - Cliente'!M182</f>
        <v>0</v>
      </c>
      <c r="P182" s="33">
        <f>'Dados - Cliente'!N182</f>
        <v>0</v>
      </c>
      <c r="Q182" s="33">
        <f>'Dados - Cliente'!O182</f>
        <v>0</v>
      </c>
      <c r="R182" s="33">
        <f>'Dados - Cliente'!P182</f>
        <v>0</v>
      </c>
      <c r="S182" s="33">
        <f>'Dados - Cliente'!Q182</f>
        <v>0</v>
      </c>
      <c r="T182" s="33">
        <f>'Dados - Cliente'!R182</f>
        <v>0</v>
      </c>
      <c r="U182" s="34">
        <f>'Dados - Cliente'!S182</f>
        <v>0</v>
      </c>
      <c r="V182" s="34">
        <f>'Dados - Cliente'!T182</f>
        <v>0</v>
      </c>
      <c r="W182" s="34">
        <f>'Dados - Cliente'!U182</f>
        <v>0</v>
      </c>
      <c r="X182" s="34">
        <f>'Dados - Cliente'!V182</f>
        <v>0</v>
      </c>
      <c r="Y182" s="34">
        <f>'Dados - Cliente'!W182</f>
        <v>0</v>
      </c>
      <c r="Z182" s="34">
        <f>'Dados - Cliente'!X182</f>
        <v>0</v>
      </c>
      <c r="AA182" s="33" t="e">
        <f t="shared" si="17"/>
        <v>#N/A</v>
      </c>
      <c r="AB182" s="33">
        <f>'Dados - Cliente'!Y182</f>
        <v>0</v>
      </c>
      <c r="AC182" s="33">
        <f>'Dados - Cliente'!Z182</f>
        <v>0</v>
      </c>
      <c r="AD182" s="33">
        <f>'Dados - Cliente'!AA182</f>
        <v>0</v>
      </c>
      <c r="AE182" s="33">
        <f>'Dados - Cliente'!AB182</f>
        <v>0</v>
      </c>
      <c r="AF182" s="33">
        <f>'Dados - Cliente'!AC182</f>
        <v>0</v>
      </c>
      <c r="AG182" s="35">
        <f>'Dados - Cliente'!AD182</f>
        <v>0</v>
      </c>
      <c r="AH182" s="33" t="e">
        <f>INDEX('Dados - Placas'!$A:$A,MATCH('1'!AG182,'Dados - Placas'!$D:$D,0))</f>
        <v>#N/A</v>
      </c>
      <c r="AI182" s="35" t="e">
        <f>INDEX('Dados - Placas'!$E:$E,MATCH('1'!AG182,'Dados - Placas'!$D:$D,0))</f>
        <v>#N/A</v>
      </c>
      <c r="AJ182" s="34" t="e">
        <f>INDEX('Dados - Placas'!$F:$F,MATCH('1'!AG182,'Dados - Placas'!$D:$D,0))*AF182</f>
        <v>#N/A</v>
      </c>
      <c r="AK182" s="33">
        <f>'Dados - Cliente'!AE182</f>
        <v>0</v>
      </c>
      <c r="AL182" s="33">
        <f>'Dados - Cliente'!AF182</f>
        <v>0</v>
      </c>
      <c r="AM182" s="36" t="e">
        <f>INDEX('Dados - Inversores'!$A:$A,MATCH('1'!AL182,'Dados - Inversores'!$C:$C,0))</f>
        <v>#N/A</v>
      </c>
      <c r="AN182" s="33">
        <f>'Dados - Cliente'!AG182</f>
        <v>0</v>
      </c>
      <c r="AO182" s="33" t="e">
        <f>AA182*1.25/(0.22*SQRT(INDEX('Dados - Inversores'!AK:AK,MATCH('1'!AL182,'Dados - Inversores'!C:C,0))))</f>
        <v>#N/A</v>
      </c>
      <c r="AP182" s="34">
        <f>INDEX(Dados!$E$2:$E$33,COUNTIF(Dados!$E$2:$E$33,"&lt;="&amp;AN182*1.25/(INDEX('Dados - Inversores'!AL:AL,MATCH('1'!AL182,'Dados - Inversores'!C:C,0))*SQRT(INDEX('Dados - Inversores'!AK:AK,MATCH('1'!AL182,'Dados - Inversores'!C:C,0)))))+1)</f>
        <v>2</v>
      </c>
      <c r="AQ182" s="33" t="s">
        <v>59</v>
      </c>
      <c r="AR182" s="33" t="str">
        <f t="shared" si="18"/>
        <v>Micro</v>
      </c>
      <c r="AS182" s="33">
        <f>'Dados - Cliente'!AH182</f>
        <v>0</v>
      </c>
      <c r="AT182" s="33">
        <f>'Dados - Cliente'!AI182</f>
        <v>0</v>
      </c>
      <c r="AU182" s="33" t="e">
        <f>INDEX('Dados - Placas'!$N:$N,MATCH('1'!AG182,'Dados - Placas'!$D:$D,0))-1</f>
        <v>#N/A</v>
      </c>
      <c r="AV182" s="33" t="e">
        <f>INDEX('Dados - Placas'!$O:$O,MATCH('1'!AG182,'Dados - Placas'!$D:$D,0))</f>
        <v>#N/A</v>
      </c>
      <c r="AW182" s="33" t="e">
        <f>INDEX('Dados - Inversores'!AM:AM,MATCH('1'!AL182,'Dados - Inversores'!$C:$C,0))-1</f>
        <v>#N/A</v>
      </c>
      <c r="AX182" s="33" t="e">
        <f>INDEX('Dados - Inversores'!AN:AN,MATCH('1'!AL182,'Dados - Inversores'!$C:$C,0))-1</f>
        <v>#N/A</v>
      </c>
      <c r="AY182" s="33" t="e">
        <f>MATCH('1'!H182,Dados!$D$89:$D$167,0)+1</f>
        <v>#N/A</v>
      </c>
      <c r="AZ182" s="33" t="e">
        <f>MATCH('1'!N182,'Dados - Solicitação de acesso'!$N$2:$N$8,0)</f>
        <v>#N/A</v>
      </c>
      <c r="BA182" s="33" t="e">
        <f>MATCH('1'!T182,'Dados - Solicitação de acesso'!$T$2:$T$20,0)</f>
        <v>#N/A</v>
      </c>
      <c r="BB182" s="34"/>
      <c r="BC182" s="33">
        <f>MATCH(AT182,'Dados - Solicitação de acesso'!$AT$2:$AT$28,0)</f>
        <v>1</v>
      </c>
      <c r="BD182" s="33" t="b">
        <f>IF(O182="TRIFASICO",INDEX(Dados!G:G,MATCH('1'!AP182,Dados!E:E,0)),IF(O182="BIFASICO",INDEX(Dados!F:F,MATCH('1'!AP182,Dados!E:E,0),)))</f>
        <v>0</v>
      </c>
      <c r="BE182" s="33">
        <f>'Dados - Cliente'!J182</f>
        <v>0</v>
      </c>
      <c r="BF182" s="34">
        <f>INDEX(Dados!$E$2:$E$33,COUNTIF(Dados!$E$2:$E$33,"&lt;="&amp;AN182*1.25*AK182/(0.22*SQRT(INDEX('Dados - Inversores'!AK:AK,MATCH('1'!AL182,'Dados - Inversores'!C:C,0)))))+1)</f>
        <v>2</v>
      </c>
      <c r="BG182" s="34" t="b">
        <f>IF(O182="TRIFASICO",INDEX(Dados!G:G,MATCH(BF182,Dados!E:E,0)),IF(O182="BIFASICO",INDEX(Dados!F:F,MATCH(BF182,Dados!E:E,0),)))</f>
        <v>0</v>
      </c>
    </row>
    <row r="183" spans="1:59" s="33" customFormat="1" x14ac:dyDescent="0.35">
      <c r="A183" s="33">
        <f>'Dados - Cliente'!A183</f>
        <v>0</v>
      </c>
      <c r="B183" s="33">
        <f>'Dados - Cliente'!B183</f>
        <v>0</v>
      </c>
      <c r="C183" s="33">
        <f>'Dados - Cliente'!C183</f>
        <v>0</v>
      </c>
      <c r="D183" s="33">
        <f>'Dados - Cliente'!D183</f>
        <v>0</v>
      </c>
      <c r="E183" s="33">
        <f>'Dados - Cliente'!E183</f>
        <v>0</v>
      </c>
      <c r="F183" s="33">
        <f>'Dados - Cliente'!F183</f>
        <v>0</v>
      </c>
      <c r="G183" s="33">
        <f>'Dados - Cliente'!G183</f>
        <v>0</v>
      </c>
      <c r="H183" s="33">
        <f>'Dados - Cliente'!H183</f>
        <v>0</v>
      </c>
      <c r="I183" s="75" t="s">
        <v>4313</v>
      </c>
      <c r="J183" s="52" t="s">
        <v>4314</v>
      </c>
      <c r="K183" s="52" t="s">
        <v>4314</v>
      </c>
      <c r="L183" s="33">
        <f>'Dados - Cliente'!I183</f>
        <v>0</v>
      </c>
      <c r="M183" s="33">
        <f>'Dados - Cliente'!K183</f>
        <v>0</v>
      </c>
      <c r="N183" s="33">
        <f>'Dados - Cliente'!L183</f>
        <v>0</v>
      </c>
      <c r="O183" s="33">
        <f>'Dados - Cliente'!M183</f>
        <v>0</v>
      </c>
      <c r="P183" s="33">
        <f>'Dados - Cliente'!N183</f>
        <v>0</v>
      </c>
      <c r="Q183" s="33">
        <f>'Dados - Cliente'!O183</f>
        <v>0</v>
      </c>
      <c r="R183" s="33">
        <f>'Dados - Cliente'!P183</f>
        <v>0</v>
      </c>
      <c r="S183" s="33">
        <f>'Dados - Cliente'!Q183</f>
        <v>0</v>
      </c>
      <c r="T183" s="33">
        <f>'Dados - Cliente'!R183</f>
        <v>0</v>
      </c>
      <c r="U183" s="34">
        <f>'Dados - Cliente'!S183</f>
        <v>0</v>
      </c>
      <c r="V183" s="34">
        <f>'Dados - Cliente'!T183</f>
        <v>0</v>
      </c>
      <c r="W183" s="34">
        <f>'Dados - Cliente'!U183</f>
        <v>0</v>
      </c>
      <c r="X183" s="34">
        <f>'Dados - Cliente'!V183</f>
        <v>0</v>
      </c>
      <c r="Y183" s="34">
        <f>'Dados - Cliente'!W183</f>
        <v>0</v>
      </c>
      <c r="Z183" s="34">
        <f>'Dados - Cliente'!X183</f>
        <v>0</v>
      </c>
      <c r="AA183" s="33" t="e">
        <f t="shared" si="17"/>
        <v>#N/A</v>
      </c>
      <c r="AB183" s="33">
        <f>'Dados - Cliente'!Y183</f>
        <v>0</v>
      </c>
      <c r="AC183" s="33">
        <f>'Dados - Cliente'!Z183</f>
        <v>0</v>
      </c>
      <c r="AD183" s="33">
        <f>'Dados - Cliente'!AA183</f>
        <v>0</v>
      </c>
      <c r="AE183" s="33">
        <f>'Dados - Cliente'!AB183</f>
        <v>0</v>
      </c>
      <c r="AF183" s="33">
        <f>'Dados - Cliente'!AC183</f>
        <v>0</v>
      </c>
      <c r="AG183" s="35">
        <f>'Dados - Cliente'!AD183</f>
        <v>0</v>
      </c>
      <c r="AH183" s="33" t="e">
        <f>INDEX('Dados - Placas'!$A:$A,MATCH('1'!AG183,'Dados - Placas'!$D:$D,0))</f>
        <v>#N/A</v>
      </c>
      <c r="AI183" s="35" t="e">
        <f>INDEX('Dados - Placas'!$E:$E,MATCH('1'!AG183,'Dados - Placas'!$D:$D,0))</f>
        <v>#N/A</v>
      </c>
      <c r="AJ183" s="34" t="e">
        <f>INDEX('Dados - Placas'!$F:$F,MATCH('1'!AG183,'Dados - Placas'!$D:$D,0))*AF183</f>
        <v>#N/A</v>
      </c>
      <c r="AK183" s="33">
        <f>'Dados - Cliente'!AE183</f>
        <v>0</v>
      </c>
      <c r="AL183" s="33">
        <f>'Dados - Cliente'!AF183</f>
        <v>0</v>
      </c>
      <c r="AM183" s="36" t="e">
        <f>INDEX('Dados - Inversores'!$A:$A,MATCH('1'!AL183,'Dados - Inversores'!$C:$C,0))</f>
        <v>#N/A</v>
      </c>
      <c r="AN183" s="33">
        <f>'Dados - Cliente'!AG183</f>
        <v>0</v>
      </c>
      <c r="AO183" s="33" t="e">
        <f>AA183*1.25/(0.22*SQRT(INDEX('Dados - Inversores'!AK:AK,MATCH('1'!AL183,'Dados - Inversores'!C:C,0))))</f>
        <v>#N/A</v>
      </c>
      <c r="AP183" s="34">
        <f>INDEX(Dados!$E$2:$E$33,COUNTIF(Dados!$E$2:$E$33,"&lt;="&amp;AN183*1.25/(INDEX('Dados - Inversores'!AL:AL,MATCH('1'!AL183,'Dados - Inversores'!C:C,0))*SQRT(INDEX('Dados - Inversores'!AK:AK,MATCH('1'!AL183,'Dados - Inversores'!C:C,0)))))+1)</f>
        <v>2</v>
      </c>
      <c r="AQ183" s="33" t="s">
        <v>59</v>
      </c>
      <c r="AR183" s="33" t="str">
        <f t="shared" si="18"/>
        <v>Micro</v>
      </c>
      <c r="AS183" s="33">
        <f>'Dados - Cliente'!AH183</f>
        <v>0</v>
      </c>
      <c r="AT183" s="33">
        <f>'Dados - Cliente'!AI183</f>
        <v>0</v>
      </c>
      <c r="AU183" s="33" t="e">
        <f>INDEX('Dados - Placas'!$N:$N,MATCH('1'!AG183,'Dados - Placas'!$D:$D,0))-1</f>
        <v>#N/A</v>
      </c>
      <c r="AV183" s="33" t="e">
        <f>INDEX('Dados - Placas'!$O:$O,MATCH('1'!AG183,'Dados - Placas'!$D:$D,0))</f>
        <v>#N/A</v>
      </c>
      <c r="AW183" s="33" t="e">
        <f>INDEX('Dados - Inversores'!AM:AM,MATCH('1'!AL183,'Dados - Inversores'!$C:$C,0))-1</f>
        <v>#N/A</v>
      </c>
      <c r="AX183" s="33" t="e">
        <f>INDEX('Dados - Inversores'!AN:AN,MATCH('1'!AL183,'Dados - Inversores'!$C:$C,0))-1</f>
        <v>#N/A</v>
      </c>
      <c r="AY183" s="33" t="e">
        <f>MATCH('1'!H183,Dados!$D$89:$D$167,0)+1</f>
        <v>#N/A</v>
      </c>
      <c r="AZ183" s="33" t="e">
        <f>MATCH('1'!N183,'Dados - Solicitação de acesso'!$N$2:$N$8,0)</f>
        <v>#N/A</v>
      </c>
      <c r="BA183" s="33" t="e">
        <f>MATCH('1'!T183,'Dados - Solicitação de acesso'!$T$2:$T$20,0)</f>
        <v>#N/A</v>
      </c>
      <c r="BB183" s="34"/>
      <c r="BC183" s="33">
        <f>MATCH(AT183,'Dados - Solicitação de acesso'!$AT$2:$AT$28,0)</f>
        <v>1</v>
      </c>
      <c r="BD183" s="33" t="b">
        <f>IF(O183="TRIFASICO",INDEX(Dados!G:G,MATCH('1'!AP183,Dados!E:E,0)),IF(O183="BIFASICO",INDEX(Dados!F:F,MATCH('1'!AP183,Dados!E:E,0),)))</f>
        <v>0</v>
      </c>
      <c r="BE183" s="33">
        <f>'Dados - Cliente'!J183</f>
        <v>0</v>
      </c>
      <c r="BF183" s="34">
        <f>INDEX(Dados!$E$2:$E$33,COUNTIF(Dados!$E$2:$E$33,"&lt;="&amp;AN183*1.25*AK183/(0.22*SQRT(INDEX('Dados - Inversores'!AK:AK,MATCH('1'!AL183,'Dados - Inversores'!C:C,0)))))+1)</f>
        <v>2</v>
      </c>
      <c r="BG183" s="34" t="b">
        <f>IF(O183="TRIFASICO",INDEX(Dados!G:G,MATCH(BF183,Dados!E:E,0)),IF(O183="BIFASICO",INDEX(Dados!F:F,MATCH(BF183,Dados!E:E,0),)))</f>
        <v>0</v>
      </c>
    </row>
    <row r="184" spans="1:59" s="33" customFormat="1" x14ac:dyDescent="0.35">
      <c r="A184" s="33">
        <f>'Dados - Cliente'!A184</f>
        <v>0</v>
      </c>
      <c r="B184" s="33">
        <f>'Dados - Cliente'!B184</f>
        <v>0</v>
      </c>
      <c r="C184" s="33">
        <f>'Dados - Cliente'!C184</f>
        <v>0</v>
      </c>
      <c r="D184" s="33">
        <f>'Dados - Cliente'!D184</f>
        <v>0</v>
      </c>
      <c r="E184" s="33">
        <f>'Dados - Cliente'!E184</f>
        <v>0</v>
      </c>
      <c r="F184" s="33">
        <f>'Dados - Cliente'!F184</f>
        <v>0</v>
      </c>
      <c r="G184" s="33">
        <f>'Dados - Cliente'!G184</f>
        <v>0</v>
      </c>
      <c r="H184" s="33">
        <f>'Dados - Cliente'!H184</f>
        <v>0</v>
      </c>
      <c r="I184" s="75" t="s">
        <v>4313</v>
      </c>
      <c r="J184" s="52" t="s">
        <v>4314</v>
      </c>
      <c r="K184" s="52" t="s">
        <v>4314</v>
      </c>
      <c r="L184" s="33">
        <f>'Dados - Cliente'!I184</f>
        <v>0</v>
      </c>
      <c r="M184" s="33">
        <f>'Dados - Cliente'!K184</f>
        <v>0</v>
      </c>
      <c r="N184" s="33">
        <f>'Dados - Cliente'!L184</f>
        <v>0</v>
      </c>
      <c r="O184" s="33">
        <f>'Dados - Cliente'!M184</f>
        <v>0</v>
      </c>
      <c r="P184" s="33">
        <f>'Dados - Cliente'!N184</f>
        <v>0</v>
      </c>
      <c r="Q184" s="33">
        <f>'Dados - Cliente'!O184</f>
        <v>0</v>
      </c>
      <c r="R184" s="33">
        <f>'Dados - Cliente'!P184</f>
        <v>0</v>
      </c>
      <c r="S184" s="33">
        <f>'Dados - Cliente'!Q184</f>
        <v>0</v>
      </c>
      <c r="T184" s="33">
        <f>'Dados - Cliente'!R184</f>
        <v>0</v>
      </c>
      <c r="U184" s="34">
        <f>'Dados - Cliente'!S184</f>
        <v>0</v>
      </c>
      <c r="V184" s="34">
        <f>'Dados - Cliente'!T184</f>
        <v>0</v>
      </c>
      <c r="W184" s="34">
        <f>'Dados - Cliente'!U184</f>
        <v>0</v>
      </c>
      <c r="X184" s="34">
        <f>'Dados - Cliente'!V184</f>
        <v>0</v>
      </c>
      <c r="Y184" s="34">
        <f>'Dados - Cliente'!W184</f>
        <v>0</v>
      </c>
      <c r="Z184" s="34">
        <f>'Dados - Cliente'!X184</f>
        <v>0</v>
      </c>
      <c r="AA184" s="33" t="e">
        <f t="shared" si="17"/>
        <v>#N/A</v>
      </c>
      <c r="AB184" s="33">
        <f>'Dados - Cliente'!Y184</f>
        <v>0</v>
      </c>
      <c r="AC184" s="33">
        <f>'Dados - Cliente'!Z184</f>
        <v>0</v>
      </c>
      <c r="AD184" s="33">
        <f>'Dados - Cliente'!AA184</f>
        <v>0</v>
      </c>
      <c r="AE184" s="33">
        <f>'Dados - Cliente'!AB184</f>
        <v>0</v>
      </c>
      <c r="AF184" s="33">
        <f>'Dados - Cliente'!AC184</f>
        <v>0</v>
      </c>
      <c r="AG184" s="35">
        <f>'Dados - Cliente'!AD184</f>
        <v>0</v>
      </c>
      <c r="AH184" s="33" t="e">
        <f>INDEX('Dados - Placas'!$A:$A,MATCH('1'!AG184,'Dados - Placas'!$D:$D,0))</f>
        <v>#N/A</v>
      </c>
      <c r="AI184" s="35" t="e">
        <f>INDEX('Dados - Placas'!$E:$E,MATCH('1'!AG184,'Dados - Placas'!$D:$D,0))</f>
        <v>#N/A</v>
      </c>
      <c r="AJ184" s="34" t="e">
        <f>INDEX('Dados - Placas'!$F:$F,MATCH('1'!AG184,'Dados - Placas'!$D:$D,0))*AF184</f>
        <v>#N/A</v>
      </c>
      <c r="AK184" s="33">
        <f>'Dados - Cliente'!AE184</f>
        <v>0</v>
      </c>
      <c r="AL184" s="33">
        <f>'Dados - Cliente'!AF184</f>
        <v>0</v>
      </c>
      <c r="AM184" s="36" t="e">
        <f>INDEX('Dados - Inversores'!$A:$A,MATCH('1'!AL184,'Dados - Inversores'!$C:$C,0))</f>
        <v>#N/A</v>
      </c>
      <c r="AN184" s="33">
        <f>'Dados - Cliente'!AG184</f>
        <v>0</v>
      </c>
      <c r="AO184" s="33" t="e">
        <f>AA184*1.25/(0.22*SQRT(INDEX('Dados - Inversores'!AK:AK,MATCH('1'!AL184,'Dados - Inversores'!C:C,0))))</f>
        <v>#N/A</v>
      </c>
      <c r="AP184" s="34">
        <f>INDEX(Dados!$E$2:$E$33,COUNTIF(Dados!$E$2:$E$33,"&lt;="&amp;AN184*1.25/(INDEX('Dados - Inversores'!AL:AL,MATCH('1'!AL184,'Dados - Inversores'!C:C,0))*SQRT(INDEX('Dados - Inversores'!AK:AK,MATCH('1'!AL184,'Dados - Inversores'!C:C,0)))))+1)</f>
        <v>2</v>
      </c>
      <c r="AQ184" s="33" t="s">
        <v>59</v>
      </c>
      <c r="AR184" s="33" t="str">
        <f t="shared" si="18"/>
        <v>Micro</v>
      </c>
      <c r="AS184" s="33">
        <f>'Dados - Cliente'!AH184</f>
        <v>0</v>
      </c>
      <c r="AT184" s="33">
        <f>'Dados - Cliente'!AI184</f>
        <v>0</v>
      </c>
      <c r="AU184" s="33" t="e">
        <f>INDEX('Dados - Placas'!$N:$N,MATCH('1'!AG184,'Dados - Placas'!$D:$D,0))-1</f>
        <v>#N/A</v>
      </c>
      <c r="AV184" s="33" t="e">
        <f>INDEX('Dados - Placas'!$O:$O,MATCH('1'!AG184,'Dados - Placas'!$D:$D,0))</f>
        <v>#N/A</v>
      </c>
      <c r="AW184" s="33" t="e">
        <f>INDEX('Dados - Inversores'!AM:AM,MATCH('1'!AL184,'Dados - Inversores'!$C:$C,0))-1</f>
        <v>#N/A</v>
      </c>
      <c r="AX184" s="33" t="e">
        <f>INDEX('Dados - Inversores'!AN:AN,MATCH('1'!AL184,'Dados - Inversores'!$C:$C,0))-1</f>
        <v>#N/A</v>
      </c>
      <c r="AY184" s="33" t="e">
        <f>MATCH('1'!H184,Dados!$D$89:$D$167,0)+1</f>
        <v>#N/A</v>
      </c>
      <c r="AZ184" s="33" t="e">
        <f>MATCH('1'!N184,'Dados - Solicitação de acesso'!$N$2:$N$8,0)</f>
        <v>#N/A</v>
      </c>
      <c r="BA184" s="33" t="e">
        <f>MATCH('1'!T184,'Dados - Solicitação de acesso'!$T$2:$T$20,0)</f>
        <v>#N/A</v>
      </c>
      <c r="BB184" s="34"/>
      <c r="BC184" s="33">
        <f>MATCH(AT184,'Dados - Solicitação de acesso'!$AT$2:$AT$28,0)</f>
        <v>1</v>
      </c>
      <c r="BD184" s="33" t="b">
        <f>IF(O184="TRIFASICO",INDEX(Dados!G:G,MATCH('1'!AP184,Dados!E:E,0)),IF(O184="BIFASICO",INDEX(Dados!F:F,MATCH('1'!AP184,Dados!E:E,0),)))</f>
        <v>0</v>
      </c>
      <c r="BE184" s="33">
        <f>'Dados - Cliente'!J184</f>
        <v>0</v>
      </c>
      <c r="BF184" s="34">
        <f>INDEX(Dados!$E$2:$E$33,COUNTIF(Dados!$E$2:$E$33,"&lt;="&amp;AN184*1.25*AK184/(0.22*SQRT(INDEX('Dados - Inversores'!AK:AK,MATCH('1'!AL184,'Dados - Inversores'!C:C,0)))))+1)</f>
        <v>2</v>
      </c>
      <c r="BG184" s="34" t="b">
        <f>IF(O184="TRIFASICO",INDEX(Dados!G:G,MATCH(BF184,Dados!E:E,0)),IF(O184="BIFASICO",INDEX(Dados!F:F,MATCH(BF184,Dados!E:E,0),)))</f>
        <v>0</v>
      </c>
    </row>
    <row r="185" spans="1:59" s="33" customFormat="1" x14ac:dyDescent="0.35">
      <c r="A185" s="33">
        <f>'Dados - Cliente'!A185</f>
        <v>0</v>
      </c>
      <c r="B185" s="33">
        <f>'Dados - Cliente'!B185</f>
        <v>0</v>
      </c>
      <c r="C185" s="33">
        <f>'Dados - Cliente'!C185</f>
        <v>0</v>
      </c>
      <c r="D185" s="33">
        <f>'Dados - Cliente'!D185</f>
        <v>0</v>
      </c>
      <c r="E185" s="33">
        <f>'Dados - Cliente'!E185</f>
        <v>0</v>
      </c>
      <c r="F185" s="33">
        <f>'Dados - Cliente'!F185</f>
        <v>0</v>
      </c>
      <c r="G185" s="33">
        <f>'Dados - Cliente'!G185</f>
        <v>0</v>
      </c>
      <c r="H185" s="33">
        <f>'Dados - Cliente'!H185</f>
        <v>0</v>
      </c>
      <c r="I185" s="75" t="s">
        <v>4313</v>
      </c>
      <c r="J185" s="52" t="s">
        <v>4314</v>
      </c>
      <c r="K185" s="52" t="s">
        <v>4314</v>
      </c>
      <c r="L185" s="33">
        <f>'Dados - Cliente'!I185</f>
        <v>0</v>
      </c>
      <c r="M185" s="33">
        <f>'Dados - Cliente'!K185</f>
        <v>0</v>
      </c>
      <c r="N185" s="33">
        <f>'Dados - Cliente'!L185</f>
        <v>0</v>
      </c>
      <c r="O185" s="33">
        <f>'Dados - Cliente'!M185</f>
        <v>0</v>
      </c>
      <c r="P185" s="33">
        <f>'Dados - Cliente'!N185</f>
        <v>0</v>
      </c>
      <c r="Q185" s="33">
        <f>'Dados - Cliente'!O185</f>
        <v>0</v>
      </c>
      <c r="R185" s="33">
        <f>'Dados - Cliente'!P185</f>
        <v>0</v>
      </c>
      <c r="S185" s="33">
        <f>'Dados - Cliente'!Q185</f>
        <v>0</v>
      </c>
      <c r="T185" s="33">
        <f>'Dados - Cliente'!R185</f>
        <v>0</v>
      </c>
      <c r="U185" s="34">
        <f>'Dados - Cliente'!S185</f>
        <v>0</v>
      </c>
      <c r="V185" s="34">
        <f>'Dados - Cliente'!T185</f>
        <v>0</v>
      </c>
      <c r="W185" s="34">
        <f>'Dados - Cliente'!U185</f>
        <v>0</v>
      </c>
      <c r="X185" s="34">
        <f>'Dados - Cliente'!V185</f>
        <v>0</v>
      </c>
      <c r="Y185" s="34">
        <f>'Dados - Cliente'!W185</f>
        <v>0</v>
      </c>
      <c r="Z185" s="34">
        <f>'Dados - Cliente'!X185</f>
        <v>0</v>
      </c>
      <c r="AA185" s="33" t="e">
        <f t="shared" si="17"/>
        <v>#N/A</v>
      </c>
      <c r="AB185" s="33">
        <f>'Dados - Cliente'!Y185</f>
        <v>0</v>
      </c>
      <c r="AC185" s="33">
        <f>'Dados - Cliente'!Z185</f>
        <v>0</v>
      </c>
      <c r="AD185" s="33">
        <f>'Dados - Cliente'!AA185</f>
        <v>0</v>
      </c>
      <c r="AE185" s="33">
        <f>'Dados - Cliente'!AB185</f>
        <v>0</v>
      </c>
      <c r="AF185" s="33">
        <f>'Dados - Cliente'!AC185</f>
        <v>0</v>
      </c>
      <c r="AG185" s="35">
        <f>'Dados - Cliente'!AD185</f>
        <v>0</v>
      </c>
      <c r="AH185" s="33" t="e">
        <f>INDEX('Dados - Placas'!$A:$A,MATCH('1'!AG185,'Dados - Placas'!$D:$D,0))</f>
        <v>#N/A</v>
      </c>
      <c r="AI185" s="35" t="e">
        <f>INDEX('Dados - Placas'!$E:$E,MATCH('1'!AG185,'Dados - Placas'!$D:$D,0))</f>
        <v>#N/A</v>
      </c>
      <c r="AJ185" s="34" t="e">
        <f>INDEX('Dados - Placas'!$F:$F,MATCH('1'!AG185,'Dados - Placas'!$D:$D,0))*AF185</f>
        <v>#N/A</v>
      </c>
      <c r="AK185" s="33">
        <f>'Dados - Cliente'!AE185</f>
        <v>0</v>
      </c>
      <c r="AL185" s="33">
        <f>'Dados - Cliente'!AF185</f>
        <v>0</v>
      </c>
      <c r="AM185" s="36" t="e">
        <f>INDEX('Dados - Inversores'!$A:$A,MATCH('1'!AL185,'Dados - Inversores'!$C:$C,0))</f>
        <v>#N/A</v>
      </c>
      <c r="AN185" s="33">
        <f>'Dados - Cliente'!AG185</f>
        <v>0</v>
      </c>
      <c r="AO185" s="33" t="e">
        <f>AA185*1.25/(0.22*SQRT(INDEX('Dados - Inversores'!AK:AK,MATCH('1'!AL185,'Dados - Inversores'!C:C,0))))</f>
        <v>#N/A</v>
      </c>
      <c r="AP185" s="34">
        <f>INDEX(Dados!$E$2:$E$33,COUNTIF(Dados!$E$2:$E$33,"&lt;="&amp;AN185*1.25/(INDEX('Dados - Inversores'!AL:AL,MATCH('1'!AL185,'Dados - Inversores'!C:C,0))*SQRT(INDEX('Dados - Inversores'!AK:AK,MATCH('1'!AL185,'Dados - Inversores'!C:C,0)))))+1)</f>
        <v>2</v>
      </c>
      <c r="AQ185" s="33" t="s">
        <v>59</v>
      </c>
      <c r="AR185" s="33" t="str">
        <f t="shared" si="18"/>
        <v>Micro</v>
      </c>
      <c r="AS185" s="33">
        <f>'Dados - Cliente'!AH185</f>
        <v>0</v>
      </c>
      <c r="AT185" s="33">
        <f>'Dados - Cliente'!AI185</f>
        <v>0</v>
      </c>
      <c r="AU185" s="33" t="e">
        <f>INDEX('Dados - Placas'!$N:$N,MATCH('1'!AG185,'Dados - Placas'!$D:$D,0))-1</f>
        <v>#N/A</v>
      </c>
      <c r="AV185" s="33" t="e">
        <f>INDEX('Dados - Placas'!$O:$O,MATCH('1'!AG185,'Dados - Placas'!$D:$D,0))</f>
        <v>#N/A</v>
      </c>
      <c r="AW185" s="33" t="e">
        <f>INDEX('Dados - Inversores'!AM:AM,MATCH('1'!AL185,'Dados - Inversores'!$C:$C,0))-1</f>
        <v>#N/A</v>
      </c>
      <c r="AX185" s="33" t="e">
        <f>INDEX('Dados - Inversores'!AN:AN,MATCH('1'!AL185,'Dados - Inversores'!$C:$C,0))-1</f>
        <v>#N/A</v>
      </c>
      <c r="AY185" s="33" t="e">
        <f>MATCH('1'!H185,Dados!$D$89:$D$167,0)+1</f>
        <v>#N/A</v>
      </c>
      <c r="AZ185" s="33" t="e">
        <f>MATCH('1'!N185,'Dados - Solicitação de acesso'!$N$2:$N$8,0)</f>
        <v>#N/A</v>
      </c>
      <c r="BA185" s="33" t="e">
        <f>MATCH('1'!T185,'Dados - Solicitação de acesso'!$T$2:$T$20,0)</f>
        <v>#N/A</v>
      </c>
      <c r="BB185" s="34"/>
      <c r="BC185" s="33">
        <f>MATCH(AT185,'Dados - Solicitação de acesso'!$AT$2:$AT$28,0)</f>
        <v>1</v>
      </c>
      <c r="BD185" s="33" t="b">
        <f>IF(O185="TRIFASICO",INDEX(Dados!G:G,MATCH('1'!AP185,Dados!E:E,0)),IF(O185="BIFASICO",INDEX(Dados!F:F,MATCH('1'!AP185,Dados!E:E,0),)))</f>
        <v>0</v>
      </c>
      <c r="BE185" s="33">
        <f>'Dados - Cliente'!J185</f>
        <v>0</v>
      </c>
      <c r="BF185" s="34">
        <f>INDEX(Dados!$E$2:$E$33,COUNTIF(Dados!$E$2:$E$33,"&lt;="&amp;AN185*1.25*AK185/(0.22*SQRT(INDEX('Dados - Inversores'!AK:AK,MATCH('1'!AL185,'Dados - Inversores'!C:C,0)))))+1)</f>
        <v>2</v>
      </c>
      <c r="BG185" s="34" t="b">
        <f>IF(O185="TRIFASICO",INDEX(Dados!G:G,MATCH(BF185,Dados!E:E,0)),IF(O185="BIFASICO",INDEX(Dados!F:F,MATCH(BF185,Dados!E:E,0),)))</f>
        <v>0</v>
      </c>
    </row>
    <row r="186" spans="1:59" s="33" customFormat="1" x14ac:dyDescent="0.35">
      <c r="A186" s="33">
        <f>'Dados - Cliente'!A186</f>
        <v>0</v>
      </c>
      <c r="B186" s="33">
        <f>'Dados - Cliente'!B186</f>
        <v>0</v>
      </c>
      <c r="C186" s="33">
        <f>'Dados - Cliente'!C186</f>
        <v>0</v>
      </c>
      <c r="D186" s="33">
        <f>'Dados - Cliente'!D186</f>
        <v>0</v>
      </c>
      <c r="E186" s="33">
        <f>'Dados - Cliente'!E186</f>
        <v>0</v>
      </c>
      <c r="F186" s="33">
        <f>'Dados - Cliente'!F186</f>
        <v>0</v>
      </c>
      <c r="G186" s="33">
        <f>'Dados - Cliente'!G186</f>
        <v>0</v>
      </c>
      <c r="H186" s="33">
        <f>'Dados - Cliente'!H186</f>
        <v>0</v>
      </c>
      <c r="I186" s="75" t="s">
        <v>4313</v>
      </c>
      <c r="J186" s="52" t="s">
        <v>4314</v>
      </c>
      <c r="K186" s="52" t="s">
        <v>4314</v>
      </c>
      <c r="L186" s="33">
        <f>'Dados - Cliente'!I186</f>
        <v>0</v>
      </c>
      <c r="M186" s="33">
        <f>'Dados - Cliente'!K186</f>
        <v>0</v>
      </c>
      <c r="N186" s="33">
        <f>'Dados - Cliente'!L186</f>
        <v>0</v>
      </c>
      <c r="O186" s="33">
        <f>'Dados - Cliente'!M186</f>
        <v>0</v>
      </c>
      <c r="P186" s="33">
        <f>'Dados - Cliente'!N186</f>
        <v>0</v>
      </c>
      <c r="Q186" s="33">
        <f>'Dados - Cliente'!O186</f>
        <v>0</v>
      </c>
      <c r="R186" s="33">
        <f>'Dados - Cliente'!P186</f>
        <v>0</v>
      </c>
      <c r="S186" s="33">
        <f>'Dados - Cliente'!Q186</f>
        <v>0</v>
      </c>
      <c r="T186" s="33">
        <f>'Dados - Cliente'!R186</f>
        <v>0</v>
      </c>
      <c r="U186" s="34">
        <f>'Dados - Cliente'!S186</f>
        <v>0</v>
      </c>
      <c r="V186" s="34">
        <f>'Dados - Cliente'!T186</f>
        <v>0</v>
      </c>
      <c r="W186" s="34">
        <f>'Dados - Cliente'!U186</f>
        <v>0</v>
      </c>
      <c r="X186" s="34">
        <f>'Dados - Cliente'!V186</f>
        <v>0</v>
      </c>
      <c r="Y186" s="34">
        <f>'Dados - Cliente'!W186</f>
        <v>0</v>
      </c>
      <c r="Z186" s="34">
        <f>'Dados - Cliente'!X186</f>
        <v>0</v>
      </c>
      <c r="AA186" s="33" t="e">
        <f t="shared" si="17"/>
        <v>#N/A</v>
      </c>
      <c r="AB186" s="33">
        <f>'Dados - Cliente'!Y186</f>
        <v>0</v>
      </c>
      <c r="AC186" s="33">
        <f>'Dados - Cliente'!Z186</f>
        <v>0</v>
      </c>
      <c r="AD186" s="33">
        <f>'Dados - Cliente'!AA186</f>
        <v>0</v>
      </c>
      <c r="AE186" s="33">
        <f>'Dados - Cliente'!AB186</f>
        <v>0</v>
      </c>
      <c r="AF186" s="33">
        <f>'Dados - Cliente'!AC186</f>
        <v>0</v>
      </c>
      <c r="AG186" s="35">
        <f>'Dados - Cliente'!AD186</f>
        <v>0</v>
      </c>
      <c r="AH186" s="33" t="e">
        <f>INDEX('Dados - Placas'!$A:$A,MATCH('1'!AG186,'Dados - Placas'!$D:$D,0))</f>
        <v>#N/A</v>
      </c>
      <c r="AI186" s="35" t="e">
        <f>INDEX('Dados - Placas'!$E:$E,MATCH('1'!AG186,'Dados - Placas'!$D:$D,0))</f>
        <v>#N/A</v>
      </c>
      <c r="AJ186" s="34" t="e">
        <f>INDEX('Dados - Placas'!$F:$F,MATCH('1'!AG186,'Dados - Placas'!$D:$D,0))*AF186</f>
        <v>#N/A</v>
      </c>
      <c r="AK186" s="33">
        <f>'Dados - Cliente'!AE186</f>
        <v>0</v>
      </c>
      <c r="AL186" s="33">
        <f>'Dados - Cliente'!AF186</f>
        <v>0</v>
      </c>
      <c r="AM186" s="36" t="e">
        <f>INDEX('Dados - Inversores'!$A:$A,MATCH('1'!AL186,'Dados - Inversores'!$C:$C,0))</f>
        <v>#N/A</v>
      </c>
      <c r="AN186" s="33">
        <f>'Dados - Cliente'!AG186</f>
        <v>0</v>
      </c>
      <c r="AO186" s="33" t="e">
        <f>AA186*1.25/(0.22*SQRT(INDEX('Dados - Inversores'!AK:AK,MATCH('1'!AL186,'Dados - Inversores'!C:C,0))))</f>
        <v>#N/A</v>
      </c>
      <c r="AP186" s="34">
        <f>INDEX(Dados!$E$2:$E$33,COUNTIF(Dados!$E$2:$E$33,"&lt;="&amp;AN186*1.25/(INDEX('Dados - Inversores'!AL:AL,MATCH('1'!AL186,'Dados - Inversores'!C:C,0))*SQRT(INDEX('Dados - Inversores'!AK:AK,MATCH('1'!AL186,'Dados - Inversores'!C:C,0)))))+1)</f>
        <v>2</v>
      </c>
      <c r="AQ186" s="33" t="s">
        <v>59</v>
      </c>
      <c r="AR186" s="33" t="str">
        <f t="shared" si="18"/>
        <v>Micro</v>
      </c>
      <c r="AS186" s="33">
        <f>'Dados - Cliente'!AH186</f>
        <v>0</v>
      </c>
      <c r="AT186" s="33">
        <f>'Dados - Cliente'!AI186</f>
        <v>0</v>
      </c>
      <c r="AU186" s="33" t="e">
        <f>INDEX('Dados - Placas'!$N:$N,MATCH('1'!AG186,'Dados - Placas'!$D:$D,0))-1</f>
        <v>#N/A</v>
      </c>
      <c r="AV186" s="33" t="e">
        <f>INDEX('Dados - Placas'!$O:$O,MATCH('1'!AG186,'Dados - Placas'!$D:$D,0))</f>
        <v>#N/A</v>
      </c>
      <c r="AW186" s="33" t="e">
        <f>INDEX('Dados - Inversores'!AM:AM,MATCH('1'!AL186,'Dados - Inversores'!$C:$C,0))-1</f>
        <v>#N/A</v>
      </c>
      <c r="AX186" s="33" t="e">
        <f>INDEX('Dados - Inversores'!AN:AN,MATCH('1'!AL186,'Dados - Inversores'!$C:$C,0))-1</f>
        <v>#N/A</v>
      </c>
      <c r="AY186" s="33" t="e">
        <f>MATCH('1'!H186,Dados!$D$89:$D$167,0)+1</f>
        <v>#N/A</v>
      </c>
      <c r="AZ186" s="33" t="e">
        <f>MATCH('1'!N186,'Dados - Solicitação de acesso'!$N$2:$N$8,0)</f>
        <v>#N/A</v>
      </c>
      <c r="BA186" s="33" t="e">
        <f>MATCH('1'!T186,'Dados - Solicitação de acesso'!$T$2:$T$20,0)</f>
        <v>#N/A</v>
      </c>
      <c r="BB186" s="34"/>
      <c r="BC186" s="33">
        <f>MATCH(AT186,'Dados - Solicitação de acesso'!$AT$2:$AT$28,0)</f>
        <v>1</v>
      </c>
      <c r="BD186" s="33" t="b">
        <f>IF(O186="TRIFASICO",INDEX(Dados!G:G,MATCH('1'!AP186,Dados!E:E,0)),IF(O186="BIFASICO",INDEX(Dados!F:F,MATCH('1'!AP186,Dados!E:E,0),)))</f>
        <v>0</v>
      </c>
      <c r="BE186" s="33">
        <f>'Dados - Cliente'!J186</f>
        <v>0</v>
      </c>
      <c r="BF186" s="34">
        <f>INDEX(Dados!$E$2:$E$33,COUNTIF(Dados!$E$2:$E$33,"&lt;="&amp;AN186*1.25*AK186/(0.22*SQRT(INDEX('Dados - Inversores'!AK:AK,MATCH('1'!AL186,'Dados - Inversores'!C:C,0)))))+1)</f>
        <v>2</v>
      </c>
      <c r="BG186" s="34" t="b">
        <f>IF(O186="TRIFASICO",INDEX(Dados!G:G,MATCH(BF186,Dados!E:E,0)),IF(O186="BIFASICO",INDEX(Dados!F:F,MATCH(BF186,Dados!E:E,0),)))</f>
        <v>0</v>
      </c>
    </row>
    <row r="187" spans="1:59" s="33" customFormat="1" x14ac:dyDescent="0.35">
      <c r="A187" s="33">
        <f>'Dados - Cliente'!A187</f>
        <v>0</v>
      </c>
      <c r="B187" s="33">
        <f>'Dados - Cliente'!B187</f>
        <v>0</v>
      </c>
      <c r="C187" s="33">
        <f>'Dados - Cliente'!C187</f>
        <v>0</v>
      </c>
      <c r="D187" s="33">
        <f>'Dados - Cliente'!D187</f>
        <v>0</v>
      </c>
      <c r="E187" s="33">
        <f>'Dados - Cliente'!E187</f>
        <v>0</v>
      </c>
      <c r="F187" s="33">
        <f>'Dados - Cliente'!F187</f>
        <v>0</v>
      </c>
      <c r="G187" s="33">
        <f>'Dados - Cliente'!G187</f>
        <v>0</v>
      </c>
      <c r="H187" s="33">
        <f>'Dados - Cliente'!H187</f>
        <v>0</v>
      </c>
      <c r="I187" s="75" t="s">
        <v>4313</v>
      </c>
      <c r="J187" s="52" t="s">
        <v>4314</v>
      </c>
      <c r="K187" s="52" t="s">
        <v>4314</v>
      </c>
      <c r="L187" s="33">
        <f>'Dados - Cliente'!I187</f>
        <v>0</v>
      </c>
      <c r="M187" s="33">
        <f>'Dados - Cliente'!K187</f>
        <v>0</v>
      </c>
      <c r="N187" s="33">
        <f>'Dados - Cliente'!L187</f>
        <v>0</v>
      </c>
      <c r="O187" s="33">
        <f>'Dados - Cliente'!M187</f>
        <v>0</v>
      </c>
      <c r="P187" s="33">
        <f>'Dados - Cliente'!N187</f>
        <v>0</v>
      </c>
      <c r="Q187" s="33">
        <f>'Dados - Cliente'!O187</f>
        <v>0</v>
      </c>
      <c r="R187" s="33">
        <f>'Dados - Cliente'!P187</f>
        <v>0</v>
      </c>
      <c r="S187" s="33">
        <f>'Dados - Cliente'!Q187</f>
        <v>0</v>
      </c>
      <c r="T187" s="33">
        <f>'Dados - Cliente'!R187</f>
        <v>0</v>
      </c>
      <c r="U187" s="34">
        <f>'Dados - Cliente'!S187</f>
        <v>0</v>
      </c>
      <c r="V187" s="34">
        <f>'Dados - Cliente'!T187</f>
        <v>0</v>
      </c>
      <c r="W187" s="34">
        <f>'Dados - Cliente'!U187</f>
        <v>0</v>
      </c>
      <c r="X187" s="34">
        <f>'Dados - Cliente'!V187</f>
        <v>0</v>
      </c>
      <c r="Y187" s="34">
        <f>'Dados - Cliente'!W187</f>
        <v>0</v>
      </c>
      <c r="Z187" s="34">
        <f>'Dados - Cliente'!X187</f>
        <v>0</v>
      </c>
      <c r="AA187" s="33" t="e">
        <f t="shared" si="17"/>
        <v>#N/A</v>
      </c>
      <c r="AB187" s="33">
        <f>'Dados - Cliente'!Y187</f>
        <v>0</v>
      </c>
      <c r="AC187" s="33">
        <f>'Dados - Cliente'!Z187</f>
        <v>0</v>
      </c>
      <c r="AD187" s="33">
        <f>'Dados - Cliente'!AA187</f>
        <v>0</v>
      </c>
      <c r="AE187" s="33">
        <f>'Dados - Cliente'!AB187</f>
        <v>0</v>
      </c>
      <c r="AF187" s="33">
        <f>'Dados - Cliente'!AC187</f>
        <v>0</v>
      </c>
      <c r="AG187" s="35">
        <f>'Dados - Cliente'!AD187</f>
        <v>0</v>
      </c>
      <c r="AH187" s="33" t="e">
        <f>INDEX('Dados - Placas'!$A:$A,MATCH('1'!AG187,'Dados - Placas'!$D:$D,0))</f>
        <v>#N/A</v>
      </c>
      <c r="AI187" s="35" t="e">
        <f>INDEX('Dados - Placas'!$E:$E,MATCH('1'!AG187,'Dados - Placas'!$D:$D,0))</f>
        <v>#N/A</v>
      </c>
      <c r="AJ187" s="34" t="e">
        <f>INDEX('Dados - Placas'!$F:$F,MATCH('1'!AG187,'Dados - Placas'!$D:$D,0))*AF187</f>
        <v>#N/A</v>
      </c>
      <c r="AK187" s="33">
        <f>'Dados - Cliente'!AE187</f>
        <v>0</v>
      </c>
      <c r="AL187" s="33">
        <f>'Dados - Cliente'!AF187</f>
        <v>0</v>
      </c>
      <c r="AM187" s="36" t="e">
        <f>INDEX('Dados - Inversores'!$A:$A,MATCH('1'!AL187,'Dados - Inversores'!$C:$C,0))</f>
        <v>#N/A</v>
      </c>
      <c r="AN187" s="33">
        <f>'Dados - Cliente'!AG187</f>
        <v>0</v>
      </c>
      <c r="AO187" s="33" t="e">
        <f>AA187*1.25/(0.22*SQRT(INDEX('Dados - Inversores'!AK:AK,MATCH('1'!AL187,'Dados - Inversores'!C:C,0))))</f>
        <v>#N/A</v>
      </c>
      <c r="AP187" s="34">
        <f>INDEX(Dados!$E$2:$E$33,COUNTIF(Dados!$E$2:$E$33,"&lt;="&amp;AN187*1.25/(INDEX('Dados - Inversores'!AL:AL,MATCH('1'!AL187,'Dados - Inversores'!C:C,0))*SQRT(INDEX('Dados - Inversores'!AK:AK,MATCH('1'!AL187,'Dados - Inversores'!C:C,0)))))+1)</f>
        <v>2</v>
      </c>
      <c r="AQ187" s="33" t="s">
        <v>59</v>
      </c>
      <c r="AR187" s="33" t="str">
        <f t="shared" si="18"/>
        <v>Micro</v>
      </c>
      <c r="AS187" s="33">
        <f>'Dados - Cliente'!AH187</f>
        <v>0</v>
      </c>
      <c r="AT187" s="33">
        <f>'Dados - Cliente'!AI187</f>
        <v>0</v>
      </c>
      <c r="AU187" s="33" t="e">
        <f>INDEX('Dados - Placas'!$N:$N,MATCH('1'!AG187,'Dados - Placas'!$D:$D,0))-1</f>
        <v>#N/A</v>
      </c>
      <c r="AV187" s="33" t="e">
        <f>INDEX('Dados - Placas'!$O:$O,MATCH('1'!AG187,'Dados - Placas'!$D:$D,0))</f>
        <v>#N/A</v>
      </c>
      <c r="AW187" s="33" t="e">
        <f>INDEX('Dados - Inversores'!AM:AM,MATCH('1'!AL187,'Dados - Inversores'!$C:$C,0))-1</f>
        <v>#N/A</v>
      </c>
      <c r="AX187" s="33" t="e">
        <f>INDEX('Dados - Inversores'!AN:AN,MATCH('1'!AL187,'Dados - Inversores'!$C:$C,0))-1</f>
        <v>#N/A</v>
      </c>
      <c r="AY187" s="33" t="e">
        <f>MATCH('1'!H187,Dados!$D$89:$D$167,0)+1</f>
        <v>#N/A</v>
      </c>
      <c r="AZ187" s="33" t="e">
        <f>MATCH('1'!N187,'Dados - Solicitação de acesso'!$N$2:$N$8,0)</f>
        <v>#N/A</v>
      </c>
      <c r="BA187" s="33" t="e">
        <f>MATCH('1'!T187,'Dados - Solicitação de acesso'!$T$2:$T$20,0)</f>
        <v>#N/A</v>
      </c>
      <c r="BB187" s="34"/>
      <c r="BC187" s="33">
        <f>MATCH(AT187,'Dados - Solicitação de acesso'!$AT$2:$AT$28,0)</f>
        <v>1</v>
      </c>
      <c r="BD187" s="33" t="b">
        <f>IF(O187="TRIFASICO",INDEX(Dados!G:G,MATCH('1'!AP187,Dados!E:E,0)),IF(O187="BIFASICO",INDEX(Dados!F:F,MATCH('1'!AP187,Dados!E:E,0),)))</f>
        <v>0</v>
      </c>
      <c r="BE187" s="33">
        <f>'Dados - Cliente'!J187</f>
        <v>0</v>
      </c>
      <c r="BF187" s="34">
        <f>INDEX(Dados!$E$2:$E$33,COUNTIF(Dados!$E$2:$E$33,"&lt;="&amp;AN187*1.25*AK187/(0.22*SQRT(INDEX('Dados - Inversores'!AK:AK,MATCH('1'!AL187,'Dados - Inversores'!C:C,0)))))+1)</f>
        <v>2</v>
      </c>
      <c r="BG187" s="34" t="b">
        <f>IF(O187="TRIFASICO",INDEX(Dados!G:G,MATCH(BF187,Dados!E:E,0)),IF(O187="BIFASICO",INDEX(Dados!F:F,MATCH(BF187,Dados!E:E,0),)))</f>
        <v>0</v>
      </c>
    </row>
    <row r="188" spans="1:59" s="33" customFormat="1" x14ac:dyDescent="0.35">
      <c r="A188" s="33">
        <f>'Dados - Cliente'!A188</f>
        <v>0</v>
      </c>
      <c r="B188" s="33">
        <f>'Dados - Cliente'!B188</f>
        <v>0</v>
      </c>
      <c r="C188" s="33">
        <f>'Dados - Cliente'!C188</f>
        <v>0</v>
      </c>
      <c r="D188" s="33">
        <f>'Dados - Cliente'!D188</f>
        <v>0</v>
      </c>
      <c r="E188" s="33">
        <f>'Dados - Cliente'!E188</f>
        <v>0</v>
      </c>
      <c r="F188" s="33">
        <f>'Dados - Cliente'!F188</f>
        <v>0</v>
      </c>
      <c r="G188" s="33">
        <f>'Dados - Cliente'!G188</f>
        <v>0</v>
      </c>
      <c r="H188" s="33">
        <f>'Dados - Cliente'!H188</f>
        <v>0</v>
      </c>
      <c r="I188" s="75" t="s">
        <v>4313</v>
      </c>
      <c r="J188" s="52" t="s">
        <v>4314</v>
      </c>
      <c r="K188" s="52" t="s">
        <v>4314</v>
      </c>
      <c r="L188" s="33">
        <f>'Dados - Cliente'!I188</f>
        <v>0</v>
      </c>
      <c r="M188" s="33">
        <f>'Dados - Cliente'!K188</f>
        <v>0</v>
      </c>
      <c r="N188" s="33">
        <f>'Dados - Cliente'!L188</f>
        <v>0</v>
      </c>
      <c r="O188" s="33">
        <f>'Dados - Cliente'!M188</f>
        <v>0</v>
      </c>
      <c r="P188" s="33">
        <f>'Dados - Cliente'!N188</f>
        <v>0</v>
      </c>
      <c r="Q188" s="33">
        <f>'Dados - Cliente'!O188</f>
        <v>0</v>
      </c>
      <c r="R188" s="33">
        <f>'Dados - Cliente'!P188</f>
        <v>0</v>
      </c>
      <c r="S188" s="33">
        <f>'Dados - Cliente'!Q188</f>
        <v>0</v>
      </c>
      <c r="T188" s="33">
        <f>'Dados - Cliente'!R188</f>
        <v>0</v>
      </c>
      <c r="U188" s="34">
        <f>'Dados - Cliente'!S188</f>
        <v>0</v>
      </c>
      <c r="V188" s="34">
        <f>'Dados - Cliente'!T188</f>
        <v>0</v>
      </c>
      <c r="W188" s="34">
        <f>'Dados - Cliente'!U188</f>
        <v>0</v>
      </c>
      <c r="X188" s="34">
        <f>'Dados - Cliente'!V188</f>
        <v>0</v>
      </c>
      <c r="Y188" s="34">
        <f>'Dados - Cliente'!W188</f>
        <v>0</v>
      </c>
      <c r="Z188" s="34">
        <f>'Dados - Cliente'!X188</f>
        <v>0</v>
      </c>
      <c r="AA188" s="33" t="e">
        <f t="shared" si="17"/>
        <v>#N/A</v>
      </c>
      <c r="AB188" s="33">
        <f>'Dados - Cliente'!Y188</f>
        <v>0</v>
      </c>
      <c r="AC188" s="33">
        <f>'Dados - Cliente'!Z188</f>
        <v>0</v>
      </c>
      <c r="AD188" s="33">
        <f>'Dados - Cliente'!AA188</f>
        <v>0</v>
      </c>
      <c r="AE188" s="33">
        <f>'Dados - Cliente'!AB188</f>
        <v>0</v>
      </c>
      <c r="AF188" s="33">
        <f>'Dados - Cliente'!AC188</f>
        <v>0</v>
      </c>
      <c r="AG188" s="35">
        <f>'Dados - Cliente'!AD188</f>
        <v>0</v>
      </c>
      <c r="AH188" s="33" t="e">
        <f>INDEX('Dados - Placas'!$A:$A,MATCH('1'!AG188,'Dados - Placas'!$D:$D,0))</f>
        <v>#N/A</v>
      </c>
      <c r="AI188" s="35" t="e">
        <f>INDEX('Dados - Placas'!$E:$E,MATCH('1'!AG188,'Dados - Placas'!$D:$D,0))</f>
        <v>#N/A</v>
      </c>
      <c r="AJ188" s="34" t="e">
        <f>INDEX('Dados - Placas'!$F:$F,MATCH('1'!AG188,'Dados - Placas'!$D:$D,0))*AF188</f>
        <v>#N/A</v>
      </c>
      <c r="AK188" s="33">
        <f>'Dados - Cliente'!AE188</f>
        <v>0</v>
      </c>
      <c r="AL188" s="33">
        <f>'Dados - Cliente'!AF188</f>
        <v>0</v>
      </c>
      <c r="AM188" s="36" t="e">
        <f>INDEX('Dados - Inversores'!$A:$A,MATCH('1'!AL188,'Dados - Inversores'!$C:$C,0))</f>
        <v>#N/A</v>
      </c>
      <c r="AN188" s="33">
        <f>'Dados - Cliente'!AG188</f>
        <v>0</v>
      </c>
      <c r="AO188" s="33" t="e">
        <f>AA188*1.25/(0.22*SQRT(INDEX('Dados - Inversores'!AK:AK,MATCH('1'!AL188,'Dados - Inversores'!C:C,0))))</f>
        <v>#N/A</v>
      </c>
      <c r="AP188" s="34">
        <f>INDEX(Dados!$E$2:$E$33,COUNTIF(Dados!$E$2:$E$33,"&lt;="&amp;AN188*1.25/(INDEX('Dados - Inversores'!AL:AL,MATCH('1'!AL188,'Dados - Inversores'!C:C,0))*SQRT(INDEX('Dados - Inversores'!AK:AK,MATCH('1'!AL188,'Dados - Inversores'!C:C,0)))))+1)</f>
        <v>2</v>
      </c>
      <c r="AQ188" s="33" t="s">
        <v>59</v>
      </c>
      <c r="AR188" s="33" t="str">
        <f t="shared" si="18"/>
        <v>Micro</v>
      </c>
      <c r="AS188" s="33">
        <f>'Dados - Cliente'!AH188</f>
        <v>0</v>
      </c>
      <c r="AT188" s="33">
        <f>'Dados - Cliente'!AI188</f>
        <v>0</v>
      </c>
      <c r="AU188" s="33" t="e">
        <f>INDEX('Dados - Placas'!$N:$N,MATCH('1'!AG188,'Dados - Placas'!$D:$D,0))-1</f>
        <v>#N/A</v>
      </c>
      <c r="AV188" s="33" t="e">
        <f>INDEX('Dados - Placas'!$O:$O,MATCH('1'!AG188,'Dados - Placas'!$D:$D,0))</f>
        <v>#N/A</v>
      </c>
      <c r="AW188" s="33" t="e">
        <f>INDEX('Dados - Inversores'!AM:AM,MATCH('1'!AL188,'Dados - Inversores'!$C:$C,0))-1</f>
        <v>#N/A</v>
      </c>
      <c r="AX188" s="33" t="e">
        <f>INDEX('Dados - Inversores'!AN:AN,MATCH('1'!AL188,'Dados - Inversores'!$C:$C,0))-1</f>
        <v>#N/A</v>
      </c>
      <c r="AY188" s="33" t="e">
        <f>MATCH('1'!H188,Dados!$D$89:$D$167,0)+1</f>
        <v>#N/A</v>
      </c>
      <c r="AZ188" s="33" t="e">
        <f>MATCH('1'!N188,'Dados - Solicitação de acesso'!$N$2:$N$8,0)</f>
        <v>#N/A</v>
      </c>
      <c r="BA188" s="33" t="e">
        <f>MATCH('1'!T188,'Dados - Solicitação de acesso'!$T$2:$T$20,0)</f>
        <v>#N/A</v>
      </c>
      <c r="BB188" s="34"/>
      <c r="BC188" s="33">
        <f>MATCH(AT188,'Dados - Solicitação de acesso'!$AT$2:$AT$28,0)</f>
        <v>1</v>
      </c>
      <c r="BD188" s="33" t="b">
        <f>IF(O188="TRIFASICO",INDEX(Dados!G:G,MATCH('1'!AP188,Dados!E:E,0)),IF(O188="BIFASICO",INDEX(Dados!F:F,MATCH('1'!AP188,Dados!E:E,0),)))</f>
        <v>0</v>
      </c>
      <c r="BE188" s="33">
        <f>'Dados - Cliente'!J188</f>
        <v>0</v>
      </c>
      <c r="BF188" s="34">
        <f>INDEX(Dados!$E$2:$E$33,COUNTIF(Dados!$E$2:$E$33,"&lt;="&amp;AN188*1.25*AK188/(0.22*SQRT(INDEX('Dados - Inversores'!AK:AK,MATCH('1'!AL188,'Dados - Inversores'!C:C,0)))))+1)</f>
        <v>2</v>
      </c>
      <c r="BG188" s="34" t="b">
        <f>IF(O188="TRIFASICO",INDEX(Dados!G:G,MATCH(BF188,Dados!E:E,0)),IF(O188="BIFASICO",INDEX(Dados!F:F,MATCH(BF188,Dados!E:E,0),)))</f>
        <v>0</v>
      </c>
    </row>
    <row r="189" spans="1:59" s="33" customFormat="1" x14ac:dyDescent="0.35">
      <c r="A189" s="33">
        <f>'Dados - Cliente'!A189</f>
        <v>0</v>
      </c>
      <c r="B189" s="33">
        <f>'Dados - Cliente'!B189</f>
        <v>0</v>
      </c>
      <c r="C189" s="33">
        <f>'Dados - Cliente'!C189</f>
        <v>0</v>
      </c>
      <c r="D189" s="33">
        <f>'Dados - Cliente'!D189</f>
        <v>0</v>
      </c>
      <c r="E189" s="33">
        <f>'Dados - Cliente'!E189</f>
        <v>0</v>
      </c>
      <c r="F189" s="33">
        <f>'Dados - Cliente'!F189</f>
        <v>0</v>
      </c>
      <c r="G189" s="33">
        <f>'Dados - Cliente'!G189</f>
        <v>0</v>
      </c>
      <c r="H189" s="33">
        <f>'Dados - Cliente'!H189</f>
        <v>0</v>
      </c>
      <c r="I189" s="75" t="s">
        <v>4313</v>
      </c>
      <c r="J189" s="52" t="s">
        <v>4314</v>
      </c>
      <c r="K189" s="52" t="s">
        <v>4314</v>
      </c>
      <c r="L189" s="33">
        <f>'Dados - Cliente'!I189</f>
        <v>0</v>
      </c>
      <c r="M189" s="33">
        <f>'Dados - Cliente'!K189</f>
        <v>0</v>
      </c>
      <c r="N189" s="33">
        <f>'Dados - Cliente'!L189</f>
        <v>0</v>
      </c>
      <c r="O189" s="33">
        <f>'Dados - Cliente'!M189</f>
        <v>0</v>
      </c>
      <c r="P189" s="33">
        <f>'Dados - Cliente'!N189</f>
        <v>0</v>
      </c>
      <c r="Q189" s="33">
        <f>'Dados - Cliente'!O189</f>
        <v>0</v>
      </c>
      <c r="R189" s="33">
        <f>'Dados - Cliente'!P189</f>
        <v>0</v>
      </c>
      <c r="S189" s="33">
        <f>'Dados - Cliente'!Q189</f>
        <v>0</v>
      </c>
      <c r="T189" s="33">
        <f>'Dados - Cliente'!R189</f>
        <v>0</v>
      </c>
      <c r="U189" s="34">
        <f>'Dados - Cliente'!S189</f>
        <v>0</v>
      </c>
      <c r="V189" s="34">
        <f>'Dados - Cliente'!T189</f>
        <v>0</v>
      </c>
      <c r="W189" s="34">
        <f>'Dados - Cliente'!U189</f>
        <v>0</v>
      </c>
      <c r="X189" s="34">
        <f>'Dados - Cliente'!V189</f>
        <v>0</v>
      </c>
      <c r="Y189" s="34">
        <f>'Dados - Cliente'!W189</f>
        <v>0</v>
      </c>
      <c r="Z189" s="34">
        <f>'Dados - Cliente'!X189</f>
        <v>0</v>
      </c>
      <c r="AA189" s="33" t="e">
        <f t="shared" si="17"/>
        <v>#N/A</v>
      </c>
      <c r="AB189" s="33">
        <f>'Dados - Cliente'!Y189</f>
        <v>0</v>
      </c>
      <c r="AC189" s="33">
        <f>'Dados - Cliente'!Z189</f>
        <v>0</v>
      </c>
      <c r="AD189" s="33">
        <f>'Dados - Cliente'!AA189</f>
        <v>0</v>
      </c>
      <c r="AE189" s="33">
        <f>'Dados - Cliente'!AB189</f>
        <v>0</v>
      </c>
      <c r="AF189" s="33">
        <f>'Dados - Cliente'!AC189</f>
        <v>0</v>
      </c>
      <c r="AG189" s="35">
        <f>'Dados - Cliente'!AD189</f>
        <v>0</v>
      </c>
      <c r="AH189" s="33" t="e">
        <f>INDEX('Dados - Placas'!$A:$A,MATCH('1'!AG189,'Dados - Placas'!$D:$D,0))</f>
        <v>#N/A</v>
      </c>
      <c r="AI189" s="35" t="e">
        <f>INDEX('Dados - Placas'!$E:$E,MATCH('1'!AG189,'Dados - Placas'!$D:$D,0))</f>
        <v>#N/A</v>
      </c>
      <c r="AJ189" s="34" t="e">
        <f>INDEX('Dados - Placas'!$F:$F,MATCH('1'!AG189,'Dados - Placas'!$D:$D,0))*AF189</f>
        <v>#N/A</v>
      </c>
      <c r="AK189" s="33">
        <f>'Dados - Cliente'!AE189</f>
        <v>0</v>
      </c>
      <c r="AL189" s="33">
        <f>'Dados - Cliente'!AF189</f>
        <v>0</v>
      </c>
      <c r="AM189" s="36" t="e">
        <f>INDEX('Dados - Inversores'!$A:$A,MATCH('1'!AL189,'Dados - Inversores'!$C:$C,0))</f>
        <v>#N/A</v>
      </c>
      <c r="AN189" s="33">
        <f>'Dados - Cliente'!AG189</f>
        <v>0</v>
      </c>
      <c r="AO189" s="33" t="e">
        <f>AA189*1.25/(0.22*SQRT(INDEX('Dados - Inversores'!AK:AK,MATCH('1'!AL189,'Dados - Inversores'!C:C,0))))</f>
        <v>#N/A</v>
      </c>
      <c r="AP189" s="34">
        <f>INDEX(Dados!$E$2:$E$33,COUNTIF(Dados!$E$2:$E$33,"&lt;="&amp;AN189*1.25/(INDEX('Dados - Inversores'!AL:AL,MATCH('1'!AL189,'Dados - Inversores'!C:C,0))*SQRT(INDEX('Dados - Inversores'!AK:AK,MATCH('1'!AL189,'Dados - Inversores'!C:C,0)))))+1)</f>
        <v>2</v>
      </c>
      <c r="AQ189" s="33" t="s">
        <v>59</v>
      </c>
      <c r="AR189" s="33" t="str">
        <f t="shared" si="18"/>
        <v>Micro</v>
      </c>
      <c r="AS189" s="33">
        <f>'Dados - Cliente'!AH189</f>
        <v>0</v>
      </c>
      <c r="AT189" s="33">
        <f>'Dados - Cliente'!AI189</f>
        <v>0</v>
      </c>
      <c r="AU189" s="33" t="e">
        <f>INDEX('Dados - Placas'!$N:$N,MATCH('1'!AG189,'Dados - Placas'!$D:$D,0))-1</f>
        <v>#N/A</v>
      </c>
      <c r="AV189" s="33" t="e">
        <f>INDEX('Dados - Placas'!$O:$O,MATCH('1'!AG189,'Dados - Placas'!$D:$D,0))</f>
        <v>#N/A</v>
      </c>
      <c r="AW189" s="33" t="e">
        <f>INDEX('Dados - Inversores'!AM:AM,MATCH('1'!AL189,'Dados - Inversores'!$C:$C,0))-1</f>
        <v>#N/A</v>
      </c>
      <c r="AX189" s="33" t="e">
        <f>INDEX('Dados - Inversores'!AN:AN,MATCH('1'!AL189,'Dados - Inversores'!$C:$C,0))-1</f>
        <v>#N/A</v>
      </c>
      <c r="AY189" s="33" t="e">
        <f>MATCH('1'!H189,Dados!$D$89:$D$167,0)+1</f>
        <v>#N/A</v>
      </c>
      <c r="AZ189" s="33" t="e">
        <f>MATCH('1'!N189,'Dados - Solicitação de acesso'!$N$2:$N$8,0)</f>
        <v>#N/A</v>
      </c>
      <c r="BA189" s="33" t="e">
        <f>MATCH('1'!T189,'Dados - Solicitação de acesso'!$T$2:$T$20,0)</f>
        <v>#N/A</v>
      </c>
      <c r="BB189" s="34"/>
      <c r="BC189" s="33">
        <f>MATCH(AT189,'Dados - Solicitação de acesso'!$AT$2:$AT$28,0)</f>
        <v>1</v>
      </c>
      <c r="BD189" s="33" t="b">
        <f>IF(O189="TRIFASICO",INDEX(Dados!G:G,MATCH('1'!AP189,Dados!E:E,0)),IF(O189="BIFASICO",INDEX(Dados!F:F,MATCH('1'!AP189,Dados!E:E,0),)))</f>
        <v>0</v>
      </c>
      <c r="BE189" s="33">
        <f>'Dados - Cliente'!J189</f>
        <v>0</v>
      </c>
      <c r="BF189" s="34">
        <f>INDEX(Dados!$E$2:$E$33,COUNTIF(Dados!$E$2:$E$33,"&lt;="&amp;AN189*1.25*AK189/(0.22*SQRT(INDEX('Dados - Inversores'!AK:AK,MATCH('1'!AL189,'Dados - Inversores'!C:C,0)))))+1)</f>
        <v>2</v>
      </c>
      <c r="BG189" s="34" t="b">
        <f>IF(O189="TRIFASICO",INDEX(Dados!G:G,MATCH(BF189,Dados!E:E,0)),IF(O189="BIFASICO",INDEX(Dados!F:F,MATCH(BF189,Dados!E:E,0),)))</f>
        <v>0</v>
      </c>
    </row>
    <row r="190" spans="1:59" s="33" customFormat="1" x14ac:dyDescent="0.35">
      <c r="A190" s="33">
        <f>'Dados - Cliente'!A190</f>
        <v>0</v>
      </c>
      <c r="B190" s="33">
        <f>'Dados - Cliente'!B190</f>
        <v>0</v>
      </c>
      <c r="C190" s="33">
        <f>'Dados - Cliente'!C190</f>
        <v>0</v>
      </c>
      <c r="D190" s="33">
        <f>'Dados - Cliente'!D190</f>
        <v>0</v>
      </c>
      <c r="E190" s="33">
        <f>'Dados - Cliente'!E190</f>
        <v>0</v>
      </c>
      <c r="F190" s="33">
        <f>'Dados - Cliente'!F190</f>
        <v>0</v>
      </c>
      <c r="G190" s="33">
        <f>'Dados - Cliente'!G190</f>
        <v>0</v>
      </c>
      <c r="H190" s="33">
        <f>'Dados - Cliente'!H190</f>
        <v>0</v>
      </c>
      <c r="I190" s="75" t="s">
        <v>4313</v>
      </c>
      <c r="J190" s="52" t="s">
        <v>4314</v>
      </c>
      <c r="K190" s="52" t="s">
        <v>4314</v>
      </c>
      <c r="L190" s="33">
        <f>'Dados - Cliente'!I190</f>
        <v>0</v>
      </c>
      <c r="M190" s="33">
        <f>'Dados - Cliente'!K190</f>
        <v>0</v>
      </c>
      <c r="N190" s="33">
        <f>'Dados - Cliente'!L190</f>
        <v>0</v>
      </c>
      <c r="O190" s="33">
        <f>'Dados - Cliente'!M190</f>
        <v>0</v>
      </c>
      <c r="P190" s="33">
        <f>'Dados - Cliente'!N190</f>
        <v>0</v>
      </c>
      <c r="Q190" s="33">
        <f>'Dados - Cliente'!O190</f>
        <v>0</v>
      </c>
      <c r="R190" s="33">
        <f>'Dados - Cliente'!P190</f>
        <v>0</v>
      </c>
      <c r="S190" s="33">
        <f>'Dados - Cliente'!Q190</f>
        <v>0</v>
      </c>
      <c r="T190" s="33">
        <f>'Dados - Cliente'!R190</f>
        <v>0</v>
      </c>
      <c r="U190" s="34">
        <f>'Dados - Cliente'!S190</f>
        <v>0</v>
      </c>
      <c r="V190" s="34">
        <f>'Dados - Cliente'!T190</f>
        <v>0</v>
      </c>
      <c r="W190" s="34">
        <f>'Dados - Cliente'!U190</f>
        <v>0</v>
      </c>
      <c r="X190" s="34">
        <f>'Dados - Cliente'!V190</f>
        <v>0</v>
      </c>
      <c r="Y190" s="34">
        <f>'Dados - Cliente'!W190</f>
        <v>0</v>
      </c>
      <c r="Z190" s="34">
        <f>'Dados - Cliente'!X190</f>
        <v>0</v>
      </c>
      <c r="AA190" s="33" t="e">
        <f t="shared" si="17"/>
        <v>#N/A</v>
      </c>
      <c r="AB190" s="33">
        <f>'Dados - Cliente'!Y190</f>
        <v>0</v>
      </c>
      <c r="AC190" s="33">
        <f>'Dados - Cliente'!Z190</f>
        <v>0</v>
      </c>
      <c r="AD190" s="33">
        <f>'Dados - Cliente'!AA190</f>
        <v>0</v>
      </c>
      <c r="AE190" s="33">
        <f>'Dados - Cliente'!AB190</f>
        <v>0</v>
      </c>
      <c r="AF190" s="33">
        <f>'Dados - Cliente'!AC190</f>
        <v>0</v>
      </c>
      <c r="AG190" s="35">
        <f>'Dados - Cliente'!AD190</f>
        <v>0</v>
      </c>
      <c r="AH190" s="33" t="e">
        <f>INDEX('Dados - Placas'!$A:$A,MATCH('1'!AG190,'Dados - Placas'!$D:$D,0))</f>
        <v>#N/A</v>
      </c>
      <c r="AI190" s="35" t="e">
        <f>INDEX('Dados - Placas'!$E:$E,MATCH('1'!AG190,'Dados - Placas'!$D:$D,0))</f>
        <v>#N/A</v>
      </c>
      <c r="AJ190" s="34" t="e">
        <f>INDEX('Dados - Placas'!$F:$F,MATCH('1'!AG190,'Dados - Placas'!$D:$D,0))*AF190</f>
        <v>#N/A</v>
      </c>
      <c r="AK190" s="33">
        <f>'Dados - Cliente'!AE190</f>
        <v>0</v>
      </c>
      <c r="AL190" s="33">
        <f>'Dados - Cliente'!AF190</f>
        <v>0</v>
      </c>
      <c r="AM190" s="36" t="e">
        <f>INDEX('Dados - Inversores'!$A:$A,MATCH('1'!AL190,'Dados - Inversores'!$C:$C,0))</f>
        <v>#N/A</v>
      </c>
      <c r="AN190" s="33">
        <f>'Dados - Cliente'!AG190</f>
        <v>0</v>
      </c>
      <c r="AO190" s="33" t="e">
        <f>AA190*1.25/(0.22*SQRT(INDEX('Dados - Inversores'!AK:AK,MATCH('1'!AL190,'Dados - Inversores'!C:C,0))))</f>
        <v>#N/A</v>
      </c>
      <c r="AP190" s="34">
        <f>INDEX(Dados!$E$2:$E$33,COUNTIF(Dados!$E$2:$E$33,"&lt;="&amp;AN190*1.25/(INDEX('Dados - Inversores'!AL:AL,MATCH('1'!AL190,'Dados - Inversores'!C:C,0))*SQRT(INDEX('Dados - Inversores'!AK:AK,MATCH('1'!AL190,'Dados - Inversores'!C:C,0)))))+1)</f>
        <v>2</v>
      </c>
      <c r="AQ190" s="33" t="s">
        <v>59</v>
      </c>
      <c r="AR190" s="33" t="str">
        <f t="shared" si="18"/>
        <v>Micro</v>
      </c>
      <c r="AS190" s="33">
        <f>'Dados - Cliente'!AH190</f>
        <v>0</v>
      </c>
      <c r="AT190" s="33">
        <f>'Dados - Cliente'!AI190</f>
        <v>0</v>
      </c>
      <c r="AU190" s="33" t="e">
        <f>INDEX('Dados - Placas'!$N:$N,MATCH('1'!AG190,'Dados - Placas'!$D:$D,0))-1</f>
        <v>#N/A</v>
      </c>
      <c r="AV190" s="33" t="e">
        <f>INDEX('Dados - Placas'!$O:$O,MATCH('1'!AG190,'Dados - Placas'!$D:$D,0))</f>
        <v>#N/A</v>
      </c>
      <c r="AW190" s="33" t="e">
        <f>INDEX('Dados - Inversores'!AM:AM,MATCH('1'!AL190,'Dados - Inversores'!$C:$C,0))-1</f>
        <v>#N/A</v>
      </c>
      <c r="AX190" s="33" t="e">
        <f>INDEX('Dados - Inversores'!AN:AN,MATCH('1'!AL190,'Dados - Inversores'!$C:$C,0))-1</f>
        <v>#N/A</v>
      </c>
      <c r="AY190" s="33" t="e">
        <f>MATCH('1'!H190,Dados!$D$89:$D$167,0)+1</f>
        <v>#N/A</v>
      </c>
      <c r="AZ190" s="33" t="e">
        <f>MATCH('1'!N190,'Dados - Solicitação de acesso'!$N$2:$N$8,0)</f>
        <v>#N/A</v>
      </c>
      <c r="BA190" s="33" t="e">
        <f>MATCH('1'!T190,'Dados - Solicitação de acesso'!$T$2:$T$20,0)</f>
        <v>#N/A</v>
      </c>
      <c r="BB190" s="34"/>
      <c r="BC190" s="33">
        <f>MATCH(AT190,'Dados - Solicitação de acesso'!$AT$2:$AT$28,0)</f>
        <v>1</v>
      </c>
      <c r="BD190" s="33" t="b">
        <f>IF(O190="TRIFASICO",INDEX(Dados!G:G,MATCH('1'!AP190,Dados!E:E,0)),IF(O190="BIFASICO",INDEX(Dados!F:F,MATCH('1'!AP190,Dados!E:E,0),)))</f>
        <v>0</v>
      </c>
      <c r="BE190" s="33">
        <f>'Dados - Cliente'!J190</f>
        <v>0</v>
      </c>
      <c r="BF190" s="34">
        <f>INDEX(Dados!$E$2:$E$33,COUNTIF(Dados!$E$2:$E$33,"&lt;="&amp;AN190*1.25*AK190/(0.22*SQRT(INDEX('Dados - Inversores'!AK:AK,MATCH('1'!AL190,'Dados - Inversores'!C:C,0)))))+1)</f>
        <v>2</v>
      </c>
      <c r="BG190" s="34" t="b">
        <f>IF(O190="TRIFASICO",INDEX(Dados!G:G,MATCH(BF190,Dados!E:E,0)),IF(O190="BIFASICO",INDEX(Dados!F:F,MATCH(BF190,Dados!E:E,0),)))</f>
        <v>0</v>
      </c>
    </row>
    <row r="191" spans="1:59" s="33" customFormat="1" x14ac:dyDescent="0.35">
      <c r="A191" s="33">
        <f>'Dados - Cliente'!A191</f>
        <v>0</v>
      </c>
      <c r="B191" s="33">
        <f>'Dados - Cliente'!B191</f>
        <v>0</v>
      </c>
      <c r="C191" s="33">
        <f>'Dados - Cliente'!C191</f>
        <v>0</v>
      </c>
      <c r="D191" s="33">
        <f>'Dados - Cliente'!D191</f>
        <v>0</v>
      </c>
      <c r="E191" s="33">
        <f>'Dados - Cliente'!E191</f>
        <v>0</v>
      </c>
      <c r="F191" s="33">
        <f>'Dados - Cliente'!F191</f>
        <v>0</v>
      </c>
      <c r="G191" s="33">
        <f>'Dados - Cliente'!G191</f>
        <v>0</v>
      </c>
      <c r="H191" s="33">
        <f>'Dados - Cliente'!H191</f>
        <v>0</v>
      </c>
      <c r="I191" s="75" t="s">
        <v>4313</v>
      </c>
      <c r="J191" s="52" t="s">
        <v>4314</v>
      </c>
      <c r="K191" s="52" t="s">
        <v>4314</v>
      </c>
      <c r="L191" s="33">
        <f>'Dados - Cliente'!I191</f>
        <v>0</v>
      </c>
      <c r="M191" s="33">
        <f>'Dados - Cliente'!K191</f>
        <v>0</v>
      </c>
      <c r="N191" s="33">
        <f>'Dados - Cliente'!L191</f>
        <v>0</v>
      </c>
      <c r="O191" s="33">
        <f>'Dados - Cliente'!M191</f>
        <v>0</v>
      </c>
      <c r="P191" s="33">
        <f>'Dados - Cliente'!N191</f>
        <v>0</v>
      </c>
      <c r="Q191" s="33">
        <f>'Dados - Cliente'!O191</f>
        <v>0</v>
      </c>
      <c r="R191" s="33">
        <f>'Dados - Cliente'!P191</f>
        <v>0</v>
      </c>
      <c r="S191" s="33">
        <f>'Dados - Cliente'!Q191</f>
        <v>0</v>
      </c>
      <c r="T191" s="33">
        <f>'Dados - Cliente'!R191</f>
        <v>0</v>
      </c>
      <c r="U191" s="34">
        <f>'Dados - Cliente'!S191</f>
        <v>0</v>
      </c>
      <c r="V191" s="34">
        <f>'Dados - Cliente'!T191</f>
        <v>0</v>
      </c>
      <c r="W191" s="34">
        <f>'Dados - Cliente'!U191</f>
        <v>0</v>
      </c>
      <c r="X191" s="34">
        <f>'Dados - Cliente'!V191</f>
        <v>0</v>
      </c>
      <c r="Y191" s="34">
        <f>'Dados - Cliente'!W191</f>
        <v>0</v>
      </c>
      <c r="Z191" s="34">
        <f>'Dados - Cliente'!X191</f>
        <v>0</v>
      </c>
      <c r="AA191" s="33" t="e">
        <f t="shared" si="17"/>
        <v>#N/A</v>
      </c>
      <c r="AB191" s="33">
        <f>'Dados - Cliente'!Y191</f>
        <v>0</v>
      </c>
      <c r="AC191" s="33">
        <f>'Dados - Cliente'!Z191</f>
        <v>0</v>
      </c>
      <c r="AD191" s="33">
        <f>'Dados - Cliente'!AA191</f>
        <v>0</v>
      </c>
      <c r="AE191" s="33">
        <f>'Dados - Cliente'!AB191</f>
        <v>0</v>
      </c>
      <c r="AF191" s="33">
        <f>'Dados - Cliente'!AC191</f>
        <v>0</v>
      </c>
      <c r="AG191" s="35">
        <f>'Dados - Cliente'!AD191</f>
        <v>0</v>
      </c>
      <c r="AH191" s="33" t="e">
        <f>INDEX('Dados - Placas'!$A:$A,MATCH('1'!AG191,'Dados - Placas'!$D:$D,0))</f>
        <v>#N/A</v>
      </c>
      <c r="AI191" s="35" t="e">
        <f>INDEX('Dados - Placas'!$E:$E,MATCH('1'!AG191,'Dados - Placas'!$D:$D,0))</f>
        <v>#N/A</v>
      </c>
      <c r="AJ191" s="34" t="e">
        <f>INDEX('Dados - Placas'!$F:$F,MATCH('1'!AG191,'Dados - Placas'!$D:$D,0))*AF191</f>
        <v>#N/A</v>
      </c>
      <c r="AK191" s="33">
        <f>'Dados - Cliente'!AE191</f>
        <v>0</v>
      </c>
      <c r="AL191" s="33">
        <f>'Dados - Cliente'!AF191</f>
        <v>0</v>
      </c>
      <c r="AM191" s="36" t="e">
        <f>INDEX('Dados - Inversores'!$A:$A,MATCH('1'!AL191,'Dados - Inversores'!$C:$C,0))</f>
        <v>#N/A</v>
      </c>
      <c r="AN191" s="33">
        <f>'Dados - Cliente'!AG191</f>
        <v>0</v>
      </c>
      <c r="AO191" s="33" t="e">
        <f>AA191*1.25/(0.22*SQRT(INDEX('Dados - Inversores'!AK:AK,MATCH('1'!AL191,'Dados - Inversores'!C:C,0))))</f>
        <v>#N/A</v>
      </c>
      <c r="AP191" s="34">
        <f>INDEX(Dados!$E$2:$E$33,COUNTIF(Dados!$E$2:$E$33,"&lt;="&amp;AN191*1.25/(INDEX('Dados - Inversores'!AL:AL,MATCH('1'!AL191,'Dados - Inversores'!C:C,0))*SQRT(INDEX('Dados - Inversores'!AK:AK,MATCH('1'!AL191,'Dados - Inversores'!C:C,0)))))+1)</f>
        <v>2</v>
      </c>
      <c r="AQ191" s="33" t="s">
        <v>59</v>
      </c>
      <c r="AR191" s="33" t="str">
        <f t="shared" si="18"/>
        <v>Micro</v>
      </c>
      <c r="AS191" s="33">
        <f>'Dados - Cliente'!AH191</f>
        <v>0</v>
      </c>
      <c r="AT191" s="33">
        <f>'Dados - Cliente'!AI191</f>
        <v>0</v>
      </c>
      <c r="AU191" s="33" t="e">
        <f>INDEX('Dados - Placas'!$N:$N,MATCH('1'!AG191,'Dados - Placas'!$D:$D,0))-1</f>
        <v>#N/A</v>
      </c>
      <c r="AV191" s="33" t="e">
        <f>INDEX('Dados - Placas'!$O:$O,MATCH('1'!AG191,'Dados - Placas'!$D:$D,0))</f>
        <v>#N/A</v>
      </c>
      <c r="AW191" s="33" t="e">
        <f>INDEX('Dados - Inversores'!AM:AM,MATCH('1'!AL191,'Dados - Inversores'!$C:$C,0))-1</f>
        <v>#N/A</v>
      </c>
      <c r="AX191" s="33" t="e">
        <f>INDEX('Dados - Inversores'!AN:AN,MATCH('1'!AL191,'Dados - Inversores'!$C:$C,0))-1</f>
        <v>#N/A</v>
      </c>
      <c r="AY191" s="33" t="e">
        <f>MATCH('1'!H191,Dados!$D$89:$D$167,0)+1</f>
        <v>#N/A</v>
      </c>
      <c r="AZ191" s="33" t="e">
        <f>MATCH('1'!N191,'Dados - Solicitação de acesso'!$N$2:$N$8,0)</f>
        <v>#N/A</v>
      </c>
      <c r="BA191" s="33" t="e">
        <f>MATCH('1'!T191,'Dados - Solicitação de acesso'!$T$2:$T$20,0)</f>
        <v>#N/A</v>
      </c>
      <c r="BB191" s="34"/>
      <c r="BC191" s="33">
        <f>MATCH(AT191,'Dados - Solicitação de acesso'!$AT$2:$AT$28,0)</f>
        <v>1</v>
      </c>
      <c r="BD191" s="33" t="b">
        <f>IF(O191="TRIFASICO",INDEX(Dados!G:G,MATCH('1'!AP191,Dados!E:E,0)),IF(O191="BIFASICO",INDEX(Dados!F:F,MATCH('1'!AP191,Dados!E:E,0),)))</f>
        <v>0</v>
      </c>
      <c r="BE191" s="33">
        <f>'Dados - Cliente'!J191</f>
        <v>0</v>
      </c>
      <c r="BF191" s="34">
        <f>INDEX(Dados!$E$2:$E$33,COUNTIF(Dados!$E$2:$E$33,"&lt;="&amp;AN191*1.25*AK191/(0.22*SQRT(INDEX('Dados - Inversores'!AK:AK,MATCH('1'!AL191,'Dados - Inversores'!C:C,0)))))+1)</f>
        <v>2</v>
      </c>
      <c r="BG191" s="34" t="b">
        <f>IF(O191="TRIFASICO",INDEX(Dados!G:G,MATCH(BF191,Dados!E:E,0)),IF(O191="BIFASICO",INDEX(Dados!F:F,MATCH(BF191,Dados!E:E,0),)))</f>
        <v>0</v>
      </c>
    </row>
    <row r="192" spans="1:59" s="33" customFormat="1" x14ac:dyDescent="0.35">
      <c r="A192" s="33">
        <f>'Dados - Cliente'!A192</f>
        <v>0</v>
      </c>
      <c r="B192" s="33">
        <f>'Dados - Cliente'!B192</f>
        <v>0</v>
      </c>
      <c r="C192" s="33">
        <f>'Dados - Cliente'!C192</f>
        <v>0</v>
      </c>
      <c r="D192" s="33">
        <f>'Dados - Cliente'!D192</f>
        <v>0</v>
      </c>
      <c r="E192" s="33">
        <f>'Dados - Cliente'!E192</f>
        <v>0</v>
      </c>
      <c r="F192" s="33">
        <f>'Dados - Cliente'!F192</f>
        <v>0</v>
      </c>
      <c r="G192" s="33">
        <f>'Dados - Cliente'!G192</f>
        <v>0</v>
      </c>
      <c r="H192" s="33">
        <f>'Dados - Cliente'!H192</f>
        <v>0</v>
      </c>
      <c r="I192" s="75" t="s">
        <v>4313</v>
      </c>
      <c r="J192" s="52" t="s">
        <v>4314</v>
      </c>
      <c r="K192" s="52" t="s">
        <v>4314</v>
      </c>
      <c r="L192" s="33">
        <f>'Dados - Cliente'!I192</f>
        <v>0</v>
      </c>
      <c r="M192" s="33">
        <f>'Dados - Cliente'!K192</f>
        <v>0</v>
      </c>
      <c r="N192" s="33">
        <f>'Dados - Cliente'!L192</f>
        <v>0</v>
      </c>
      <c r="O192" s="33">
        <f>'Dados - Cliente'!M192</f>
        <v>0</v>
      </c>
      <c r="P192" s="33">
        <f>'Dados - Cliente'!N192</f>
        <v>0</v>
      </c>
      <c r="Q192" s="33">
        <f>'Dados - Cliente'!O192</f>
        <v>0</v>
      </c>
      <c r="R192" s="33">
        <f>'Dados - Cliente'!P192</f>
        <v>0</v>
      </c>
      <c r="S192" s="33">
        <f>'Dados - Cliente'!Q192</f>
        <v>0</v>
      </c>
      <c r="T192" s="33">
        <f>'Dados - Cliente'!R192</f>
        <v>0</v>
      </c>
      <c r="U192" s="34">
        <f>'Dados - Cliente'!S192</f>
        <v>0</v>
      </c>
      <c r="V192" s="34">
        <f>'Dados - Cliente'!T192</f>
        <v>0</v>
      </c>
      <c r="W192" s="34">
        <f>'Dados - Cliente'!U192</f>
        <v>0</v>
      </c>
      <c r="X192" s="34">
        <f>'Dados - Cliente'!V192</f>
        <v>0</v>
      </c>
      <c r="Y192" s="34">
        <f>'Dados - Cliente'!W192</f>
        <v>0</v>
      </c>
      <c r="Z192" s="34">
        <f>'Dados - Cliente'!X192</f>
        <v>0</v>
      </c>
      <c r="AA192" s="33" t="e">
        <f t="shared" si="17"/>
        <v>#N/A</v>
      </c>
      <c r="AB192" s="33">
        <f>'Dados - Cliente'!Y192</f>
        <v>0</v>
      </c>
      <c r="AC192" s="33">
        <f>'Dados - Cliente'!Z192</f>
        <v>0</v>
      </c>
      <c r="AD192" s="33">
        <f>'Dados - Cliente'!AA192</f>
        <v>0</v>
      </c>
      <c r="AE192" s="33">
        <f>'Dados - Cliente'!AB192</f>
        <v>0</v>
      </c>
      <c r="AF192" s="33">
        <f>'Dados - Cliente'!AC192</f>
        <v>0</v>
      </c>
      <c r="AG192" s="35">
        <f>'Dados - Cliente'!AD192</f>
        <v>0</v>
      </c>
      <c r="AH192" s="33" t="e">
        <f>INDEX('Dados - Placas'!$A:$A,MATCH('1'!AG192,'Dados - Placas'!$D:$D,0))</f>
        <v>#N/A</v>
      </c>
      <c r="AI192" s="35" t="e">
        <f>INDEX('Dados - Placas'!$E:$E,MATCH('1'!AG192,'Dados - Placas'!$D:$D,0))</f>
        <v>#N/A</v>
      </c>
      <c r="AJ192" s="34" t="e">
        <f>INDEX('Dados - Placas'!$F:$F,MATCH('1'!AG192,'Dados - Placas'!$D:$D,0))*AF192</f>
        <v>#N/A</v>
      </c>
      <c r="AK192" s="33">
        <f>'Dados - Cliente'!AE192</f>
        <v>0</v>
      </c>
      <c r="AL192" s="33">
        <f>'Dados - Cliente'!AF192</f>
        <v>0</v>
      </c>
      <c r="AM192" s="36" t="e">
        <f>INDEX('Dados - Inversores'!$A:$A,MATCH('1'!AL192,'Dados - Inversores'!$C:$C,0))</f>
        <v>#N/A</v>
      </c>
      <c r="AN192" s="33">
        <f>'Dados - Cliente'!AG192</f>
        <v>0</v>
      </c>
      <c r="AO192" s="33" t="e">
        <f>AA192*1.25/(0.22*SQRT(INDEX('Dados - Inversores'!AK:AK,MATCH('1'!AL192,'Dados - Inversores'!C:C,0))))</f>
        <v>#N/A</v>
      </c>
      <c r="AP192" s="34">
        <f>INDEX(Dados!$E$2:$E$33,COUNTIF(Dados!$E$2:$E$33,"&lt;="&amp;AN192*1.25/(INDEX('Dados - Inversores'!AL:AL,MATCH('1'!AL192,'Dados - Inversores'!C:C,0))*SQRT(INDEX('Dados - Inversores'!AK:AK,MATCH('1'!AL192,'Dados - Inversores'!C:C,0)))))+1)</f>
        <v>2</v>
      </c>
      <c r="AQ192" s="33" t="s">
        <v>59</v>
      </c>
      <c r="AR192" s="33" t="str">
        <f t="shared" si="18"/>
        <v>Micro</v>
      </c>
      <c r="AS192" s="33">
        <f>'Dados - Cliente'!AH192</f>
        <v>0</v>
      </c>
      <c r="AT192" s="33">
        <f>'Dados - Cliente'!AI192</f>
        <v>0</v>
      </c>
      <c r="AU192" s="33" t="e">
        <f>INDEX('Dados - Placas'!$N:$N,MATCH('1'!AG192,'Dados - Placas'!$D:$D,0))-1</f>
        <v>#N/A</v>
      </c>
      <c r="AV192" s="33" t="e">
        <f>INDEX('Dados - Placas'!$O:$O,MATCH('1'!AG192,'Dados - Placas'!$D:$D,0))</f>
        <v>#N/A</v>
      </c>
      <c r="AW192" s="33" t="e">
        <f>INDEX('Dados - Inversores'!AM:AM,MATCH('1'!AL192,'Dados - Inversores'!$C:$C,0))-1</f>
        <v>#N/A</v>
      </c>
      <c r="AX192" s="33" t="e">
        <f>INDEX('Dados - Inversores'!AN:AN,MATCH('1'!AL192,'Dados - Inversores'!$C:$C,0))-1</f>
        <v>#N/A</v>
      </c>
      <c r="AY192" s="33" t="e">
        <f>MATCH('1'!H192,Dados!$D$89:$D$167,0)+1</f>
        <v>#N/A</v>
      </c>
      <c r="AZ192" s="33" t="e">
        <f>MATCH('1'!N192,'Dados - Solicitação de acesso'!$N$2:$N$8,0)</f>
        <v>#N/A</v>
      </c>
      <c r="BA192" s="33" t="e">
        <f>MATCH('1'!T192,'Dados - Solicitação de acesso'!$T$2:$T$20,0)</f>
        <v>#N/A</v>
      </c>
      <c r="BB192" s="34"/>
      <c r="BC192" s="33">
        <f>MATCH(AT192,'Dados - Solicitação de acesso'!$AT$2:$AT$28,0)</f>
        <v>1</v>
      </c>
      <c r="BD192" s="33" t="b">
        <f>IF(O192="TRIFASICO",INDEX(Dados!G:G,MATCH('1'!AP192,Dados!E:E,0)),IF(O192="BIFASICO",INDEX(Dados!F:F,MATCH('1'!AP192,Dados!E:E,0),)))</f>
        <v>0</v>
      </c>
      <c r="BE192" s="33">
        <f>'Dados - Cliente'!J192</f>
        <v>0</v>
      </c>
      <c r="BF192" s="34">
        <f>INDEX(Dados!$E$2:$E$33,COUNTIF(Dados!$E$2:$E$33,"&lt;="&amp;AN192*1.25*AK192/(0.22*SQRT(INDEX('Dados - Inversores'!AK:AK,MATCH('1'!AL192,'Dados - Inversores'!C:C,0)))))+1)</f>
        <v>2</v>
      </c>
      <c r="BG192" s="34" t="b">
        <f>IF(O192="TRIFASICO",INDEX(Dados!G:G,MATCH(BF192,Dados!E:E,0)),IF(O192="BIFASICO",INDEX(Dados!F:F,MATCH(BF192,Dados!E:E,0),)))</f>
        <v>0</v>
      </c>
    </row>
    <row r="193" spans="1:59" s="33" customFormat="1" x14ac:dyDescent="0.35">
      <c r="A193" s="33">
        <f>'Dados - Cliente'!A193</f>
        <v>0</v>
      </c>
      <c r="B193" s="33">
        <f>'Dados - Cliente'!B193</f>
        <v>0</v>
      </c>
      <c r="C193" s="33">
        <f>'Dados - Cliente'!C193</f>
        <v>0</v>
      </c>
      <c r="D193" s="33">
        <f>'Dados - Cliente'!D193</f>
        <v>0</v>
      </c>
      <c r="E193" s="33">
        <f>'Dados - Cliente'!E193</f>
        <v>0</v>
      </c>
      <c r="F193" s="33">
        <f>'Dados - Cliente'!F193</f>
        <v>0</v>
      </c>
      <c r="G193" s="33">
        <f>'Dados - Cliente'!G193</f>
        <v>0</v>
      </c>
      <c r="H193" s="33">
        <f>'Dados - Cliente'!H193</f>
        <v>0</v>
      </c>
      <c r="I193" s="75" t="s">
        <v>4313</v>
      </c>
      <c r="J193" s="52" t="s">
        <v>4314</v>
      </c>
      <c r="K193" s="52" t="s">
        <v>4314</v>
      </c>
      <c r="L193" s="33">
        <f>'Dados - Cliente'!I193</f>
        <v>0</v>
      </c>
      <c r="M193" s="33">
        <f>'Dados - Cliente'!K193</f>
        <v>0</v>
      </c>
      <c r="N193" s="33">
        <f>'Dados - Cliente'!L193</f>
        <v>0</v>
      </c>
      <c r="O193" s="33">
        <f>'Dados - Cliente'!M193</f>
        <v>0</v>
      </c>
      <c r="P193" s="33">
        <f>'Dados - Cliente'!N193</f>
        <v>0</v>
      </c>
      <c r="Q193" s="33">
        <f>'Dados - Cliente'!O193</f>
        <v>0</v>
      </c>
      <c r="R193" s="33">
        <f>'Dados - Cliente'!P193</f>
        <v>0</v>
      </c>
      <c r="S193" s="33">
        <f>'Dados - Cliente'!Q193</f>
        <v>0</v>
      </c>
      <c r="T193" s="33">
        <f>'Dados - Cliente'!R193</f>
        <v>0</v>
      </c>
      <c r="U193" s="34">
        <f>'Dados - Cliente'!S193</f>
        <v>0</v>
      </c>
      <c r="V193" s="34">
        <f>'Dados - Cliente'!T193</f>
        <v>0</v>
      </c>
      <c r="W193" s="34">
        <f>'Dados - Cliente'!U193</f>
        <v>0</v>
      </c>
      <c r="X193" s="34">
        <f>'Dados - Cliente'!V193</f>
        <v>0</v>
      </c>
      <c r="Y193" s="34">
        <f>'Dados - Cliente'!W193</f>
        <v>0</v>
      </c>
      <c r="Z193" s="34">
        <f>'Dados - Cliente'!X193</f>
        <v>0</v>
      </c>
      <c r="AA193" s="33" t="e">
        <f t="shared" si="17"/>
        <v>#N/A</v>
      </c>
      <c r="AB193" s="33">
        <f>'Dados - Cliente'!Y193</f>
        <v>0</v>
      </c>
      <c r="AC193" s="33">
        <f>'Dados - Cliente'!Z193</f>
        <v>0</v>
      </c>
      <c r="AD193" s="33">
        <f>'Dados - Cliente'!AA193</f>
        <v>0</v>
      </c>
      <c r="AE193" s="33">
        <f>'Dados - Cliente'!AB193</f>
        <v>0</v>
      </c>
      <c r="AF193" s="33">
        <f>'Dados - Cliente'!AC193</f>
        <v>0</v>
      </c>
      <c r="AG193" s="35">
        <f>'Dados - Cliente'!AD193</f>
        <v>0</v>
      </c>
      <c r="AH193" s="33" t="e">
        <f>INDEX('Dados - Placas'!$A:$A,MATCH('1'!AG193,'Dados - Placas'!$D:$D,0))</f>
        <v>#N/A</v>
      </c>
      <c r="AI193" s="35" t="e">
        <f>INDEX('Dados - Placas'!$E:$E,MATCH('1'!AG193,'Dados - Placas'!$D:$D,0))</f>
        <v>#N/A</v>
      </c>
      <c r="AJ193" s="34" t="e">
        <f>INDEX('Dados - Placas'!$F:$F,MATCH('1'!AG193,'Dados - Placas'!$D:$D,0))*AF193</f>
        <v>#N/A</v>
      </c>
      <c r="AK193" s="33">
        <f>'Dados - Cliente'!AE193</f>
        <v>0</v>
      </c>
      <c r="AL193" s="33">
        <f>'Dados - Cliente'!AF193</f>
        <v>0</v>
      </c>
      <c r="AM193" s="36" t="e">
        <f>INDEX('Dados - Inversores'!$A:$A,MATCH('1'!AL193,'Dados - Inversores'!$C:$C,0))</f>
        <v>#N/A</v>
      </c>
      <c r="AN193" s="33">
        <f>'Dados - Cliente'!AG193</f>
        <v>0</v>
      </c>
      <c r="AO193" s="33" t="e">
        <f>AA193*1.25/(0.22*SQRT(INDEX('Dados - Inversores'!AK:AK,MATCH('1'!AL193,'Dados - Inversores'!C:C,0))))</f>
        <v>#N/A</v>
      </c>
      <c r="AP193" s="34">
        <f>INDEX(Dados!$E$2:$E$33,COUNTIF(Dados!$E$2:$E$33,"&lt;="&amp;AN193*1.25/(INDEX('Dados - Inversores'!AL:AL,MATCH('1'!AL193,'Dados - Inversores'!C:C,0))*SQRT(INDEX('Dados - Inversores'!AK:AK,MATCH('1'!AL193,'Dados - Inversores'!C:C,0)))))+1)</f>
        <v>2</v>
      </c>
      <c r="AQ193" s="33" t="s">
        <v>59</v>
      </c>
      <c r="AR193" s="33" t="str">
        <f t="shared" si="18"/>
        <v>Micro</v>
      </c>
      <c r="AS193" s="33">
        <f>'Dados - Cliente'!AH193</f>
        <v>0</v>
      </c>
      <c r="AT193" s="33">
        <f>'Dados - Cliente'!AI193</f>
        <v>0</v>
      </c>
      <c r="AU193" s="33" t="e">
        <f>INDEX('Dados - Placas'!$N:$N,MATCH('1'!AG193,'Dados - Placas'!$D:$D,0))-1</f>
        <v>#N/A</v>
      </c>
      <c r="AV193" s="33" t="e">
        <f>INDEX('Dados - Placas'!$O:$O,MATCH('1'!AG193,'Dados - Placas'!$D:$D,0))</f>
        <v>#N/A</v>
      </c>
      <c r="AW193" s="33" t="e">
        <f>INDEX('Dados - Inversores'!AM:AM,MATCH('1'!AL193,'Dados - Inversores'!$C:$C,0))-1</f>
        <v>#N/A</v>
      </c>
      <c r="AX193" s="33" t="e">
        <f>INDEX('Dados - Inversores'!AN:AN,MATCH('1'!AL193,'Dados - Inversores'!$C:$C,0))-1</f>
        <v>#N/A</v>
      </c>
      <c r="AY193" s="33" t="e">
        <f>MATCH('1'!H193,Dados!$D$89:$D$167,0)+1</f>
        <v>#N/A</v>
      </c>
      <c r="AZ193" s="33" t="e">
        <f>MATCH('1'!N193,'Dados - Solicitação de acesso'!$N$2:$N$8,0)</f>
        <v>#N/A</v>
      </c>
      <c r="BA193" s="33" t="e">
        <f>MATCH('1'!T193,'Dados - Solicitação de acesso'!$T$2:$T$20,0)</f>
        <v>#N/A</v>
      </c>
      <c r="BB193" s="34"/>
      <c r="BC193" s="33">
        <f>MATCH(AT193,'Dados - Solicitação de acesso'!$AT$2:$AT$28,0)</f>
        <v>1</v>
      </c>
      <c r="BD193" s="33" t="b">
        <f>IF(O193="TRIFASICO",INDEX(Dados!G:G,MATCH('1'!AP193,Dados!E:E,0)),IF(O193="BIFASICO",INDEX(Dados!F:F,MATCH('1'!AP193,Dados!E:E,0),)))</f>
        <v>0</v>
      </c>
      <c r="BE193" s="33">
        <f>'Dados - Cliente'!J193</f>
        <v>0</v>
      </c>
      <c r="BF193" s="34">
        <f>INDEX(Dados!$E$2:$E$33,COUNTIF(Dados!$E$2:$E$33,"&lt;="&amp;AN193*1.25*AK193/(0.22*SQRT(INDEX('Dados - Inversores'!AK:AK,MATCH('1'!AL193,'Dados - Inversores'!C:C,0)))))+1)</f>
        <v>2</v>
      </c>
      <c r="BG193" s="34" t="b">
        <f>IF(O193="TRIFASICO",INDEX(Dados!G:G,MATCH(BF193,Dados!E:E,0)),IF(O193="BIFASICO",INDEX(Dados!F:F,MATCH(BF193,Dados!E:E,0),)))</f>
        <v>0</v>
      </c>
    </row>
    <row r="194" spans="1:59" s="33" customFormat="1" x14ac:dyDescent="0.35">
      <c r="A194" s="33">
        <f>'Dados - Cliente'!A194</f>
        <v>0</v>
      </c>
      <c r="B194" s="33">
        <f>'Dados - Cliente'!B194</f>
        <v>0</v>
      </c>
      <c r="C194" s="33">
        <f>'Dados - Cliente'!C194</f>
        <v>0</v>
      </c>
      <c r="D194" s="33">
        <f>'Dados - Cliente'!D194</f>
        <v>0</v>
      </c>
      <c r="E194" s="33">
        <f>'Dados - Cliente'!E194</f>
        <v>0</v>
      </c>
      <c r="F194" s="33">
        <f>'Dados - Cliente'!F194</f>
        <v>0</v>
      </c>
      <c r="G194" s="33">
        <f>'Dados - Cliente'!G194</f>
        <v>0</v>
      </c>
      <c r="H194" s="33">
        <f>'Dados - Cliente'!H194</f>
        <v>0</v>
      </c>
      <c r="I194" s="75" t="s">
        <v>4313</v>
      </c>
      <c r="J194" s="52" t="s">
        <v>4314</v>
      </c>
      <c r="K194" s="52" t="s">
        <v>4314</v>
      </c>
      <c r="L194" s="33">
        <f>'Dados - Cliente'!I194</f>
        <v>0</v>
      </c>
      <c r="M194" s="33">
        <f>'Dados - Cliente'!K194</f>
        <v>0</v>
      </c>
      <c r="N194" s="33">
        <f>'Dados - Cliente'!L194</f>
        <v>0</v>
      </c>
      <c r="O194" s="33">
        <f>'Dados - Cliente'!M194</f>
        <v>0</v>
      </c>
      <c r="P194" s="33">
        <f>'Dados - Cliente'!N194</f>
        <v>0</v>
      </c>
      <c r="Q194" s="33">
        <f>'Dados - Cliente'!O194</f>
        <v>0</v>
      </c>
      <c r="R194" s="33">
        <f>'Dados - Cliente'!P194</f>
        <v>0</v>
      </c>
      <c r="S194" s="33">
        <f>'Dados - Cliente'!Q194</f>
        <v>0</v>
      </c>
      <c r="T194" s="33">
        <f>'Dados - Cliente'!R194</f>
        <v>0</v>
      </c>
      <c r="U194" s="34">
        <f>'Dados - Cliente'!S194</f>
        <v>0</v>
      </c>
      <c r="V194" s="34">
        <f>'Dados - Cliente'!T194</f>
        <v>0</v>
      </c>
      <c r="W194" s="34">
        <f>'Dados - Cliente'!U194</f>
        <v>0</v>
      </c>
      <c r="X194" s="34">
        <f>'Dados - Cliente'!V194</f>
        <v>0</v>
      </c>
      <c r="Y194" s="34">
        <f>'Dados - Cliente'!W194</f>
        <v>0</v>
      </c>
      <c r="Z194" s="34">
        <f>'Dados - Cliente'!X194</f>
        <v>0</v>
      </c>
      <c r="AA194" s="33" t="e">
        <f t="shared" si="17"/>
        <v>#N/A</v>
      </c>
      <c r="AB194" s="33">
        <f>'Dados - Cliente'!Y194</f>
        <v>0</v>
      </c>
      <c r="AC194" s="33">
        <f>'Dados - Cliente'!Z194</f>
        <v>0</v>
      </c>
      <c r="AD194" s="33">
        <f>'Dados - Cliente'!AA194</f>
        <v>0</v>
      </c>
      <c r="AE194" s="33">
        <f>'Dados - Cliente'!AB194</f>
        <v>0</v>
      </c>
      <c r="AF194" s="33">
        <f>'Dados - Cliente'!AC194</f>
        <v>0</v>
      </c>
      <c r="AG194" s="35">
        <f>'Dados - Cliente'!AD194</f>
        <v>0</v>
      </c>
      <c r="AH194" s="33" t="e">
        <f>INDEX('Dados - Placas'!$A:$A,MATCH('1'!AG194,'Dados - Placas'!$D:$D,0))</f>
        <v>#N/A</v>
      </c>
      <c r="AI194" s="35" t="e">
        <f>INDEX('Dados - Placas'!$E:$E,MATCH('1'!AG194,'Dados - Placas'!$D:$D,0))</f>
        <v>#N/A</v>
      </c>
      <c r="AJ194" s="34" t="e">
        <f>INDEX('Dados - Placas'!$F:$F,MATCH('1'!AG194,'Dados - Placas'!$D:$D,0))*AF194</f>
        <v>#N/A</v>
      </c>
      <c r="AK194" s="33">
        <f>'Dados - Cliente'!AE194</f>
        <v>0</v>
      </c>
      <c r="AL194" s="33">
        <f>'Dados - Cliente'!AF194</f>
        <v>0</v>
      </c>
      <c r="AM194" s="36" t="e">
        <f>INDEX('Dados - Inversores'!$A:$A,MATCH('1'!AL194,'Dados - Inversores'!$C:$C,0))</f>
        <v>#N/A</v>
      </c>
      <c r="AN194" s="33">
        <f>'Dados - Cliente'!AG194</f>
        <v>0</v>
      </c>
      <c r="AO194" s="33" t="e">
        <f>AA194*1.25/(0.22*SQRT(INDEX('Dados - Inversores'!AK:AK,MATCH('1'!AL194,'Dados - Inversores'!C:C,0))))</f>
        <v>#N/A</v>
      </c>
      <c r="AP194" s="34">
        <f>INDEX(Dados!$E$2:$E$33,COUNTIF(Dados!$E$2:$E$33,"&lt;="&amp;AN194*1.25/(INDEX('Dados - Inversores'!AL:AL,MATCH('1'!AL194,'Dados - Inversores'!C:C,0))*SQRT(INDEX('Dados - Inversores'!AK:AK,MATCH('1'!AL194,'Dados - Inversores'!C:C,0)))))+1)</f>
        <v>2</v>
      </c>
      <c r="AQ194" s="33" t="s">
        <v>59</v>
      </c>
      <c r="AR194" s="33" t="str">
        <f t="shared" si="18"/>
        <v>Micro</v>
      </c>
      <c r="AS194" s="33">
        <f>'Dados - Cliente'!AH194</f>
        <v>0</v>
      </c>
      <c r="AT194" s="33">
        <f>'Dados - Cliente'!AI194</f>
        <v>0</v>
      </c>
      <c r="AU194" s="33" t="e">
        <f>INDEX('Dados - Placas'!$N:$N,MATCH('1'!AG194,'Dados - Placas'!$D:$D,0))-1</f>
        <v>#N/A</v>
      </c>
      <c r="AV194" s="33" t="e">
        <f>INDEX('Dados - Placas'!$O:$O,MATCH('1'!AG194,'Dados - Placas'!$D:$D,0))</f>
        <v>#N/A</v>
      </c>
      <c r="AW194" s="33" t="e">
        <f>INDEX('Dados - Inversores'!AM:AM,MATCH('1'!AL194,'Dados - Inversores'!$C:$C,0))-1</f>
        <v>#N/A</v>
      </c>
      <c r="AX194" s="33" t="e">
        <f>INDEX('Dados - Inversores'!AN:AN,MATCH('1'!AL194,'Dados - Inversores'!$C:$C,0))-1</f>
        <v>#N/A</v>
      </c>
      <c r="AY194" s="33" t="e">
        <f>MATCH('1'!H194,Dados!$D$89:$D$167,0)+1</f>
        <v>#N/A</v>
      </c>
      <c r="AZ194" s="33" t="e">
        <f>MATCH('1'!N194,'Dados - Solicitação de acesso'!$N$2:$N$8,0)</f>
        <v>#N/A</v>
      </c>
      <c r="BA194" s="33" t="e">
        <f>MATCH('1'!T194,'Dados - Solicitação de acesso'!$T$2:$T$20,0)</f>
        <v>#N/A</v>
      </c>
      <c r="BB194" s="34"/>
      <c r="BC194" s="33">
        <f>MATCH(AT194,'Dados - Solicitação de acesso'!$AT$2:$AT$28,0)</f>
        <v>1</v>
      </c>
      <c r="BD194" s="33" t="b">
        <f>IF(O194="TRIFASICO",INDEX(Dados!G:G,MATCH('1'!AP194,Dados!E:E,0)),IF(O194="BIFASICO",INDEX(Dados!F:F,MATCH('1'!AP194,Dados!E:E,0),)))</f>
        <v>0</v>
      </c>
      <c r="BE194" s="33">
        <f>'Dados - Cliente'!J194</f>
        <v>0</v>
      </c>
      <c r="BF194" s="34">
        <f>INDEX(Dados!$E$2:$E$33,COUNTIF(Dados!$E$2:$E$33,"&lt;="&amp;AN194*1.25*AK194/(0.22*SQRT(INDEX('Dados - Inversores'!AK:AK,MATCH('1'!AL194,'Dados - Inversores'!C:C,0)))))+1)</f>
        <v>2</v>
      </c>
      <c r="BG194" s="34" t="b">
        <f>IF(O194="TRIFASICO",INDEX(Dados!G:G,MATCH(BF194,Dados!E:E,0)),IF(O194="BIFASICO",INDEX(Dados!F:F,MATCH(BF194,Dados!E:E,0),)))</f>
        <v>0</v>
      </c>
    </row>
    <row r="195" spans="1:59" s="33" customFormat="1" x14ac:dyDescent="0.35">
      <c r="A195" s="33">
        <f>'Dados - Cliente'!A195</f>
        <v>0</v>
      </c>
      <c r="B195" s="33">
        <f>'Dados - Cliente'!B195</f>
        <v>0</v>
      </c>
      <c r="C195" s="33">
        <f>'Dados - Cliente'!C195</f>
        <v>0</v>
      </c>
      <c r="D195" s="33">
        <f>'Dados - Cliente'!D195</f>
        <v>0</v>
      </c>
      <c r="E195" s="33">
        <f>'Dados - Cliente'!E195</f>
        <v>0</v>
      </c>
      <c r="F195" s="33">
        <f>'Dados - Cliente'!F195</f>
        <v>0</v>
      </c>
      <c r="G195" s="33">
        <f>'Dados - Cliente'!G195</f>
        <v>0</v>
      </c>
      <c r="H195" s="33">
        <f>'Dados - Cliente'!H195</f>
        <v>0</v>
      </c>
      <c r="I195" s="75" t="s">
        <v>4313</v>
      </c>
      <c r="J195" s="52" t="s">
        <v>4314</v>
      </c>
      <c r="K195" s="52" t="s">
        <v>4314</v>
      </c>
      <c r="L195" s="33">
        <f>'Dados - Cliente'!I195</f>
        <v>0</v>
      </c>
      <c r="M195" s="33">
        <f>'Dados - Cliente'!K195</f>
        <v>0</v>
      </c>
      <c r="N195" s="33">
        <f>'Dados - Cliente'!L195</f>
        <v>0</v>
      </c>
      <c r="O195" s="33">
        <f>'Dados - Cliente'!M195</f>
        <v>0</v>
      </c>
      <c r="P195" s="33">
        <f>'Dados - Cliente'!N195</f>
        <v>0</v>
      </c>
      <c r="Q195" s="33">
        <f>'Dados - Cliente'!O195</f>
        <v>0</v>
      </c>
      <c r="R195" s="33">
        <f>'Dados - Cliente'!P195</f>
        <v>0</v>
      </c>
      <c r="S195" s="33">
        <f>'Dados - Cliente'!Q195</f>
        <v>0</v>
      </c>
      <c r="T195" s="33">
        <f>'Dados - Cliente'!R195</f>
        <v>0</v>
      </c>
      <c r="U195" s="34">
        <f>'Dados - Cliente'!S195</f>
        <v>0</v>
      </c>
      <c r="V195" s="34">
        <f>'Dados - Cliente'!T195</f>
        <v>0</v>
      </c>
      <c r="W195" s="34">
        <f>'Dados - Cliente'!U195</f>
        <v>0</v>
      </c>
      <c r="X195" s="34">
        <f>'Dados - Cliente'!V195</f>
        <v>0</v>
      </c>
      <c r="Y195" s="34">
        <f>'Dados - Cliente'!W195</f>
        <v>0</v>
      </c>
      <c r="Z195" s="34">
        <f>'Dados - Cliente'!X195</f>
        <v>0</v>
      </c>
      <c r="AA195" s="33" t="e">
        <f t="shared" si="17"/>
        <v>#N/A</v>
      </c>
      <c r="AB195" s="33">
        <f>'Dados - Cliente'!Y195</f>
        <v>0</v>
      </c>
      <c r="AC195" s="33">
        <f>'Dados - Cliente'!Z195</f>
        <v>0</v>
      </c>
      <c r="AD195" s="33">
        <f>'Dados - Cliente'!AA195</f>
        <v>0</v>
      </c>
      <c r="AE195" s="33">
        <f>'Dados - Cliente'!AB195</f>
        <v>0</v>
      </c>
      <c r="AF195" s="33">
        <f>'Dados - Cliente'!AC195</f>
        <v>0</v>
      </c>
      <c r="AG195" s="35">
        <f>'Dados - Cliente'!AD195</f>
        <v>0</v>
      </c>
      <c r="AH195" s="33" t="e">
        <f>INDEX('Dados - Placas'!$A:$A,MATCH('1'!AG195,'Dados - Placas'!$D:$D,0))</f>
        <v>#N/A</v>
      </c>
      <c r="AI195" s="35" t="e">
        <f>INDEX('Dados - Placas'!$E:$E,MATCH('1'!AG195,'Dados - Placas'!$D:$D,0))</f>
        <v>#N/A</v>
      </c>
      <c r="AJ195" s="34" t="e">
        <f>INDEX('Dados - Placas'!$F:$F,MATCH('1'!AG195,'Dados - Placas'!$D:$D,0))*AF195</f>
        <v>#N/A</v>
      </c>
      <c r="AK195" s="33">
        <f>'Dados - Cliente'!AE195</f>
        <v>0</v>
      </c>
      <c r="AL195" s="33">
        <f>'Dados - Cliente'!AF195</f>
        <v>0</v>
      </c>
      <c r="AM195" s="36" t="e">
        <f>INDEX('Dados - Inversores'!$A:$A,MATCH('1'!AL195,'Dados - Inversores'!$C:$C,0))</f>
        <v>#N/A</v>
      </c>
      <c r="AN195" s="33">
        <f>'Dados - Cliente'!AG195</f>
        <v>0</v>
      </c>
      <c r="AO195" s="33" t="e">
        <f>AA195*1.25/(0.22*SQRT(INDEX('Dados - Inversores'!AK:AK,MATCH('1'!AL195,'Dados - Inversores'!C:C,0))))</f>
        <v>#N/A</v>
      </c>
      <c r="AP195" s="34">
        <f>INDEX(Dados!$E$2:$E$33,COUNTIF(Dados!$E$2:$E$33,"&lt;="&amp;AN195*1.25/(INDEX('Dados - Inversores'!AL:AL,MATCH('1'!AL195,'Dados - Inversores'!C:C,0))*SQRT(INDEX('Dados - Inversores'!AK:AK,MATCH('1'!AL195,'Dados - Inversores'!C:C,0)))))+1)</f>
        <v>2</v>
      </c>
      <c r="AQ195" s="33" t="s">
        <v>59</v>
      </c>
      <c r="AR195" s="33" t="str">
        <f t="shared" si="18"/>
        <v>Micro</v>
      </c>
      <c r="AS195" s="33">
        <f>'Dados - Cliente'!AH195</f>
        <v>0</v>
      </c>
      <c r="AT195" s="33">
        <f>'Dados - Cliente'!AI195</f>
        <v>0</v>
      </c>
      <c r="AU195" s="33" t="e">
        <f>INDEX('Dados - Placas'!$N:$N,MATCH('1'!AG195,'Dados - Placas'!$D:$D,0))-1</f>
        <v>#N/A</v>
      </c>
      <c r="AV195" s="33" t="e">
        <f>INDEX('Dados - Placas'!$O:$O,MATCH('1'!AG195,'Dados - Placas'!$D:$D,0))</f>
        <v>#N/A</v>
      </c>
      <c r="AW195" s="33" t="e">
        <f>INDEX('Dados - Inversores'!AM:AM,MATCH('1'!AL195,'Dados - Inversores'!$C:$C,0))-1</f>
        <v>#N/A</v>
      </c>
      <c r="AX195" s="33" t="e">
        <f>INDEX('Dados - Inversores'!AN:AN,MATCH('1'!AL195,'Dados - Inversores'!$C:$C,0))-1</f>
        <v>#N/A</v>
      </c>
      <c r="AY195" s="33" t="e">
        <f>MATCH('1'!H195,Dados!$D$89:$D$167,0)+1</f>
        <v>#N/A</v>
      </c>
      <c r="AZ195" s="33" t="e">
        <f>MATCH('1'!N195,'Dados - Solicitação de acesso'!$N$2:$N$8,0)</f>
        <v>#N/A</v>
      </c>
      <c r="BA195" s="33" t="e">
        <f>MATCH('1'!T195,'Dados - Solicitação de acesso'!$T$2:$T$20,0)</f>
        <v>#N/A</v>
      </c>
      <c r="BB195" s="34"/>
      <c r="BC195" s="33">
        <f>MATCH(AT195,'Dados - Solicitação de acesso'!$AT$2:$AT$28,0)</f>
        <v>1</v>
      </c>
      <c r="BD195" s="33" t="b">
        <f>IF(O195="TRIFASICO",INDEX(Dados!G:G,MATCH('1'!AP195,Dados!E:E,0)),IF(O195="BIFASICO",INDEX(Dados!F:F,MATCH('1'!AP195,Dados!E:E,0),)))</f>
        <v>0</v>
      </c>
      <c r="BE195" s="33">
        <f>'Dados - Cliente'!J195</f>
        <v>0</v>
      </c>
      <c r="BF195" s="34">
        <f>INDEX(Dados!$E$2:$E$33,COUNTIF(Dados!$E$2:$E$33,"&lt;="&amp;AN195*1.25*AK195/(0.22*SQRT(INDEX('Dados - Inversores'!AK:AK,MATCH('1'!AL195,'Dados - Inversores'!C:C,0)))))+1)</f>
        <v>2</v>
      </c>
      <c r="BG195" s="34" t="b">
        <f>IF(O195="TRIFASICO",INDEX(Dados!G:G,MATCH(BF195,Dados!E:E,0)),IF(O195="BIFASICO",INDEX(Dados!F:F,MATCH(BF195,Dados!E:E,0),)))</f>
        <v>0</v>
      </c>
    </row>
    <row r="196" spans="1:59" s="33" customFormat="1" x14ac:dyDescent="0.35">
      <c r="A196" s="33">
        <f>'Dados - Cliente'!A196</f>
        <v>0</v>
      </c>
      <c r="B196" s="33">
        <f>'Dados - Cliente'!B196</f>
        <v>0</v>
      </c>
      <c r="C196" s="33">
        <f>'Dados - Cliente'!C196</f>
        <v>0</v>
      </c>
      <c r="D196" s="33">
        <f>'Dados - Cliente'!D196</f>
        <v>0</v>
      </c>
      <c r="E196" s="33">
        <f>'Dados - Cliente'!E196</f>
        <v>0</v>
      </c>
      <c r="F196" s="33">
        <f>'Dados - Cliente'!F196</f>
        <v>0</v>
      </c>
      <c r="G196" s="33">
        <f>'Dados - Cliente'!G196</f>
        <v>0</v>
      </c>
      <c r="H196" s="33">
        <f>'Dados - Cliente'!H196</f>
        <v>0</v>
      </c>
      <c r="I196" s="75" t="s">
        <v>4313</v>
      </c>
      <c r="J196" s="52" t="s">
        <v>4314</v>
      </c>
      <c r="K196" s="52" t="s">
        <v>4314</v>
      </c>
      <c r="L196" s="33">
        <f>'Dados - Cliente'!I196</f>
        <v>0</v>
      </c>
      <c r="M196" s="33">
        <f>'Dados - Cliente'!K196</f>
        <v>0</v>
      </c>
      <c r="N196" s="33">
        <f>'Dados - Cliente'!L196</f>
        <v>0</v>
      </c>
      <c r="O196" s="33">
        <f>'Dados - Cliente'!M196</f>
        <v>0</v>
      </c>
      <c r="P196" s="33">
        <f>'Dados - Cliente'!N196</f>
        <v>0</v>
      </c>
      <c r="Q196" s="33">
        <f>'Dados - Cliente'!O196</f>
        <v>0</v>
      </c>
      <c r="R196" s="33">
        <f>'Dados - Cliente'!P196</f>
        <v>0</v>
      </c>
      <c r="S196" s="33">
        <f>'Dados - Cliente'!Q196</f>
        <v>0</v>
      </c>
      <c r="T196" s="33">
        <f>'Dados - Cliente'!R196</f>
        <v>0</v>
      </c>
      <c r="U196" s="34">
        <f>'Dados - Cliente'!S196</f>
        <v>0</v>
      </c>
      <c r="V196" s="34">
        <f>'Dados - Cliente'!T196</f>
        <v>0</v>
      </c>
      <c r="W196" s="34">
        <f>'Dados - Cliente'!U196</f>
        <v>0</v>
      </c>
      <c r="X196" s="34">
        <f>'Dados - Cliente'!V196</f>
        <v>0</v>
      </c>
      <c r="Y196" s="34">
        <f>'Dados - Cliente'!W196</f>
        <v>0</v>
      </c>
      <c r="Z196" s="34">
        <f>'Dados - Cliente'!X196</f>
        <v>0</v>
      </c>
      <c r="AA196" s="33" t="e">
        <f t="shared" si="17"/>
        <v>#N/A</v>
      </c>
      <c r="AB196" s="33">
        <f>'Dados - Cliente'!Y196</f>
        <v>0</v>
      </c>
      <c r="AC196" s="33">
        <f>'Dados - Cliente'!Z196</f>
        <v>0</v>
      </c>
      <c r="AD196" s="33">
        <f>'Dados - Cliente'!AA196</f>
        <v>0</v>
      </c>
      <c r="AE196" s="33">
        <f>'Dados - Cliente'!AB196</f>
        <v>0</v>
      </c>
      <c r="AF196" s="33">
        <f>'Dados - Cliente'!AC196</f>
        <v>0</v>
      </c>
      <c r="AG196" s="35">
        <f>'Dados - Cliente'!AD196</f>
        <v>0</v>
      </c>
      <c r="AH196" s="33" t="e">
        <f>INDEX('Dados - Placas'!$A:$A,MATCH('1'!AG196,'Dados - Placas'!$D:$D,0))</f>
        <v>#N/A</v>
      </c>
      <c r="AI196" s="35" t="e">
        <f>INDEX('Dados - Placas'!$E:$E,MATCH('1'!AG196,'Dados - Placas'!$D:$D,0))</f>
        <v>#N/A</v>
      </c>
      <c r="AJ196" s="34" t="e">
        <f>INDEX('Dados - Placas'!$F:$F,MATCH('1'!AG196,'Dados - Placas'!$D:$D,0))*AF196</f>
        <v>#N/A</v>
      </c>
      <c r="AK196" s="33">
        <f>'Dados - Cliente'!AE196</f>
        <v>0</v>
      </c>
      <c r="AL196" s="33">
        <f>'Dados - Cliente'!AF196</f>
        <v>0</v>
      </c>
      <c r="AM196" s="36" t="e">
        <f>INDEX('Dados - Inversores'!$A:$A,MATCH('1'!AL196,'Dados - Inversores'!$C:$C,0))</f>
        <v>#N/A</v>
      </c>
      <c r="AN196" s="33">
        <f>'Dados - Cliente'!AG196</f>
        <v>0</v>
      </c>
      <c r="AO196" s="33" t="e">
        <f>AA196*1.25/(0.22*SQRT(INDEX('Dados - Inversores'!AK:AK,MATCH('1'!AL196,'Dados - Inversores'!C:C,0))))</f>
        <v>#N/A</v>
      </c>
      <c r="AP196" s="34">
        <f>INDEX(Dados!$E$2:$E$33,COUNTIF(Dados!$E$2:$E$33,"&lt;="&amp;AN196*1.25/(INDEX('Dados - Inversores'!AL:AL,MATCH('1'!AL196,'Dados - Inversores'!C:C,0))*SQRT(INDEX('Dados - Inversores'!AK:AK,MATCH('1'!AL196,'Dados - Inversores'!C:C,0)))))+1)</f>
        <v>2</v>
      </c>
      <c r="AQ196" s="33" t="s">
        <v>59</v>
      </c>
      <c r="AR196" s="33" t="str">
        <f t="shared" si="18"/>
        <v>Micro</v>
      </c>
      <c r="AS196" s="33">
        <f>'Dados - Cliente'!AH196</f>
        <v>0</v>
      </c>
      <c r="AT196" s="33">
        <f>'Dados - Cliente'!AI196</f>
        <v>0</v>
      </c>
      <c r="AU196" s="33" t="e">
        <f>INDEX('Dados - Placas'!$N:$N,MATCH('1'!AG196,'Dados - Placas'!$D:$D,0))-1</f>
        <v>#N/A</v>
      </c>
      <c r="AV196" s="33" t="e">
        <f>INDEX('Dados - Placas'!$O:$O,MATCH('1'!AG196,'Dados - Placas'!$D:$D,0))</f>
        <v>#N/A</v>
      </c>
      <c r="AW196" s="33" t="e">
        <f>INDEX('Dados - Inversores'!AM:AM,MATCH('1'!AL196,'Dados - Inversores'!$C:$C,0))-1</f>
        <v>#N/A</v>
      </c>
      <c r="AX196" s="33" t="e">
        <f>INDEX('Dados - Inversores'!AN:AN,MATCH('1'!AL196,'Dados - Inversores'!$C:$C,0))-1</f>
        <v>#N/A</v>
      </c>
      <c r="AY196" s="33" t="e">
        <f>MATCH('1'!H196,Dados!$D$89:$D$167,0)+1</f>
        <v>#N/A</v>
      </c>
      <c r="AZ196" s="33" t="e">
        <f>MATCH('1'!N196,'Dados - Solicitação de acesso'!$N$2:$N$8,0)</f>
        <v>#N/A</v>
      </c>
      <c r="BA196" s="33" t="e">
        <f>MATCH('1'!T196,'Dados - Solicitação de acesso'!$T$2:$T$20,0)</f>
        <v>#N/A</v>
      </c>
      <c r="BB196" s="34"/>
      <c r="BC196" s="33">
        <f>MATCH(AT196,'Dados - Solicitação de acesso'!$AT$2:$AT$28,0)</f>
        <v>1</v>
      </c>
      <c r="BD196" s="33" t="b">
        <f>IF(O196="TRIFASICO",INDEX(Dados!G:G,MATCH('1'!AP196,Dados!E:E,0)),IF(O196="BIFASICO",INDEX(Dados!F:F,MATCH('1'!AP196,Dados!E:E,0),)))</f>
        <v>0</v>
      </c>
      <c r="BE196" s="33">
        <f>'Dados - Cliente'!J196</f>
        <v>0</v>
      </c>
      <c r="BF196" s="34">
        <f>INDEX(Dados!$E$2:$E$33,COUNTIF(Dados!$E$2:$E$33,"&lt;="&amp;AN196*1.25*AK196/(0.22*SQRT(INDEX('Dados - Inversores'!AK:AK,MATCH('1'!AL196,'Dados - Inversores'!C:C,0)))))+1)</f>
        <v>2</v>
      </c>
      <c r="BG196" s="34" t="b">
        <f>IF(O196="TRIFASICO",INDEX(Dados!G:G,MATCH(BF196,Dados!E:E,0)),IF(O196="BIFASICO",INDEX(Dados!F:F,MATCH(BF196,Dados!E:E,0),)))</f>
        <v>0</v>
      </c>
    </row>
    <row r="197" spans="1:59" s="33" customFormat="1" x14ac:dyDescent="0.35">
      <c r="A197" s="33">
        <f>'Dados - Cliente'!A197</f>
        <v>0</v>
      </c>
      <c r="B197" s="33">
        <f>'Dados - Cliente'!B197</f>
        <v>0</v>
      </c>
      <c r="C197" s="33">
        <f>'Dados - Cliente'!C197</f>
        <v>0</v>
      </c>
      <c r="D197" s="33">
        <f>'Dados - Cliente'!D197</f>
        <v>0</v>
      </c>
      <c r="E197" s="33">
        <f>'Dados - Cliente'!E197</f>
        <v>0</v>
      </c>
      <c r="F197" s="33">
        <f>'Dados - Cliente'!F197</f>
        <v>0</v>
      </c>
      <c r="G197" s="33">
        <f>'Dados - Cliente'!G197</f>
        <v>0</v>
      </c>
      <c r="H197" s="33">
        <f>'Dados - Cliente'!H197</f>
        <v>0</v>
      </c>
      <c r="I197" s="75" t="s">
        <v>4313</v>
      </c>
      <c r="J197" s="52" t="s">
        <v>4314</v>
      </c>
      <c r="K197" s="52" t="s">
        <v>4314</v>
      </c>
      <c r="L197" s="33">
        <f>'Dados - Cliente'!I197</f>
        <v>0</v>
      </c>
      <c r="M197" s="33">
        <f>'Dados - Cliente'!K197</f>
        <v>0</v>
      </c>
      <c r="N197" s="33">
        <f>'Dados - Cliente'!L197</f>
        <v>0</v>
      </c>
      <c r="O197" s="33">
        <f>'Dados - Cliente'!M197</f>
        <v>0</v>
      </c>
      <c r="P197" s="33">
        <f>'Dados - Cliente'!N197</f>
        <v>0</v>
      </c>
      <c r="Q197" s="33">
        <f>'Dados - Cliente'!O197</f>
        <v>0</v>
      </c>
      <c r="R197" s="33">
        <f>'Dados - Cliente'!P197</f>
        <v>0</v>
      </c>
      <c r="S197" s="33">
        <f>'Dados - Cliente'!Q197</f>
        <v>0</v>
      </c>
      <c r="T197" s="33">
        <f>'Dados - Cliente'!R197</f>
        <v>0</v>
      </c>
      <c r="U197" s="34">
        <f>'Dados - Cliente'!S197</f>
        <v>0</v>
      </c>
      <c r="V197" s="34">
        <f>'Dados - Cliente'!T197</f>
        <v>0</v>
      </c>
      <c r="W197" s="34">
        <f>'Dados - Cliente'!U197</f>
        <v>0</v>
      </c>
      <c r="X197" s="34">
        <f>'Dados - Cliente'!V197</f>
        <v>0</v>
      </c>
      <c r="Y197" s="34">
        <f>'Dados - Cliente'!W197</f>
        <v>0</v>
      </c>
      <c r="Z197" s="34">
        <f>'Dados - Cliente'!X197</f>
        <v>0</v>
      </c>
      <c r="AA197" s="33" t="e">
        <f t="shared" si="17"/>
        <v>#N/A</v>
      </c>
      <c r="AB197" s="33">
        <f>'Dados - Cliente'!Y197</f>
        <v>0</v>
      </c>
      <c r="AC197" s="33">
        <f>'Dados - Cliente'!Z197</f>
        <v>0</v>
      </c>
      <c r="AD197" s="33">
        <f>'Dados - Cliente'!AA197</f>
        <v>0</v>
      </c>
      <c r="AE197" s="33">
        <f>'Dados - Cliente'!AB197</f>
        <v>0</v>
      </c>
      <c r="AF197" s="33">
        <f>'Dados - Cliente'!AC197</f>
        <v>0</v>
      </c>
      <c r="AG197" s="35">
        <f>'Dados - Cliente'!AD197</f>
        <v>0</v>
      </c>
      <c r="AH197" s="33" t="e">
        <f>INDEX('Dados - Placas'!$A:$A,MATCH('1'!AG197,'Dados - Placas'!$D:$D,0))</f>
        <v>#N/A</v>
      </c>
      <c r="AI197" s="35" t="e">
        <f>INDEX('Dados - Placas'!$E:$E,MATCH('1'!AG197,'Dados - Placas'!$D:$D,0))</f>
        <v>#N/A</v>
      </c>
      <c r="AJ197" s="34" t="e">
        <f>INDEX('Dados - Placas'!$F:$F,MATCH('1'!AG197,'Dados - Placas'!$D:$D,0))*AF197</f>
        <v>#N/A</v>
      </c>
      <c r="AK197" s="33">
        <f>'Dados - Cliente'!AE197</f>
        <v>0</v>
      </c>
      <c r="AL197" s="33">
        <f>'Dados - Cliente'!AF197</f>
        <v>0</v>
      </c>
      <c r="AM197" s="36" t="e">
        <f>INDEX('Dados - Inversores'!$A:$A,MATCH('1'!AL197,'Dados - Inversores'!$C:$C,0))</f>
        <v>#N/A</v>
      </c>
      <c r="AN197" s="33">
        <f>'Dados - Cliente'!AG197</f>
        <v>0</v>
      </c>
      <c r="AO197" s="33" t="e">
        <f>AA197*1.25/(0.22*SQRT(INDEX('Dados - Inversores'!AK:AK,MATCH('1'!AL197,'Dados - Inversores'!C:C,0))))</f>
        <v>#N/A</v>
      </c>
      <c r="AP197" s="34">
        <f>INDEX(Dados!$E$2:$E$33,COUNTIF(Dados!$E$2:$E$33,"&lt;="&amp;AN197*1.25/(INDEX('Dados - Inversores'!AL:AL,MATCH('1'!AL197,'Dados - Inversores'!C:C,0))*SQRT(INDEX('Dados - Inversores'!AK:AK,MATCH('1'!AL197,'Dados - Inversores'!C:C,0)))))+1)</f>
        <v>2</v>
      </c>
      <c r="AQ197" s="33" t="s">
        <v>59</v>
      </c>
      <c r="AR197" s="33" t="str">
        <f t="shared" si="18"/>
        <v>Micro</v>
      </c>
      <c r="AS197" s="33">
        <f>'Dados - Cliente'!AH197</f>
        <v>0</v>
      </c>
      <c r="AT197" s="33">
        <f>'Dados - Cliente'!AI197</f>
        <v>0</v>
      </c>
      <c r="AU197" s="33" t="e">
        <f>INDEX('Dados - Placas'!$N:$N,MATCH('1'!AG197,'Dados - Placas'!$D:$D,0))-1</f>
        <v>#N/A</v>
      </c>
      <c r="AV197" s="33" t="e">
        <f>INDEX('Dados - Placas'!$O:$O,MATCH('1'!AG197,'Dados - Placas'!$D:$D,0))</f>
        <v>#N/A</v>
      </c>
      <c r="AW197" s="33" t="e">
        <f>INDEX('Dados - Inversores'!AM:AM,MATCH('1'!AL197,'Dados - Inversores'!$C:$C,0))-1</f>
        <v>#N/A</v>
      </c>
      <c r="AX197" s="33" t="e">
        <f>INDEX('Dados - Inversores'!AN:AN,MATCH('1'!AL197,'Dados - Inversores'!$C:$C,0))-1</f>
        <v>#N/A</v>
      </c>
      <c r="AY197" s="33" t="e">
        <f>MATCH('1'!H197,Dados!$D$89:$D$167,0)+1</f>
        <v>#N/A</v>
      </c>
      <c r="AZ197" s="33" t="e">
        <f>MATCH('1'!N197,'Dados - Solicitação de acesso'!$N$2:$N$8,0)</f>
        <v>#N/A</v>
      </c>
      <c r="BA197" s="33" t="e">
        <f>MATCH('1'!T197,'Dados - Solicitação de acesso'!$T$2:$T$20,0)</f>
        <v>#N/A</v>
      </c>
      <c r="BB197" s="34"/>
      <c r="BC197" s="33">
        <f>MATCH(AT197,'Dados - Solicitação de acesso'!$AT$2:$AT$28,0)</f>
        <v>1</v>
      </c>
      <c r="BD197" s="33" t="b">
        <f>IF(O197="TRIFASICO",INDEX(Dados!G:G,MATCH('1'!AP197,Dados!E:E,0)),IF(O197="BIFASICO",INDEX(Dados!F:F,MATCH('1'!AP197,Dados!E:E,0),)))</f>
        <v>0</v>
      </c>
      <c r="BE197" s="33">
        <f>'Dados - Cliente'!J197</f>
        <v>0</v>
      </c>
      <c r="BF197" s="34">
        <f>INDEX(Dados!$E$2:$E$33,COUNTIF(Dados!$E$2:$E$33,"&lt;="&amp;AN197*1.25*AK197/(0.22*SQRT(INDEX('Dados - Inversores'!AK:AK,MATCH('1'!AL197,'Dados - Inversores'!C:C,0)))))+1)</f>
        <v>2</v>
      </c>
      <c r="BG197" s="34" t="b">
        <f>IF(O197="TRIFASICO",INDEX(Dados!G:G,MATCH(BF197,Dados!E:E,0)),IF(O197="BIFASICO",INDEX(Dados!F:F,MATCH(BF197,Dados!E:E,0),)))</f>
        <v>0</v>
      </c>
    </row>
    <row r="198" spans="1:59" s="33" customFormat="1" x14ac:dyDescent="0.35">
      <c r="A198" s="33">
        <f>'Dados - Cliente'!A198</f>
        <v>0</v>
      </c>
      <c r="B198" s="33">
        <f>'Dados - Cliente'!B198</f>
        <v>0</v>
      </c>
      <c r="C198" s="33">
        <f>'Dados - Cliente'!C198</f>
        <v>0</v>
      </c>
      <c r="D198" s="33">
        <f>'Dados - Cliente'!D198</f>
        <v>0</v>
      </c>
      <c r="E198" s="33">
        <f>'Dados - Cliente'!E198</f>
        <v>0</v>
      </c>
      <c r="F198" s="33">
        <f>'Dados - Cliente'!F198</f>
        <v>0</v>
      </c>
      <c r="G198" s="33">
        <f>'Dados - Cliente'!G198</f>
        <v>0</v>
      </c>
      <c r="H198" s="33">
        <f>'Dados - Cliente'!H198</f>
        <v>0</v>
      </c>
      <c r="I198" s="75" t="s">
        <v>4313</v>
      </c>
      <c r="J198" s="52" t="s">
        <v>4314</v>
      </c>
      <c r="K198" s="52" t="s">
        <v>4314</v>
      </c>
      <c r="L198" s="33">
        <f>'Dados - Cliente'!I198</f>
        <v>0</v>
      </c>
      <c r="M198" s="33">
        <f>'Dados - Cliente'!K198</f>
        <v>0</v>
      </c>
      <c r="N198" s="33">
        <f>'Dados - Cliente'!L198</f>
        <v>0</v>
      </c>
      <c r="O198" s="33">
        <f>'Dados - Cliente'!M198</f>
        <v>0</v>
      </c>
      <c r="P198" s="33">
        <f>'Dados - Cliente'!N198</f>
        <v>0</v>
      </c>
      <c r="Q198" s="33">
        <f>'Dados - Cliente'!O198</f>
        <v>0</v>
      </c>
      <c r="R198" s="33">
        <f>'Dados - Cliente'!P198</f>
        <v>0</v>
      </c>
      <c r="S198" s="33">
        <f>'Dados - Cliente'!Q198</f>
        <v>0</v>
      </c>
      <c r="T198" s="33">
        <f>'Dados - Cliente'!R198</f>
        <v>0</v>
      </c>
      <c r="U198" s="34">
        <f>'Dados - Cliente'!S198</f>
        <v>0</v>
      </c>
      <c r="V198" s="34">
        <f>'Dados - Cliente'!T198</f>
        <v>0</v>
      </c>
      <c r="W198" s="34">
        <f>'Dados - Cliente'!U198</f>
        <v>0</v>
      </c>
      <c r="X198" s="34">
        <f>'Dados - Cliente'!V198</f>
        <v>0</v>
      </c>
      <c r="Y198" s="34">
        <f>'Dados - Cliente'!W198</f>
        <v>0</v>
      </c>
      <c r="Z198" s="34">
        <f>'Dados - Cliente'!X198</f>
        <v>0</v>
      </c>
      <c r="AA198" s="33" t="e">
        <f t="shared" si="17"/>
        <v>#N/A</v>
      </c>
      <c r="AB198" s="33">
        <f>'Dados - Cliente'!Y198</f>
        <v>0</v>
      </c>
      <c r="AC198" s="33">
        <f>'Dados - Cliente'!Z198</f>
        <v>0</v>
      </c>
      <c r="AD198" s="33">
        <f>'Dados - Cliente'!AA198</f>
        <v>0</v>
      </c>
      <c r="AE198" s="33">
        <f>'Dados - Cliente'!AB198</f>
        <v>0</v>
      </c>
      <c r="AF198" s="33">
        <f>'Dados - Cliente'!AC198</f>
        <v>0</v>
      </c>
      <c r="AG198" s="35">
        <f>'Dados - Cliente'!AD198</f>
        <v>0</v>
      </c>
      <c r="AH198" s="33" t="e">
        <f>INDEX('Dados - Placas'!$A:$A,MATCH('1'!AG198,'Dados - Placas'!$D:$D,0))</f>
        <v>#N/A</v>
      </c>
      <c r="AI198" s="35" t="e">
        <f>INDEX('Dados - Placas'!$E:$E,MATCH('1'!AG198,'Dados - Placas'!$D:$D,0))</f>
        <v>#N/A</v>
      </c>
      <c r="AJ198" s="34" t="e">
        <f>INDEX('Dados - Placas'!$F:$F,MATCH('1'!AG198,'Dados - Placas'!$D:$D,0))*AF198</f>
        <v>#N/A</v>
      </c>
      <c r="AK198" s="33">
        <f>'Dados - Cliente'!AE198</f>
        <v>0</v>
      </c>
      <c r="AL198" s="33">
        <f>'Dados - Cliente'!AF198</f>
        <v>0</v>
      </c>
      <c r="AM198" s="36" t="e">
        <f>INDEX('Dados - Inversores'!$A:$A,MATCH('1'!AL198,'Dados - Inversores'!$C:$C,0))</f>
        <v>#N/A</v>
      </c>
      <c r="AN198" s="33">
        <f>'Dados - Cliente'!AG198</f>
        <v>0</v>
      </c>
      <c r="AO198" s="33" t="e">
        <f>AA198*1.25/(0.22*SQRT(INDEX('Dados - Inversores'!AK:AK,MATCH('1'!AL198,'Dados - Inversores'!C:C,0))))</f>
        <v>#N/A</v>
      </c>
      <c r="AP198" s="34">
        <f>INDEX(Dados!$E$2:$E$33,COUNTIF(Dados!$E$2:$E$33,"&lt;="&amp;AN198*1.25/(INDEX('Dados - Inversores'!AL:AL,MATCH('1'!AL198,'Dados - Inversores'!C:C,0))*SQRT(INDEX('Dados - Inversores'!AK:AK,MATCH('1'!AL198,'Dados - Inversores'!C:C,0)))))+1)</f>
        <v>2</v>
      </c>
      <c r="AQ198" s="33" t="s">
        <v>59</v>
      </c>
      <c r="AR198" s="33" t="str">
        <f t="shared" si="18"/>
        <v>Micro</v>
      </c>
      <c r="AS198" s="33">
        <f>'Dados - Cliente'!AH198</f>
        <v>0</v>
      </c>
      <c r="AT198" s="33">
        <f>'Dados - Cliente'!AI198</f>
        <v>0</v>
      </c>
      <c r="AU198" s="33" t="e">
        <f>INDEX('Dados - Placas'!$N:$N,MATCH('1'!AG198,'Dados - Placas'!$D:$D,0))-1</f>
        <v>#N/A</v>
      </c>
      <c r="AV198" s="33" t="e">
        <f>INDEX('Dados - Placas'!$O:$O,MATCH('1'!AG198,'Dados - Placas'!$D:$D,0))</f>
        <v>#N/A</v>
      </c>
      <c r="AW198" s="33" t="e">
        <f>INDEX('Dados - Inversores'!AM:AM,MATCH('1'!AL198,'Dados - Inversores'!$C:$C,0))-1</f>
        <v>#N/A</v>
      </c>
      <c r="AX198" s="33" t="e">
        <f>INDEX('Dados - Inversores'!AN:AN,MATCH('1'!AL198,'Dados - Inversores'!$C:$C,0))-1</f>
        <v>#N/A</v>
      </c>
      <c r="AY198" s="33" t="e">
        <f>MATCH('1'!H198,Dados!$D$89:$D$167,0)+1</f>
        <v>#N/A</v>
      </c>
      <c r="AZ198" s="33" t="e">
        <f>MATCH('1'!N198,'Dados - Solicitação de acesso'!$N$2:$N$8,0)</f>
        <v>#N/A</v>
      </c>
      <c r="BA198" s="33" t="e">
        <f>MATCH('1'!T198,'Dados - Solicitação de acesso'!$T$2:$T$20,0)</f>
        <v>#N/A</v>
      </c>
      <c r="BB198" s="34"/>
      <c r="BC198" s="33">
        <f>MATCH(AT198,'Dados - Solicitação de acesso'!$AT$2:$AT$28,0)</f>
        <v>1</v>
      </c>
      <c r="BD198" s="33" t="b">
        <f>IF(O198="TRIFASICO",INDEX(Dados!G:G,MATCH('1'!AP198,Dados!E:E,0)),IF(O198="BIFASICO",INDEX(Dados!F:F,MATCH('1'!AP198,Dados!E:E,0),)))</f>
        <v>0</v>
      </c>
      <c r="BE198" s="33">
        <f>'Dados - Cliente'!J198</f>
        <v>0</v>
      </c>
      <c r="BF198" s="34">
        <f>INDEX(Dados!$E$2:$E$33,COUNTIF(Dados!$E$2:$E$33,"&lt;="&amp;AN198*1.25*AK198/(0.22*SQRT(INDEX('Dados - Inversores'!AK:AK,MATCH('1'!AL198,'Dados - Inversores'!C:C,0)))))+1)</f>
        <v>2</v>
      </c>
      <c r="BG198" s="34" t="b">
        <f>IF(O198="TRIFASICO",INDEX(Dados!G:G,MATCH(BF198,Dados!E:E,0)),IF(O198="BIFASICO",INDEX(Dados!F:F,MATCH(BF198,Dados!E:E,0),)))</f>
        <v>0</v>
      </c>
    </row>
    <row r="199" spans="1:59" s="33" customFormat="1" x14ac:dyDescent="0.35">
      <c r="A199" s="33">
        <f>'Dados - Cliente'!A199</f>
        <v>0</v>
      </c>
      <c r="B199" s="33">
        <f>'Dados - Cliente'!B199</f>
        <v>0</v>
      </c>
      <c r="C199" s="33">
        <f>'Dados - Cliente'!C199</f>
        <v>0</v>
      </c>
      <c r="D199" s="33">
        <f>'Dados - Cliente'!D199</f>
        <v>0</v>
      </c>
      <c r="E199" s="33">
        <f>'Dados - Cliente'!E199</f>
        <v>0</v>
      </c>
      <c r="F199" s="33">
        <f>'Dados - Cliente'!F199</f>
        <v>0</v>
      </c>
      <c r="G199" s="33">
        <f>'Dados - Cliente'!G199</f>
        <v>0</v>
      </c>
      <c r="H199" s="33">
        <f>'Dados - Cliente'!H199</f>
        <v>0</v>
      </c>
      <c r="I199" s="75" t="s">
        <v>4313</v>
      </c>
      <c r="J199" s="52" t="s">
        <v>4314</v>
      </c>
      <c r="K199" s="52" t="s">
        <v>4314</v>
      </c>
      <c r="L199" s="33">
        <f>'Dados - Cliente'!I199</f>
        <v>0</v>
      </c>
      <c r="M199" s="33">
        <f>'Dados - Cliente'!K199</f>
        <v>0</v>
      </c>
      <c r="N199" s="33">
        <f>'Dados - Cliente'!L199</f>
        <v>0</v>
      </c>
      <c r="O199" s="33">
        <f>'Dados - Cliente'!M199</f>
        <v>0</v>
      </c>
      <c r="P199" s="33">
        <f>'Dados - Cliente'!N199</f>
        <v>0</v>
      </c>
      <c r="Q199" s="33">
        <f>'Dados - Cliente'!O199</f>
        <v>0</v>
      </c>
      <c r="R199" s="33">
        <f>'Dados - Cliente'!P199</f>
        <v>0</v>
      </c>
      <c r="S199" s="33">
        <f>'Dados - Cliente'!Q199</f>
        <v>0</v>
      </c>
      <c r="T199" s="33">
        <f>'Dados - Cliente'!R199</f>
        <v>0</v>
      </c>
      <c r="U199" s="34">
        <f>'Dados - Cliente'!S199</f>
        <v>0</v>
      </c>
      <c r="V199" s="34">
        <f>'Dados - Cliente'!T199</f>
        <v>0</v>
      </c>
      <c r="W199" s="34">
        <f>'Dados - Cliente'!U199</f>
        <v>0</v>
      </c>
      <c r="X199" s="34">
        <f>'Dados - Cliente'!V199</f>
        <v>0</v>
      </c>
      <c r="Y199" s="34">
        <f>'Dados - Cliente'!W199</f>
        <v>0</v>
      </c>
      <c r="Z199" s="34">
        <f>'Dados - Cliente'!X199</f>
        <v>0</v>
      </c>
      <c r="AA199" s="33" t="e">
        <f t="shared" si="17"/>
        <v>#N/A</v>
      </c>
      <c r="AB199" s="33">
        <f>'Dados - Cliente'!Y199</f>
        <v>0</v>
      </c>
      <c r="AC199" s="33">
        <f>'Dados - Cliente'!Z199</f>
        <v>0</v>
      </c>
      <c r="AD199" s="33">
        <f>'Dados - Cliente'!AA199</f>
        <v>0</v>
      </c>
      <c r="AE199" s="33">
        <f>'Dados - Cliente'!AB199</f>
        <v>0</v>
      </c>
      <c r="AF199" s="33">
        <f>'Dados - Cliente'!AC199</f>
        <v>0</v>
      </c>
      <c r="AG199" s="35">
        <f>'Dados - Cliente'!AD199</f>
        <v>0</v>
      </c>
      <c r="AH199" s="33" t="e">
        <f>INDEX('Dados - Placas'!$A:$A,MATCH('1'!AG199,'Dados - Placas'!$D:$D,0))</f>
        <v>#N/A</v>
      </c>
      <c r="AI199" s="35" t="e">
        <f>INDEX('Dados - Placas'!$E:$E,MATCH('1'!AG199,'Dados - Placas'!$D:$D,0))</f>
        <v>#N/A</v>
      </c>
      <c r="AJ199" s="34" t="e">
        <f>INDEX('Dados - Placas'!$F:$F,MATCH('1'!AG199,'Dados - Placas'!$D:$D,0))*AF199</f>
        <v>#N/A</v>
      </c>
      <c r="AK199" s="33">
        <f>'Dados - Cliente'!AE199</f>
        <v>0</v>
      </c>
      <c r="AL199" s="33">
        <f>'Dados - Cliente'!AF199</f>
        <v>0</v>
      </c>
      <c r="AM199" s="36" t="e">
        <f>INDEX('Dados - Inversores'!$A:$A,MATCH('1'!AL199,'Dados - Inversores'!$C:$C,0))</f>
        <v>#N/A</v>
      </c>
      <c r="AN199" s="33">
        <f>'Dados - Cliente'!AG199</f>
        <v>0</v>
      </c>
      <c r="AO199" s="33" t="e">
        <f>AA199*1.25/(0.22*SQRT(INDEX('Dados - Inversores'!AK:AK,MATCH('1'!AL199,'Dados - Inversores'!C:C,0))))</f>
        <v>#N/A</v>
      </c>
      <c r="AP199" s="34">
        <f>INDEX(Dados!$E$2:$E$33,COUNTIF(Dados!$E$2:$E$33,"&lt;="&amp;AN199*1.25/(INDEX('Dados - Inversores'!AL:AL,MATCH('1'!AL199,'Dados - Inversores'!C:C,0))*SQRT(INDEX('Dados - Inversores'!AK:AK,MATCH('1'!AL199,'Dados - Inversores'!C:C,0)))))+1)</f>
        <v>2</v>
      </c>
      <c r="AQ199" s="33" t="s">
        <v>59</v>
      </c>
      <c r="AR199" s="33" t="str">
        <f t="shared" si="18"/>
        <v>Micro</v>
      </c>
      <c r="AS199" s="33">
        <f>'Dados - Cliente'!AH199</f>
        <v>0</v>
      </c>
      <c r="AT199" s="33">
        <f>'Dados - Cliente'!AI199</f>
        <v>0</v>
      </c>
      <c r="AU199" s="33" t="e">
        <f>INDEX('Dados - Placas'!$N:$N,MATCH('1'!AG199,'Dados - Placas'!$D:$D,0))-1</f>
        <v>#N/A</v>
      </c>
      <c r="AV199" s="33" t="e">
        <f>INDEX('Dados - Placas'!$O:$O,MATCH('1'!AG199,'Dados - Placas'!$D:$D,0))</f>
        <v>#N/A</v>
      </c>
      <c r="AW199" s="33" t="e">
        <f>INDEX('Dados - Inversores'!AM:AM,MATCH('1'!AL199,'Dados - Inversores'!$C:$C,0))-1</f>
        <v>#N/A</v>
      </c>
      <c r="AX199" s="33" t="e">
        <f>INDEX('Dados - Inversores'!AN:AN,MATCH('1'!AL199,'Dados - Inversores'!$C:$C,0))-1</f>
        <v>#N/A</v>
      </c>
      <c r="AY199" s="33" t="e">
        <f>MATCH('1'!H199,Dados!$D$89:$D$167,0)+1</f>
        <v>#N/A</v>
      </c>
      <c r="AZ199" s="33" t="e">
        <f>MATCH('1'!N199,'Dados - Solicitação de acesso'!$N$2:$N$8,0)</f>
        <v>#N/A</v>
      </c>
      <c r="BA199" s="33" t="e">
        <f>MATCH('1'!T199,'Dados - Solicitação de acesso'!$T$2:$T$20,0)</f>
        <v>#N/A</v>
      </c>
      <c r="BB199" s="34"/>
      <c r="BC199" s="33">
        <f>MATCH(AT199,'Dados - Solicitação de acesso'!$AT$2:$AT$28,0)</f>
        <v>1</v>
      </c>
      <c r="BD199" s="33" t="b">
        <f>IF(O199="TRIFASICO",INDEX(Dados!G:G,MATCH('1'!AP199,Dados!E:E,0)),IF(O199="BIFASICO",INDEX(Dados!F:F,MATCH('1'!AP199,Dados!E:E,0),)))</f>
        <v>0</v>
      </c>
      <c r="BE199" s="33">
        <f>'Dados - Cliente'!J199</f>
        <v>0</v>
      </c>
      <c r="BF199" s="34">
        <f>INDEX(Dados!$E$2:$E$33,COUNTIF(Dados!$E$2:$E$33,"&lt;="&amp;AN199*1.25*AK199/(0.22*SQRT(INDEX('Dados - Inversores'!AK:AK,MATCH('1'!AL199,'Dados - Inversores'!C:C,0)))))+1)</f>
        <v>2</v>
      </c>
      <c r="BG199" s="34" t="b">
        <f>IF(O199="TRIFASICO",INDEX(Dados!G:G,MATCH(BF199,Dados!E:E,0)),IF(O199="BIFASICO",INDEX(Dados!F:F,MATCH(BF199,Dados!E:E,0),)))</f>
        <v>0</v>
      </c>
    </row>
    <row r="200" spans="1:59" s="33" customFormat="1" x14ac:dyDescent="0.35">
      <c r="A200" s="33">
        <f>'Dados - Cliente'!A200</f>
        <v>0</v>
      </c>
      <c r="B200" s="33">
        <f>'Dados - Cliente'!B200</f>
        <v>0</v>
      </c>
      <c r="C200" s="33">
        <f>'Dados - Cliente'!C200</f>
        <v>0</v>
      </c>
      <c r="D200" s="33">
        <f>'Dados - Cliente'!D200</f>
        <v>0</v>
      </c>
      <c r="E200" s="33">
        <f>'Dados - Cliente'!E200</f>
        <v>0</v>
      </c>
      <c r="F200" s="33">
        <f>'Dados - Cliente'!F200</f>
        <v>0</v>
      </c>
      <c r="G200" s="33">
        <f>'Dados - Cliente'!G200</f>
        <v>0</v>
      </c>
      <c r="H200" s="33">
        <f>'Dados - Cliente'!H200</f>
        <v>0</v>
      </c>
      <c r="I200" s="75" t="s">
        <v>4313</v>
      </c>
      <c r="J200" s="52" t="s">
        <v>4314</v>
      </c>
      <c r="K200" s="52" t="s">
        <v>4314</v>
      </c>
      <c r="L200" s="33">
        <f>'Dados - Cliente'!I200</f>
        <v>0</v>
      </c>
      <c r="M200" s="33">
        <f>'Dados - Cliente'!K200</f>
        <v>0</v>
      </c>
      <c r="N200" s="33">
        <f>'Dados - Cliente'!L200</f>
        <v>0</v>
      </c>
      <c r="O200" s="33">
        <f>'Dados - Cliente'!M200</f>
        <v>0</v>
      </c>
      <c r="P200" s="33">
        <f>'Dados - Cliente'!N200</f>
        <v>0</v>
      </c>
      <c r="Q200" s="33">
        <f>'Dados - Cliente'!O200</f>
        <v>0</v>
      </c>
      <c r="R200" s="33">
        <f>'Dados - Cliente'!P200</f>
        <v>0</v>
      </c>
      <c r="S200" s="33">
        <f>'Dados - Cliente'!Q200</f>
        <v>0</v>
      </c>
      <c r="T200" s="33">
        <f>'Dados - Cliente'!R200</f>
        <v>0</v>
      </c>
      <c r="U200" s="34">
        <f>'Dados - Cliente'!S200</f>
        <v>0</v>
      </c>
      <c r="V200" s="34">
        <f>'Dados - Cliente'!T200</f>
        <v>0</v>
      </c>
      <c r="W200" s="34">
        <f>'Dados - Cliente'!U200</f>
        <v>0</v>
      </c>
      <c r="X200" s="34">
        <f>'Dados - Cliente'!V200</f>
        <v>0</v>
      </c>
      <c r="Y200" s="34">
        <f>'Dados - Cliente'!W200</f>
        <v>0</v>
      </c>
      <c r="Z200" s="34">
        <f>'Dados - Cliente'!X200</f>
        <v>0</v>
      </c>
      <c r="AA200" s="33" t="e">
        <f t="shared" si="17"/>
        <v>#N/A</v>
      </c>
      <c r="AB200" s="33">
        <f>'Dados - Cliente'!Y200</f>
        <v>0</v>
      </c>
      <c r="AC200" s="33">
        <f>'Dados - Cliente'!Z200</f>
        <v>0</v>
      </c>
      <c r="AD200" s="33">
        <f>'Dados - Cliente'!AA200</f>
        <v>0</v>
      </c>
      <c r="AE200" s="33">
        <f>'Dados - Cliente'!AB200</f>
        <v>0</v>
      </c>
      <c r="AF200" s="33">
        <f>'Dados - Cliente'!AC200</f>
        <v>0</v>
      </c>
      <c r="AG200" s="35">
        <f>'Dados - Cliente'!AD200</f>
        <v>0</v>
      </c>
      <c r="AH200" s="33" t="e">
        <f>INDEX('Dados - Placas'!$A:$A,MATCH('1'!AG200,'Dados - Placas'!$D:$D,0))</f>
        <v>#N/A</v>
      </c>
      <c r="AI200" s="35" t="e">
        <f>INDEX('Dados - Placas'!$E:$E,MATCH('1'!AG200,'Dados - Placas'!$D:$D,0))</f>
        <v>#N/A</v>
      </c>
      <c r="AJ200" s="34" t="e">
        <f>INDEX('Dados - Placas'!$F:$F,MATCH('1'!AG200,'Dados - Placas'!$D:$D,0))*AF200</f>
        <v>#N/A</v>
      </c>
      <c r="AK200" s="33">
        <f>'Dados - Cliente'!AE200</f>
        <v>0</v>
      </c>
      <c r="AL200" s="33">
        <f>'Dados - Cliente'!AF200</f>
        <v>0</v>
      </c>
      <c r="AM200" s="36" t="e">
        <f>INDEX('Dados - Inversores'!$A:$A,MATCH('1'!AL200,'Dados - Inversores'!$C:$C,0))</f>
        <v>#N/A</v>
      </c>
      <c r="AN200" s="33">
        <f>'Dados - Cliente'!AG200</f>
        <v>0</v>
      </c>
      <c r="AO200" s="33" t="e">
        <f>AA200*1.25/(0.22*SQRT(INDEX('Dados - Inversores'!AK:AK,MATCH('1'!AL200,'Dados - Inversores'!C:C,0))))</f>
        <v>#N/A</v>
      </c>
      <c r="AP200" s="34">
        <f>INDEX(Dados!$E$2:$E$33,COUNTIF(Dados!$E$2:$E$33,"&lt;="&amp;AN200*1.25/(INDEX('Dados - Inversores'!AL:AL,MATCH('1'!AL200,'Dados - Inversores'!C:C,0))*SQRT(INDEX('Dados - Inversores'!AK:AK,MATCH('1'!AL200,'Dados - Inversores'!C:C,0)))))+1)</f>
        <v>2</v>
      </c>
      <c r="AQ200" s="33" t="s">
        <v>59</v>
      </c>
      <c r="AR200" s="33" t="str">
        <f t="shared" si="18"/>
        <v>Micro</v>
      </c>
      <c r="AS200" s="33">
        <f>'Dados - Cliente'!AH200</f>
        <v>0</v>
      </c>
      <c r="AT200" s="33">
        <f>'Dados - Cliente'!AI200</f>
        <v>0</v>
      </c>
      <c r="AU200" s="33" t="e">
        <f>INDEX('Dados - Placas'!$N:$N,MATCH('1'!AG200,'Dados - Placas'!$D:$D,0))-1</f>
        <v>#N/A</v>
      </c>
      <c r="AV200" s="33" t="e">
        <f>INDEX('Dados - Placas'!$O:$O,MATCH('1'!AG200,'Dados - Placas'!$D:$D,0))</f>
        <v>#N/A</v>
      </c>
      <c r="AW200" s="33" t="e">
        <f>INDEX('Dados - Inversores'!AM:AM,MATCH('1'!AL200,'Dados - Inversores'!$C:$C,0))-1</f>
        <v>#N/A</v>
      </c>
      <c r="AX200" s="33" t="e">
        <f>INDEX('Dados - Inversores'!AN:AN,MATCH('1'!AL200,'Dados - Inversores'!$C:$C,0))-1</f>
        <v>#N/A</v>
      </c>
      <c r="AY200" s="33" t="e">
        <f>MATCH('1'!H200,Dados!$D$89:$D$167,0)+1</f>
        <v>#N/A</v>
      </c>
      <c r="AZ200" s="33" t="e">
        <f>MATCH('1'!N200,'Dados - Solicitação de acesso'!$N$2:$N$8,0)</f>
        <v>#N/A</v>
      </c>
      <c r="BA200" s="33" t="e">
        <f>MATCH('1'!T200,'Dados - Solicitação de acesso'!$T$2:$T$20,0)</f>
        <v>#N/A</v>
      </c>
      <c r="BB200" s="34"/>
      <c r="BC200" s="33">
        <f>MATCH(AT200,'Dados - Solicitação de acesso'!$AT$2:$AT$28,0)</f>
        <v>1</v>
      </c>
      <c r="BD200" s="33" t="b">
        <f>IF(O200="TRIFASICO",INDEX(Dados!G:G,MATCH('1'!AP200,Dados!E:E,0)),IF(O200="BIFASICO",INDEX(Dados!F:F,MATCH('1'!AP200,Dados!E:E,0),)))</f>
        <v>0</v>
      </c>
      <c r="BE200" s="33">
        <f>'Dados - Cliente'!J200</f>
        <v>0</v>
      </c>
      <c r="BF200" s="34">
        <f>INDEX(Dados!$E$2:$E$33,COUNTIF(Dados!$E$2:$E$33,"&lt;="&amp;AN200*1.25*AK200/(0.22*SQRT(INDEX('Dados - Inversores'!AK:AK,MATCH('1'!AL200,'Dados - Inversores'!C:C,0)))))+1)</f>
        <v>2</v>
      </c>
      <c r="BG200" s="34" t="b">
        <f>IF(O200="TRIFASICO",INDEX(Dados!G:G,MATCH(BF200,Dados!E:E,0)),IF(O200="BIFASICO",INDEX(Dados!F:F,MATCH(BF200,Dados!E:E,0),)))</f>
        <v>0</v>
      </c>
    </row>
    <row r="201" spans="1:59" s="33" customFormat="1" x14ac:dyDescent="0.35">
      <c r="A201" s="33">
        <f>'Dados - Cliente'!A201</f>
        <v>0</v>
      </c>
      <c r="B201" s="33">
        <f>'Dados - Cliente'!B201</f>
        <v>0</v>
      </c>
      <c r="C201" s="33">
        <f>'Dados - Cliente'!C201</f>
        <v>0</v>
      </c>
      <c r="D201" s="33">
        <f>'Dados - Cliente'!D201</f>
        <v>0</v>
      </c>
      <c r="E201" s="33">
        <f>'Dados - Cliente'!E201</f>
        <v>0</v>
      </c>
      <c r="F201" s="33">
        <f>'Dados - Cliente'!F201</f>
        <v>0</v>
      </c>
      <c r="G201" s="33">
        <f>'Dados - Cliente'!G201</f>
        <v>0</v>
      </c>
      <c r="H201" s="33">
        <f>'Dados - Cliente'!H201</f>
        <v>0</v>
      </c>
      <c r="I201" s="75" t="s">
        <v>4313</v>
      </c>
      <c r="J201" s="52" t="s">
        <v>4314</v>
      </c>
      <c r="K201" s="52" t="s">
        <v>4314</v>
      </c>
      <c r="L201" s="33">
        <f>'Dados - Cliente'!I201</f>
        <v>0</v>
      </c>
      <c r="M201" s="33">
        <f>'Dados - Cliente'!K201</f>
        <v>0</v>
      </c>
      <c r="N201" s="33">
        <f>'Dados - Cliente'!L201</f>
        <v>0</v>
      </c>
      <c r="O201" s="33">
        <f>'Dados - Cliente'!M201</f>
        <v>0</v>
      </c>
      <c r="P201" s="33">
        <f>'Dados - Cliente'!N201</f>
        <v>0</v>
      </c>
      <c r="Q201" s="33">
        <f>'Dados - Cliente'!O201</f>
        <v>0</v>
      </c>
      <c r="R201" s="33">
        <f>'Dados - Cliente'!P201</f>
        <v>0</v>
      </c>
      <c r="S201" s="33">
        <f>'Dados - Cliente'!Q201</f>
        <v>0</v>
      </c>
      <c r="T201" s="33">
        <f>'Dados - Cliente'!R201</f>
        <v>0</v>
      </c>
      <c r="U201" s="34">
        <f>'Dados - Cliente'!S201</f>
        <v>0</v>
      </c>
      <c r="V201" s="34">
        <f>'Dados - Cliente'!T201</f>
        <v>0</v>
      </c>
      <c r="W201" s="34">
        <f>'Dados - Cliente'!U201</f>
        <v>0</v>
      </c>
      <c r="X201" s="34">
        <f>'Dados - Cliente'!V201</f>
        <v>0</v>
      </c>
      <c r="Y201" s="34">
        <f>'Dados - Cliente'!W201</f>
        <v>0</v>
      </c>
      <c r="Z201" s="34">
        <f>'Dados - Cliente'!X201</f>
        <v>0</v>
      </c>
      <c r="AA201" s="33" t="e">
        <f t="shared" si="17"/>
        <v>#N/A</v>
      </c>
      <c r="AB201" s="33">
        <f>'Dados - Cliente'!Y201</f>
        <v>0</v>
      </c>
      <c r="AC201" s="33">
        <f>'Dados - Cliente'!Z201</f>
        <v>0</v>
      </c>
      <c r="AD201" s="33">
        <f>'Dados - Cliente'!AA201</f>
        <v>0</v>
      </c>
      <c r="AE201" s="33">
        <f>'Dados - Cliente'!AB201</f>
        <v>0</v>
      </c>
      <c r="AF201" s="33">
        <f>'Dados - Cliente'!AC201</f>
        <v>0</v>
      </c>
      <c r="AG201" s="35">
        <f>'Dados - Cliente'!AD201</f>
        <v>0</v>
      </c>
      <c r="AH201" s="33" t="e">
        <f>INDEX('Dados - Placas'!$A:$A,MATCH('1'!AG201,'Dados - Placas'!$D:$D,0))</f>
        <v>#N/A</v>
      </c>
      <c r="AI201" s="35" t="e">
        <f>INDEX('Dados - Placas'!$E:$E,MATCH('1'!AG201,'Dados - Placas'!$D:$D,0))</f>
        <v>#N/A</v>
      </c>
      <c r="AJ201" s="34" t="e">
        <f>INDEX('Dados - Placas'!$F:$F,MATCH('1'!AG201,'Dados - Placas'!$D:$D,0))*AF201</f>
        <v>#N/A</v>
      </c>
      <c r="AK201" s="33">
        <f>'Dados - Cliente'!AE201</f>
        <v>0</v>
      </c>
      <c r="AL201" s="33">
        <f>'Dados - Cliente'!AF201</f>
        <v>0</v>
      </c>
      <c r="AM201" s="36" t="e">
        <f>INDEX('Dados - Inversores'!$A:$A,MATCH('1'!AL201,'Dados - Inversores'!$C:$C,0))</f>
        <v>#N/A</v>
      </c>
      <c r="AN201" s="33">
        <f>'Dados - Cliente'!AG201</f>
        <v>0</v>
      </c>
      <c r="AO201" s="33" t="e">
        <f>AA201*1.25/(0.22*SQRT(INDEX('Dados - Inversores'!AK:AK,MATCH('1'!AL201,'Dados - Inversores'!C:C,0))))</f>
        <v>#N/A</v>
      </c>
      <c r="AP201" s="34">
        <f>INDEX(Dados!$E$2:$E$33,COUNTIF(Dados!$E$2:$E$33,"&lt;="&amp;AN201*1.25/(INDEX('Dados - Inversores'!AL:AL,MATCH('1'!AL201,'Dados - Inversores'!C:C,0))*SQRT(INDEX('Dados - Inversores'!AK:AK,MATCH('1'!AL201,'Dados - Inversores'!C:C,0)))))+1)</f>
        <v>2</v>
      </c>
      <c r="AQ201" s="33" t="s">
        <v>59</v>
      </c>
      <c r="AR201" s="33" t="str">
        <f t="shared" si="18"/>
        <v>Micro</v>
      </c>
      <c r="AS201" s="33">
        <f>'Dados - Cliente'!AH201</f>
        <v>0</v>
      </c>
      <c r="AT201" s="33">
        <f>'Dados - Cliente'!AI201</f>
        <v>0</v>
      </c>
      <c r="AU201" s="33" t="e">
        <f>INDEX('Dados - Placas'!$N:$N,MATCH('1'!AG201,'Dados - Placas'!$D:$D,0))-1</f>
        <v>#N/A</v>
      </c>
      <c r="AV201" s="33" t="e">
        <f>INDEX('Dados - Placas'!$O:$O,MATCH('1'!AG201,'Dados - Placas'!$D:$D,0))</f>
        <v>#N/A</v>
      </c>
      <c r="AW201" s="33" t="e">
        <f>INDEX('Dados - Inversores'!AM:AM,MATCH('1'!AL201,'Dados - Inversores'!$C:$C,0))-1</f>
        <v>#N/A</v>
      </c>
      <c r="AX201" s="33" t="e">
        <f>INDEX('Dados - Inversores'!AN:AN,MATCH('1'!AL201,'Dados - Inversores'!$C:$C,0))-1</f>
        <v>#N/A</v>
      </c>
      <c r="AY201" s="33" t="e">
        <f>MATCH('1'!H201,Dados!$D$89:$D$167,0)+1</f>
        <v>#N/A</v>
      </c>
      <c r="AZ201" s="33" t="e">
        <f>MATCH('1'!N201,'Dados - Solicitação de acesso'!$N$2:$N$8,0)</f>
        <v>#N/A</v>
      </c>
      <c r="BA201" s="33" t="e">
        <f>MATCH('1'!T201,'Dados - Solicitação de acesso'!$T$2:$T$20,0)</f>
        <v>#N/A</v>
      </c>
      <c r="BB201" s="34"/>
      <c r="BC201" s="33">
        <f>MATCH(AT201,'Dados - Solicitação de acesso'!$AT$2:$AT$28,0)</f>
        <v>1</v>
      </c>
      <c r="BD201" s="33" t="b">
        <f>IF(O201="TRIFASICO",INDEX(Dados!G:G,MATCH('1'!AP201,Dados!E:E,0)),IF(O201="BIFASICO",INDEX(Dados!F:F,MATCH('1'!AP201,Dados!E:E,0),)))</f>
        <v>0</v>
      </c>
      <c r="BE201" s="33">
        <f>'Dados - Cliente'!J201</f>
        <v>0</v>
      </c>
      <c r="BF201" s="34">
        <f>INDEX(Dados!$E$2:$E$33,COUNTIF(Dados!$E$2:$E$33,"&lt;="&amp;AN201*1.25*AK201/(0.22*SQRT(INDEX('Dados - Inversores'!AK:AK,MATCH('1'!AL201,'Dados - Inversores'!C:C,0)))))+1)</f>
        <v>2</v>
      </c>
      <c r="BG201" s="34" t="b">
        <f>IF(O201="TRIFASICO",INDEX(Dados!G:G,MATCH(BF201,Dados!E:E,0)),IF(O201="BIFASICO",INDEX(Dados!F:F,MATCH(BF201,Dados!E:E,0),)))</f>
        <v>0</v>
      </c>
    </row>
    <row r="202" spans="1:59" s="33" customFormat="1" x14ac:dyDescent="0.35">
      <c r="A202" s="33">
        <f>'Dados - Cliente'!A202</f>
        <v>0</v>
      </c>
      <c r="B202" s="33">
        <f>'Dados - Cliente'!B202</f>
        <v>0</v>
      </c>
      <c r="C202" s="33">
        <f>'Dados - Cliente'!C202</f>
        <v>0</v>
      </c>
      <c r="D202" s="33">
        <f>'Dados - Cliente'!D202</f>
        <v>0</v>
      </c>
      <c r="E202" s="33">
        <f>'Dados - Cliente'!E202</f>
        <v>0</v>
      </c>
      <c r="F202" s="33">
        <f>'Dados - Cliente'!F202</f>
        <v>0</v>
      </c>
      <c r="G202" s="33">
        <f>'Dados - Cliente'!G202</f>
        <v>0</v>
      </c>
      <c r="H202" s="33">
        <f>'Dados - Cliente'!H202</f>
        <v>0</v>
      </c>
      <c r="I202" s="75" t="s">
        <v>4313</v>
      </c>
      <c r="J202" s="52" t="s">
        <v>4314</v>
      </c>
      <c r="K202" s="52" t="s">
        <v>4314</v>
      </c>
      <c r="L202" s="33">
        <f>'Dados - Cliente'!I202</f>
        <v>0</v>
      </c>
      <c r="M202" s="33">
        <f>'Dados - Cliente'!K202</f>
        <v>0</v>
      </c>
      <c r="N202" s="33">
        <f>'Dados - Cliente'!L202</f>
        <v>0</v>
      </c>
      <c r="O202" s="33">
        <f>'Dados - Cliente'!M202</f>
        <v>0</v>
      </c>
      <c r="P202" s="33">
        <f>'Dados - Cliente'!N202</f>
        <v>0</v>
      </c>
      <c r="Q202" s="33">
        <f>'Dados - Cliente'!O202</f>
        <v>0</v>
      </c>
      <c r="R202" s="33">
        <f>'Dados - Cliente'!P202</f>
        <v>0</v>
      </c>
      <c r="S202" s="33">
        <f>'Dados - Cliente'!Q202</f>
        <v>0</v>
      </c>
      <c r="T202" s="33">
        <f>'Dados - Cliente'!R202</f>
        <v>0</v>
      </c>
      <c r="U202" s="34">
        <f>'Dados - Cliente'!S202</f>
        <v>0</v>
      </c>
      <c r="V202" s="34">
        <f>'Dados - Cliente'!T202</f>
        <v>0</v>
      </c>
      <c r="W202" s="34">
        <f>'Dados - Cliente'!U202</f>
        <v>0</v>
      </c>
      <c r="X202" s="34">
        <f>'Dados - Cliente'!V202</f>
        <v>0</v>
      </c>
      <c r="Y202" s="34">
        <f>'Dados - Cliente'!W202</f>
        <v>0</v>
      </c>
      <c r="Z202" s="34">
        <f>'Dados - Cliente'!X202</f>
        <v>0</v>
      </c>
      <c r="AA202" s="33" t="e">
        <f t="shared" si="17"/>
        <v>#N/A</v>
      </c>
      <c r="AB202" s="33">
        <f>'Dados - Cliente'!Y202</f>
        <v>0</v>
      </c>
      <c r="AC202" s="33">
        <f>'Dados - Cliente'!Z202</f>
        <v>0</v>
      </c>
      <c r="AD202" s="33">
        <f>'Dados - Cliente'!AA202</f>
        <v>0</v>
      </c>
      <c r="AE202" s="33">
        <f>'Dados - Cliente'!AB202</f>
        <v>0</v>
      </c>
      <c r="AF202" s="33">
        <f>'Dados - Cliente'!AC202</f>
        <v>0</v>
      </c>
      <c r="AG202" s="35">
        <f>'Dados - Cliente'!AD202</f>
        <v>0</v>
      </c>
      <c r="AH202" s="33" t="e">
        <f>INDEX('Dados - Placas'!$A:$A,MATCH('1'!AG202,'Dados - Placas'!$D:$D,0))</f>
        <v>#N/A</v>
      </c>
      <c r="AI202" s="35" t="e">
        <f>INDEX('Dados - Placas'!$E:$E,MATCH('1'!AG202,'Dados - Placas'!$D:$D,0))</f>
        <v>#N/A</v>
      </c>
      <c r="AJ202" s="34" t="e">
        <f>INDEX('Dados - Placas'!$F:$F,MATCH('1'!AG202,'Dados - Placas'!$D:$D,0))*AF202</f>
        <v>#N/A</v>
      </c>
      <c r="AK202" s="33">
        <f>'Dados - Cliente'!AE202</f>
        <v>0</v>
      </c>
      <c r="AL202" s="33">
        <f>'Dados - Cliente'!AF202</f>
        <v>0</v>
      </c>
      <c r="AM202" s="36" t="e">
        <f>INDEX('Dados - Inversores'!$A:$A,MATCH('1'!AL202,'Dados - Inversores'!$C:$C,0))</f>
        <v>#N/A</v>
      </c>
      <c r="AN202" s="33">
        <f>'Dados - Cliente'!AG202</f>
        <v>0</v>
      </c>
      <c r="AO202" s="33" t="e">
        <f>AA202*1.25/(0.22*SQRT(INDEX('Dados - Inversores'!AK:AK,MATCH('1'!AL202,'Dados - Inversores'!C:C,0))))</f>
        <v>#N/A</v>
      </c>
      <c r="AP202" s="34">
        <f>INDEX(Dados!$E$2:$E$33,COUNTIF(Dados!$E$2:$E$33,"&lt;="&amp;AN202*1.25/(INDEX('Dados - Inversores'!AL:AL,MATCH('1'!AL202,'Dados - Inversores'!C:C,0))*SQRT(INDEX('Dados - Inversores'!AK:AK,MATCH('1'!AL202,'Dados - Inversores'!C:C,0)))))+1)</f>
        <v>2</v>
      </c>
      <c r="AQ202" s="33" t="s">
        <v>59</v>
      </c>
      <c r="AR202" s="33" t="str">
        <f t="shared" si="18"/>
        <v>Micro</v>
      </c>
      <c r="AS202" s="33">
        <f>'Dados - Cliente'!AH202</f>
        <v>0</v>
      </c>
      <c r="AT202" s="33">
        <f>'Dados - Cliente'!AI202</f>
        <v>0</v>
      </c>
      <c r="AU202" s="33" t="e">
        <f>INDEX('Dados - Placas'!$N:$N,MATCH('1'!AG202,'Dados - Placas'!$D:$D,0))-1</f>
        <v>#N/A</v>
      </c>
      <c r="AV202" s="33" t="e">
        <f>INDEX('Dados - Placas'!$O:$O,MATCH('1'!AG202,'Dados - Placas'!$D:$D,0))</f>
        <v>#N/A</v>
      </c>
      <c r="AW202" s="33" t="e">
        <f>INDEX('Dados - Inversores'!AM:AM,MATCH('1'!AL202,'Dados - Inversores'!$C:$C,0))-1</f>
        <v>#N/A</v>
      </c>
      <c r="AX202" s="33" t="e">
        <f>INDEX('Dados - Inversores'!AN:AN,MATCH('1'!AL202,'Dados - Inversores'!$C:$C,0))-1</f>
        <v>#N/A</v>
      </c>
      <c r="AY202" s="33" t="e">
        <f>MATCH('1'!H202,Dados!$D$89:$D$167,0)+1</f>
        <v>#N/A</v>
      </c>
      <c r="AZ202" s="33" t="e">
        <f>MATCH('1'!N202,'Dados - Solicitação de acesso'!$N$2:$N$8,0)</f>
        <v>#N/A</v>
      </c>
      <c r="BA202" s="33" t="e">
        <f>MATCH('1'!T202,'Dados - Solicitação de acesso'!$T$2:$T$20,0)</f>
        <v>#N/A</v>
      </c>
      <c r="BB202" s="34"/>
      <c r="BC202" s="33">
        <f>MATCH(AT202,'Dados - Solicitação de acesso'!$AT$2:$AT$28,0)</f>
        <v>1</v>
      </c>
      <c r="BD202" s="33" t="b">
        <f>IF(O202="TRIFASICO",INDEX(Dados!G:G,MATCH('1'!AP202,Dados!E:E,0)),IF(O202="BIFASICO",INDEX(Dados!F:F,MATCH('1'!AP202,Dados!E:E,0),)))</f>
        <v>0</v>
      </c>
      <c r="BE202" s="33">
        <f>'Dados - Cliente'!J202</f>
        <v>0</v>
      </c>
      <c r="BF202" s="34">
        <f>INDEX(Dados!$E$2:$E$33,COUNTIF(Dados!$E$2:$E$33,"&lt;="&amp;AN202*1.25*AK202/(0.22*SQRT(INDEX('Dados - Inversores'!AK:AK,MATCH('1'!AL202,'Dados - Inversores'!C:C,0)))))+1)</f>
        <v>2</v>
      </c>
      <c r="BG202" s="34" t="b">
        <f>IF(O202="TRIFASICO",INDEX(Dados!G:G,MATCH(BF202,Dados!E:E,0)),IF(O202="BIFASICO",INDEX(Dados!F:F,MATCH(BF202,Dados!E:E,0),)))</f>
        <v>0</v>
      </c>
    </row>
    <row r="203" spans="1:59" s="33" customFormat="1" x14ac:dyDescent="0.35">
      <c r="A203" s="33">
        <f>'Dados - Cliente'!A203</f>
        <v>0</v>
      </c>
      <c r="B203" s="33">
        <f>'Dados - Cliente'!B203</f>
        <v>0</v>
      </c>
      <c r="C203" s="33">
        <f>'Dados - Cliente'!C203</f>
        <v>0</v>
      </c>
      <c r="D203" s="33">
        <f>'Dados - Cliente'!D203</f>
        <v>0</v>
      </c>
      <c r="E203" s="33">
        <f>'Dados - Cliente'!E203</f>
        <v>0</v>
      </c>
      <c r="F203" s="33">
        <f>'Dados - Cliente'!F203</f>
        <v>0</v>
      </c>
      <c r="G203" s="33">
        <f>'Dados - Cliente'!G203</f>
        <v>0</v>
      </c>
      <c r="H203" s="33">
        <f>'Dados - Cliente'!H203</f>
        <v>0</v>
      </c>
      <c r="I203" s="75" t="s">
        <v>4313</v>
      </c>
      <c r="J203" s="52" t="s">
        <v>4314</v>
      </c>
      <c r="K203" s="52" t="s">
        <v>4314</v>
      </c>
      <c r="L203" s="33">
        <f>'Dados - Cliente'!I203</f>
        <v>0</v>
      </c>
      <c r="M203" s="33">
        <f>'Dados - Cliente'!K203</f>
        <v>0</v>
      </c>
      <c r="N203" s="33">
        <f>'Dados - Cliente'!L203</f>
        <v>0</v>
      </c>
      <c r="O203" s="33">
        <f>'Dados - Cliente'!M203</f>
        <v>0</v>
      </c>
      <c r="P203" s="33">
        <f>'Dados - Cliente'!N203</f>
        <v>0</v>
      </c>
      <c r="Q203" s="33">
        <f>'Dados - Cliente'!O203</f>
        <v>0</v>
      </c>
      <c r="R203" s="33">
        <f>'Dados - Cliente'!P203</f>
        <v>0</v>
      </c>
      <c r="S203" s="33">
        <f>'Dados - Cliente'!Q203</f>
        <v>0</v>
      </c>
      <c r="T203" s="33">
        <f>'Dados - Cliente'!R203</f>
        <v>0</v>
      </c>
      <c r="U203" s="34">
        <f>'Dados - Cliente'!S203</f>
        <v>0</v>
      </c>
      <c r="V203" s="34">
        <f>'Dados - Cliente'!T203</f>
        <v>0</v>
      </c>
      <c r="W203" s="34">
        <f>'Dados - Cliente'!U203</f>
        <v>0</v>
      </c>
      <c r="X203" s="34">
        <f>'Dados - Cliente'!V203</f>
        <v>0</v>
      </c>
      <c r="Y203" s="34">
        <f>'Dados - Cliente'!W203</f>
        <v>0</v>
      </c>
      <c r="Z203" s="34">
        <f>'Dados - Cliente'!X203</f>
        <v>0</v>
      </c>
      <c r="AA203" s="33" t="e">
        <f t="shared" si="17"/>
        <v>#N/A</v>
      </c>
      <c r="AB203" s="33">
        <f>'Dados - Cliente'!Y203</f>
        <v>0</v>
      </c>
      <c r="AC203" s="33">
        <f>'Dados - Cliente'!Z203</f>
        <v>0</v>
      </c>
      <c r="AD203" s="33">
        <f>'Dados - Cliente'!AA203</f>
        <v>0</v>
      </c>
      <c r="AE203" s="33">
        <f>'Dados - Cliente'!AB203</f>
        <v>0</v>
      </c>
      <c r="AF203" s="33">
        <f>'Dados - Cliente'!AC203</f>
        <v>0</v>
      </c>
      <c r="AG203" s="35">
        <f>'Dados - Cliente'!AD203</f>
        <v>0</v>
      </c>
      <c r="AH203" s="33" t="e">
        <f>INDEX('Dados - Placas'!$A:$A,MATCH('1'!AG203,'Dados - Placas'!$D:$D,0))</f>
        <v>#N/A</v>
      </c>
      <c r="AI203" s="35" t="e">
        <f>INDEX('Dados - Placas'!$E:$E,MATCH('1'!AG203,'Dados - Placas'!$D:$D,0))</f>
        <v>#N/A</v>
      </c>
      <c r="AJ203" s="34" t="e">
        <f>INDEX('Dados - Placas'!$F:$F,MATCH('1'!AG203,'Dados - Placas'!$D:$D,0))*AF203</f>
        <v>#N/A</v>
      </c>
      <c r="AK203" s="33">
        <f>'Dados - Cliente'!AE203</f>
        <v>0</v>
      </c>
      <c r="AL203" s="33">
        <f>'Dados - Cliente'!AF203</f>
        <v>0</v>
      </c>
      <c r="AM203" s="36" t="e">
        <f>INDEX('Dados - Inversores'!$A:$A,MATCH('1'!AL203,'Dados - Inversores'!$C:$C,0))</f>
        <v>#N/A</v>
      </c>
      <c r="AN203" s="33">
        <f>'Dados - Cliente'!AG203</f>
        <v>0</v>
      </c>
      <c r="AO203" s="33" t="e">
        <f>AA203*1.25/(0.22*SQRT(INDEX('Dados - Inversores'!AK:AK,MATCH('1'!AL203,'Dados - Inversores'!C:C,0))))</f>
        <v>#N/A</v>
      </c>
      <c r="AP203" s="34">
        <f>INDEX(Dados!$E$2:$E$33,COUNTIF(Dados!$E$2:$E$33,"&lt;="&amp;AN203*1.25/(INDEX('Dados - Inversores'!AL:AL,MATCH('1'!AL203,'Dados - Inversores'!C:C,0))*SQRT(INDEX('Dados - Inversores'!AK:AK,MATCH('1'!AL203,'Dados - Inversores'!C:C,0)))))+1)</f>
        <v>2</v>
      </c>
      <c r="AQ203" s="33" t="s">
        <v>59</v>
      </c>
      <c r="AR203" s="33" t="str">
        <f t="shared" si="18"/>
        <v>Micro</v>
      </c>
      <c r="AS203" s="33">
        <f>'Dados - Cliente'!AH203</f>
        <v>0</v>
      </c>
      <c r="AT203" s="33">
        <f>'Dados - Cliente'!AI203</f>
        <v>0</v>
      </c>
      <c r="AU203" s="33" t="e">
        <f>INDEX('Dados - Placas'!$N:$N,MATCH('1'!AG203,'Dados - Placas'!$D:$D,0))-1</f>
        <v>#N/A</v>
      </c>
      <c r="AV203" s="33" t="e">
        <f>INDEX('Dados - Placas'!$O:$O,MATCH('1'!AG203,'Dados - Placas'!$D:$D,0))</f>
        <v>#N/A</v>
      </c>
      <c r="AW203" s="33" t="e">
        <f>INDEX('Dados - Inversores'!AM:AM,MATCH('1'!AL203,'Dados - Inversores'!$C:$C,0))-1</f>
        <v>#N/A</v>
      </c>
      <c r="AX203" s="33" t="e">
        <f>INDEX('Dados - Inversores'!AN:AN,MATCH('1'!AL203,'Dados - Inversores'!$C:$C,0))-1</f>
        <v>#N/A</v>
      </c>
      <c r="AY203" s="33" t="e">
        <f>MATCH('1'!H203,Dados!$D$89:$D$167,0)+1</f>
        <v>#N/A</v>
      </c>
      <c r="AZ203" s="33" t="e">
        <f>MATCH('1'!N203,'Dados - Solicitação de acesso'!$N$2:$N$8,0)</f>
        <v>#N/A</v>
      </c>
      <c r="BA203" s="33" t="e">
        <f>MATCH('1'!T203,'Dados - Solicitação de acesso'!$T$2:$T$20,0)</f>
        <v>#N/A</v>
      </c>
      <c r="BB203" s="34"/>
      <c r="BC203" s="33">
        <f>MATCH(AT203,'Dados - Solicitação de acesso'!$AT$2:$AT$28,0)</f>
        <v>1</v>
      </c>
      <c r="BD203" s="33" t="b">
        <f>IF(O203="TRIFASICO",INDEX(Dados!G:G,MATCH('1'!AP203,Dados!E:E,0)),IF(O203="BIFASICO",INDEX(Dados!F:F,MATCH('1'!AP203,Dados!E:E,0),)))</f>
        <v>0</v>
      </c>
      <c r="BE203" s="33">
        <f>'Dados - Cliente'!J203</f>
        <v>0</v>
      </c>
      <c r="BF203" s="34">
        <f>INDEX(Dados!$E$2:$E$33,COUNTIF(Dados!$E$2:$E$33,"&lt;="&amp;AN203*1.25*AK203/(0.22*SQRT(INDEX('Dados - Inversores'!AK:AK,MATCH('1'!AL203,'Dados - Inversores'!C:C,0)))))+1)</f>
        <v>2</v>
      </c>
      <c r="BG203" s="34" t="b">
        <f>IF(O203="TRIFASICO",INDEX(Dados!G:G,MATCH(BF203,Dados!E:E,0)),IF(O203="BIFASICO",INDEX(Dados!F:F,MATCH(BF203,Dados!E:E,0),)))</f>
        <v>0</v>
      </c>
    </row>
    <row r="204" spans="1:59" s="33" customFormat="1" x14ac:dyDescent="0.35">
      <c r="A204" s="33">
        <f>'Dados - Cliente'!A204</f>
        <v>0</v>
      </c>
      <c r="B204" s="33">
        <f>'Dados - Cliente'!B204</f>
        <v>0</v>
      </c>
      <c r="C204" s="33">
        <f>'Dados - Cliente'!C204</f>
        <v>0</v>
      </c>
      <c r="D204" s="33">
        <f>'Dados - Cliente'!D204</f>
        <v>0</v>
      </c>
      <c r="E204" s="33">
        <f>'Dados - Cliente'!E204</f>
        <v>0</v>
      </c>
      <c r="F204" s="33">
        <f>'Dados - Cliente'!F204</f>
        <v>0</v>
      </c>
      <c r="G204" s="33">
        <f>'Dados - Cliente'!G204</f>
        <v>0</v>
      </c>
      <c r="H204" s="33">
        <f>'Dados - Cliente'!H204</f>
        <v>0</v>
      </c>
      <c r="I204" s="75" t="s">
        <v>4313</v>
      </c>
      <c r="J204" s="52" t="s">
        <v>4314</v>
      </c>
      <c r="K204" s="52" t="s">
        <v>4314</v>
      </c>
      <c r="L204" s="33">
        <f>'Dados - Cliente'!I204</f>
        <v>0</v>
      </c>
      <c r="M204" s="33">
        <f>'Dados - Cliente'!K204</f>
        <v>0</v>
      </c>
      <c r="N204" s="33">
        <f>'Dados - Cliente'!L204</f>
        <v>0</v>
      </c>
      <c r="O204" s="33">
        <f>'Dados - Cliente'!M204</f>
        <v>0</v>
      </c>
      <c r="P204" s="33">
        <f>'Dados - Cliente'!N204</f>
        <v>0</v>
      </c>
      <c r="Q204" s="33">
        <f>'Dados - Cliente'!O204</f>
        <v>0</v>
      </c>
      <c r="R204" s="33">
        <f>'Dados - Cliente'!P204</f>
        <v>0</v>
      </c>
      <c r="S204" s="33">
        <f>'Dados - Cliente'!Q204</f>
        <v>0</v>
      </c>
      <c r="T204" s="33">
        <f>'Dados - Cliente'!R204</f>
        <v>0</v>
      </c>
      <c r="U204" s="34">
        <f>'Dados - Cliente'!S204</f>
        <v>0</v>
      </c>
      <c r="V204" s="34">
        <f>'Dados - Cliente'!T204</f>
        <v>0</v>
      </c>
      <c r="W204" s="34">
        <f>'Dados - Cliente'!U204</f>
        <v>0</v>
      </c>
      <c r="X204" s="34">
        <f>'Dados - Cliente'!V204</f>
        <v>0</v>
      </c>
      <c r="Y204" s="34">
        <f>'Dados - Cliente'!W204</f>
        <v>0</v>
      </c>
      <c r="Z204" s="34">
        <f>'Dados - Cliente'!X204</f>
        <v>0</v>
      </c>
      <c r="AA204" s="33" t="e">
        <f t="shared" si="17"/>
        <v>#N/A</v>
      </c>
      <c r="AB204" s="33">
        <f>'Dados - Cliente'!Y204</f>
        <v>0</v>
      </c>
      <c r="AC204" s="33">
        <f>'Dados - Cliente'!Z204</f>
        <v>0</v>
      </c>
      <c r="AD204" s="33">
        <f>'Dados - Cliente'!AA204</f>
        <v>0</v>
      </c>
      <c r="AE204" s="33">
        <f>'Dados - Cliente'!AB204</f>
        <v>0</v>
      </c>
      <c r="AF204" s="33">
        <f>'Dados - Cliente'!AC204</f>
        <v>0</v>
      </c>
      <c r="AG204" s="35">
        <f>'Dados - Cliente'!AD204</f>
        <v>0</v>
      </c>
      <c r="AH204" s="33" t="e">
        <f>INDEX('Dados - Placas'!$A:$A,MATCH('1'!AG204,'Dados - Placas'!$D:$D,0))</f>
        <v>#N/A</v>
      </c>
      <c r="AI204" s="35" t="e">
        <f>INDEX('Dados - Placas'!$E:$E,MATCH('1'!AG204,'Dados - Placas'!$D:$D,0))</f>
        <v>#N/A</v>
      </c>
      <c r="AJ204" s="34" t="e">
        <f>INDEX('Dados - Placas'!$F:$F,MATCH('1'!AG204,'Dados - Placas'!$D:$D,0))*AF204</f>
        <v>#N/A</v>
      </c>
      <c r="AK204" s="33">
        <f>'Dados - Cliente'!AE204</f>
        <v>0</v>
      </c>
      <c r="AL204" s="33">
        <f>'Dados - Cliente'!AF204</f>
        <v>0</v>
      </c>
      <c r="AM204" s="36" t="e">
        <f>INDEX('Dados - Inversores'!$A:$A,MATCH('1'!AL204,'Dados - Inversores'!$C:$C,0))</f>
        <v>#N/A</v>
      </c>
      <c r="AN204" s="33">
        <f>'Dados - Cliente'!AG204</f>
        <v>0</v>
      </c>
      <c r="AO204" s="33" t="e">
        <f>AA204*1.25/(0.22*SQRT(INDEX('Dados - Inversores'!AK:AK,MATCH('1'!AL204,'Dados - Inversores'!C:C,0))))</f>
        <v>#N/A</v>
      </c>
      <c r="AP204" s="34">
        <f>INDEX(Dados!$E$2:$E$33,COUNTIF(Dados!$E$2:$E$33,"&lt;="&amp;AN204*1.25/(INDEX('Dados - Inversores'!AL:AL,MATCH('1'!AL204,'Dados - Inversores'!C:C,0))*SQRT(INDEX('Dados - Inversores'!AK:AK,MATCH('1'!AL204,'Dados - Inversores'!C:C,0)))))+1)</f>
        <v>2</v>
      </c>
      <c r="AQ204" s="33" t="s">
        <v>59</v>
      </c>
      <c r="AR204" s="33" t="str">
        <f t="shared" si="18"/>
        <v>Micro</v>
      </c>
      <c r="AS204" s="33">
        <f>'Dados - Cliente'!AH204</f>
        <v>0</v>
      </c>
      <c r="AT204" s="33">
        <f>'Dados - Cliente'!AI204</f>
        <v>0</v>
      </c>
      <c r="AU204" s="33" t="e">
        <f>INDEX('Dados - Placas'!$N:$N,MATCH('1'!AG204,'Dados - Placas'!$D:$D,0))-1</f>
        <v>#N/A</v>
      </c>
      <c r="AV204" s="33" t="e">
        <f>INDEX('Dados - Placas'!$O:$O,MATCH('1'!AG204,'Dados - Placas'!$D:$D,0))</f>
        <v>#N/A</v>
      </c>
      <c r="AW204" s="33" t="e">
        <f>INDEX('Dados - Inversores'!AM:AM,MATCH('1'!AL204,'Dados - Inversores'!$C:$C,0))-1</f>
        <v>#N/A</v>
      </c>
      <c r="AX204" s="33" t="e">
        <f>INDEX('Dados - Inversores'!AN:AN,MATCH('1'!AL204,'Dados - Inversores'!$C:$C,0))-1</f>
        <v>#N/A</v>
      </c>
      <c r="AY204" s="33" t="e">
        <f>MATCH('1'!H204,Dados!$D$89:$D$167,0)+1</f>
        <v>#N/A</v>
      </c>
      <c r="AZ204" s="33" t="e">
        <f>MATCH('1'!N204,'Dados - Solicitação de acesso'!$N$2:$N$8,0)</f>
        <v>#N/A</v>
      </c>
      <c r="BA204" s="33" t="e">
        <f>MATCH('1'!T204,'Dados - Solicitação de acesso'!$T$2:$T$20,0)</f>
        <v>#N/A</v>
      </c>
      <c r="BB204" s="34"/>
      <c r="BC204" s="33">
        <f>MATCH(AT204,'Dados - Solicitação de acesso'!$AT$2:$AT$28,0)</f>
        <v>1</v>
      </c>
      <c r="BD204" s="33" t="b">
        <f>IF(O204="TRIFASICO",INDEX(Dados!G:G,MATCH('1'!AP204,Dados!E:E,0)),IF(O204="BIFASICO",INDEX(Dados!F:F,MATCH('1'!AP204,Dados!E:E,0),)))</f>
        <v>0</v>
      </c>
      <c r="BE204" s="33">
        <f>'Dados - Cliente'!J204</f>
        <v>0</v>
      </c>
      <c r="BF204" s="34">
        <f>INDEX(Dados!$E$2:$E$33,COUNTIF(Dados!$E$2:$E$33,"&lt;="&amp;AN204*1.25*AK204/(0.22*SQRT(INDEX('Dados - Inversores'!AK:AK,MATCH('1'!AL204,'Dados - Inversores'!C:C,0)))))+1)</f>
        <v>2</v>
      </c>
      <c r="BG204" s="34" t="b">
        <f>IF(O204="TRIFASICO",INDEX(Dados!G:G,MATCH(BF204,Dados!E:E,0)),IF(O204="BIFASICO",INDEX(Dados!F:F,MATCH(BF204,Dados!E:E,0),)))</f>
        <v>0</v>
      </c>
    </row>
    <row r="205" spans="1:59" s="33" customFormat="1" x14ac:dyDescent="0.35">
      <c r="A205" s="33">
        <f>'Dados - Cliente'!A205</f>
        <v>0</v>
      </c>
      <c r="B205" s="33">
        <f>'Dados - Cliente'!B205</f>
        <v>0</v>
      </c>
      <c r="C205" s="33">
        <f>'Dados - Cliente'!C205</f>
        <v>0</v>
      </c>
      <c r="D205" s="33">
        <f>'Dados - Cliente'!D205</f>
        <v>0</v>
      </c>
      <c r="E205" s="33">
        <f>'Dados - Cliente'!E205</f>
        <v>0</v>
      </c>
      <c r="F205" s="33">
        <f>'Dados - Cliente'!F205</f>
        <v>0</v>
      </c>
      <c r="G205" s="33">
        <f>'Dados - Cliente'!G205</f>
        <v>0</v>
      </c>
      <c r="H205" s="33">
        <f>'Dados - Cliente'!H205</f>
        <v>0</v>
      </c>
      <c r="I205" s="75" t="s">
        <v>4313</v>
      </c>
      <c r="J205" s="52" t="s">
        <v>4314</v>
      </c>
      <c r="K205" s="52" t="s">
        <v>4314</v>
      </c>
      <c r="L205" s="33">
        <f>'Dados - Cliente'!I205</f>
        <v>0</v>
      </c>
      <c r="M205" s="33">
        <f>'Dados - Cliente'!K205</f>
        <v>0</v>
      </c>
      <c r="N205" s="33">
        <f>'Dados - Cliente'!L205</f>
        <v>0</v>
      </c>
      <c r="O205" s="33">
        <f>'Dados - Cliente'!M205</f>
        <v>0</v>
      </c>
      <c r="P205" s="33">
        <f>'Dados - Cliente'!N205</f>
        <v>0</v>
      </c>
      <c r="Q205" s="33">
        <f>'Dados - Cliente'!O205</f>
        <v>0</v>
      </c>
      <c r="R205" s="33">
        <f>'Dados - Cliente'!P205</f>
        <v>0</v>
      </c>
      <c r="S205" s="33">
        <f>'Dados - Cliente'!Q205</f>
        <v>0</v>
      </c>
      <c r="T205" s="33">
        <f>'Dados - Cliente'!R205</f>
        <v>0</v>
      </c>
      <c r="U205" s="34">
        <f>'Dados - Cliente'!S205</f>
        <v>0</v>
      </c>
      <c r="V205" s="34">
        <f>'Dados - Cliente'!T205</f>
        <v>0</v>
      </c>
      <c r="W205" s="34">
        <f>'Dados - Cliente'!U205</f>
        <v>0</v>
      </c>
      <c r="X205" s="34">
        <f>'Dados - Cliente'!V205</f>
        <v>0</v>
      </c>
      <c r="Y205" s="34">
        <f>'Dados - Cliente'!W205</f>
        <v>0</v>
      </c>
      <c r="Z205" s="34">
        <f>'Dados - Cliente'!X205</f>
        <v>0</v>
      </c>
      <c r="AA205" s="33" t="e">
        <f t="shared" ref="AA205:AA227" si="19">AI205*AF205</f>
        <v>#N/A</v>
      </c>
      <c r="AB205" s="33">
        <f>'Dados - Cliente'!Y205</f>
        <v>0</v>
      </c>
      <c r="AC205" s="33">
        <f>'Dados - Cliente'!Z205</f>
        <v>0</v>
      </c>
      <c r="AD205" s="33">
        <f>'Dados - Cliente'!AA205</f>
        <v>0</v>
      </c>
      <c r="AE205" s="33">
        <f>'Dados - Cliente'!AB205</f>
        <v>0</v>
      </c>
      <c r="AF205" s="33">
        <f>'Dados - Cliente'!AC205</f>
        <v>0</v>
      </c>
      <c r="AG205" s="35">
        <f>'Dados - Cliente'!AD205</f>
        <v>0</v>
      </c>
      <c r="AH205" s="33" t="e">
        <f>INDEX('Dados - Placas'!$A:$A,MATCH('1'!AG205,'Dados - Placas'!$D:$D,0))</f>
        <v>#N/A</v>
      </c>
      <c r="AI205" s="35" t="e">
        <f>INDEX('Dados - Placas'!$E:$E,MATCH('1'!AG205,'Dados - Placas'!$D:$D,0))</f>
        <v>#N/A</v>
      </c>
      <c r="AJ205" s="34" t="e">
        <f>INDEX('Dados - Placas'!$F:$F,MATCH('1'!AG205,'Dados - Placas'!$D:$D,0))*AF205</f>
        <v>#N/A</v>
      </c>
      <c r="AK205" s="33">
        <f>'Dados - Cliente'!AE205</f>
        <v>0</v>
      </c>
      <c r="AL205" s="33">
        <f>'Dados - Cliente'!AF205</f>
        <v>0</v>
      </c>
      <c r="AM205" s="36" t="e">
        <f>INDEX('Dados - Inversores'!$A:$A,MATCH('1'!AL205,'Dados - Inversores'!$C:$C,0))</f>
        <v>#N/A</v>
      </c>
      <c r="AN205" s="33">
        <f>'Dados - Cliente'!AG205</f>
        <v>0</v>
      </c>
      <c r="AO205" s="33" t="e">
        <f>AA205*1.25/(0.22*SQRT(INDEX('Dados - Inversores'!AK:AK,MATCH('1'!AL205,'Dados - Inversores'!C:C,0))))</f>
        <v>#N/A</v>
      </c>
      <c r="AP205" s="34">
        <f>INDEX(Dados!$E$2:$E$33,COUNTIF(Dados!$E$2:$E$33,"&lt;="&amp;AN205*1.25/(INDEX('Dados - Inversores'!AL:AL,MATCH('1'!AL205,'Dados - Inversores'!C:C,0))*SQRT(INDEX('Dados - Inversores'!AK:AK,MATCH('1'!AL205,'Dados - Inversores'!C:C,0)))))+1)</f>
        <v>2</v>
      </c>
      <c r="AQ205" s="33" t="s">
        <v>59</v>
      </c>
      <c r="AR205" s="33" t="str">
        <f t="shared" ref="AR205:AR227" si="20">IF((AN205*AK205)&gt;10,"Mini","Micro")</f>
        <v>Micro</v>
      </c>
      <c r="AS205" s="33">
        <f>'Dados - Cliente'!AH205</f>
        <v>0</v>
      </c>
      <c r="AT205" s="33">
        <f>'Dados - Cliente'!AI205</f>
        <v>0</v>
      </c>
      <c r="AU205" s="33" t="e">
        <f>INDEX('Dados - Placas'!$N:$N,MATCH('1'!AG205,'Dados - Placas'!$D:$D,0))-1</f>
        <v>#N/A</v>
      </c>
      <c r="AV205" s="33" t="e">
        <f>INDEX('Dados - Placas'!$O:$O,MATCH('1'!AG205,'Dados - Placas'!$D:$D,0))</f>
        <v>#N/A</v>
      </c>
      <c r="AW205" s="33" t="e">
        <f>INDEX('Dados - Inversores'!AM:AM,MATCH('1'!AL205,'Dados - Inversores'!$C:$C,0))-1</f>
        <v>#N/A</v>
      </c>
      <c r="AX205" s="33" t="e">
        <f>INDEX('Dados - Inversores'!AN:AN,MATCH('1'!AL205,'Dados - Inversores'!$C:$C,0))-1</f>
        <v>#N/A</v>
      </c>
      <c r="AY205" s="33" t="e">
        <f>MATCH('1'!H205,Dados!$D$89:$D$167,0)+1</f>
        <v>#N/A</v>
      </c>
      <c r="AZ205" s="33" t="e">
        <f>MATCH('1'!N205,'Dados - Solicitação de acesso'!$N$2:$N$8,0)</f>
        <v>#N/A</v>
      </c>
      <c r="BA205" s="33" t="e">
        <f>MATCH('1'!T205,'Dados - Solicitação de acesso'!$T$2:$T$20,0)</f>
        <v>#N/A</v>
      </c>
      <c r="BB205" s="34"/>
      <c r="BC205" s="33">
        <f>MATCH(AT205,'Dados - Solicitação de acesso'!$AT$2:$AT$28,0)</f>
        <v>1</v>
      </c>
      <c r="BD205" s="33" t="b">
        <f>IF(O205="TRIFASICO",INDEX(Dados!G:G,MATCH('1'!AP205,Dados!E:E,0)),IF(O205="BIFASICO",INDEX(Dados!F:F,MATCH('1'!AP205,Dados!E:E,0),)))</f>
        <v>0</v>
      </c>
      <c r="BE205" s="33">
        <f>'Dados - Cliente'!J205</f>
        <v>0</v>
      </c>
      <c r="BF205" s="34">
        <f>INDEX(Dados!$E$2:$E$33,COUNTIF(Dados!$E$2:$E$33,"&lt;="&amp;AN205*1.25*AK205/(0.22*SQRT(INDEX('Dados - Inversores'!AK:AK,MATCH('1'!AL205,'Dados - Inversores'!C:C,0)))))+1)</f>
        <v>2</v>
      </c>
      <c r="BG205" s="34" t="b">
        <f>IF(O205="TRIFASICO",INDEX(Dados!G:G,MATCH(BF205,Dados!E:E,0)),IF(O205="BIFASICO",INDEX(Dados!F:F,MATCH(BF205,Dados!E:E,0),)))</f>
        <v>0</v>
      </c>
    </row>
    <row r="206" spans="1:59" s="33" customFormat="1" x14ac:dyDescent="0.35">
      <c r="A206" s="33">
        <f>'Dados - Cliente'!A206</f>
        <v>0</v>
      </c>
      <c r="B206" s="33">
        <f>'Dados - Cliente'!B206</f>
        <v>0</v>
      </c>
      <c r="C206" s="33">
        <f>'Dados - Cliente'!C206</f>
        <v>0</v>
      </c>
      <c r="D206" s="33">
        <f>'Dados - Cliente'!D206</f>
        <v>0</v>
      </c>
      <c r="E206" s="33">
        <f>'Dados - Cliente'!E206</f>
        <v>0</v>
      </c>
      <c r="F206" s="33">
        <f>'Dados - Cliente'!F206</f>
        <v>0</v>
      </c>
      <c r="G206" s="33">
        <f>'Dados - Cliente'!G206</f>
        <v>0</v>
      </c>
      <c r="H206" s="33">
        <f>'Dados - Cliente'!H206</f>
        <v>0</v>
      </c>
      <c r="I206" s="75" t="s">
        <v>4313</v>
      </c>
      <c r="J206" s="52" t="s">
        <v>4314</v>
      </c>
      <c r="K206" s="52" t="s">
        <v>4314</v>
      </c>
      <c r="L206" s="33">
        <f>'Dados - Cliente'!I206</f>
        <v>0</v>
      </c>
      <c r="M206" s="33">
        <f>'Dados - Cliente'!K206</f>
        <v>0</v>
      </c>
      <c r="N206" s="33">
        <f>'Dados - Cliente'!L206</f>
        <v>0</v>
      </c>
      <c r="O206" s="33">
        <f>'Dados - Cliente'!M206</f>
        <v>0</v>
      </c>
      <c r="P206" s="33">
        <f>'Dados - Cliente'!N206</f>
        <v>0</v>
      </c>
      <c r="Q206" s="33">
        <f>'Dados - Cliente'!O206</f>
        <v>0</v>
      </c>
      <c r="R206" s="33">
        <f>'Dados - Cliente'!P206</f>
        <v>0</v>
      </c>
      <c r="S206" s="33">
        <f>'Dados - Cliente'!Q206</f>
        <v>0</v>
      </c>
      <c r="T206" s="33">
        <f>'Dados - Cliente'!R206</f>
        <v>0</v>
      </c>
      <c r="U206" s="34">
        <f>'Dados - Cliente'!S206</f>
        <v>0</v>
      </c>
      <c r="V206" s="34">
        <f>'Dados - Cliente'!T206</f>
        <v>0</v>
      </c>
      <c r="W206" s="34">
        <f>'Dados - Cliente'!U206</f>
        <v>0</v>
      </c>
      <c r="X206" s="34">
        <f>'Dados - Cliente'!V206</f>
        <v>0</v>
      </c>
      <c r="Y206" s="34">
        <f>'Dados - Cliente'!W206</f>
        <v>0</v>
      </c>
      <c r="Z206" s="34">
        <f>'Dados - Cliente'!X206</f>
        <v>0</v>
      </c>
      <c r="AA206" s="33" t="e">
        <f t="shared" si="19"/>
        <v>#N/A</v>
      </c>
      <c r="AB206" s="33">
        <f>'Dados - Cliente'!Y206</f>
        <v>0</v>
      </c>
      <c r="AC206" s="33">
        <f>'Dados - Cliente'!Z206</f>
        <v>0</v>
      </c>
      <c r="AD206" s="33">
        <f>'Dados - Cliente'!AA206</f>
        <v>0</v>
      </c>
      <c r="AE206" s="33">
        <f>'Dados - Cliente'!AB206</f>
        <v>0</v>
      </c>
      <c r="AF206" s="33">
        <f>'Dados - Cliente'!AC206</f>
        <v>0</v>
      </c>
      <c r="AG206" s="35">
        <f>'Dados - Cliente'!AD206</f>
        <v>0</v>
      </c>
      <c r="AH206" s="33" t="e">
        <f>INDEX('Dados - Placas'!$A:$A,MATCH('1'!AG206,'Dados - Placas'!$D:$D,0))</f>
        <v>#N/A</v>
      </c>
      <c r="AI206" s="35" t="e">
        <f>INDEX('Dados - Placas'!$E:$E,MATCH('1'!AG206,'Dados - Placas'!$D:$D,0))</f>
        <v>#N/A</v>
      </c>
      <c r="AJ206" s="34" t="e">
        <f>INDEX('Dados - Placas'!$F:$F,MATCH('1'!AG206,'Dados - Placas'!$D:$D,0))*AF206</f>
        <v>#N/A</v>
      </c>
      <c r="AK206" s="33">
        <f>'Dados - Cliente'!AE206</f>
        <v>0</v>
      </c>
      <c r="AL206" s="33">
        <f>'Dados - Cliente'!AF206</f>
        <v>0</v>
      </c>
      <c r="AM206" s="36" t="e">
        <f>INDEX('Dados - Inversores'!$A:$A,MATCH('1'!AL206,'Dados - Inversores'!$C:$C,0))</f>
        <v>#N/A</v>
      </c>
      <c r="AN206" s="33">
        <f>'Dados - Cliente'!AG206</f>
        <v>0</v>
      </c>
      <c r="AO206" s="33" t="e">
        <f>AA206*1.25/(0.22*SQRT(INDEX('Dados - Inversores'!AK:AK,MATCH('1'!AL206,'Dados - Inversores'!C:C,0))))</f>
        <v>#N/A</v>
      </c>
      <c r="AP206" s="34">
        <f>INDEX(Dados!$E$2:$E$33,COUNTIF(Dados!$E$2:$E$33,"&lt;="&amp;AN206*1.25/(INDEX('Dados - Inversores'!AL:AL,MATCH('1'!AL206,'Dados - Inversores'!C:C,0))*SQRT(INDEX('Dados - Inversores'!AK:AK,MATCH('1'!AL206,'Dados - Inversores'!C:C,0)))))+1)</f>
        <v>2</v>
      </c>
      <c r="AQ206" s="33" t="s">
        <v>59</v>
      </c>
      <c r="AR206" s="33" t="str">
        <f t="shared" si="20"/>
        <v>Micro</v>
      </c>
      <c r="AS206" s="33">
        <f>'Dados - Cliente'!AH206</f>
        <v>0</v>
      </c>
      <c r="AT206" s="33">
        <f>'Dados - Cliente'!AI206</f>
        <v>0</v>
      </c>
      <c r="AU206" s="33" t="e">
        <f>INDEX('Dados - Placas'!$N:$N,MATCH('1'!AG206,'Dados - Placas'!$D:$D,0))-1</f>
        <v>#N/A</v>
      </c>
      <c r="AV206" s="33" t="e">
        <f>INDEX('Dados - Placas'!$O:$O,MATCH('1'!AG206,'Dados - Placas'!$D:$D,0))</f>
        <v>#N/A</v>
      </c>
      <c r="AW206" s="33" t="e">
        <f>INDEX('Dados - Inversores'!AM:AM,MATCH('1'!AL206,'Dados - Inversores'!$C:$C,0))-1</f>
        <v>#N/A</v>
      </c>
      <c r="AX206" s="33" t="e">
        <f>INDEX('Dados - Inversores'!AN:AN,MATCH('1'!AL206,'Dados - Inversores'!$C:$C,0))-1</f>
        <v>#N/A</v>
      </c>
      <c r="AY206" s="33" t="e">
        <f>MATCH('1'!H206,Dados!$D$89:$D$167,0)+1</f>
        <v>#N/A</v>
      </c>
      <c r="AZ206" s="33" t="e">
        <f>MATCH('1'!N206,'Dados - Solicitação de acesso'!$N$2:$N$8,0)</f>
        <v>#N/A</v>
      </c>
      <c r="BA206" s="33" t="e">
        <f>MATCH('1'!T206,'Dados - Solicitação de acesso'!$T$2:$T$20,0)</f>
        <v>#N/A</v>
      </c>
      <c r="BB206" s="34"/>
      <c r="BC206" s="33">
        <f>MATCH(AT206,'Dados - Solicitação de acesso'!$AT$2:$AT$28,0)</f>
        <v>1</v>
      </c>
      <c r="BD206" s="33" t="b">
        <f>IF(O206="TRIFASICO",INDEX(Dados!G:G,MATCH('1'!AP206,Dados!E:E,0)),IF(O206="BIFASICO",INDEX(Dados!F:F,MATCH('1'!AP206,Dados!E:E,0),)))</f>
        <v>0</v>
      </c>
      <c r="BE206" s="33">
        <f>'Dados - Cliente'!J206</f>
        <v>0</v>
      </c>
      <c r="BF206" s="34">
        <f>INDEX(Dados!$E$2:$E$33,COUNTIF(Dados!$E$2:$E$33,"&lt;="&amp;AN206*1.25*AK206/(0.22*SQRT(INDEX('Dados - Inversores'!AK:AK,MATCH('1'!AL206,'Dados - Inversores'!C:C,0)))))+1)</f>
        <v>2</v>
      </c>
      <c r="BG206" s="34" t="b">
        <f>IF(O206="TRIFASICO",INDEX(Dados!G:G,MATCH(BF206,Dados!E:E,0)),IF(O206="BIFASICO",INDEX(Dados!F:F,MATCH(BF206,Dados!E:E,0),)))</f>
        <v>0</v>
      </c>
    </row>
    <row r="207" spans="1:59" s="33" customFormat="1" x14ac:dyDescent="0.35">
      <c r="A207" s="33">
        <f>'Dados - Cliente'!A207</f>
        <v>0</v>
      </c>
      <c r="B207" s="33">
        <f>'Dados - Cliente'!B207</f>
        <v>0</v>
      </c>
      <c r="C207" s="33">
        <f>'Dados - Cliente'!C207</f>
        <v>0</v>
      </c>
      <c r="D207" s="33">
        <f>'Dados - Cliente'!D207</f>
        <v>0</v>
      </c>
      <c r="E207" s="33">
        <f>'Dados - Cliente'!E207</f>
        <v>0</v>
      </c>
      <c r="F207" s="33">
        <f>'Dados - Cliente'!F207</f>
        <v>0</v>
      </c>
      <c r="G207" s="33">
        <f>'Dados - Cliente'!G207</f>
        <v>0</v>
      </c>
      <c r="H207" s="33">
        <f>'Dados - Cliente'!H207</f>
        <v>0</v>
      </c>
      <c r="I207" s="75" t="s">
        <v>4313</v>
      </c>
      <c r="J207" s="52" t="s">
        <v>4314</v>
      </c>
      <c r="K207" s="52" t="s">
        <v>4314</v>
      </c>
      <c r="L207" s="33">
        <f>'Dados - Cliente'!I207</f>
        <v>0</v>
      </c>
      <c r="M207" s="33">
        <f>'Dados - Cliente'!K207</f>
        <v>0</v>
      </c>
      <c r="N207" s="33">
        <f>'Dados - Cliente'!L207</f>
        <v>0</v>
      </c>
      <c r="O207" s="33">
        <f>'Dados - Cliente'!M207</f>
        <v>0</v>
      </c>
      <c r="P207" s="33">
        <f>'Dados - Cliente'!N207</f>
        <v>0</v>
      </c>
      <c r="Q207" s="33">
        <f>'Dados - Cliente'!O207</f>
        <v>0</v>
      </c>
      <c r="R207" s="33">
        <f>'Dados - Cliente'!P207</f>
        <v>0</v>
      </c>
      <c r="S207" s="33">
        <f>'Dados - Cliente'!Q207</f>
        <v>0</v>
      </c>
      <c r="T207" s="33">
        <f>'Dados - Cliente'!R207</f>
        <v>0</v>
      </c>
      <c r="U207" s="34">
        <f>'Dados - Cliente'!S207</f>
        <v>0</v>
      </c>
      <c r="V207" s="34">
        <f>'Dados - Cliente'!T207</f>
        <v>0</v>
      </c>
      <c r="W207" s="34">
        <f>'Dados - Cliente'!U207</f>
        <v>0</v>
      </c>
      <c r="X207" s="34">
        <f>'Dados - Cliente'!V207</f>
        <v>0</v>
      </c>
      <c r="Y207" s="34">
        <f>'Dados - Cliente'!W207</f>
        <v>0</v>
      </c>
      <c r="Z207" s="34">
        <f>'Dados - Cliente'!X207</f>
        <v>0</v>
      </c>
      <c r="AA207" s="33" t="e">
        <f t="shared" si="19"/>
        <v>#N/A</v>
      </c>
      <c r="AB207" s="33">
        <f>'Dados - Cliente'!Y207</f>
        <v>0</v>
      </c>
      <c r="AC207" s="33">
        <f>'Dados - Cliente'!Z207</f>
        <v>0</v>
      </c>
      <c r="AD207" s="33">
        <f>'Dados - Cliente'!AA207</f>
        <v>0</v>
      </c>
      <c r="AE207" s="33">
        <f>'Dados - Cliente'!AB207</f>
        <v>0</v>
      </c>
      <c r="AF207" s="33">
        <f>'Dados - Cliente'!AC207</f>
        <v>0</v>
      </c>
      <c r="AG207" s="35">
        <f>'Dados - Cliente'!AD207</f>
        <v>0</v>
      </c>
      <c r="AH207" s="33" t="e">
        <f>INDEX('Dados - Placas'!$A:$A,MATCH('1'!AG207,'Dados - Placas'!$D:$D,0))</f>
        <v>#N/A</v>
      </c>
      <c r="AI207" s="35" t="e">
        <f>INDEX('Dados - Placas'!$E:$E,MATCH('1'!AG207,'Dados - Placas'!$D:$D,0))</f>
        <v>#N/A</v>
      </c>
      <c r="AJ207" s="34" t="e">
        <f>INDEX('Dados - Placas'!$F:$F,MATCH('1'!AG207,'Dados - Placas'!$D:$D,0))*AF207</f>
        <v>#N/A</v>
      </c>
      <c r="AK207" s="33">
        <f>'Dados - Cliente'!AE207</f>
        <v>0</v>
      </c>
      <c r="AL207" s="33">
        <f>'Dados - Cliente'!AF207</f>
        <v>0</v>
      </c>
      <c r="AM207" s="36" t="e">
        <f>INDEX('Dados - Inversores'!$A:$A,MATCH('1'!AL207,'Dados - Inversores'!$C:$C,0))</f>
        <v>#N/A</v>
      </c>
      <c r="AN207" s="33">
        <f>'Dados - Cliente'!AG207</f>
        <v>0</v>
      </c>
      <c r="AO207" s="33" t="e">
        <f>AA207*1.25/(0.22*SQRT(INDEX('Dados - Inversores'!AK:AK,MATCH('1'!AL207,'Dados - Inversores'!C:C,0))))</f>
        <v>#N/A</v>
      </c>
      <c r="AP207" s="34">
        <f>INDEX(Dados!$E$2:$E$33,COUNTIF(Dados!$E$2:$E$33,"&lt;="&amp;AN207*1.25/(INDEX('Dados - Inversores'!AL:AL,MATCH('1'!AL207,'Dados - Inversores'!C:C,0))*SQRT(INDEX('Dados - Inversores'!AK:AK,MATCH('1'!AL207,'Dados - Inversores'!C:C,0)))))+1)</f>
        <v>2</v>
      </c>
      <c r="AQ207" s="33" t="s">
        <v>59</v>
      </c>
      <c r="AR207" s="33" t="str">
        <f t="shared" si="20"/>
        <v>Micro</v>
      </c>
      <c r="AS207" s="33">
        <f>'Dados - Cliente'!AH207</f>
        <v>0</v>
      </c>
      <c r="AT207" s="33">
        <f>'Dados - Cliente'!AI207</f>
        <v>0</v>
      </c>
      <c r="AU207" s="33" t="e">
        <f>INDEX('Dados - Placas'!$N:$N,MATCH('1'!AG207,'Dados - Placas'!$D:$D,0))-1</f>
        <v>#N/A</v>
      </c>
      <c r="AV207" s="33" t="e">
        <f>INDEX('Dados - Placas'!$O:$O,MATCH('1'!AG207,'Dados - Placas'!$D:$D,0))</f>
        <v>#N/A</v>
      </c>
      <c r="AW207" s="33" t="e">
        <f>INDEX('Dados - Inversores'!AM:AM,MATCH('1'!AL207,'Dados - Inversores'!$C:$C,0))-1</f>
        <v>#N/A</v>
      </c>
      <c r="AX207" s="33" t="e">
        <f>INDEX('Dados - Inversores'!AN:AN,MATCH('1'!AL207,'Dados - Inversores'!$C:$C,0))-1</f>
        <v>#N/A</v>
      </c>
      <c r="AY207" s="33" t="e">
        <f>MATCH('1'!H207,Dados!$D$89:$D$167,0)+1</f>
        <v>#N/A</v>
      </c>
      <c r="AZ207" s="33" t="e">
        <f>MATCH('1'!N207,'Dados - Solicitação de acesso'!$N$2:$N$8,0)</f>
        <v>#N/A</v>
      </c>
      <c r="BA207" s="33" t="e">
        <f>MATCH('1'!T207,'Dados - Solicitação de acesso'!$T$2:$T$20,0)</f>
        <v>#N/A</v>
      </c>
      <c r="BB207" s="34"/>
      <c r="BC207" s="33">
        <f>MATCH(AT207,'Dados - Solicitação de acesso'!$AT$2:$AT$28,0)</f>
        <v>1</v>
      </c>
      <c r="BD207" s="33" t="b">
        <f>IF(O207="TRIFASICO",INDEX(Dados!G:G,MATCH('1'!AP207,Dados!E:E,0)),IF(O207="BIFASICO",INDEX(Dados!F:F,MATCH('1'!AP207,Dados!E:E,0),)))</f>
        <v>0</v>
      </c>
      <c r="BE207" s="33">
        <f>'Dados - Cliente'!J207</f>
        <v>0</v>
      </c>
      <c r="BF207" s="34">
        <f>INDEX(Dados!$E$2:$E$33,COUNTIF(Dados!$E$2:$E$33,"&lt;="&amp;AN207*1.25*AK207/(0.22*SQRT(INDEX('Dados - Inversores'!AK:AK,MATCH('1'!AL207,'Dados - Inversores'!C:C,0)))))+1)</f>
        <v>2</v>
      </c>
      <c r="BG207" s="34" t="b">
        <f>IF(O207="TRIFASICO",INDEX(Dados!G:G,MATCH(BF207,Dados!E:E,0)),IF(O207="BIFASICO",INDEX(Dados!F:F,MATCH(BF207,Dados!E:E,0),)))</f>
        <v>0</v>
      </c>
    </row>
    <row r="208" spans="1:59" s="33" customFormat="1" x14ac:dyDescent="0.35">
      <c r="A208" s="33">
        <f>'Dados - Cliente'!A208</f>
        <v>0</v>
      </c>
      <c r="B208" s="33">
        <f>'Dados - Cliente'!B208</f>
        <v>0</v>
      </c>
      <c r="C208" s="33">
        <f>'Dados - Cliente'!C208</f>
        <v>0</v>
      </c>
      <c r="D208" s="33">
        <f>'Dados - Cliente'!D208</f>
        <v>0</v>
      </c>
      <c r="E208" s="33">
        <f>'Dados - Cliente'!E208</f>
        <v>0</v>
      </c>
      <c r="F208" s="33">
        <f>'Dados - Cliente'!F208</f>
        <v>0</v>
      </c>
      <c r="G208" s="33">
        <f>'Dados - Cliente'!G208</f>
        <v>0</v>
      </c>
      <c r="H208" s="33">
        <f>'Dados - Cliente'!H208</f>
        <v>0</v>
      </c>
      <c r="I208" s="75" t="s">
        <v>4313</v>
      </c>
      <c r="J208" s="52" t="s">
        <v>4314</v>
      </c>
      <c r="K208" s="52" t="s">
        <v>4314</v>
      </c>
      <c r="L208" s="33">
        <f>'Dados - Cliente'!I208</f>
        <v>0</v>
      </c>
      <c r="M208" s="33">
        <f>'Dados - Cliente'!K208</f>
        <v>0</v>
      </c>
      <c r="N208" s="33">
        <f>'Dados - Cliente'!L208</f>
        <v>0</v>
      </c>
      <c r="O208" s="33">
        <f>'Dados - Cliente'!M208</f>
        <v>0</v>
      </c>
      <c r="P208" s="33">
        <f>'Dados - Cliente'!N208</f>
        <v>0</v>
      </c>
      <c r="Q208" s="33">
        <f>'Dados - Cliente'!O208</f>
        <v>0</v>
      </c>
      <c r="R208" s="33">
        <f>'Dados - Cliente'!P208</f>
        <v>0</v>
      </c>
      <c r="S208" s="33">
        <f>'Dados - Cliente'!Q208</f>
        <v>0</v>
      </c>
      <c r="T208" s="33">
        <f>'Dados - Cliente'!R208</f>
        <v>0</v>
      </c>
      <c r="U208" s="34">
        <f>'Dados - Cliente'!S208</f>
        <v>0</v>
      </c>
      <c r="V208" s="34">
        <f>'Dados - Cliente'!T208</f>
        <v>0</v>
      </c>
      <c r="W208" s="34">
        <f>'Dados - Cliente'!U208</f>
        <v>0</v>
      </c>
      <c r="X208" s="34">
        <f>'Dados - Cliente'!V208</f>
        <v>0</v>
      </c>
      <c r="Y208" s="34">
        <f>'Dados - Cliente'!W208</f>
        <v>0</v>
      </c>
      <c r="Z208" s="34">
        <f>'Dados - Cliente'!X208</f>
        <v>0</v>
      </c>
      <c r="AA208" s="33" t="e">
        <f t="shared" si="19"/>
        <v>#N/A</v>
      </c>
      <c r="AB208" s="33">
        <f>'Dados - Cliente'!Y208</f>
        <v>0</v>
      </c>
      <c r="AC208" s="33">
        <f>'Dados - Cliente'!Z208</f>
        <v>0</v>
      </c>
      <c r="AD208" s="33">
        <f>'Dados - Cliente'!AA208</f>
        <v>0</v>
      </c>
      <c r="AE208" s="33">
        <f>'Dados - Cliente'!AB208</f>
        <v>0</v>
      </c>
      <c r="AF208" s="33">
        <f>'Dados - Cliente'!AC208</f>
        <v>0</v>
      </c>
      <c r="AG208" s="35">
        <f>'Dados - Cliente'!AD208</f>
        <v>0</v>
      </c>
      <c r="AH208" s="33" t="e">
        <f>INDEX('Dados - Placas'!$A:$A,MATCH('1'!AG208,'Dados - Placas'!$D:$D,0))</f>
        <v>#N/A</v>
      </c>
      <c r="AI208" s="35" t="e">
        <f>INDEX('Dados - Placas'!$E:$E,MATCH('1'!AG208,'Dados - Placas'!$D:$D,0))</f>
        <v>#N/A</v>
      </c>
      <c r="AJ208" s="34" t="e">
        <f>INDEX('Dados - Placas'!$F:$F,MATCH('1'!AG208,'Dados - Placas'!$D:$D,0))*AF208</f>
        <v>#N/A</v>
      </c>
      <c r="AK208" s="33">
        <f>'Dados - Cliente'!AE208</f>
        <v>0</v>
      </c>
      <c r="AL208" s="33">
        <f>'Dados - Cliente'!AF208</f>
        <v>0</v>
      </c>
      <c r="AM208" s="36" t="e">
        <f>INDEX('Dados - Inversores'!$A:$A,MATCH('1'!AL208,'Dados - Inversores'!$C:$C,0))</f>
        <v>#N/A</v>
      </c>
      <c r="AN208" s="33">
        <f>'Dados - Cliente'!AG208</f>
        <v>0</v>
      </c>
      <c r="AO208" s="33" t="e">
        <f>AA208*1.25/(0.22*SQRT(INDEX('Dados - Inversores'!AK:AK,MATCH('1'!AL208,'Dados - Inversores'!C:C,0))))</f>
        <v>#N/A</v>
      </c>
      <c r="AP208" s="34">
        <f>INDEX(Dados!$E$2:$E$33,COUNTIF(Dados!$E$2:$E$33,"&lt;="&amp;AN208*1.25/(INDEX('Dados - Inversores'!AL:AL,MATCH('1'!AL208,'Dados - Inversores'!C:C,0))*SQRT(INDEX('Dados - Inversores'!AK:AK,MATCH('1'!AL208,'Dados - Inversores'!C:C,0)))))+1)</f>
        <v>2</v>
      </c>
      <c r="AQ208" s="33" t="s">
        <v>59</v>
      </c>
      <c r="AR208" s="33" t="str">
        <f t="shared" si="20"/>
        <v>Micro</v>
      </c>
      <c r="AS208" s="33">
        <f>'Dados - Cliente'!AH208</f>
        <v>0</v>
      </c>
      <c r="AT208" s="33">
        <f>'Dados - Cliente'!AI208</f>
        <v>0</v>
      </c>
      <c r="AU208" s="33" t="e">
        <f>INDEX('Dados - Placas'!$N:$N,MATCH('1'!AG208,'Dados - Placas'!$D:$D,0))-1</f>
        <v>#N/A</v>
      </c>
      <c r="AV208" s="33" t="e">
        <f>INDEX('Dados - Placas'!$O:$O,MATCH('1'!AG208,'Dados - Placas'!$D:$D,0))</f>
        <v>#N/A</v>
      </c>
      <c r="AW208" s="33" t="e">
        <f>INDEX('Dados - Inversores'!AM:AM,MATCH('1'!AL208,'Dados - Inversores'!$C:$C,0))-1</f>
        <v>#N/A</v>
      </c>
      <c r="AX208" s="33" t="e">
        <f>INDEX('Dados - Inversores'!AN:AN,MATCH('1'!AL208,'Dados - Inversores'!$C:$C,0))-1</f>
        <v>#N/A</v>
      </c>
      <c r="AY208" s="33" t="e">
        <f>MATCH('1'!H208,Dados!$D$89:$D$167,0)+1</f>
        <v>#N/A</v>
      </c>
      <c r="AZ208" s="33" t="e">
        <f>MATCH('1'!N208,'Dados - Solicitação de acesso'!$N$2:$N$8,0)</f>
        <v>#N/A</v>
      </c>
      <c r="BA208" s="33" t="e">
        <f>MATCH('1'!T208,'Dados - Solicitação de acesso'!$T$2:$T$20,0)</f>
        <v>#N/A</v>
      </c>
      <c r="BB208" s="34"/>
      <c r="BC208" s="33">
        <f>MATCH(AT208,'Dados - Solicitação de acesso'!$AT$2:$AT$28,0)</f>
        <v>1</v>
      </c>
      <c r="BD208" s="33" t="b">
        <f>IF(O208="TRIFASICO",INDEX(Dados!G:G,MATCH('1'!AP208,Dados!E:E,0)),IF(O208="BIFASICO",INDEX(Dados!F:F,MATCH('1'!AP208,Dados!E:E,0),)))</f>
        <v>0</v>
      </c>
      <c r="BE208" s="33">
        <f>'Dados - Cliente'!J208</f>
        <v>0</v>
      </c>
      <c r="BF208" s="34">
        <f>INDEX(Dados!$E$2:$E$33,COUNTIF(Dados!$E$2:$E$33,"&lt;="&amp;AN208*1.25*AK208/(0.22*SQRT(INDEX('Dados - Inversores'!AK:AK,MATCH('1'!AL208,'Dados - Inversores'!C:C,0)))))+1)</f>
        <v>2</v>
      </c>
      <c r="BG208" s="34" t="b">
        <f>IF(O208="TRIFASICO",INDEX(Dados!G:G,MATCH(BF208,Dados!E:E,0)),IF(O208="BIFASICO",INDEX(Dados!F:F,MATCH(BF208,Dados!E:E,0),)))</f>
        <v>0</v>
      </c>
    </row>
    <row r="209" spans="1:59" s="33" customFormat="1" x14ac:dyDescent="0.35">
      <c r="A209" s="33">
        <f>'Dados - Cliente'!A209</f>
        <v>0</v>
      </c>
      <c r="B209" s="33">
        <f>'Dados - Cliente'!B209</f>
        <v>0</v>
      </c>
      <c r="C209" s="33">
        <f>'Dados - Cliente'!C209</f>
        <v>0</v>
      </c>
      <c r="D209" s="33">
        <f>'Dados - Cliente'!D209</f>
        <v>0</v>
      </c>
      <c r="E209" s="33">
        <f>'Dados - Cliente'!E209</f>
        <v>0</v>
      </c>
      <c r="F209" s="33">
        <f>'Dados - Cliente'!F209</f>
        <v>0</v>
      </c>
      <c r="G209" s="33">
        <f>'Dados - Cliente'!G209</f>
        <v>0</v>
      </c>
      <c r="H209" s="33">
        <f>'Dados - Cliente'!H209</f>
        <v>0</v>
      </c>
      <c r="I209" s="75" t="s">
        <v>4313</v>
      </c>
      <c r="J209" s="52" t="s">
        <v>4314</v>
      </c>
      <c r="K209" s="52" t="s">
        <v>4314</v>
      </c>
      <c r="L209" s="33">
        <f>'Dados - Cliente'!I209</f>
        <v>0</v>
      </c>
      <c r="M209" s="33">
        <f>'Dados - Cliente'!K209</f>
        <v>0</v>
      </c>
      <c r="N209" s="33">
        <f>'Dados - Cliente'!L209</f>
        <v>0</v>
      </c>
      <c r="O209" s="33">
        <f>'Dados - Cliente'!M209</f>
        <v>0</v>
      </c>
      <c r="P209" s="33">
        <f>'Dados - Cliente'!N209</f>
        <v>0</v>
      </c>
      <c r="Q209" s="33">
        <f>'Dados - Cliente'!O209</f>
        <v>0</v>
      </c>
      <c r="R209" s="33">
        <f>'Dados - Cliente'!P209</f>
        <v>0</v>
      </c>
      <c r="S209" s="33">
        <f>'Dados - Cliente'!Q209</f>
        <v>0</v>
      </c>
      <c r="T209" s="33">
        <f>'Dados - Cliente'!R209</f>
        <v>0</v>
      </c>
      <c r="U209" s="34">
        <f>'Dados - Cliente'!S209</f>
        <v>0</v>
      </c>
      <c r="V209" s="34">
        <f>'Dados - Cliente'!T209</f>
        <v>0</v>
      </c>
      <c r="W209" s="34">
        <f>'Dados - Cliente'!U209</f>
        <v>0</v>
      </c>
      <c r="X209" s="34">
        <f>'Dados - Cliente'!V209</f>
        <v>0</v>
      </c>
      <c r="Y209" s="34">
        <f>'Dados - Cliente'!W209</f>
        <v>0</v>
      </c>
      <c r="Z209" s="34">
        <f>'Dados - Cliente'!X209</f>
        <v>0</v>
      </c>
      <c r="AA209" s="33" t="e">
        <f t="shared" si="19"/>
        <v>#N/A</v>
      </c>
      <c r="AB209" s="33">
        <f>'Dados - Cliente'!Y209</f>
        <v>0</v>
      </c>
      <c r="AC209" s="33">
        <f>'Dados - Cliente'!Z209</f>
        <v>0</v>
      </c>
      <c r="AD209" s="33">
        <f>'Dados - Cliente'!AA209</f>
        <v>0</v>
      </c>
      <c r="AE209" s="33">
        <f>'Dados - Cliente'!AB209</f>
        <v>0</v>
      </c>
      <c r="AF209" s="33">
        <f>'Dados - Cliente'!AC209</f>
        <v>0</v>
      </c>
      <c r="AG209" s="35">
        <f>'Dados - Cliente'!AD209</f>
        <v>0</v>
      </c>
      <c r="AH209" s="33" t="e">
        <f>INDEX('Dados - Placas'!$A:$A,MATCH('1'!AG209,'Dados - Placas'!$D:$D,0))</f>
        <v>#N/A</v>
      </c>
      <c r="AI209" s="35" t="e">
        <f>INDEX('Dados - Placas'!$E:$E,MATCH('1'!AG209,'Dados - Placas'!$D:$D,0))</f>
        <v>#N/A</v>
      </c>
      <c r="AJ209" s="34" t="e">
        <f>INDEX('Dados - Placas'!$F:$F,MATCH('1'!AG209,'Dados - Placas'!$D:$D,0))*AF209</f>
        <v>#N/A</v>
      </c>
      <c r="AK209" s="33">
        <f>'Dados - Cliente'!AE209</f>
        <v>0</v>
      </c>
      <c r="AL209" s="33">
        <f>'Dados - Cliente'!AF209</f>
        <v>0</v>
      </c>
      <c r="AM209" s="36" t="e">
        <f>INDEX('Dados - Inversores'!$A:$A,MATCH('1'!AL209,'Dados - Inversores'!$C:$C,0))</f>
        <v>#N/A</v>
      </c>
      <c r="AN209" s="33">
        <f>'Dados - Cliente'!AG209</f>
        <v>0</v>
      </c>
      <c r="AO209" s="33" t="e">
        <f>AA209*1.25/(0.22*SQRT(INDEX('Dados - Inversores'!AK:AK,MATCH('1'!AL209,'Dados - Inversores'!C:C,0))))</f>
        <v>#N/A</v>
      </c>
      <c r="AP209" s="34">
        <f>INDEX(Dados!$E$2:$E$33,COUNTIF(Dados!$E$2:$E$33,"&lt;="&amp;AN209*1.25/(INDEX('Dados - Inversores'!AL:AL,MATCH('1'!AL209,'Dados - Inversores'!C:C,0))*SQRT(INDEX('Dados - Inversores'!AK:AK,MATCH('1'!AL209,'Dados - Inversores'!C:C,0)))))+1)</f>
        <v>2</v>
      </c>
      <c r="AQ209" s="33" t="s">
        <v>59</v>
      </c>
      <c r="AR209" s="33" t="str">
        <f t="shared" si="20"/>
        <v>Micro</v>
      </c>
      <c r="AS209" s="33">
        <f>'Dados - Cliente'!AH209</f>
        <v>0</v>
      </c>
      <c r="AT209" s="33">
        <f>'Dados - Cliente'!AI209</f>
        <v>0</v>
      </c>
      <c r="AU209" s="33" t="e">
        <f>INDEX('Dados - Placas'!$N:$N,MATCH('1'!AG209,'Dados - Placas'!$D:$D,0))-1</f>
        <v>#N/A</v>
      </c>
      <c r="AV209" s="33" t="e">
        <f>INDEX('Dados - Placas'!$O:$O,MATCH('1'!AG209,'Dados - Placas'!$D:$D,0))</f>
        <v>#N/A</v>
      </c>
      <c r="AW209" s="33" t="e">
        <f>INDEX('Dados - Inversores'!AM:AM,MATCH('1'!AL209,'Dados - Inversores'!$C:$C,0))-1</f>
        <v>#N/A</v>
      </c>
      <c r="AX209" s="33" t="e">
        <f>INDEX('Dados - Inversores'!AN:AN,MATCH('1'!AL209,'Dados - Inversores'!$C:$C,0))-1</f>
        <v>#N/A</v>
      </c>
      <c r="AY209" s="33" t="e">
        <f>MATCH('1'!H209,Dados!$D$89:$D$167,0)+1</f>
        <v>#N/A</v>
      </c>
      <c r="AZ209" s="33" t="e">
        <f>MATCH('1'!N209,'Dados - Solicitação de acesso'!$N$2:$N$8,0)</f>
        <v>#N/A</v>
      </c>
      <c r="BA209" s="33" t="e">
        <f>MATCH('1'!T209,'Dados - Solicitação de acesso'!$T$2:$T$20,0)</f>
        <v>#N/A</v>
      </c>
      <c r="BB209" s="34"/>
      <c r="BC209" s="33">
        <f>MATCH(AT209,'Dados - Solicitação de acesso'!$AT$2:$AT$28,0)</f>
        <v>1</v>
      </c>
      <c r="BD209" s="33" t="b">
        <f>IF(O209="TRIFASICO",INDEX(Dados!G:G,MATCH('1'!AP209,Dados!E:E,0)),IF(O209="BIFASICO",INDEX(Dados!F:F,MATCH('1'!AP209,Dados!E:E,0),)))</f>
        <v>0</v>
      </c>
      <c r="BE209" s="33">
        <f>'Dados - Cliente'!J209</f>
        <v>0</v>
      </c>
      <c r="BF209" s="34">
        <f>INDEX(Dados!$E$2:$E$33,COUNTIF(Dados!$E$2:$E$33,"&lt;="&amp;AN209*1.25*AK209/(0.22*SQRT(INDEX('Dados - Inversores'!AK:AK,MATCH('1'!AL209,'Dados - Inversores'!C:C,0)))))+1)</f>
        <v>2</v>
      </c>
      <c r="BG209" s="34" t="b">
        <f>IF(O209="TRIFASICO",INDEX(Dados!G:G,MATCH(BF209,Dados!E:E,0)),IF(O209="BIFASICO",INDEX(Dados!F:F,MATCH(BF209,Dados!E:E,0),)))</f>
        <v>0</v>
      </c>
    </row>
    <row r="210" spans="1:59" s="33" customFormat="1" x14ac:dyDescent="0.35">
      <c r="A210" s="33">
        <f>'Dados - Cliente'!A210</f>
        <v>0</v>
      </c>
      <c r="B210" s="33">
        <f>'Dados - Cliente'!B210</f>
        <v>0</v>
      </c>
      <c r="C210" s="33">
        <f>'Dados - Cliente'!C210</f>
        <v>0</v>
      </c>
      <c r="D210" s="33">
        <f>'Dados - Cliente'!D210</f>
        <v>0</v>
      </c>
      <c r="E210" s="33">
        <f>'Dados - Cliente'!E210</f>
        <v>0</v>
      </c>
      <c r="F210" s="33">
        <f>'Dados - Cliente'!F210</f>
        <v>0</v>
      </c>
      <c r="G210" s="33">
        <f>'Dados - Cliente'!G210</f>
        <v>0</v>
      </c>
      <c r="H210" s="33">
        <f>'Dados - Cliente'!H210</f>
        <v>0</v>
      </c>
      <c r="I210" s="75" t="s">
        <v>4313</v>
      </c>
      <c r="J210" s="52" t="s">
        <v>4314</v>
      </c>
      <c r="K210" s="52" t="s">
        <v>4314</v>
      </c>
      <c r="L210" s="33">
        <f>'Dados - Cliente'!I210</f>
        <v>0</v>
      </c>
      <c r="M210" s="33">
        <f>'Dados - Cliente'!K210</f>
        <v>0</v>
      </c>
      <c r="N210" s="33">
        <f>'Dados - Cliente'!L210</f>
        <v>0</v>
      </c>
      <c r="O210" s="33">
        <f>'Dados - Cliente'!M210</f>
        <v>0</v>
      </c>
      <c r="P210" s="33">
        <f>'Dados - Cliente'!N210</f>
        <v>0</v>
      </c>
      <c r="Q210" s="33">
        <f>'Dados - Cliente'!O210</f>
        <v>0</v>
      </c>
      <c r="R210" s="33">
        <f>'Dados - Cliente'!P210</f>
        <v>0</v>
      </c>
      <c r="S210" s="33">
        <f>'Dados - Cliente'!Q210</f>
        <v>0</v>
      </c>
      <c r="T210" s="33">
        <f>'Dados - Cliente'!R210</f>
        <v>0</v>
      </c>
      <c r="U210" s="34">
        <f>'Dados - Cliente'!S210</f>
        <v>0</v>
      </c>
      <c r="V210" s="34">
        <f>'Dados - Cliente'!T210</f>
        <v>0</v>
      </c>
      <c r="W210" s="34">
        <f>'Dados - Cliente'!U210</f>
        <v>0</v>
      </c>
      <c r="X210" s="34">
        <f>'Dados - Cliente'!V210</f>
        <v>0</v>
      </c>
      <c r="Y210" s="34">
        <f>'Dados - Cliente'!W210</f>
        <v>0</v>
      </c>
      <c r="Z210" s="34">
        <f>'Dados - Cliente'!X210</f>
        <v>0</v>
      </c>
      <c r="AA210" s="33" t="e">
        <f t="shared" si="19"/>
        <v>#N/A</v>
      </c>
      <c r="AB210" s="33">
        <f>'Dados - Cliente'!Y210</f>
        <v>0</v>
      </c>
      <c r="AC210" s="33">
        <f>'Dados - Cliente'!Z210</f>
        <v>0</v>
      </c>
      <c r="AD210" s="33">
        <f>'Dados - Cliente'!AA210</f>
        <v>0</v>
      </c>
      <c r="AE210" s="33">
        <f>'Dados - Cliente'!AB210</f>
        <v>0</v>
      </c>
      <c r="AF210" s="33">
        <f>'Dados - Cliente'!AC210</f>
        <v>0</v>
      </c>
      <c r="AG210" s="35">
        <f>'Dados - Cliente'!AD210</f>
        <v>0</v>
      </c>
      <c r="AH210" s="33" t="e">
        <f>INDEX('Dados - Placas'!$A:$A,MATCH('1'!AG210,'Dados - Placas'!$D:$D,0))</f>
        <v>#N/A</v>
      </c>
      <c r="AI210" s="35" t="e">
        <f>INDEX('Dados - Placas'!$E:$E,MATCH('1'!AG210,'Dados - Placas'!$D:$D,0))</f>
        <v>#N/A</v>
      </c>
      <c r="AJ210" s="34" t="e">
        <f>INDEX('Dados - Placas'!$F:$F,MATCH('1'!AG210,'Dados - Placas'!$D:$D,0))*AF210</f>
        <v>#N/A</v>
      </c>
      <c r="AK210" s="33">
        <f>'Dados - Cliente'!AE210</f>
        <v>0</v>
      </c>
      <c r="AL210" s="33">
        <f>'Dados - Cliente'!AF210</f>
        <v>0</v>
      </c>
      <c r="AM210" s="36" t="e">
        <f>INDEX('Dados - Inversores'!$A:$A,MATCH('1'!AL210,'Dados - Inversores'!$C:$C,0))</f>
        <v>#N/A</v>
      </c>
      <c r="AN210" s="33">
        <f>'Dados - Cliente'!AG210</f>
        <v>0</v>
      </c>
      <c r="AO210" s="33" t="e">
        <f>AA210*1.25/(0.22*SQRT(INDEX('Dados - Inversores'!AK:AK,MATCH('1'!AL210,'Dados - Inversores'!C:C,0))))</f>
        <v>#N/A</v>
      </c>
      <c r="AP210" s="34">
        <f>INDEX(Dados!$E$2:$E$33,COUNTIF(Dados!$E$2:$E$33,"&lt;="&amp;AN210*1.25/(INDEX('Dados - Inversores'!AL:AL,MATCH('1'!AL210,'Dados - Inversores'!C:C,0))*SQRT(INDEX('Dados - Inversores'!AK:AK,MATCH('1'!AL210,'Dados - Inversores'!C:C,0)))))+1)</f>
        <v>2</v>
      </c>
      <c r="AQ210" s="33" t="s">
        <v>59</v>
      </c>
      <c r="AR210" s="33" t="str">
        <f t="shared" si="20"/>
        <v>Micro</v>
      </c>
      <c r="AS210" s="33">
        <f>'Dados - Cliente'!AH210</f>
        <v>0</v>
      </c>
      <c r="AT210" s="33">
        <f>'Dados - Cliente'!AI210</f>
        <v>0</v>
      </c>
      <c r="AU210" s="33" t="e">
        <f>INDEX('Dados - Placas'!$N:$N,MATCH('1'!AG210,'Dados - Placas'!$D:$D,0))-1</f>
        <v>#N/A</v>
      </c>
      <c r="AV210" s="33" t="e">
        <f>INDEX('Dados - Placas'!$O:$O,MATCH('1'!AG210,'Dados - Placas'!$D:$D,0))</f>
        <v>#N/A</v>
      </c>
      <c r="AW210" s="33" t="e">
        <f>INDEX('Dados - Inversores'!AM:AM,MATCH('1'!AL210,'Dados - Inversores'!$C:$C,0))-1</f>
        <v>#N/A</v>
      </c>
      <c r="AX210" s="33" t="e">
        <f>INDEX('Dados - Inversores'!AN:AN,MATCH('1'!AL210,'Dados - Inversores'!$C:$C,0))-1</f>
        <v>#N/A</v>
      </c>
      <c r="AY210" s="33" t="e">
        <f>MATCH('1'!H210,Dados!$D$89:$D$167,0)+1</f>
        <v>#N/A</v>
      </c>
      <c r="AZ210" s="33" t="e">
        <f>MATCH('1'!N210,'Dados - Solicitação de acesso'!$N$2:$N$8,0)</f>
        <v>#N/A</v>
      </c>
      <c r="BA210" s="33" t="e">
        <f>MATCH('1'!T210,'Dados - Solicitação de acesso'!$T$2:$T$20,0)</f>
        <v>#N/A</v>
      </c>
      <c r="BB210" s="34"/>
      <c r="BC210" s="33">
        <f>MATCH(AT210,'Dados - Solicitação de acesso'!$AT$2:$AT$28,0)</f>
        <v>1</v>
      </c>
      <c r="BD210" s="33" t="b">
        <f>IF(O210="TRIFASICO",INDEX(Dados!G:G,MATCH('1'!AP210,Dados!E:E,0)),IF(O210="BIFASICO",INDEX(Dados!F:F,MATCH('1'!AP210,Dados!E:E,0),)))</f>
        <v>0</v>
      </c>
      <c r="BE210" s="33">
        <f>'Dados - Cliente'!J210</f>
        <v>0</v>
      </c>
      <c r="BF210" s="34">
        <f>INDEX(Dados!$E$2:$E$33,COUNTIF(Dados!$E$2:$E$33,"&lt;="&amp;AN210*1.25*AK210/(0.22*SQRT(INDEX('Dados - Inversores'!AK:AK,MATCH('1'!AL210,'Dados - Inversores'!C:C,0)))))+1)</f>
        <v>2</v>
      </c>
      <c r="BG210" s="34" t="b">
        <f>IF(O210="TRIFASICO",INDEX(Dados!G:G,MATCH(BF210,Dados!E:E,0)),IF(O210="BIFASICO",INDEX(Dados!F:F,MATCH(BF210,Dados!E:E,0),)))</f>
        <v>0</v>
      </c>
    </row>
    <row r="211" spans="1:59" s="33" customFormat="1" x14ac:dyDescent="0.35">
      <c r="A211" s="33">
        <f>'Dados - Cliente'!A211</f>
        <v>0</v>
      </c>
      <c r="B211" s="33">
        <f>'Dados - Cliente'!B211</f>
        <v>0</v>
      </c>
      <c r="C211" s="33">
        <f>'Dados - Cliente'!C211</f>
        <v>0</v>
      </c>
      <c r="D211" s="33">
        <f>'Dados - Cliente'!D211</f>
        <v>0</v>
      </c>
      <c r="E211" s="33">
        <f>'Dados - Cliente'!E211</f>
        <v>0</v>
      </c>
      <c r="F211" s="33">
        <f>'Dados - Cliente'!F211</f>
        <v>0</v>
      </c>
      <c r="G211" s="33">
        <f>'Dados - Cliente'!G211</f>
        <v>0</v>
      </c>
      <c r="H211" s="33">
        <f>'Dados - Cliente'!H211</f>
        <v>0</v>
      </c>
      <c r="I211" s="75" t="s">
        <v>4313</v>
      </c>
      <c r="J211" s="52" t="s">
        <v>4314</v>
      </c>
      <c r="K211" s="52" t="s">
        <v>4314</v>
      </c>
      <c r="L211" s="33">
        <f>'Dados - Cliente'!I211</f>
        <v>0</v>
      </c>
      <c r="M211" s="33">
        <f>'Dados - Cliente'!K211</f>
        <v>0</v>
      </c>
      <c r="N211" s="33">
        <f>'Dados - Cliente'!L211</f>
        <v>0</v>
      </c>
      <c r="O211" s="33">
        <f>'Dados - Cliente'!M211</f>
        <v>0</v>
      </c>
      <c r="P211" s="33">
        <f>'Dados - Cliente'!N211</f>
        <v>0</v>
      </c>
      <c r="Q211" s="33">
        <f>'Dados - Cliente'!O211</f>
        <v>0</v>
      </c>
      <c r="R211" s="33">
        <f>'Dados - Cliente'!P211</f>
        <v>0</v>
      </c>
      <c r="S211" s="33">
        <f>'Dados - Cliente'!Q211</f>
        <v>0</v>
      </c>
      <c r="T211" s="33">
        <f>'Dados - Cliente'!R211</f>
        <v>0</v>
      </c>
      <c r="U211" s="34">
        <f>'Dados - Cliente'!S211</f>
        <v>0</v>
      </c>
      <c r="V211" s="34">
        <f>'Dados - Cliente'!T211</f>
        <v>0</v>
      </c>
      <c r="W211" s="34">
        <f>'Dados - Cliente'!U211</f>
        <v>0</v>
      </c>
      <c r="X211" s="34">
        <f>'Dados - Cliente'!V211</f>
        <v>0</v>
      </c>
      <c r="Y211" s="34">
        <f>'Dados - Cliente'!W211</f>
        <v>0</v>
      </c>
      <c r="Z211" s="34">
        <f>'Dados - Cliente'!X211</f>
        <v>0</v>
      </c>
      <c r="AA211" s="33" t="e">
        <f t="shared" si="19"/>
        <v>#N/A</v>
      </c>
      <c r="AB211" s="33">
        <f>'Dados - Cliente'!Y211</f>
        <v>0</v>
      </c>
      <c r="AC211" s="33">
        <f>'Dados - Cliente'!Z211</f>
        <v>0</v>
      </c>
      <c r="AD211" s="33">
        <f>'Dados - Cliente'!AA211</f>
        <v>0</v>
      </c>
      <c r="AE211" s="33">
        <f>'Dados - Cliente'!AB211</f>
        <v>0</v>
      </c>
      <c r="AF211" s="33">
        <f>'Dados - Cliente'!AC211</f>
        <v>0</v>
      </c>
      <c r="AG211" s="35">
        <f>'Dados - Cliente'!AD211</f>
        <v>0</v>
      </c>
      <c r="AH211" s="33" t="e">
        <f>INDEX('Dados - Placas'!$A:$A,MATCH('1'!AG211,'Dados - Placas'!$D:$D,0))</f>
        <v>#N/A</v>
      </c>
      <c r="AI211" s="35" t="e">
        <f>INDEX('Dados - Placas'!$E:$E,MATCH('1'!AG211,'Dados - Placas'!$D:$D,0))</f>
        <v>#N/A</v>
      </c>
      <c r="AJ211" s="34" t="e">
        <f>INDEX('Dados - Placas'!$F:$F,MATCH('1'!AG211,'Dados - Placas'!$D:$D,0))*AF211</f>
        <v>#N/A</v>
      </c>
      <c r="AK211" s="33">
        <f>'Dados - Cliente'!AE211</f>
        <v>0</v>
      </c>
      <c r="AL211" s="33">
        <f>'Dados - Cliente'!AF211</f>
        <v>0</v>
      </c>
      <c r="AM211" s="36" t="e">
        <f>INDEX('Dados - Inversores'!$A:$A,MATCH('1'!AL211,'Dados - Inversores'!$C:$C,0))</f>
        <v>#N/A</v>
      </c>
      <c r="AN211" s="33">
        <f>'Dados - Cliente'!AG211</f>
        <v>0</v>
      </c>
      <c r="AO211" s="33" t="e">
        <f>AA211*1.25/(0.22*SQRT(INDEX('Dados - Inversores'!AK:AK,MATCH('1'!AL211,'Dados - Inversores'!C:C,0))))</f>
        <v>#N/A</v>
      </c>
      <c r="AP211" s="34">
        <f>INDEX(Dados!$E$2:$E$33,COUNTIF(Dados!$E$2:$E$33,"&lt;="&amp;AN211*1.25/(INDEX('Dados - Inversores'!AL:AL,MATCH('1'!AL211,'Dados - Inversores'!C:C,0))*SQRT(INDEX('Dados - Inversores'!AK:AK,MATCH('1'!AL211,'Dados - Inversores'!C:C,0)))))+1)</f>
        <v>2</v>
      </c>
      <c r="AQ211" s="33" t="s">
        <v>59</v>
      </c>
      <c r="AR211" s="33" t="str">
        <f t="shared" si="20"/>
        <v>Micro</v>
      </c>
      <c r="AS211" s="33">
        <f>'Dados - Cliente'!AH211</f>
        <v>0</v>
      </c>
      <c r="AT211" s="33">
        <f>'Dados - Cliente'!AI211</f>
        <v>0</v>
      </c>
      <c r="AU211" s="33" t="e">
        <f>INDEX('Dados - Placas'!$N:$N,MATCH('1'!AG211,'Dados - Placas'!$D:$D,0))-1</f>
        <v>#N/A</v>
      </c>
      <c r="AV211" s="33" t="e">
        <f>INDEX('Dados - Placas'!$O:$O,MATCH('1'!AG211,'Dados - Placas'!$D:$D,0))</f>
        <v>#N/A</v>
      </c>
      <c r="AW211" s="33" t="e">
        <f>INDEX('Dados - Inversores'!AM:AM,MATCH('1'!AL211,'Dados - Inversores'!$C:$C,0))-1</f>
        <v>#N/A</v>
      </c>
      <c r="AX211" s="33" t="e">
        <f>INDEX('Dados - Inversores'!AN:AN,MATCH('1'!AL211,'Dados - Inversores'!$C:$C,0))-1</f>
        <v>#N/A</v>
      </c>
      <c r="AY211" s="33" t="e">
        <f>MATCH('1'!H211,Dados!$D$89:$D$167,0)+1</f>
        <v>#N/A</v>
      </c>
      <c r="AZ211" s="33" t="e">
        <f>MATCH('1'!N211,'Dados - Solicitação de acesso'!$N$2:$N$8,0)</f>
        <v>#N/A</v>
      </c>
      <c r="BA211" s="33" t="e">
        <f>MATCH('1'!T211,'Dados - Solicitação de acesso'!$T$2:$T$20,0)</f>
        <v>#N/A</v>
      </c>
      <c r="BB211" s="34"/>
      <c r="BC211" s="33">
        <f>MATCH(AT211,'Dados - Solicitação de acesso'!$AT$2:$AT$28,0)</f>
        <v>1</v>
      </c>
      <c r="BD211" s="33" t="b">
        <f>IF(O211="TRIFASICO",INDEX(Dados!G:G,MATCH('1'!AP211,Dados!E:E,0)),IF(O211="BIFASICO",INDEX(Dados!F:F,MATCH('1'!AP211,Dados!E:E,0),)))</f>
        <v>0</v>
      </c>
      <c r="BE211" s="33">
        <f>'Dados - Cliente'!J211</f>
        <v>0</v>
      </c>
      <c r="BF211" s="34">
        <f>INDEX(Dados!$E$2:$E$33,COUNTIF(Dados!$E$2:$E$33,"&lt;="&amp;AN211*1.25*AK211/(0.22*SQRT(INDEX('Dados - Inversores'!AK:AK,MATCH('1'!AL211,'Dados - Inversores'!C:C,0)))))+1)</f>
        <v>2</v>
      </c>
      <c r="BG211" s="34" t="b">
        <f>IF(O211="TRIFASICO",INDEX(Dados!G:G,MATCH(BF211,Dados!E:E,0)),IF(O211="BIFASICO",INDEX(Dados!F:F,MATCH(BF211,Dados!E:E,0),)))</f>
        <v>0</v>
      </c>
    </row>
    <row r="212" spans="1:59" s="33" customFormat="1" x14ac:dyDescent="0.35">
      <c r="A212" s="33">
        <f>'Dados - Cliente'!A212</f>
        <v>0</v>
      </c>
      <c r="B212" s="33">
        <f>'Dados - Cliente'!B212</f>
        <v>0</v>
      </c>
      <c r="C212" s="33">
        <f>'Dados - Cliente'!C212</f>
        <v>0</v>
      </c>
      <c r="D212" s="33">
        <f>'Dados - Cliente'!D212</f>
        <v>0</v>
      </c>
      <c r="E212" s="33">
        <f>'Dados - Cliente'!E212</f>
        <v>0</v>
      </c>
      <c r="F212" s="33">
        <f>'Dados - Cliente'!F212</f>
        <v>0</v>
      </c>
      <c r="G212" s="33">
        <f>'Dados - Cliente'!G212</f>
        <v>0</v>
      </c>
      <c r="H212" s="33">
        <f>'Dados - Cliente'!H212</f>
        <v>0</v>
      </c>
      <c r="I212" s="75" t="s">
        <v>4313</v>
      </c>
      <c r="J212" s="52" t="s">
        <v>4314</v>
      </c>
      <c r="K212" s="52" t="s">
        <v>4314</v>
      </c>
      <c r="L212" s="33">
        <f>'Dados - Cliente'!I212</f>
        <v>0</v>
      </c>
      <c r="M212" s="33">
        <f>'Dados - Cliente'!K212</f>
        <v>0</v>
      </c>
      <c r="N212" s="33">
        <f>'Dados - Cliente'!L212</f>
        <v>0</v>
      </c>
      <c r="O212" s="33">
        <f>'Dados - Cliente'!M212</f>
        <v>0</v>
      </c>
      <c r="P212" s="33">
        <f>'Dados - Cliente'!N212</f>
        <v>0</v>
      </c>
      <c r="Q212" s="33">
        <f>'Dados - Cliente'!O212</f>
        <v>0</v>
      </c>
      <c r="R212" s="33">
        <f>'Dados - Cliente'!P212</f>
        <v>0</v>
      </c>
      <c r="S212" s="33">
        <f>'Dados - Cliente'!Q212</f>
        <v>0</v>
      </c>
      <c r="T212" s="33">
        <f>'Dados - Cliente'!R212</f>
        <v>0</v>
      </c>
      <c r="U212" s="34">
        <f>'Dados - Cliente'!S212</f>
        <v>0</v>
      </c>
      <c r="V212" s="34">
        <f>'Dados - Cliente'!T212</f>
        <v>0</v>
      </c>
      <c r="W212" s="34">
        <f>'Dados - Cliente'!U212</f>
        <v>0</v>
      </c>
      <c r="X212" s="34">
        <f>'Dados - Cliente'!V212</f>
        <v>0</v>
      </c>
      <c r="Y212" s="34">
        <f>'Dados - Cliente'!W212</f>
        <v>0</v>
      </c>
      <c r="Z212" s="34">
        <f>'Dados - Cliente'!X212</f>
        <v>0</v>
      </c>
      <c r="AA212" s="33" t="e">
        <f t="shared" si="19"/>
        <v>#N/A</v>
      </c>
      <c r="AB212" s="33">
        <f>'Dados - Cliente'!Y212</f>
        <v>0</v>
      </c>
      <c r="AC212" s="33">
        <f>'Dados - Cliente'!Z212</f>
        <v>0</v>
      </c>
      <c r="AD212" s="33">
        <f>'Dados - Cliente'!AA212</f>
        <v>0</v>
      </c>
      <c r="AE212" s="33">
        <f>'Dados - Cliente'!AB212</f>
        <v>0</v>
      </c>
      <c r="AF212" s="33">
        <f>'Dados - Cliente'!AC212</f>
        <v>0</v>
      </c>
      <c r="AG212" s="35">
        <f>'Dados - Cliente'!AD212</f>
        <v>0</v>
      </c>
      <c r="AH212" s="33" t="e">
        <f>INDEX('Dados - Placas'!$A:$A,MATCH('1'!AG212,'Dados - Placas'!$D:$D,0))</f>
        <v>#N/A</v>
      </c>
      <c r="AI212" s="35" t="e">
        <f>INDEX('Dados - Placas'!$E:$E,MATCH('1'!AG212,'Dados - Placas'!$D:$D,0))</f>
        <v>#N/A</v>
      </c>
      <c r="AJ212" s="34" t="e">
        <f>INDEX('Dados - Placas'!$F:$F,MATCH('1'!AG212,'Dados - Placas'!$D:$D,0))*AF212</f>
        <v>#N/A</v>
      </c>
      <c r="AK212" s="33">
        <f>'Dados - Cliente'!AE212</f>
        <v>0</v>
      </c>
      <c r="AL212" s="33">
        <f>'Dados - Cliente'!AF212</f>
        <v>0</v>
      </c>
      <c r="AM212" s="36" t="e">
        <f>INDEX('Dados - Inversores'!$A:$A,MATCH('1'!AL212,'Dados - Inversores'!$C:$C,0))</f>
        <v>#N/A</v>
      </c>
      <c r="AN212" s="33">
        <f>'Dados - Cliente'!AG212</f>
        <v>0</v>
      </c>
      <c r="AO212" s="33" t="e">
        <f>AA212*1.25/(0.22*SQRT(INDEX('Dados - Inversores'!AK:AK,MATCH('1'!AL212,'Dados - Inversores'!C:C,0))))</f>
        <v>#N/A</v>
      </c>
      <c r="AP212" s="34">
        <f>INDEX(Dados!$E$2:$E$33,COUNTIF(Dados!$E$2:$E$33,"&lt;="&amp;AN212*1.25/(INDEX('Dados - Inversores'!AL:AL,MATCH('1'!AL212,'Dados - Inversores'!C:C,0))*SQRT(INDEX('Dados - Inversores'!AK:AK,MATCH('1'!AL212,'Dados - Inversores'!C:C,0)))))+1)</f>
        <v>2</v>
      </c>
      <c r="AQ212" s="33" t="s">
        <v>59</v>
      </c>
      <c r="AR212" s="33" t="str">
        <f t="shared" si="20"/>
        <v>Micro</v>
      </c>
      <c r="AS212" s="33">
        <f>'Dados - Cliente'!AH212</f>
        <v>0</v>
      </c>
      <c r="AT212" s="33">
        <f>'Dados - Cliente'!AI212</f>
        <v>0</v>
      </c>
      <c r="AU212" s="33" t="e">
        <f>INDEX('Dados - Placas'!$N:$N,MATCH('1'!AG212,'Dados - Placas'!$D:$D,0))-1</f>
        <v>#N/A</v>
      </c>
      <c r="AV212" s="33" t="e">
        <f>INDEX('Dados - Placas'!$O:$O,MATCH('1'!AG212,'Dados - Placas'!$D:$D,0))</f>
        <v>#N/A</v>
      </c>
      <c r="AW212" s="33" t="e">
        <f>INDEX('Dados - Inversores'!AM:AM,MATCH('1'!AL212,'Dados - Inversores'!$C:$C,0))-1</f>
        <v>#N/A</v>
      </c>
      <c r="AX212" s="33" t="e">
        <f>INDEX('Dados - Inversores'!AN:AN,MATCH('1'!AL212,'Dados - Inversores'!$C:$C,0))-1</f>
        <v>#N/A</v>
      </c>
      <c r="AY212" s="33" t="e">
        <f>MATCH('1'!H212,Dados!$D$89:$D$167,0)+1</f>
        <v>#N/A</v>
      </c>
      <c r="AZ212" s="33" t="e">
        <f>MATCH('1'!N212,'Dados - Solicitação de acesso'!$N$2:$N$8,0)</f>
        <v>#N/A</v>
      </c>
      <c r="BA212" s="33" t="e">
        <f>MATCH('1'!T212,'Dados - Solicitação de acesso'!$T$2:$T$20,0)</f>
        <v>#N/A</v>
      </c>
      <c r="BB212" s="34"/>
      <c r="BC212" s="33">
        <f>MATCH(AT212,'Dados - Solicitação de acesso'!$AT$2:$AT$28,0)</f>
        <v>1</v>
      </c>
      <c r="BD212" s="33" t="b">
        <f>IF(O212="TRIFASICO",INDEX(Dados!G:G,MATCH('1'!AP212,Dados!E:E,0)),IF(O212="BIFASICO",INDEX(Dados!F:F,MATCH('1'!AP212,Dados!E:E,0),)))</f>
        <v>0</v>
      </c>
      <c r="BE212" s="33">
        <f>'Dados - Cliente'!J212</f>
        <v>0</v>
      </c>
      <c r="BF212" s="34">
        <f>INDEX(Dados!$E$2:$E$33,COUNTIF(Dados!$E$2:$E$33,"&lt;="&amp;AN212*1.25*AK212/(0.22*SQRT(INDEX('Dados - Inversores'!AK:AK,MATCH('1'!AL212,'Dados - Inversores'!C:C,0)))))+1)</f>
        <v>2</v>
      </c>
      <c r="BG212" s="34" t="b">
        <f>IF(O212="TRIFASICO",INDEX(Dados!G:G,MATCH(BF212,Dados!E:E,0)),IF(O212="BIFASICO",INDEX(Dados!F:F,MATCH(BF212,Dados!E:E,0),)))</f>
        <v>0</v>
      </c>
    </row>
    <row r="213" spans="1:59" s="33" customFormat="1" x14ac:dyDescent="0.35">
      <c r="A213" s="33">
        <f>'Dados - Cliente'!A213</f>
        <v>0</v>
      </c>
      <c r="B213" s="33">
        <f>'Dados - Cliente'!B213</f>
        <v>0</v>
      </c>
      <c r="C213" s="33">
        <f>'Dados - Cliente'!C213</f>
        <v>0</v>
      </c>
      <c r="D213" s="33">
        <f>'Dados - Cliente'!D213</f>
        <v>0</v>
      </c>
      <c r="E213" s="33">
        <f>'Dados - Cliente'!E213</f>
        <v>0</v>
      </c>
      <c r="F213" s="33">
        <f>'Dados - Cliente'!F213</f>
        <v>0</v>
      </c>
      <c r="G213" s="33">
        <f>'Dados - Cliente'!G213</f>
        <v>0</v>
      </c>
      <c r="H213" s="33">
        <f>'Dados - Cliente'!H213</f>
        <v>0</v>
      </c>
      <c r="I213" s="75" t="s">
        <v>4313</v>
      </c>
      <c r="J213" s="52" t="s">
        <v>4314</v>
      </c>
      <c r="K213" s="52" t="s">
        <v>4314</v>
      </c>
      <c r="L213" s="33">
        <f>'Dados - Cliente'!I213</f>
        <v>0</v>
      </c>
      <c r="M213" s="33">
        <f>'Dados - Cliente'!K213</f>
        <v>0</v>
      </c>
      <c r="N213" s="33">
        <f>'Dados - Cliente'!L213</f>
        <v>0</v>
      </c>
      <c r="O213" s="33">
        <f>'Dados - Cliente'!M213</f>
        <v>0</v>
      </c>
      <c r="P213" s="33">
        <f>'Dados - Cliente'!N213</f>
        <v>0</v>
      </c>
      <c r="Q213" s="33">
        <f>'Dados - Cliente'!O213</f>
        <v>0</v>
      </c>
      <c r="R213" s="33">
        <f>'Dados - Cliente'!P213</f>
        <v>0</v>
      </c>
      <c r="S213" s="33">
        <f>'Dados - Cliente'!Q213</f>
        <v>0</v>
      </c>
      <c r="T213" s="33">
        <f>'Dados - Cliente'!R213</f>
        <v>0</v>
      </c>
      <c r="U213" s="34">
        <f>'Dados - Cliente'!S213</f>
        <v>0</v>
      </c>
      <c r="V213" s="34">
        <f>'Dados - Cliente'!T213</f>
        <v>0</v>
      </c>
      <c r="W213" s="34">
        <f>'Dados - Cliente'!U213</f>
        <v>0</v>
      </c>
      <c r="X213" s="34">
        <f>'Dados - Cliente'!V213</f>
        <v>0</v>
      </c>
      <c r="Y213" s="34">
        <f>'Dados - Cliente'!W213</f>
        <v>0</v>
      </c>
      <c r="Z213" s="34">
        <f>'Dados - Cliente'!X213</f>
        <v>0</v>
      </c>
      <c r="AA213" s="33" t="e">
        <f t="shared" si="19"/>
        <v>#N/A</v>
      </c>
      <c r="AB213" s="33">
        <f>'Dados - Cliente'!Y213</f>
        <v>0</v>
      </c>
      <c r="AC213" s="33">
        <f>'Dados - Cliente'!Z213</f>
        <v>0</v>
      </c>
      <c r="AD213" s="33">
        <f>'Dados - Cliente'!AA213</f>
        <v>0</v>
      </c>
      <c r="AE213" s="33">
        <f>'Dados - Cliente'!AB213</f>
        <v>0</v>
      </c>
      <c r="AF213" s="33">
        <f>'Dados - Cliente'!AC213</f>
        <v>0</v>
      </c>
      <c r="AG213" s="35">
        <f>'Dados - Cliente'!AD213</f>
        <v>0</v>
      </c>
      <c r="AH213" s="33" t="e">
        <f>INDEX('Dados - Placas'!$A:$A,MATCH('1'!AG213,'Dados - Placas'!$D:$D,0))</f>
        <v>#N/A</v>
      </c>
      <c r="AI213" s="35" t="e">
        <f>INDEX('Dados - Placas'!$E:$E,MATCH('1'!AG213,'Dados - Placas'!$D:$D,0))</f>
        <v>#N/A</v>
      </c>
      <c r="AJ213" s="34" t="e">
        <f>INDEX('Dados - Placas'!$F:$F,MATCH('1'!AG213,'Dados - Placas'!$D:$D,0))*AF213</f>
        <v>#N/A</v>
      </c>
      <c r="AK213" s="33">
        <f>'Dados - Cliente'!AE213</f>
        <v>0</v>
      </c>
      <c r="AL213" s="33">
        <f>'Dados - Cliente'!AF213</f>
        <v>0</v>
      </c>
      <c r="AM213" s="36" t="e">
        <f>INDEX('Dados - Inversores'!$A:$A,MATCH('1'!AL213,'Dados - Inversores'!$C:$C,0))</f>
        <v>#N/A</v>
      </c>
      <c r="AN213" s="33">
        <f>'Dados - Cliente'!AG213</f>
        <v>0</v>
      </c>
      <c r="AO213" s="33" t="e">
        <f>AA213*1.25/(0.22*SQRT(INDEX('Dados - Inversores'!AK:AK,MATCH('1'!AL213,'Dados - Inversores'!C:C,0))))</f>
        <v>#N/A</v>
      </c>
      <c r="AP213" s="34">
        <f>INDEX(Dados!$E$2:$E$33,COUNTIF(Dados!$E$2:$E$33,"&lt;="&amp;AN213*1.25/(INDEX('Dados - Inversores'!AL:AL,MATCH('1'!AL213,'Dados - Inversores'!C:C,0))*SQRT(INDEX('Dados - Inversores'!AK:AK,MATCH('1'!AL213,'Dados - Inversores'!C:C,0)))))+1)</f>
        <v>2</v>
      </c>
      <c r="AQ213" s="33" t="s">
        <v>59</v>
      </c>
      <c r="AR213" s="33" t="str">
        <f t="shared" si="20"/>
        <v>Micro</v>
      </c>
      <c r="AS213" s="33">
        <f>'Dados - Cliente'!AH213</f>
        <v>0</v>
      </c>
      <c r="AT213" s="33">
        <f>'Dados - Cliente'!AI213</f>
        <v>0</v>
      </c>
      <c r="AU213" s="33" t="e">
        <f>INDEX('Dados - Placas'!$N:$N,MATCH('1'!AG213,'Dados - Placas'!$D:$D,0))-1</f>
        <v>#N/A</v>
      </c>
      <c r="AV213" s="33" t="e">
        <f>INDEX('Dados - Placas'!$O:$O,MATCH('1'!AG213,'Dados - Placas'!$D:$D,0))</f>
        <v>#N/A</v>
      </c>
      <c r="AW213" s="33" t="e">
        <f>INDEX('Dados - Inversores'!AM:AM,MATCH('1'!AL213,'Dados - Inversores'!$C:$C,0))-1</f>
        <v>#N/A</v>
      </c>
      <c r="AX213" s="33" t="e">
        <f>INDEX('Dados - Inversores'!AN:AN,MATCH('1'!AL213,'Dados - Inversores'!$C:$C,0))-1</f>
        <v>#N/A</v>
      </c>
      <c r="AY213" s="33" t="e">
        <f>MATCH('1'!H213,Dados!$D$89:$D$167,0)+1</f>
        <v>#N/A</v>
      </c>
      <c r="AZ213" s="33" t="e">
        <f>MATCH('1'!N213,'Dados - Solicitação de acesso'!$N$2:$N$8,0)</f>
        <v>#N/A</v>
      </c>
      <c r="BA213" s="33" t="e">
        <f>MATCH('1'!T213,'Dados - Solicitação de acesso'!$T$2:$T$20,0)</f>
        <v>#N/A</v>
      </c>
      <c r="BB213" s="34"/>
      <c r="BC213" s="33">
        <f>MATCH(AT213,'Dados - Solicitação de acesso'!$AT$2:$AT$28,0)</f>
        <v>1</v>
      </c>
      <c r="BD213" s="33" t="b">
        <f>IF(O213="TRIFASICO",INDEX(Dados!G:G,MATCH('1'!AP213,Dados!E:E,0)),IF(O213="BIFASICO",INDEX(Dados!F:F,MATCH('1'!AP213,Dados!E:E,0),)))</f>
        <v>0</v>
      </c>
      <c r="BE213" s="33">
        <f>'Dados - Cliente'!J213</f>
        <v>0</v>
      </c>
      <c r="BF213" s="34">
        <f>INDEX(Dados!$E$2:$E$33,COUNTIF(Dados!$E$2:$E$33,"&lt;="&amp;AN213*1.25*AK213/(0.22*SQRT(INDEX('Dados - Inversores'!AK:AK,MATCH('1'!AL213,'Dados - Inversores'!C:C,0)))))+1)</f>
        <v>2</v>
      </c>
      <c r="BG213" s="34" t="b">
        <f>IF(O213="TRIFASICO",INDEX(Dados!G:G,MATCH(BF213,Dados!E:E,0)),IF(O213="BIFASICO",INDEX(Dados!F:F,MATCH(BF213,Dados!E:E,0),)))</f>
        <v>0</v>
      </c>
    </row>
    <row r="214" spans="1:59" s="33" customFormat="1" x14ac:dyDescent="0.35">
      <c r="A214" s="33">
        <f>'Dados - Cliente'!A214</f>
        <v>0</v>
      </c>
      <c r="B214" s="33">
        <f>'Dados - Cliente'!B214</f>
        <v>0</v>
      </c>
      <c r="C214" s="33">
        <f>'Dados - Cliente'!C214</f>
        <v>0</v>
      </c>
      <c r="D214" s="33">
        <f>'Dados - Cliente'!D214</f>
        <v>0</v>
      </c>
      <c r="E214" s="33">
        <f>'Dados - Cliente'!E214</f>
        <v>0</v>
      </c>
      <c r="F214" s="33">
        <f>'Dados - Cliente'!F214</f>
        <v>0</v>
      </c>
      <c r="G214" s="33">
        <f>'Dados - Cliente'!G214</f>
        <v>0</v>
      </c>
      <c r="H214" s="33">
        <f>'Dados - Cliente'!H214</f>
        <v>0</v>
      </c>
      <c r="I214" s="75" t="s">
        <v>4313</v>
      </c>
      <c r="J214" s="52" t="s">
        <v>4314</v>
      </c>
      <c r="K214" s="52" t="s">
        <v>4314</v>
      </c>
      <c r="L214" s="33">
        <f>'Dados - Cliente'!I214</f>
        <v>0</v>
      </c>
      <c r="M214" s="33">
        <f>'Dados - Cliente'!K214</f>
        <v>0</v>
      </c>
      <c r="N214" s="33">
        <f>'Dados - Cliente'!L214</f>
        <v>0</v>
      </c>
      <c r="O214" s="33">
        <f>'Dados - Cliente'!M214</f>
        <v>0</v>
      </c>
      <c r="P214" s="33">
        <f>'Dados - Cliente'!N214</f>
        <v>0</v>
      </c>
      <c r="Q214" s="33">
        <f>'Dados - Cliente'!O214</f>
        <v>0</v>
      </c>
      <c r="R214" s="33">
        <f>'Dados - Cliente'!P214</f>
        <v>0</v>
      </c>
      <c r="S214" s="33">
        <f>'Dados - Cliente'!Q214</f>
        <v>0</v>
      </c>
      <c r="T214" s="33">
        <f>'Dados - Cliente'!R214</f>
        <v>0</v>
      </c>
      <c r="U214" s="34">
        <f>'Dados - Cliente'!S214</f>
        <v>0</v>
      </c>
      <c r="V214" s="34">
        <f>'Dados - Cliente'!T214</f>
        <v>0</v>
      </c>
      <c r="W214" s="34">
        <f>'Dados - Cliente'!U214</f>
        <v>0</v>
      </c>
      <c r="X214" s="34">
        <f>'Dados - Cliente'!V214</f>
        <v>0</v>
      </c>
      <c r="Y214" s="34">
        <f>'Dados - Cliente'!W214</f>
        <v>0</v>
      </c>
      <c r="Z214" s="34">
        <f>'Dados - Cliente'!X214</f>
        <v>0</v>
      </c>
      <c r="AA214" s="33" t="e">
        <f t="shared" si="19"/>
        <v>#N/A</v>
      </c>
      <c r="AB214" s="33">
        <f>'Dados - Cliente'!Y214</f>
        <v>0</v>
      </c>
      <c r="AC214" s="33">
        <f>'Dados - Cliente'!Z214</f>
        <v>0</v>
      </c>
      <c r="AD214" s="33">
        <f>'Dados - Cliente'!AA214</f>
        <v>0</v>
      </c>
      <c r="AE214" s="33">
        <f>'Dados - Cliente'!AB214</f>
        <v>0</v>
      </c>
      <c r="AF214" s="33">
        <f>'Dados - Cliente'!AC214</f>
        <v>0</v>
      </c>
      <c r="AG214" s="35">
        <f>'Dados - Cliente'!AD214</f>
        <v>0</v>
      </c>
      <c r="AH214" s="33" t="e">
        <f>INDEX('Dados - Placas'!$A:$A,MATCH('1'!AG214,'Dados - Placas'!$D:$D,0))</f>
        <v>#N/A</v>
      </c>
      <c r="AI214" s="35" t="e">
        <f>INDEX('Dados - Placas'!$E:$E,MATCH('1'!AG214,'Dados - Placas'!$D:$D,0))</f>
        <v>#N/A</v>
      </c>
      <c r="AJ214" s="34" t="e">
        <f>INDEX('Dados - Placas'!$F:$F,MATCH('1'!AG214,'Dados - Placas'!$D:$D,0))*AF214</f>
        <v>#N/A</v>
      </c>
      <c r="AK214" s="33">
        <f>'Dados - Cliente'!AE214</f>
        <v>0</v>
      </c>
      <c r="AL214" s="33">
        <f>'Dados - Cliente'!AF214</f>
        <v>0</v>
      </c>
      <c r="AM214" s="36" t="e">
        <f>INDEX('Dados - Inversores'!$A:$A,MATCH('1'!AL214,'Dados - Inversores'!$C:$C,0))</f>
        <v>#N/A</v>
      </c>
      <c r="AN214" s="33">
        <f>'Dados - Cliente'!AG214</f>
        <v>0</v>
      </c>
      <c r="AO214" s="33" t="e">
        <f>AA214*1.25/(0.22*SQRT(INDEX('Dados - Inversores'!AK:AK,MATCH('1'!AL214,'Dados - Inversores'!C:C,0))))</f>
        <v>#N/A</v>
      </c>
      <c r="AP214" s="34">
        <f>INDEX(Dados!$E$2:$E$33,COUNTIF(Dados!$E$2:$E$33,"&lt;="&amp;AN214*1.25/(INDEX('Dados - Inversores'!AL:AL,MATCH('1'!AL214,'Dados - Inversores'!C:C,0))*SQRT(INDEX('Dados - Inversores'!AK:AK,MATCH('1'!AL214,'Dados - Inversores'!C:C,0)))))+1)</f>
        <v>2</v>
      </c>
      <c r="AQ214" s="33" t="s">
        <v>59</v>
      </c>
      <c r="AR214" s="33" t="str">
        <f t="shared" si="20"/>
        <v>Micro</v>
      </c>
      <c r="AS214" s="33">
        <f>'Dados - Cliente'!AH214</f>
        <v>0</v>
      </c>
      <c r="AT214" s="33">
        <f>'Dados - Cliente'!AI214</f>
        <v>0</v>
      </c>
      <c r="AU214" s="33" t="e">
        <f>INDEX('Dados - Placas'!$N:$N,MATCH('1'!AG214,'Dados - Placas'!$D:$D,0))-1</f>
        <v>#N/A</v>
      </c>
      <c r="AV214" s="33" t="e">
        <f>INDEX('Dados - Placas'!$O:$O,MATCH('1'!AG214,'Dados - Placas'!$D:$D,0))</f>
        <v>#N/A</v>
      </c>
      <c r="AW214" s="33" t="e">
        <f>INDEX('Dados - Inversores'!AM:AM,MATCH('1'!AL214,'Dados - Inversores'!$C:$C,0))-1</f>
        <v>#N/A</v>
      </c>
      <c r="AX214" s="33" t="e">
        <f>INDEX('Dados - Inversores'!AN:AN,MATCH('1'!AL214,'Dados - Inversores'!$C:$C,0))-1</f>
        <v>#N/A</v>
      </c>
      <c r="AY214" s="33" t="e">
        <f>MATCH('1'!H214,Dados!$D$89:$D$167,0)+1</f>
        <v>#N/A</v>
      </c>
      <c r="AZ214" s="33" t="e">
        <f>MATCH('1'!N214,'Dados - Solicitação de acesso'!$N$2:$N$8,0)</f>
        <v>#N/A</v>
      </c>
      <c r="BA214" s="33" t="e">
        <f>MATCH('1'!T214,'Dados - Solicitação de acesso'!$T$2:$T$20,0)</f>
        <v>#N/A</v>
      </c>
      <c r="BB214" s="34"/>
      <c r="BC214" s="33">
        <f>MATCH(AT214,'Dados - Solicitação de acesso'!$AT$2:$AT$28,0)</f>
        <v>1</v>
      </c>
      <c r="BD214" s="33" t="b">
        <f>IF(O214="TRIFASICO",INDEX(Dados!G:G,MATCH('1'!AP214,Dados!E:E,0)),IF(O214="BIFASICO",INDEX(Dados!F:F,MATCH('1'!AP214,Dados!E:E,0),)))</f>
        <v>0</v>
      </c>
      <c r="BE214" s="33">
        <f>'Dados - Cliente'!J214</f>
        <v>0</v>
      </c>
      <c r="BF214" s="34">
        <f>INDEX(Dados!$E$2:$E$33,COUNTIF(Dados!$E$2:$E$33,"&lt;="&amp;AN214*1.25*AK214/(0.22*SQRT(INDEX('Dados - Inversores'!AK:AK,MATCH('1'!AL214,'Dados - Inversores'!C:C,0)))))+1)</f>
        <v>2</v>
      </c>
      <c r="BG214" s="34" t="b">
        <f>IF(O214="TRIFASICO",INDEX(Dados!G:G,MATCH(BF214,Dados!E:E,0)),IF(O214="BIFASICO",INDEX(Dados!F:F,MATCH(BF214,Dados!E:E,0),)))</f>
        <v>0</v>
      </c>
    </row>
    <row r="215" spans="1:59" s="33" customFormat="1" x14ac:dyDescent="0.35">
      <c r="A215" s="33">
        <f>'Dados - Cliente'!A215</f>
        <v>0</v>
      </c>
      <c r="B215" s="33">
        <f>'Dados - Cliente'!B215</f>
        <v>0</v>
      </c>
      <c r="C215" s="33">
        <f>'Dados - Cliente'!C215</f>
        <v>0</v>
      </c>
      <c r="D215" s="33">
        <f>'Dados - Cliente'!D215</f>
        <v>0</v>
      </c>
      <c r="E215" s="33">
        <f>'Dados - Cliente'!E215</f>
        <v>0</v>
      </c>
      <c r="F215" s="33">
        <f>'Dados - Cliente'!F215</f>
        <v>0</v>
      </c>
      <c r="G215" s="33">
        <f>'Dados - Cliente'!G215</f>
        <v>0</v>
      </c>
      <c r="H215" s="33">
        <f>'Dados - Cliente'!H215</f>
        <v>0</v>
      </c>
      <c r="I215" s="75" t="s">
        <v>4313</v>
      </c>
      <c r="J215" s="52" t="s">
        <v>4314</v>
      </c>
      <c r="K215" s="52" t="s">
        <v>4314</v>
      </c>
      <c r="L215" s="33">
        <f>'Dados - Cliente'!I215</f>
        <v>0</v>
      </c>
      <c r="M215" s="33">
        <f>'Dados - Cliente'!K215</f>
        <v>0</v>
      </c>
      <c r="N215" s="33">
        <f>'Dados - Cliente'!L215</f>
        <v>0</v>
      </c>
      <c r="O215" s="33">
        <f>'Dados - Cliente'!M215</f>
        <v>0</v>
      </c>
      <c r="P215" s="33">
        <f>'Dados - Cliente'!N215</f>
        <v>0</v>
      </c>
      <c r="Q215" s="33">
        <f>'Dados - Cliente'!O215</f>
        <v>0</v>
      </c>
      <c r="R215" s="33">
        <f>'Dados - Cliente'!P215</f>
        <v>0</v>
      </c>
      <c r="S215" s="33">
        <f>'Dados - Cliente'!Q215</f>
        <v>0</v>
      </c>
      <c r="T215" s="33">
        <f>'Dados - Cliente'!R215</f>
        <v>0</v>
      </c>
      <c r="U215" s="34">
        <f>'Dados - Cliente'!S215</f>
        <v>0</v>
      </c>
      <c r="V215" s="34">
        <f>'Dados - Cliente'!T215</f>
        <v>0</v>
      </c>
      <c r="W215" s="34">
        <f>'Dados - Cliente'!U215</f>
        <v>0</v>
      </c>
      <c r="X215" s="34">
        <f>'Dados - Cliente'!V215</f>
        <v>0</v>
      </c>
      <c r="Y215" s="34">
        <f>'Dados - Cliente'!W215</f>
        <v>0</v>
      </c>
      <c r="Z215" s="34">
        <f>'Dados - Cliente'!X215</f>
        <v>0</v>
      </c>
      <c r="AA215" s="33" t="e">
        <f t="shared" si="19"/>
        <v>#N/A</v>
      </c>
      <c r="AB215" s="33">
        <f>'Dados - Cliente'!Y215</f>
        <v>0</v>
      </c>
      <c r="AC215" s="33">
        <f>'Dados - Cliente'!Z215</f>
        <v>0</v>
      </c>
      <c r="AD215" s="33">
        <f>'Dados - Cliente'!AA215</f>
        <v>0</v>
      </c>
      <c r="AE215" s="33">
        <f>'Dados - Cliente'!AB215</f>
        <v>0</v>
      </c>
      <c r="AF215" s="33">
        <f>'Dados - Cliente'!AC215</f>
        <v>0</v>
      </c>
      <c r="AG215" s="35">
        <f>'Dados - Cliente'!AD215</f>
        <v>0</v>
      </c>
      <c r="AH215" s="33" t="e">
        <f>INDEX('Dados - Placas'!$A:$A,MATCH('1'!AG215,'Dados - Placas'!$D:$D,0))</f>
        <v>#N/A</v>
      </c>
      <c r="AI215" s="35" t="e">
        <f>INDEX('Dados - Placas'!$E:$E,MATCH('1'!AG215,'Dados - Placas'!$D:$D,0))</f>
        <v>#N/A</v>
      </c>
      <c r="AJ215" s="34" t="e">
        <f>INDEX('Dados - Placas'!$F:$F,MATCH('1'!AG215,'Dados - Placas'!$D:$D,0))*AF215</f>
        <v>#N/A</v>
      </c>
      <c r="AK215" s="33">
        <f>'Dados - Cliente'!AE215</f>
        <v>0</v>
      </c>
      <c r="AL215" s="33">
        <f>'Dados - Cliente'!AF215</f>
        <v>0</v>
      </c>
      <c r="AM215" s="36" t="e">
        <f>INDEX('Dados - Inversores'!$A:$A,MATCH('1'!AL215,'Dados - Inversores'!$C:$C,0))</f>
        <v>#N/A</v>
      </c>
      <c r="AN215" s="33">
        <f>'Dados - Cliente'!AG215</f>
        <v>0</v>
      </c>
      <c r="AO215" s="33" t="e">
        <f>AA215*1.25/(0.22*SQRT(INDEX('Dados - Inversores'!AK:AK,MATCH('1'!AL215,'Dados - Inversores'!C:C,0))))</f>
        <v>#N/A</v>
      </c>
      <c r="AP215" s="34">
        <f>INDEX(Dados!$E$2:$E$33,COUNTIF(Dados!$E$2:$E$33,"&lt;="&amp;AN215*1.25/(INDEX('Dados - Inversores'!AL:AL,MATCH('1'!AL215,'Dados - Inversores'!C:C,0))*SQRT(INDEX('Dados - Inversores'!AK:AK,MATCH('1'!AL215,'Dados - Inversores'!C:C,0)))))+1)</f>
        <v>2</v>
      </c>
      <c r="AQ215" s="33" t="s">
        <v>59</v>
      </c>
      <c r="AR215" s="33" t="str">
        <f t="shared" si="20"/>
        <v>Micro</v>
      </c>
      <c r="AS215" s="33">
        <f>'Dados - Cliente'!AH215</f>
        <v>0</v>
      </c>
      <c r="AT215" s="33">
        <f>'Dados - Cliente'!AI215</f>
        <v>0</v>
      </c>
      <c r="AU215" s="33" t="e">
        <f>INDEX('Dados - Placas'!$N:$N,MATCH('1'!AG215,'Dados - Placas'!$D:$D,0))-1</f>
        <v>#N/A</v>
      </c>
      <c r="AV215" s="33" t="e">
        <f>INDEX('Dados - Placas'!$O:$O,MATCH('1'!AG215,'Dados - Placas'!$D:$D,0))</f>
        <v>#N/A</v>
      </c>
      <c r="AW215" s="33" t="e">
        <f>INDEX('Dados - Inversores'!AM:AM,MATCH('1'!AL215,'Dados - Inversores'!$C:$C,0))-1</f>
        <v>#N/A</v>
      </c>
      <c r="AX215" s="33" t="e">
        <f>INDEX('Dados - Inversores'!AN:AN,MATCH('1'!AL215,'Dados - Inversores'!$C:$C,0))-1</f>
        <v>#N/A</v>
      </c>
      <c r="AY215" s="33" t="e">
        <f>MATCH('1'!H215,Dados!$D$89:$D$167,0)+1</f>
        <v>#N/A</v>
      </c>
      <c r="AZ215" s="33" t="e">
        <f>MATCH('1'!N215,'Dados - Solicitação de acesso'!$N$2:$N$8,0)</f>
        <v>#N/A</v>
      </c>
      <c r="BA215" s="33" t="e">
        <f>MATCH('1'!T215,'Dados - Solicitação de acesso'!$T$2:$T$20,0)</f>
        <v>#N/A</v>
      </c>
      <c r="BB215" s="34"/>
      <c r="BC215" s="33">
        <f>MATCH(AT215,'Dados - Solicitação de acesso'!$AT$2:$AT$28,0)</f>
        <v>1</v>
      </c>
      <c r="BD215" s="33" t="b">
        <f>IF(O215="TRIFASICO",INDEX(Dados!G:G,MATCH('1'!AP215,Dados!E:E,0)),IF(O215="BIFASICO",INDEX(Dados!F:F,MATCH('1'!AP215,Dados!E:E,0),)))</f>
        <v>0</v>
      </c>
      <c r="BE215" s="33">
        <f>'Dados - Cliente'!J215</f>
        <v>0</v>
      </c>
      <c r="BF215" s="34">
        <f>INDEX(Dados!$E$2:$E$33,COUNTIF(Dados!$E$2:$E$33,"&lt;="&amp;AN215*1.25*AK215/(0.22*SQRT(INDEX('Dados - Inversores'!AK:AK,MATCH('1'!AL215,'Dados - Inversores'!C:C,0)))))+1)</f>
        <v>2</v>
      </c>
      <c r="BG215" s="34" t="b">
        <f>IF(O215="TRIFASICO",INDEX(Dados!G:G,MATCH(BF215,Dados!E:E,0)),IF(O215="BIFASICO",INDEX(Dados!F:F,MATCH(BF215,Dados!E:E,0),)))</f>
        <v>0</v>
      </c>
    </row>
    <row r="216" spans="1:59" s="33" customFormat="1" x14ac:dyDescent="0.35">
      <c r="A216" s="33">
        <f>'Dados - Cliente'!A216</f>
        <v>0</v>
      </c>
      <c r="B216" s="33">
        <f>'Dados - Cliente'!B216</f>
        <v>0</v>
      </c>
      <c r="C216" s="33">
        <f>'Dados - Cliente'!C216</f>
        <v>0</v>
      </c>
      <c r="D216" s="33">
        <f>'Dados - Cliente'!D216</f>
        <v>0</v>
      </c>
      <c r="E216" s="33">
        <f>'Dados - Cliente'!E216</f>
        <v>0</v>
      </c>
      <c r="F216" s="33">
        <f>'Dados - Cliente'!F216</f>
        <v>0</v>
      </c>
      <c r="G216" s="33">
        <f>'Dados - Cliente'!G216</f>
        <v>0</v>
      </c>
      <c r="H216" s="33">
        <f>'Dados - Cliente'!H216</f>
        <v>0</v>
      </c>
      <c r="I216" s="75" t="s">
        <v>4313</v>
      </c>
      <c r="J216" s="52" t="s">
        <v>4314</v>
      </c>
      <c r="K216" s="52" t="s">
        <v>4314</v>
      </c>
      <c r="L216" s="33">
        <f>'Dados - Cliente'!I216</f>
        <v>0</v>
      </c>
      <c r="M216" s="33">
        <f>'Dados - Cliente'!K216</f>
        <v>0</v>
      </c>
      <c r="N216" s="33">
        <f>'Dados - Cliente'!L216</f>
        <v>0</v>
      </c>
      <c r="O216" s="33">
        <f>'Dados - Cliente'!M216</f>
        <v>0</v>
      </c>
      <c r="P216" s="33">
        <f>'Dados - Cliente'!N216</f>
        <v>0</v>
      </c>
      <c r="Q216" s="33">
        <f>'Dados - Cliente'!O216</f>
        <v>0</v>
      </c>
      <c r="R216" s="33">
        <f>'Dados - Cliente'!P216</f>
        <v>0</v>
      </c>
      <c r="S216" s="33">
        <f>'Dados - Cliente'!Q216</f>
        <v>0</v>
      </c>
      <c r="T216" s="33">
        <f>'Dados - Cliente'!R216</f>
        <v>0</v>
      </c>
      <c r="U216" s="34">
        <f>'Dados - Cliente'!S216</f>
        <v>0</v>
      </c>
      <c r="V216" s="34">
        <f>'Dados - Cliente'!T216</f>
        <v>0</v>
      </c>
      <c r="W216" s="34">
        <f>'Dados - Cliente'!U216</f>
        <v>0</v>
      </c>
      <c r="X216" s="34">
        <f>'Dados - Cliente'!V216</f>
        <v>0</v>
      </c>
      <c r="Y216" s="34">
        <f>'Dados - Cliente'!W216</f>
        <v>0</v>
      </c>
      <c r="Z216" s="34">
        <f>'Dados - Cliente'!X216</f>
        <v>0</v>
      </c>
      <c r="AA216" s="33" t="e">
        <f t="shared" si="19"/>
        <v>#N/A</v>
      </c>
      <c r="AB216" s="33">
        <f>'Dados - Cliente'!Y216</f>
        <v>0</v>
      </c>
      <c r="AC216" s="33">
        <f>'Dados - Cliente'!Z216</f>
        <v>0</v>
      </c>
      <c r="AD216" s="33">
        <f>'Dados - Cliente'!AA216</f>
        <v>0</v>
      </c>
      <c r="AE216" s="33">
        <f>'Dados - Cliente'!AB216</f>
        <v>0</v>
      </c>
      <c r="AF216" s="33">
        <f>'Dados - Cliente'!AC216</f>
        <v>0</v>
      </c>
      <c r="AG216" s="35">
        <f>'Dados - Cliente'!AD216</f>
        <v>0</v>
      </c>
      <c r="AH216" s="33" t="e">
        <f>INDEX('Dados - Placas'!$A:$A,MATCH('1'!AG216,'Dados - Placas'!$D:$D,0))</f>
        <v>#N/A</v>
      </c>
      <c r="AI216" s="35" t="e">
        <f>INDEX('Dados - Placas'!$E:$E,MATCH('1'!AG216,'Dados - Placas'!$D:$D,0))</f>
        <v>#N/A</v>
      </c>
      <c r="AJ216" s="34" t="e">
        <f>INDEX('Dados - Placas'!$F:$F,MATCH('1'!AG216,'Dados - Placas'!$D:$D,0))*AF216</f>
        <v>#N/A</v>
      </c>
      <c r="AK216" s="33">
        <f>'Dados - Cliente'!AE216</f>
        <v>0</v>
      </c>
      <c r="AL216" s="33">
        <f>'Dados - Cliente'!AF216</f>
        <v>0</v>
      </c>
      <c r="AM216" s="36" t="e">
        <f>INDEX('Dados - Inversores'!$A:$A,MATCH('1'!AL216,'Dados - Inversores'!$C:$C,0))</f>
        <v>#N/A</v>
      </c>
      <c r="AN216" s="33">
        <f>'Dados - Cliente'!AG216</f>
        <v>0</v>
      </c>
      <c r="AO216" s="33" t="e">
        <f>AA216*1.25/(0.22*SQRT(INDEX('Dados - Inversores'!AK:AK,MATCH('1'!AL216,'Dados - Inversores'!C:C,0))))</f>
        <v>#N/A</v>
      </c>
      <c r="AP216" s="34">
        <f>INDEX(Dados!$E$2:$E$33,COUNTIF(Dados!$E$2:$E$33,"&lt;="&amp;AN216*1.25/(INDEX('Dados - Inversores'!AL:AL,MATCH('1'!AL216,'Dados - Inversores'!C:C,0))*SQRT(INDEX('Dados - Inversores'!AK:AK,MATCH('1'!AL216,'Dados - Inversores'!C:C,0)))))+1)</f>
        <v>2</v>
      </c>
      <c r="AQ216" s="33" t="s">
        <v>59</v>
      </c>
      <c r="AR216" s="33" t="str">
        <f t="shared" si="20"/>
        <v>Micro</v>
      </c>
      <c r="AS216" s="33">
        <f>'Dados - Cliente'!AH216</f>
        <v>0</v>
      </c>
      <c r="AT216" s="33">
        <f>'Dados - Cliente'!AI216</f>
        <v>0</v>
      </c>
      <c r="AU216" s="33" t="e">
        <f>INDEX('Dados - Placas'!$N:$N,MATCH('1'!AG216,'Dados - Placas'!$D:$D,0))-1</f>
        <v>#N/A</v>
      </c>
      <c r="AV216" s="33" t="e">
        <f>INDEX('Dados - Placas'!$O:$O,MATCH('1'!AG216,'Dados - Placas'!$D:$D,0))</f>
        <v>#N/A</v>
      </c>
      <c r="AW216" s="33" t="e">
        <f>INDEX('Dados - Inversores'!AM:AM,MATCH('1'!AL216,'Dados - Inversores'!$C:$C,0))-1</f>
        <v>#N/A</v>
      </c>
      <c r="AX216" s="33" t="e">
        <f>INDEX('Dados - Inversores'!AN:AN,MATCH('1'!AL216,'Dados - Inversores'!$C:$C,0))-1</f>
        <v>#N/A</v>
      </c>
      <c r="AY216" s="33" t="e">
        <f>MATCH('1'!H216,Dados!$D$89:$D$167,0)+1</f>
        <v>#N/A</v>
      </c>
      <c r="AZ216" s="33" t="e">
        <f>MATCH('1'!N216,'Dados - Solicitação de acesso'!$N$2:$N$8,0)</f>
        <v>#N/A</v>
      </c>
      <c r="BA216" s="33" t="e">
        <f>MATCH('1'!T216,'Dados - Solicitação de acesso'!$T$2:$T$20,0)</f>
        <v>#N/A</v>
      </c>
      <c r="BB216" s="34"/>
      <c r="BC216" s="33">
        <f>MATCH(AT216,'Dados - Solicitação de acesso'!$AT$2:$AT$28,0)</f>
        <v>1</v>
      </c>
      <c r="BD216" s="33" t="b">
        <f>IF(O216="TRIFASICO",INDEX(Dados!G:G,MATCH('1'!AP216,Dados!E:E,0)),IF(O216="BIFASICO",INDEX(Dados!F:F,MATCH('1'!AP216,Dados!E:E,0),)))</f>
        <v>0</v>
      </c>
      <c r="BE216" s="33">
        <f>'Dados - Cliente'!J216</f>
        <v>0</v>
      </c>
      <c r="BF216" s="34">
        <f>INDEX(Dados!$E$2:$E$33,COUNTIF(Dados!$E$2:$E$33,"&lt;="&amp;AN216*1.25*AK216/(0.22*SQRT(INDEX('Dados - Inversores'!AK:AK,MATCH('1'!AL216,'Dados - Inversores'!C:C,0)))))+1)</f>
        <v>2</v>
      </c>
      <c r="BG216" s="34" t="b">
        <f>IF(O216="TRIFASICO",INDEX(Dados!G:G,MATCH(BF216,Dados!E:E,0)),IF(O216="BIFASICO",INDEX(Dados!F:F,MATCH(BF216,Dados!E:E,0),)))</f>
        <v>0</v>
      </c>
    </row>
    <row r="217" spans="1:59" s="33" customFormat="1" x14ac:dyDescent="0.35">
      <c r="A217" s="33">
        <f>'Dados - Cliente'!A217</f>
        <v>0</v>
      </c>
      <c r="B217" s="33">
        <f>'Dados - Cliente'!B217</f>
        <v>0</v>
      </c>
      <c r="C217" s="33">
        <f>'Dados - Cliente'!C217</f>
        <v>0</v>
      </c>
      <c r="D217" s="33">
        <f>'Dados - Cliente'!D217</f>
        <v>0</v>
      </c>
      <c r="E217" s="33">
        <f>'Dados - Cliente'!E217</f>
        <v>0</v>
      </c>
      <c r="F217" s="33">
        <f>'Dados - Cliente'!F217</f>
        <v>0</v>
      </c>
      <c r="G217" s="33">
        <f>'Dados - Cliente'!G217</f>
        <v>0</v>
      </c>
      <c r="H217" s="33">
        <f>'Dados - Cliente'!H217</f>
        <v>0</v>
      </c>
      <c r="I217" s="75" t="s">
        <v>4313</v>
      </c>
      <c r="J217" s="52" t="s">
        <v>4314</v>
      </c>
      <c r="K217" s="52" t="s">
        <v>4314</v>
      </c>
      <c r="L217" s="33">
        <f>'Dados - Cliente'!I217</f>
        <v>0</v>
      </c>
      <c r="M217" s="33">
        <f>'Dados - Cliente'!K217</f>
        <v>0</v>
      </c>
      <c r="N217" s="33">
        <f>'Dados - Cliente'!L217</f>
        <v>0</v>
      </c>
      <c r="O217" s="33">
        <f>'Dados - Cliente'!M217</f>
        <v>0</v>
      </c>
      <c r="P217" s="33">
        <f>'Dados - Cliente'!N217</f>
        <v>0</v>
      </c>
      <c r="Q217" s="33">
        <f>'Dados - Cliente'!O217</f>
        <v>0</v>
      </c>
      <c r="R217" s="33">
        <f>'Dados - Cliente'!P217</f>
        <v>0</v>
      </c>
      <c r="S217" s="33">
        <f>'Dados - Cliente'!Q217</f>
        <v>0</v>
      </c>
      <c r="T217" s="33">
        <f>'Dados - Cliente'!R217</f>
        <v>0</v>
      </c>
      <c r="U217" s="34">
        <f>'Dados - Cliente'!S217</f>
        <v>0</v>
      </c>
      <c r="V217" s="34">
        <f>'Dados - Cliente'!T217</f>
        <v>0</v>
      </c>
      <c r="W217" s="34">
        <f>'Dados - Cliente'!U217</f>
        <v>0</v>
      </c>
      <c r="X217" s="34">
        <f>'Dados - Cliente'!V217</f>
        <v>0</v>
      </c>
      <c r="Y217" s="34">
        <f>'Dados - Cliente'!W217</f>
        <v>0</v>
      </c>
      <c r="Z217" s="34">
        <f>'Dados - Cliente'!X217</f>
        <v>0</v>
      </c>
      <c r="AA217" s="33" t="e">
        <f t="shared" si="19"/>
        <v>#N/A</v>
      </c>
      <c r="AB217" s="33">
        <f>'Dados - Cliente'!Y217</f>
        <v>0</v>
      </c>
      <c r="AC217" s="33">
        <f>'Dados - Cliente'!Z217</f>
        <v>0</v>
      </c>
      <c r="AD217" s="33">
        <f>'Dados - Cliente'!AA217</f>
        <v>0</v>
      </c>
      <c r="AE217" s="33">
        <f>'Dados - Cliente'!AB217</f>
        <v>0</v>
      </c>
      <c r="AF217" s="33">
        <f>'Dados - Cliente'!AC217</f>
        <v>0</v>
      </c>
      <c r="AG217" s="35">
        <f>'Dados - Cliente'!AD217</f>
        <v>0</v>
      </c>
      <c r="AH217" s="33" t="e">
        <f>INDEX('Dados - Placas'!$A:$A,MATCH('1'!AG217,'Dados - Placas'!$D:$D,0))</f>
        <v>#N/A</v>
      </c>
      <c r="AI217" s="35" t="e">
        <f>INDEX('Dados - Placas'!$E:$E,MATCH('1'!AG217,'Dados - Placas'!$D:$D,0))</f>
        <v>#N/A</v>
      </c>
      <c r="AJ217" s="34" t="e">
        <f>INDEX('Dados - Placas'!$F:$F,MATCH('1'!AG217,'Dados - Placas'!$D:$D,0))*AF217</f>
        <v>#N/A</v>
      </c>
      <c r="AK217" s="33">
        <f>'Dados - Cliente'!AE217</f>
        <v>0</v>
      </c>
      <c r="AL217" s="33">
        <f>'Dados - Cliente'!AF217</f>
        <v>0</v>
      </c>
      <c r="AM217" s="36" t="e">
        <f>INDEX('Dados - Inversores'!$A:$A,MATCH('1'!AL217,'Dados - Inversores'!$C:$C,0))</f>
        <v>#N/A</v>
      </c>
      <c r="AN217" s="33">
        <f>'Dados - Cliente'!AG217</f>
        <v>0</v>
      </c>
      <c r="AO217" s="33" t="e">
        <f>AA217*1.25/(0.22*SQRT(INDEX('Dados - Inversores'!AK:AK,MATCH('1'!AL217,'Dados - Inversores'!C:C,0))))</f>
        <v>#N/A</v>
      </c>
      <c r="AP217" s="34">
        <f>INDEX(Dados!$E$2:$E$33,COUNTIF(Dados!$E$2:$E$33,"&lt;="&amp;AN217*1.25/(INDEX('Dados - Inversores'!AL:AL,MATCH('1'!AL217,'Dados - Inversores'!C:C,0))*SQRT(INDEX('Dados - Inversores'!AK:AK,MATCH('1'!AL217,'Dados - Inversores'!C:C,0)))))+1)</f>
        <v>2</v>
      </c>
      <c r="AQ217" s="33" t="s">
        <v>59</v>
      </c>
      <c r="AR217" s="33" t="str">
        <f t="shared" si="20"/>
        <v>Micro</v>
      </c>
      <c r="AS217" s="33">
        <f>'Dados - Cliente'!AH217</f>
        <v>0</v>
      </c>
      <c r="AT217" s="33">
        <f>'Dados - Cliente'!AI217</f>
        <v>0</v>
      </c>
      <c r="AU217" s="33" t="e">
        <f>INDEX('Dados - Placas'!$N:$N,MATCH('1'!AG217,'Dados - Placas'!$D:$D,0))-1</f>
        <v>#N/A</v>
      </c>
      <c r="AV217" s="33" t="e">
        <f>INDEX('Dados - Placas'!$O:$O,MATCH('1'!AG217,'Dados - Placas'!$D:$D,0))</f>
        <v>#N/A</v>
      </c>
      <c r="AW217" s="33" t="e">
        <f>INDEX('Dados - Inversores'!AM:AM,MATCH('1'!AL217,'Dados - Inversores'!$C:$C,0))-1</f>
        <v>#N/A</v>
      </c>
      <c r="AX217" s="33" t="e">
        <f>INDEX('Dados - Inversores'!AN:AN,MATCH('1'!AL217,'Dados - Inversores'!$C:$C,0))-1</f>
        <v>#N/A</v>
      </c>
      <c r="AY217" s="33" t="e">
        <f>MATCH('1'!H217,Dados!$D$89:$D$167,0)+1</f>
        <v>#N/A</v>
      </c>
      <c r="AZ217" s="33" t="e">
        <f>MATCH('1'!N217,'Dados - Solicitação de acesso'!$N$2:$N$8,0)</f>
        <v>#N/A</v>
      </c>
      <c r="BA217" s="33" t="e">
        <f>MATCH('1'!T217,'Dados - Solicitação de acesso'!$T$2:$T$20,0)</f>
        <v>#N/A</v>
      </c>
      <c r="BB217" s="34"/>
      <c r="BC217" s="33">
        <f>MATCH(AT217,'Dados - Solicitação de acesso'!$AT$2:$AT$28,0)</f>
        <v>1</v>
      </c>
      <c r="BD217" s="33" t="b">
        <f>IF(O217="TRIFASICO",INDEX(Dados!G:G,MATCH('1'!AP217,Dados!E:E,0)),IF(O217="BIFASICO",INDEX(Dados!F:F,MATCH('1'!AP217,Dados!E:E,0),)))</f>
        <v>0</v>
      </c>
      <c r="BE217" s="33">
        <f>'Dados - Cliente'!J217</f>
        <v>0</v>
      </c>
      <c r="BF217" s="34">
        <f>INDEX(Dados!$E$2:$E$33,COUNTIF(Dados!$E$2:$E$33,"&lt;="&amp;AN217*1.25*AK217/(0.22*SQRT(INDEX('Dados - Inversores'!AK:AK,MATCH('1'!AL217,'Dados - Inversores'!C:C,0)))))+1)</f>
        <v>2</v>
      </c>
      <c r="BG217" s="34" t="b">
        <f>IF(O217="TRIFASICO",INDEX(Dados!G:G,MATCH(BF217,Dados!E:E,0)),IF(O217="BIFASICO",INDEX(Dados!F:F,MATCH(BF217,Dados!E:E,0),)))</f>
        <v>0</v>
      </c>
    </row>
    <row r="218" spans="1:59" s="33" customFormat="1" x14ac:dyDescent="0.35">
      <c r="A218" s="33">
        <f>'Dados - Cliente'!A218</f>
        <v>0</v>
      </c>
      <c r="B218" s="33">
        <f>'Dados - Cliente'!B218</f>
        <v>0</v>
      </c>
      <c r="C218" s="33">
        <f>'Dados - Cliente'!C218</f>
        <v>0</v>
      </c>
      <c r="D218" s="33">
        <f>'Dados - Cliente'!D218</f>
        <v>0</v>
      </c>
      <c r="E218" s="33">
        <f>'Dados - Cliente'!E218</f>
        <v>0</v>
      </c>
      <c r="F218" s="33">
        <f>'Dados - Cliente'!F218</f>
        <v>0</v>
      </c>
      <c r="G218" s="33">
        <f>'Dados - Cliente'!G218</f>
        <v>0</v>
      </c>
      <c r="H218" s="33">
        <f>'Dados - Cliente'!H218</f>
        <v>0</v>
      </c>
      <c r="I218" s="75" t="s">
        <v>4313</v>
      </c>
      <c r="J218" s="52" t="s">
        <v>4314</v>
      </c>
      <c r="K218" s="52" t="s">
        <v>4314</v>
      </c>
      <c r="L218" s="33">
        <f>'Dados - Cliente'!I218</f>
        <v>0</v>
      </c>
      <c r="M218" s="33">
        <f>'Dados - Cliente'!K218</f>
        <v>0</v>
      </c>
      <c r="N218" s="33">
        <f>'Dados - Cliente'!L218</f>
        <v>0</v>
      </c>
      <c r="O218" s="33">
        <f>'Dados - Cliente'!M218</f>
        <v>0</v>
      </c>
      <c r="P218" s="33">
        <f>'Dados - Cliente'!N218</f>
        <v>0</v>
      </c>
      <c r="Q218" s="33">
        <f>'Dados - Cliente'!O218</f>
        <v>0</v>
      </c>
      <c r="R218" s="33">
        <f>'Dados - Cliente'!P218</f>
        <v>0</v>
      </c>
      <c r="S218" s="33">
        <f>'Dados - Cliente'!Q218</f>
        <v>0</v>
      </c>
      <c r="T218" s="33">
        <f>'Dados - Cliente'!R218</f>
        <v>0</v>
      </c>
      <c r="U218" s="34">
        <f>'Dados - Cliente'!S218</f>
        <v>0</v>
      </c>
      <c r="V218" s="34">
        <f>'Dados - Cliente'!T218</f>
        <v>0</v>
      </c>
      <c r="W218" s="34">
        <f>'Dados - Cliente'!U218</f>
        <v>0</v>
      </c>
      <c r="X218" s="34">
        <f>'Dados - Cliente'!V218</f>
        <v>0</v>
      </c>
      <c r="Y218" s="34">
        <f>'Dados - Cliente'!W218</f>
        <v>0</v>
      </c>
      <c r="Z218" s="34">
        <f>'Dados - Cliente'!X218</f>
        <v>0</v>
      </c>
      <c r="AA218" s="33" t="e">
        <f t="shared" si="19"/>
        <v>#N/A</v>
      </c>
      <c r="AB218" s="33">
        <f>'Dados - Cliente'!Y218</f>
        <v>0</v>
      </c>
      <c r="AC218" s="33">
        <f>'Dados - Cliente'!Z218</f>
        <v>0</v>
      </c>
      <c r="AD218" s="33">
        <f>'Dados - Cliente'!AA218</f>
        <v>0</v>
      </c>
      <c r="AE218" s="33">
        <f>'Dados - Cliente'!AB218</f>
        <v>0</v>
      </c>
      <c r="AF218" s="33">
        <f>'Dados - Cliente'!AC218</f>
        <v>0</v>
      </c>
      <c r="AG218" s="35">
        <f>'Dados - Cliente'!AD218</f>
        <v>0</v>
      </c>
      <c r="AH218" s="33" t="e">
        <f>INDEX('Dados - Placas'!$A:$A,MATCH('1'!AG218,'Dados - Placas'!$D:$D,0))</f>
        <v>#N/A</v>
      </c>
      <c r="AI218" s="35" t="e">
        <f>INDEX('Dados - Placas'!$E:$E,MATCH('1'!AG218,'Dados - Placas'!$D:$D,0))</f>
        <v>#N/A</v>
      </c>
      <c r="AJ218" s="34" t="e">
        <f>INDEX('Dados - Placas'!$F:$F,MATCH('1'!AG218,'Dados - Placas'!$D:$D,0))*AF218</f>
        <v>#N/A</v>
      </c>
      <c r="AK218" s="33">
        <f>'Dados - Cliente'!AE218</f>
        <v>0</v>
      </c>
      <c r="AL218" s="33">
        <f>'Dados - Cliente'!AF218</f>
        <v>0</v>
      </c>
      <c r="AM218" s="36" t="e">
        <f>INDEX('Dados - Inversores'!$A:$A,MATCH('1'!AL218,'Dados - Inversores'!$C:$C,0))</f>
        <v>#N/A</v>
      </c>
      <c r="AN218" s="33">
        <f>'Dados - Cliente'!AG218</f>
        <v>0</v>
      </c>
      <c r="AO218" s="33" t="e">
        <f>AA218*1.25/(0.22*SQRT(INDEX('Dados - Inversores'!AK:AK,MATCH('1'!AL218,'Dados - Inversores'!C:C,0))))</f>
        <v>#N/A</v>
      </c>
      <c r="AP218" s="34">
        <f>INDEX(Dados!$E$2:$E$33,COUNTIF(Dados!$E$2:$E$33,"&lt;="&amp;AN218*1.25/(INDEX('Dados - Inversores'!AL:AL,MATCH('1'!AL218,'Dados - Inversores'!C:C,0))*SQRT(INDEX('Dados - Inversores'!AK:AK,MATCH('1'!AL218,'Dados - Inversores'!C:C,0)))))+1)</f>
        <v>2</v>
      </c>
      <c r="AQ218" s="33" t="s">
        <v>59</v>
      </c>
      <c r="AR218" s="33" t="str">
        <f t="shared" si="20"/>
        <v>Micro</v>
      </c>
      <c r="AS218" s="33">
        <f>'Dados - Cliente'!AH218</f>
        <v>0</v>
      </c>
      <c r="AT218" s="33">
        <f>'Dados - Cliente'!AI218</f>
        <v>0</v>
      </c>
      <c r="AU218" s="33" t="e">
        <f>INDEX('Dados - Placas'!$N:$N,MATCH('1'!AG218,'Dados - Placas'!$D:$D,0))-1</f>
        <v>#N/A</v>
      </c>
      <c r="AV218" s="33" t="e">
        <f>INDEX('Dados - Placas'!$O:$O,MATCH('1'!AG218,'Dados - Placas'!$D:$D,0))</f>
        <v>#N/A</v>
      </c>
      <c r="AW218" s="33" t="e">
        <f>INDEX('Dados - Inversores'!AM:AM,MATCH('1'!AL218,'Dados - Inversores'!$C:$C,0))-1</f>
        <v>#N/A</v>
      </c>
      <c r="AX218" s="33" t="e">
        <f>INDEX('Dados - Inversores'!AN:AN,MATCH('1'!AL218,'Dados - Inversores'!$C:$C,0))-1</f>
        <v>#N/A</v>
      </c>
      <c r="AY218" s="33" t="e">
        <f>MATCH('1'!H218,Dados!$D$89:$D$167,0)+1</f>
        <v>#N/A</v>
      </c>
      <c r="AZ218" s="33" t="e">
        <f>MATCH('1'!N218,'Dados - Solicitação de acesso'!$N$2:$N$8,0)</f>
        <v>#N/A</v>
      </c>
      <c r="BA218" s="33" t="e">
        <f>MATCH('1'!T218,'Dados - Solicitação de acesso'!$T$2:$T$20,0)</f>
        <v>#N/A</v>
      </c>
      <c r="BB218" s="34"/>
      <c r="BC218" s="33">
        <f>MATCH(AT218,'Dados - Solicitação de acesso'!$AT$2:$AT$28,0)</f>
        <v>1</v>
      </c>
      <c r="BD218" s="33" t="b">
        <f>IF(O218="TRIFASICO",INDEX(Dados!G:G,MATCH('1'!AP218,Dados!E:E,0)),IF(O218="BIFASICO",INDEX(Dados!F:F,MATCH('1'!AP218,Dados!E:E,0),)))</f>
        <v>0</v>
      </c>
      <c r="BE218" s="33">
        <f>'Dados - Cliente'!J218</f>
        <v>0</v>
      </c>
      <c r="BF218" s="34">
        <f>INDEX(Dados!$E$2:$E$33,COUNTIF(Dados!$E$2:$E$33,"&lt;="&amp;AN218*1.25*AK218/(0.22*SQRT(INDEX('Dados - Inversores'!AK:AK,MATCH('1'!AL218,'Dados - Inversores'!C:C,0)))))+1)</f>
        <v>2</v>
      </c>
      <c r="BG218" s="34" t="b">
        <f>IF(O218="TRIFASICO",INDEX(Dados!G:G,MATCH(BF218,Dados!E:E,0)),IF(O218="BIFASICO",INDEX(Dados!F:F,MATCH(BF218,Dados!E:E,0),)))</f>
        <v>0</v>
      </c>
    </row>
    <row r="219" spans="1:59" s="33" customFormat="1" x14ac:dyDescent="0.35">
      <c r="A219" s="33">
        <f>'Dados - Cliente'!A219</f>
        <v>0</v>
      </c>
      <c r="B219" s="33">
        <f>'Dados - Cliente'!B219</f>
        <v>0</v>
      </c>
      <c r="C219" s="33">
        <f>'Dados - Cliente'!C219</f>
        <v>0</v>
      </c>
      <c r="D219" s="33">
        <f>'Dados - Cliente'!D219</f>
        <v>0</v>
      </c>
      <c r="E219" s="33">
        <f>'Dados - Cliente'!E219</f>
        <v>0</v>
      </c>
      <c r="F219" s="33">
        <f>'Dados - Cliente'!F219</f>
        <v>0</v>
      </c>
      <c r="G219" s="33">
        <f>'Dados - Cliente'!G219</f>
        <v>0</v>
      </c>
      <c r="H219" s="33">
        <f>'Dados - Cliente'!H219</f>
        <v>0</v>
      </c>
      <c r="I219" s="75" t="s">
        <v>4313</v>
      </c>
      <c r="J219" s="52" t="s">
        <v>4314</v>
      </c>
      <c r="K219" s="52" t="s">
        <v>4314</v>
      </c>
      <c r="L219" s="33">
        <f>'Dados - Cliente'!I219</f>
        <v>0</v>
      </c>
      <c r="M219" s="33">
        <f>'Dados - Cliente'!K219</f>
        <v>0</v>
      </c>
      <c r="N219" s="33">
        <f>'Dados - Cliente'!L219</f>
        <v>0</v>
      </c>
      <c r="O219" s="33">
        <f>'Dados - Cliente'!M219</f>
        <v>0</v>
      </c>
      <c r="P219" s="33">
        <f>'Dados - Cliente'!N219</f>
        <v>0</v>
      </c>
      <c r="Q219" s="33">
        <f>'Dados - Cliente'!O219</f>
        <v>0</v>
      </c>
      <c r="R219" s="33">
        <f>'Dados - Cliente'!P219</f>
        <v>0</v>
      </c>
      <c r="S219" s="33">
        <f>'Dados - Cliente'!Q219</f>
        <v>0</v>
      </c>
      <c r="T219" s="33">
        <f>'Dados - Cliente'!R219</f>
        <v>0</v>
      </c>
      <c r="U219" s="34">
        <f>'Dados - Cliente'!S219</f>
        <v>0</v>
      </c>
      <c r="V219" s="34">
        <f>'Dados - Cliente'!T219</f>
        <v>0</v>
      </c>
      <c r="W219" s="34">
        <f>'Dados - Cliente'!U219</f>
        <v>0</v>
      </c>
      <c r="X219" s="34">
        <f>'Dados - Cliente'!V219</f>
        <v>0</v>
      </c>
      <c r="Y219" s="34">
        <f>'Dados - Cliente'!W219</f>
        <v>0</v>
      </c>
      <c r="Z219" s="34">
        <f>'Dados - Cliente'!X219</f>
        <v>0</v>
      </c>
      <c r="AA219" s="33" t="e">
        <f t="shared" si="19"/>
        <v>#N/A</v>
      </c>
      <c r="AB219" s="33">
        <f>'Dados - Cliente'!Y219</f>
        <v>0</v>
      </c>
      <c r="AC219" s="33">
        <f>'Dados - Cliente'!Z219</f>
        <v>0</v>
      </c>
      <c r="AD219" s="33">
        <f>'Dados - Cliente'!AA219</f>
        <v>0</v>
      </c>
      <c r="AE219" s="33">
        <f>'Dados - Cliente'!AB219</f>
        <v>0</v>
      </c>
      <c r="AF219" s="33">
        <f>'Dados - Cliente'!AC219</f>
        <v>0</v>
      </c>
      <c r="AG219" s="35">
        <f>'Dados - Cliente'!AD219</f>
        <v>0</v>
      </c>
      <c r="AH219" s="33" t="e">
        <f>INDEX('Dados - Placas'!$A:$A,MATCH('1'!AG219,'Dados - Placas'!$D:$D,0))</f>
        <v>#N/A</v>
      </c>
      <c r="AI219" s="35" t="e">
        <f>INDEX('Dados - Placas'!$E:$E,MATCH('1'!AG219,'Dados - Placas'!$D:$D,0))</f>
        <v>#N/A</v>
      </c>
      <c r="AJ219" s="34" t="e">
        <f>INDEX('Dados - Placas'!$F:$F,MATCH('1'!AG219,'Dados - Placas'!$D:$D,0))*AF219</f>
        <v>#N/A</v>
      </c>
      <c r="AK219" s="33">
        <f>'Dados - Cliente'!AE219</f>
        <v>0</v>
      </c>
      <c r="AL219" s="33">
        <f>'Dados - Cliente'!AF219</f>
        <v>0</v>
      </c>
      <c r="AM219" s="36" t="e">
        <f>INDEX('Dados - Inversores'!$A:$A,MATCH('1'!AL219,'Dados - Inversores'!$C:$C,0))</f>
        <v>#N/A</v>
      </c>
      <c r="AN219" s="33">
        <f>'Dados - Cliente'!AG219</f>
        <v>0</v>
      </c>
      <c r="AO219" s="33" t="e">
        <f>AA219*1.25/(0.22*SQRT(INDEX('Dados - Inversores'!AK:AK,MATCH('1'!AL219,'Dados - Inversores'!C:C,0))))</f>
        <v>#N/A</v>
      </c>
      <c r="AP219" s="34">
        <f>INDEX(Dados!$E$2:$E$33,COUNTIF(Dados!$E$2:$E$33,"&lt;="&amp;AN219*1.25/(INDEX('Dados - Inversores'!AL:AL,MATCH('1'!AL219,'Dados - Inversores'!C:C,0))*SQRT(INDEX('Dados - Inversores'!AK:AK,MATCH('1'!AL219,'Dados - Inversores'!C:C,0)))))+1)</f>
        <v>2</v>
      </c>
      <c r="AQ219" s="33" t="s">
        <v>59</v>
      </c>
      <c r="AR219" s="33" t="str">
        <f t="shared" si="20"/>
        <v>Micro</v>
      </c>
      <c r="AS219" s="33">
        <f>'Dados - Cliente'!AH219</f>
        <v>0</v>
      </c>
      <c r="AT219" s="33">
        <f>'Dados - Cliente'!AI219</f>
        <v>0</v>
      </c>
      <c r="AU219" s="33" t="e">
        <f>INDEX('Dados - Placas'!$N:$N,MATCH('1'!AG219,'Dados - Placas'!$D:$D,0))-1</f>
        <v>#N/A</v>
      </c>
      <c r="AV219" s="33" t="e">
        <f>INDEX('Dados - Placas'!$O:$O,MATCH('1'!AG219,'Dados - Placas'!$D:$D,0))</f>
        <v>#N/A</v>
      </c>
      <c r="AW219" s="33" t="e">
        <f>INDEX('Dados - Inversores'!AM:AM,MATCH('1'!AL219,'Dados - Inversores'!$C:$C,0))-1</f>
        <v>#N/A</v>
      </c>
      <c r="AX219" s="33" t="e">
        <f>INDEX('Dados - Inversores'!AN:AN,MATCH('1'!AL219,'Dados - Inversores'!$C:$C,0))-1</f>
        <v>#N/A</v>
      </c>
      <c r="AY219" s="33" t="e">
        <f>MATCH('1'!H219,Dados!$D$89:$D$167,0)+1</f>
        <v>#N/A</v>
      </c>
      <c r="AZ219" s="33" t="e">
        <f>MATCH('1'!N219,'Dados - Solicitação de acesso'!$N$2:$N$8,0)</f>
        <v>#N/A</v>
      </c>
      <c r="BA219" s="33" t="e">
        <f>MATCH('1'!T219,'Dados - Solicitação de acesso'!$T$2:$T$20,0)</f>
        <v>#N/A</v>
      </c>
      <c r="BB219" s="34"/>
      <c r="BC219" s="33">
        <f>MATCH(AT219,'Dados - Solicitação de acesso'!$AT$2:$AT$28,0)</f>
        <v>1</v>
      </c>
      <c r="BD219" s="33" t="b">
        <f>IF(O219="TRIFASICO",INDEX(Dados!G:G,MATCH('1'!AP219,Dados!E:E,0)),IF(O219="BIFASICO",INDEX(Dados!F:F,MATCH('1'!AP219,Dados!E:E,0),)))</f>
        <v>0</v>
      </c>
      <c r="BE219" s="33">
        <f>'Dados - Cliente'!J219</f>
        <v>0</v>
      </c>
      <c r="BF219" s="34">
        <f>INDEX(Dados!$E$2:$E$33,COUNTIF(Dados!$E$2:$E$33,"&lt;="&amp;AN219*1.25*AK219/(0.22*SQRT(INDEX('Dados - Inversores'!AK:AK,MATCH('1'!AL219,'Dados - Inversores'!C:C,0)))))+1)</f>
        <v>2</v>
      </c>
      <c r="BG219" s="34" t="b">
        <f>IF(O219="TRIFASICO",INDEX(Dados!G:G,MATCH(BF219,Dados!E:E,0)),IF(O219="BIFASICO",INDEX(Dados!F:F,MATCH(BF219,Dados!E:E,0),)))</f>
        <v>0</v>
      </c>
    </row>
    <row r="220" spans="1:59" s="33" customFormat="1" x14ac:dyDescent="0.35">
      <c r="A220" s="33">
        <f>'Dados - Cliente'!A220</f>
        <v>0</v>
      </c>
      <c r="B220" s="33">
        <f>'Dados - Cliente'!B220</f>
        <v>0</v>
      </c>
      <c r="C220" s="33">
        <f>'Dados - Cliente'!C220</f>
        <v>0</v>
      </c>
      <c r="D220" s="33">
        <f>'Dados - Cliente'!D220</f>
        <v>0</v>
      </c>
      <c r="E220" s="33">
        <f>'Dados - Cliente'!E220</f>
        <v>0</v>
      </c>
      <c r="F220" s="33">
        <f>'Dados - Cliente'!F220</f>
        <v>0</v>
      </c>
      <c r="G220" s="33">
        <f>'Dados - Cliente'!G220</f>
        <v>0</v>
      </c>
      <c r="H220" s="33">
        <f>'Dados - Cliente'!H220</f>
        <v>0</v>
      </c>
      <c r="I220" s="75" t="s">
        <v>4313</v>
      </c>
      <c r="J220" s="52" t="s">
        <v>4314</v>
      </c>
      <c r="K220" s="52" t="s">
        <v>4314</v>
      </c>
      <c r="L220" s="33">
        <f>'Dados - Cliente'!I220</f>
        <v>0</v>
      </c>
      <c r="M220" s="33">
        <f>'Dados - Cliente'!K220</f>
        <v>0</v>
      </c>
      <c r="N220" s="33">
        <f>'Dados - Cliente'!L220</f>
        <v>0</v>
      </c>
      <c r="O220" s="33">
        <f>'Dados - Cliente'!M220</f>
        <v>0</v>
      </c>
      <c r="P220" s="33">
        <f>'Dados - Cliente'!N220</f>
        <v>0</v>
      </c>
      <c r="Q220" s="33">
        <f>'Dados - Cliente'!O220</f>
        <v>0</v>
      </c>
      <c r="R220" s="33">
        <f>'Dados - Cliente'!P220</f>
        <v>0</v>
      </c>
      <c r="S220" s="33">
        <f>'Dados - Cliente'!Q220</f>
        <v>0</v>
      </c>
      <c r="T220" s="33">
        <f>'Dados - Cliente'!R220</f>
        <v>0</v>
      </c>
      <c r="U220" s="34">
        <f>'Dados - Cliente'!S220</f>
        <v>0</v>
      </c>
      <c r="V220" s="34">
        <f>'Dados - Cliente'!T220</f>
        <v>0</v>
      </c>
      <c r="W220" s="34">
        <f>'Dados - Cliente'!U220</f>
        <v>0</v>
      </c>
      <c r="X220" s="34">
        <f>'Dados - Cliente'!V220</f>
        <v>0</v>
      </c>
      <c r="Y220" s="34">
        <f>'Dados - Cliente'!W220</f>
        <v>0</v>
      </c>
      <c r="Z220" s="34">
        <f>'Dados - Cliente'!X220</f>
        <v>0</v>
      </c>
      <c r="AA220" s="33" t="e">
        <f t="shared" si="19"/>
        <v>#N/A</v>
      </c>
      <c r="AB220" s="33">
        <f>'Dados - Cliente'!Y220</f>
        <v>0</v>
      </c>
      <c r="AC220" s="33">
        <f>'Dados - Cliente'!Z220</f>
        <v>0</v>
      </c>
      <c r="AD220" s="33">
        <f>'Dados - Cliente'!AA220</f>
        <v>0</v>
      </c>
      <c r="AE220" s="33">
        <f>'Dados - Cliente'!AB220</f>
        <v>0</v>
      </c>
      <c r="AF220" s="33">
        <f>'Dados - Cliente'!AC220</f>
        <v>0</v>
      </c>
      <c r="AG220" s="35">
        <f>'Dados - Cliente'!AD220</f>
        <v>0</v>
      </c>
      <c r="AH220" s="33" t="e">
        <f>INDEX('Dados - Placas'!$A:$A,MATCH('1'!AG220,'Dados - Placas'!$D:$D,0))</f>
        <v>#N/A</v>
      </c>
      <c r="AI220" s="35" t="e">
        <f>INDEX('Dados - Placas'!$E:$E,MATCH('1'!AG220,'Dados - Placas'!$D:$D,0))</f>
        <v>#N/A</v>
      </c>
      <c r="AJ220" s="34" t="e">
        <f>INDEX('Dados - Placas'!$F:$F,MATCH('1'!AG220,'Dados - Placas'!$D:$D,0))*AF220</f>
        <v>#N/A</v>
      </c>
      <c r="AK220" s="33">
        <f>'Dados - Cliente'!AE220</f>
        <v>0</v>
      </c>
      <c r="AL220" s="33">
        <f>'Dados - Cliente'!AF220</f>
        <v>0</v>
      </c>
      <c r="AM220" s="36" t="e">
        <f>INDEX('Dados - Inversores'!$A:$A,MATCH('1'!AL220,'Dados - Inversores'!$C:$C,0))</f>
        <v>#N/A</v>
      </c>
      <c r="AN220" s="33">
        <f>'Dados - Cliente'!AG220</f>
        <v>0</v>
      </c>
      <c r="AO220" s="33" t="e">
        <f>AA220*1.25/(0.22*SQRT(INDEX('Dados - Inversores'!AK:AK,MATCH('1'!AL220,'Dados - Inversores'!C:C,0))))</f>
        <v>#N/A</v>
      </c>
      <c r="AP220" s="34">
        <f>INDEX(Dados!$E$2:$E$33,COUNTIF(Dados!$E$2:$E$33,"&lt;="&amp;AN220*1.25/(INDEX('Dados - Inversores'!AL:AL,MATCH('1'!AL220,'Dados - Inversores'!C:C,0))*SQRT(INDEX('Dados - Inversores'!AK:AK,MATCH('1'!AL220,'Dados - Inversores'!C:C,0)))))+1)</f>
        <v>2</v>
      </c>
      <c r="AQ220" s="33" t="s">
        <v>59</v>
      </c>
      <c r="AR220" s="33" t="str">
        <f t="shared" si="20"/>
        <v>Micro</v>
      </c>
      <c r="AS220" s="33">
        <f>'Dados - Cliente'!AH220</f>
        <v>0</v>
      </c>
      <c r="AT220" s="33">
        <f>'Dados - Cliente'!AI220</f>
        <v>0</v>
      </c>
      <c r="AU220" s="33" t="e">
        <f>INDEX('Dados - Placas'!$N:$N,MATCH('1'!AG220,'Dados - Placas'!$D:$D,0))-1</f>
        <v>#N/A</v>
      </c>
      <c r="AV220" s="33" t="e">
        <f>INDEX('Dados - Placas'!$O:$O,MATCH('1'!AG220,'Dados - Placas'!$D:$D,0))</f>
        <v>#N/A</v>
      </c>
      <c r="AW220" s="33" t="e">
        <f>INDEX('Dados - Inversores'!AM:AM,MATCH('1'!AL220,'Dados - Inversores'!$C:$C,0))-1</f>
        <v>#N/A</v>
      </c>
      <c r="AX220" s="33" t="e">
        <f>INDEX('Dados - Inversores'!AN:AN,MATCH('1'!AL220,'Dados - Inversores'!$C:$C,0))-1</f>
        <v>#N/A</v>
      </c>
      <c r="AY220" s="33" t="e">
        <f>MATCH('1'!H220,Dados!$D$89:$D$167,0)+1</f>
        <v>#N/A</v>
      </c>
      <c r="AZ220" s="33" t="e">
        <f>MATCH('1'!N220,'Dados - Solicitação de acesso'!$N$2:$N$8,0)</f>
        <v>#N/A</v>
      </c>
      <c r="BA220" s="33" t="e">
        <f>MATCH('1'!T220,'Dados - Solicitação de acesso'!$T$2:$T$20,0)</f>
        <v>#N/A</v>
      </c>
      <c r="BB220" s="34"/>
      <c r="BC220" s="33">
        <f>MATCH(AT220,'Dados - Solicitação de acesso'!$AT$2:$AT$28,0)</f>
        <v>1</v>
      </c>
      <c r="BD220" s="33" t="b">
        <f>IF(O220="TRIFASICO",INDEX(Dados!G:G,MATCH('1'!AP220,Dados!E:E,0)),IF(O220="BIFASICO",INDEX(Dados!F:F,MATCH('1'!AP220,Dados!E:E,0),)))</f>
        <v>0</v>
      </c>
      <c r="BE220" s="33">
        <f>'Dados - Cliente'!J220</f>
        <v>0</v>
      </c>
      <c r="BF220" s="34">
        <f>INDEX(Dados!$E$2:$E$33,COUNTIF(Dados!$E$2:$E$33,"&lt;="&amp;AN220*1.25*AK220/(0.22*SQRT(INDEX('Dados - Inversores'!AK:AK,MATCH('1'!AL220,'Dados - Inversores'!C:C,0)))))+1)</f>
        <v>2</v>
      </c>
      <c r="BG220" s="34" t="b">
        <f>IF(O220="TRIFASICO",INDEX(Dados!G:G,MATCH(BF220,Dados!E:E,0)),IF(O220="BIFASICO",INDEX(Dados!F:F,MATCH(BF220,Dados!E:E,0),)))</f>
        <v>0</v>
      </c>
    </row>
    <row r="221" spans="1:59" s="33" customFormat="1" x14ac:dyDescent="0.35">
      <c r="A221" s="33">
        <f>'Dados - Cliente'!A221</f>
        <v>0</v>
      </c>
      <c r="B221" s="33">
        <f>'Dados - Cliente'!B221</f>
        <v>0</v>
      </c>
      <c r="C221" s="33">
        <f>'Dados - Cliente'!C221</f>
        <v>0</v>
      </c>
      <c r="D221" s="33">
        <f>'Dados - Cliente'!D221</f>
        <v>0</v>
      </c>
      <c r="E221" s="33">
        <f>'Dados - Cliente'!E221</f>
        <v>0</v>
      </c>
      <c r="F221" s="33">
        <f>'Dados - Cliente'!F221</f>
        <v>0</v>
      </c>
      <c r="G221" s="33">
        <f>'Dados - Cliente'!G221</f>
        <v>0</v>
      </c>
      <c r="H221" s="33">
        <f>'Dados - Cliente'!H221</f>
        <v>0</v>
      </c>
      <c r="I221" s="75" t="s">
        <v>4313</v>
      </c>
      <c r="J221" s="52" t="s">
        <v>4314</v>
      </c>
      <c r="K221" s="52" t="s">
        <v>4314</v>
      </c>
      <c r="L221" s="33">
        <f>'Dados - Cliente'!I221</f>
        <v>0</v>
      </c>
      <c r="M221" s="33">
        <f>'Dados - Cliente'!K221</f>
        <v>0</v>
      </c>
      <c r="N221" s="33">
        <f>'Dados - Cliente'!L221</f>
        <v>0</v>
      </c>
      <c r="O221" s="33">
        <f>'Dados - Cliente'!M221</f>
        <v>0</v>
      </c>
      <c r="P221" s="33">
        <f>'Dados - Cliente'!N221</f>
        <v>0</v>
      </c>
      <c r="Q221" s="33">
        <f>'Dados - Cliente'!O221</f>
        <v>0</v>
      </c>
      <c r="R221" s="33">
        <f>'Dados - Cliente'!P221</f>
        <v>0</v>
      </c>
      <c r="S221" s="33">
        <f>'Dados - Cliente'!Q221</f>
        <v>0</v>
      </c>
      <c r="T221" s="33">
        <f>'Dados - Cliente'!R221</f>
        <v>0</v>
      </c>
      <c r="U221" s="34">
        <f>'Dados - Cliente'!S221</f>
        <v>0</v>
      </c>
      <c r="V221" s="34">
        <f>'Dados - Cliente'!T221</f>
        <v>0</v>
      </c>
      <c r="W221" s="34">
        <f>'Dados - Cliente'!U221</f>
        <v>0</v>
      </c>
      <c r="X221" s="34">
        <f>'Dados - Cliente'!V221</f>
        <v>0</v>
      </c>
      <c r="Y221" s="34">
        <f>'Dados - Cliente'!W221</f>
        <v>0</v>
      </c>
      <c r="Z221" s="34">
        <f>'Dados - Cliente'!X221</f>
        <v>0</v>
      </c>
      <c r="AA221" s="33" t="e">
        <f t="shared" si="19"/>
        <v>#N/A</v>
      </c>
      <c r="AB221" s="33">
        <f>'Dados - Cliente'!Y221</f>
        <v>0</v>
      </c>
      <c r="AC221" s="33">
        <f>'Dados - Cliente'!Z221</f>
        <v>0</v>
      </c>
      <c r="AD221" s="33">
        <f>'Dados - Cliente'!AA221</f>
        <v>0</v>
      </c>
      <c r="AE221" s="33">
        <f>'Dados - Cliente'!AB221</f>
        <v>0</v>
      </c>
      <c r="AF221" s="33">
        <f>'Dados - Cliente'!AC221</f>
        <v>0</v>
      </c>
      <c r="AG221" s="35">
        <f>'Dados - Cliente'!AD221</f>
        <v>0</v>
      </c>
      <c r="AH221" s="33" t="e">
        <f>INDEX('Dados - Placas'!$A:$A,MATCH('1'!AG221,'Dados - Placas'!$D:$D,0))</f>
        <v>#N/A</v>
      </c>
      <c r="AI221" s="35" t="e">
        <f>INDEX('Dados - Placas'!$E:$E,MATCH('1'!AG221,'Dados - Placas'!$D:$D,0))</f>
        <v>#N/A</v>
      </c>
      <c r="AJ221" s="34" t="e">
        <f>INDEX('Dados - Placas'!$F:$F,MATCH('1'!AG221,'Dados - Placas'!$D:$D,0))*AF221</f>
        <v>#N/A</v>
      </c>
      <c r="AK221" s="33">
        <f>'Dados - Cliente'!AE221</f>
        <v>0</v>
      </c>
      <c r="AL221" s="33">
        <f>'Dados - Cliente'!AF221</f>
        <v>0</v>
      </c>
      <c r="AM221" s="36" t="e">
        <f>INDEX('Dados - Inversores'!$A:$A,MATCH('1'!AL221,'Dados - Inversores'!$C:$C,0))</f>
        <v>#N/A</v>
      </c>
      <c r="AN221" s="33">
        <f>'Dados - Cliente'!AG221</f>
        <v>0</v>
      </c>
      <c r="AO221" s="33" t="e">
        <f>AA221*1.25/(0.22*SQRT(INDEX('Dados - Inversores'!AK:AK,MATCH('1'!AL221,'Dados - Inversores'!C:C,0))))</f>
        <v>#N/A</v>
      </c>
      <c r="AP221" s="34">
        <f>INDEX(Dados!$E$2:$E$33,COUNTIF(Dados!$E$2:$E$33,"&lt;="&amp;AN221*1.25/(INDEX('Dados - Inversores'!AL:AL,MATCH('1'!AL221,'Dados - Inversores'!C:C,0))*SQRT(INDEX('Dados - Inversores'!AK:AK,MATCH('1'!AL221,'Dados - Inversores'!C:C,0)))))+1)</f>
        <v>2</v>
      </c>
      <c r="AQ221" s="33" t="s">
        <v>59</v>
      </c>
      <c r="AR221" s="33" t="str">
        <f t="shared" si="20"/>
        <v>Micro</v>
      </c>
      <c r="AS221" s="33">
        <f>'Dados - Cliente'!AH221</f>
        <v>0</v>
      </c>
      <c r="AT221" s="33">
        <f>'Dados - Cliente'!AI221</f>
        <v>0</v>
      </c>
      <c r="AU221" s="33" t="e">
        <f>INDEX('Dados - Placas'!$N:$N,MATCH('1'!AG221,'Dados - Placas'!$D:$D,0))-1</f>
        <v>#N/A</v>
      </c>
      <c r="AV221" s="33" t="e">
        <f>INDEX('Dados - Placas'!$O:$O,MATCH('1'!AG221,'Dados - Placas'!$D:$D,0))</f>
        <v>#N/A</v>
      </c>
      <c r="AW221" s="33" t="e">
        <f>INDEX('Dados - Inversores'!AM:AM,MATCH('1'!AL221,'Dados - Inversores'!$C:$C,0))-1</f>
        <v>#N/A</v>
      </c>
      <c r="AX221" s="33" t="e">
        <f>INDEX('Dados - Inversores'!AN:AN,MATCH('1'!AL221,'Dados - Inversores'!$C:$C,0))-1</f>
        <v>#N/A</v>
      </c>
      <c r="AY221" s="33" t="e">
        <f>MATCH('1'!H221,Dados!$D$89:$D$167,0)+1</f>
        <v>#N/A</v>
      </c>
      <c r="AZ221" s="33" t="e">
        <f>MATCH('1'!N221,'Dados - Solicitação de acesso'!$N$2:$N$8,0)</f>
        <v>#N/A</v>
      </c>
      <c r="BA221" s="33" t="e">
        <f>MATCH('1'!T221,'Dados - Solicitação de acesso'!$T$2:$T$20,0)</f>
        <v>#N/A</v>
      </c>
      <c r="BB221" s="34"/>
      <c r="BC221" s="33">
        <f>MATCH(AT221,'Dados - Solicitação de acesso'!$AT$2:$AT$28,0)</f>
        <v>1</v>
      </c>
      <c r="BD221" s="33" t="b">
        <f>IF(O221="TRIFASICO",INDEX(Dados!G:G,MATCH('1'!AP221,Dados!E:E,0)),IF(O221="BIFASICO",INDEX(Dados!F:F,MATCH('1'!AP221,Dados!E:E,0),)))</f>
        <v>0</v>
      </c>
      <c r="BE221" s="33">
        <f>'Dados - Cliente'!J221</f>
        <v>0</v>
      </c>
      <c r="BF221" s="34">
        <f>INDEX(Dados!$E$2:$E$33,COUNTIF(Dados!$E$2:$E$33,"&lt;="&amp;AN221*1.25*AK221/(0.22*SQRT(INDEX('Dados - Inversores'!AK:AK,MATCH('1'!AL221,'Dados - Inversores'!C:C,0)))))+1)</f>
        <v>2</v>
      </c>
      <c r="BG221" s="34" t="b">
        <f>IF(O221="TRIFASICO",INDEX(Dados!G:G,MATCH(BF221,Dados!E:E,0)),IF(O221="BIFASICO",INDEX(Dados!F:F,MATCH(BF221,Dados!E:E,0),)))</f>
        <v>0</v>
      </c>
    </row>
    <row r="222" spans="1:59" s="33" customFormat="1" x14ac:dyDescent="0.35">
      <c r="A222" s="33">
        <f>'Dados - Cliente'!A222</f>
        <v>0</v>
      </c>
      <c r="B222" s="33">
        <f>'Dados - Cliente'!B222</f>
        <v>0</v>
      </c>
      <c r="C222" s="33">
        <f>'Dados - Cliente'!C222</f>
        <v>0</v>
      </c>
      <c r="D222" s="33">
        <f>'Dados - Cliente'!D222</f>
        <v>0</v>
      </c>
      <c r="E222" s="33">
        <f>'Dados - Cliente'!E222</f>
        <v>0</v>
      </c>
      <c r="F222" s="33">
        <f>'Dados - Cliente'!F222</f>
        <v>0</v>
      </c>
      <c r="G222" s="33">
        <f>'Dados - Cliente'!G222</f>
        <v>0</v>
      </c>
      <c r="H222" s="33">
        <f>'Dados - Cliente'!H222</f>
        <v>0</v>
      </c>
      <c r="I222" s="75" t="s">
        <v>4313</v>
      </c>
      <c r="J222" s="52" t="s">
        <v>4314</v>
      </c>
      <c r="K222" s="52" t="s">
        <v>4314</v>
      </c>
      <c r="L222" s="33">
        <f>'Dados - Cliente'!I222</f>
        <v>0</v>
      </c>
      <c r="M222" s="33">
        <f>'Dados - Cliente'!K222</f>
        <v>0</v>
      </c>
      <c r="N222" s="33">
        <f>'Dados - Cliente'!L222</f>
        <v>0</v>
      </c>
      <c r="O222" s="33">
        <f>'Dados - Cliente'!M222</f>
        <v>0</v>
      </c>
      <c r="P222" s="33">
        <f>'Dados - Cliente'!N222</f>
        <v>0</v>
      </c>
      <c r="Q222" s="33">
        <f>'Dados - Cliente'!O222</f>
        <v>0</v>
      </c>
      <c r="R222" s="33">
        <f>'Dados - Cliente'!P222</f>
        <v>0</v>
      </c>
      <c r="S222" s="33">
        <f>'Dados - Cliente'!Q222</f>
        <v>0</v>
      </c>
      <c r="T222" s="33">
        <f>'Dados - Cliente'!R222</f>
        <v>0</v>
      </c>
      <c r="U222" s="34">
        <f>'Dados - Cliente'!S222</f>
        <v>0</v>
      </c>
      <c r="V222" s="34">
        <f>'Dados - Cliente'!T222</f>
        <v>0</v>
      </c>
      <c r="W222" s="34">
        <f>'Dados - Cliente'!U222</f>
        <v>0</v>
      </c>
      <c r="X222" s="34">
        <f>'Dados - Cliente'!V222</f>
        <v>0</v>
      </c>
      <c r="Y222" s="34">
        <f>'Dados - Cliente'!W222</f>
        <v>0</v>
      </c>
      <c r="Z222" s="34">
        <f>'Dados - Cliente'!X222</f>
        <v>0</v>
      </c>
      <c r="AA222" s="33" t="e">
        <f t="shared" si="19"/>
        <v>#N/A</v>
      </c>
      <c r="AB222" s="33">
        <f>'Dados - Cliente'!Y222</f>
        <v>0</v>
      </c>
      <c r="AC222" s="33">
        <f>'Dados - Cliente'!Z222</f>
        <v>0</v>
      </c>
      <c r="AD222" s="33">
        <f>'Dados - Cliente'!AA222</f>
        <v>0</v>
      </c>
      <c r="AE222" s="33">
        <f>'Dados - Cliente'!AB222</f>
        <v>0</v>
      </c>
      <c r="AF222" s="33">
        <f>'Dados - Cliente'!AC222</f>
        <v>0</v>
      </c>
      <c r="AG222" s="35">
        <f>'Dados - Cliente'!AD222</f>
        <v>0</v>
      </c>
      <c r="AH222" s="33" t="e">
        <f>INDEX('Dados - Placas'!$A:$A,MATCH('1'!AG222,'Dados - Placas'!$D:$D,0))</f>
        <v>#N/A</v>
      </c>
      <c r="AI222" s="35" t="e">
        <f>INDEX('Dados - Placas'!$E:$E,MATCH('1'!AG222,'Dados - Placas'!$D:$D,0))</f>
        <v>#N/A</v>
      </c>
      <c r="AJ222" s="34" t="e">
        <f>INDEX('Dados - Placas'!$F:$F,MATCH('1'!AG222,'Dados - Placas'!$D:$D,0))*AF222</f>
        <v>#N/A</v>
      </c>
      <c r="AK222" s="33">
        <f>'Dados - Cliente'!AE222</f>
        <v>0</v>
      </c>
      <c r="AL222" s="33">
        <f>'Dados - Cliente'!AF222</f>
        <v>0</v>
      </c>
      <c r="AM222" s="36" t="e">
        <f>INDEX('Dados - Inversores'!$A:$A,MATCH('1'!AL222,'Dados - Inversores'!$C:$C,0))</f>
        <v>#N/A</v>
      </c>
      <c r="AN222" s="33">
        <f>'Dados - Cliente'!AG222</f>
        <v>0</v>
      </c>
      <c r="AO222" s="33" t="e">
        <f>AA222*1.25/(0.22*SQRT(INDEX('Dados - Inversores'!AK:AK,MATCH('1'!AL222,'Dados - Inversores'!C:C,0))))</f>
        <v>#N/A</v>
      </c>
      <c r="AP222" s="34">
        <f>INDEX(Dados!$E$2:$E$33,COUNTIF(Dados!$E$2:$E$33,"&lt;="&amp;AN222*1.25/(INDEX('Dados - Inversores'!AL:AL,MATCH('1'!AL222,'Dados - Inversores'!C:C,0))*SQRT(INDEX('Dados - Inversores'!AK:AK,MATCH('1'!AL222,'Dados - Inversores'!C:C,0)))))+1)</f>
        <v>2</v>
      </c>
      <c r="AQ222" s="33" t="s">
        <v>59</v>
      </c>
      <c r="AR222" s="33" t="str">
        <f t="shared" si="20"/>
        <v>Micro</v>
      </c>
      <c r="AS222" s="33">
        <f>'Dados - Cliente'!AH222</f>
        <v>0</v>
      </c>
      <c r="AT222" s="33">
        <f>'Dados - Cliente'!AI222</f>
        <v>0</v>
      </c>
      <c r="AU222" s="33" t="e">
        <f>INDEX('Dados - Placas'!$N:$N,MATCH('1'!AG222,'Dados - Placas'!$D:$D,0))-1</f>
        <v>#N/A</v>
      </c>
      <c r="AV222" s="33" t="e">
        <f>INDEX('Dados - Placas'!$O:$O,MATCH('1'!AG222,'Dados - Placas'!$D:$D,0))</f>
        <v>#N/A</v>
      </c>
      <c r="AW222" s="33" t="e">
        <f>INDEX('Dados - Inversores'!AM:AM,MATCH('1'!AL222,'Dados - Inversores'!$C:$C,0))-1</f>
        <v>#N/A</v>
      </c>
      <c r="AX222" s="33" t="e">
        <f>INDEX('Dados - Inversores'!AN:AN,MATCH('1'!AL222,'Dados - Inversores'!$C:$C,0))-1</f>
        <v>#N/A</v>
      </c>
      <c r="AY222" s="33" t="e">
        <f>MATCH('1'!H222,Dados!$D$89:$D$167,0)+1</f>
        <v>#N/A</v>
      </c>
      <c r="AZ222" s="33" t="e">
        <f>MATCH('1'!N222,'Dados - Solicitação de acesso'!$N$2:$N$8,0)</f>
        <v>#N/A</v>
      </c>
      <c r="BA222" s="33" t="e">
        <f>MATCH('1'!T222,'Dados - Solicitação de acesso'!$T$2:$T$20,0)</f>
        <v>#N/A</v>
      </c>
      <c r="BB222" s="34"/>
      <c r="BC222" s="33">
        <f>MATCH(AT222,'Dados - Solicitação de acesso'!$AT$2:$AT$28,0)</f>
        <v>1</v>
      </c>
      <c r="BD222" s="33" t="b">
        <f>IF(O222="TRIFASICO",INDEX(Dados!G:G,MATCH('1'!AP222,Dados!E:E,0)),IF(O222="BIFASICO",INDEX(Dados!F:F,MATCH('1'!AP222,Dados!E:E,0),)))</f>
        <v>0</v>
      </c>
      <c r="BE222" s="33">
        <f>'Dados - Cliente'!J222</f>
        <v>0</v>
      </c>
      <c r="BF222" s="34">
        <f>INDEX(Dados!$E$2:$E$33,COUNTIF(Dados!$E$2:$E$33,"&lt;="&amp;AN222*1.25*AK222/(0.22*SQRT(INDEX('Dados - Inversores'!AK:AK,MATCH('1'!AL222,'Dados - Inversores'!C:C,0)))))+1)</f>
        <v>2</v>
      </c>
      <c r="BG222" s="34" t="b">
        <f>IF(O222="TRIFASICO",INDEX(Dados!G:G,MATCH(BF222,Dados!E:E,0)),IF(O222="BIFASICO",INDEX(Dados!F:F,MATCH(BF222,Dados!E:E,0),)))</f>
        <v>0</v>
      </c>
    </row>
    <row r="223" spans="1:59" s="33" customFormat="1" x14ac:dyDescent="0.35">
      <c r="A223" s="33">
        <f>'Dados - Cliente'!A223</f>
        <v>0</v>
      </c>
      <c r="B223" s="33">
        <f>'Dados - Cliente'!B223</f>
        <v>0</v>
      </c>
      <c r="C223" s="33">
        <f>'Dados - Cliente'!C223</f>
        <v>0</v>
      </c>
      <c r="D223" s="33">
        <f>'Dados - Cliente'!D223</f>
        <v>0</v>
      </c>
      <c r="E223" s="33">
        <f>'Dados - Cliente'!E223</f>
        <v>0</v>
      </c>
      <c r="F223" s="33">
        <f>'Dados - Cliente'!F223</f>
        <v>0</v>
      </c>
      <c r="G223" s="33">
        <f>'Dados - Cliente'!G223</f>
        <v>0</v>
      </c>
      <c r="H223" s="33">
        <f>'Dados - Cliente'!H223</f>
        <v>0</v>
      </c>
      <c r="I223" s="75" t="s">
        <v>4313</v>
      </c>
      <c r="J223" s="52" t="s">
        <v>4314</v>
      </c>
      <c r="K223" s="52" t="s">
        <v>4314</v>
      </c>
      <c r="L223" s="33">
        <f>'Dados - Cliente'!I223</f>
        <v>0</v>
      </c>
      <c r="M223" s="33">
        <f>'Dados - Cliente'!K223</f>
        <v>0</v>
      </c>
      <c r="N223" s="33">
        <f>'Dados - Cliente'!L223</f>
        <v>0</v>
      </c>
      <c r="O223" s="33">
        <f>'Dados - Cliente'!M223</f>
        <v>0</v>
      </c>
      <c r="P223" s="33">
        <f>'Dados - Cliente'!N223</f>
        <v>0</v>
      </c>
      <c r="Q223" s="33">
        <f>'Dados - Cliente'!O223</f>
        <v>0</v>
      </c>
      <c r="R223" s="33">
        <f>'Dados - Cliente'!P223</f>
        <v>0</v>
      </c>
      <c r="S223" s="33">
        <f>'Dados - Cliente'!Q223</f>
        <v>0</v>
      </c>
      <c r="T223" s="33">
        <f>'Dados - Cliente'!R223</f>
        <v>0</v>
      </c>
      <c r="U223" s="34">
        <f>'Dados - Cliente'!S223</f>
        <v>0</v>
      </c>
      <c r="V223" s="34">
        <f>'Dados - Cliente'!T223</f>
        <v>0</v>
      </c>
      <c r="W223" s="34">
        <f>'Dados - Cliente'!U223</f>
        <v>0</v>
      </c>
      <c r="X223" s="34">
        <f>'Dados - Cliente'!V223</f>
        <v>0</v>
      </c>
      <c r="Y223" s="34">
        <f>'Dados - Cliente'!W223</f>
        <v>0</v>
      </c>
      <c r="Z223" s="34">
        <f>'Dados - Cliente'!X223</f>
        <v>0</v>
      </c>
      <c r="AA223" s="33" t="e">
        <f t="shared" si="19"/>
        <v>#N/A</v>
      </c>
      <c r="AB223" s="33">
        <f>'Dados - Cliente'!Y223</f>
        <v>0</v>
      </c>
      <c r="AC223" s="33">
        <f>'Dados - Cliente'!Z223</f>
        <v>0</v>
      </c>
      <c r="AD223" s="33">
        <f>'Dados - Cliente'!AA223</f>
        <v>0</v>
      </c>
      <c r="AE223" s="33">
        <f>'Dados - Cliente'!AB223</f>
        <v>0</v>
      </c>
      <c r="AF223" s="33">
        <f>'Dados - Cliente'!AC223</f>
        <v>0</v>
      </c>
      <c r="AG223" s="35">
        <f>'Dados - Cliente'!AD223</f>
        <v>0</v>
      </c>
      <c r="AH223" s="33" t="e">
        <f>INDEX('Dados - Placas'!$A:$A,MATCH('1'!AG223,'Dados - Placas'!$D:$D,0))</f>
        <v>#N/A</v>
      </c>
      <c r="AI223" s="35" t="e">
        <f>INDEX('Dados - Placas'!$E:$E,MATCH('1'!AG223,'Dados - Placas'!$D:$D,0))</f>
        <v>#N/A</v>
      </c>
      <c r="AJ223" s="34" t="e">
        <f>INDEX('Dados - Placas'!$F:$F,MATCH('1'!AG223,'Dados - Placas'!$D:$D,0))*AF223</f>
        <v>#N/A</v>
      </c>
      <c r="AK223" s="33">
        <f>'Dados - Cliente'!AE223</f>
        <v>0</v>
      </c>
      <c r="AL223" s="33">
        <f>'Dados - Cliente'!AF223</f>
        <v>0</v>
      </c>
      <c r="AM223" s="36" t="e">
        <f>INDEX('Dados - Inversores'!$A:$A,MATCH('1'!AL223,'Dados - Inversores'!$C:$C,0))</f>
        <v>#N/A</v>
      </c>
      <c r="AN223" s="33">
        <f>'Dados - Cliente'!AG223</f>
        <v>0</v>
      </c>
      <c r="AO223" s="33" t="e">
        <f>AA223*1.25/(0.22*SQRT(INDEX('Dados - Inversores'!AK:AK,MATCH('1'!AL223,'Dados - Inversores'!C:C,0))))</f>
        <v>#N/A</v>
      </c>
      <c r="AP223" s="34">
        <f>INDEX(Dados!$E$2:$E$33,COUNTIF(Dados!$E$2:$E$33,"&lt;="&amp;AN223*1.25/(INDEX('Dados - Inversores'!AL:AL,MATCH('1'!AL223,'Dados - Inversores'!C:C,0))*SQRT(INDEX('Dados - Inversores'!AK:AK,MATCH('1'!AL223,'Dados - Inversores'!C:C,0)))))+1)</f>
        <v>2</v>
      </c>
      <c r="AQ223" s="33" t="s">
        <v>59</v>
      </c>
      <c r="AR223" s="33" t="str">
        <f t="shared" si="20"/>
        <v>Micro</v>
      </c>
      <c r="AS223" s="33">
        <f>'Dados - Cliente'!AH223</f>
        <v>0</v>
      </c>
      <c r="AT223" s="33">
        <f>'Dados - Cliente'!AI223</f>
        <v>0</v>
      </c>
      <c r="AU223" s="33" t="e">
        <f>INDEX('Dados - Placas'!$N:$N,MATCH('1'!AG223,'Dados - Placas'!$D:$D,0))-1</f>
        <v>#N/A</v>
      </c>
      <c r="AV223" s="33" t="e">
        <f>INDEX('Dados - Placas'!$O:$O,MATCH('1'!AG223,'Dados - Placas'!$D:$D,0))</f>
        <v>#N/A</v>
      </c>
      <c r="AW223" s="33" t="e">
        <f>INDEX('Dados - Inversores'!AM:AM,MATCH('1'!AL223,'Dados - Inversores'!$C:$C,0))-1</f>
        <v>#N/A</v>
      </c>
      <c r="AX223" s="33" t="e">
        <f>INDEX('Dados - Inversores'!AN:AN,MATCH('1'!AL223,'Dados - Inversores'!$C:$C,0))-1</f>
        <v>#N/A</v>
      </c>
      <c r="AY223" s="33" t="e">
        <f>MATCH('1'!H223,Dados!$D$89:$D$167,0)+1</f>
        <v>#N/A</v>
      </c>
      <c r="AZ223" s="33" t="e">
        <f>MATCH('1'!N223,'Dados - Solicitação de acesso'!$N$2:$N$8,0)</f>
        <v>#N/A</v>
      </c>
      <c r="BA223" s="33" t="e">
        <f>MATCH('1'!T223,'Dados - Solicitação de acesso'!$T$2:$T$20,0)</f>
        <v>#N/A</v>
      </c>
      <c r="BB223" s="34"/>
      <c r="BC223" s="33">
        <f>MATCH(AT223,'Dados - Solicitação de acesso'!$AT$2:$AT$28,0)</f>
        <v>1</v>
      </c>
      <c r="BD223" s="33" t="b">
        <f>IF(O223="TRIFASICO",INDEX(Dados!G:G,MATCH('1'!AP223,Dados!E:E,0)),IF(O223="BIFASICO",INDEX(Dados!F:F,MATCH('1'!AP223,Dados!E:E,0),)))</f>
        <v>0</v>
      </c>
      <c r="BE223" s="33">
        <f>'Dados - Cliente'!J223</f>
        <v>0</v>
      </c>
      <c r="BF223" s="34">
        <f>INDEX(Dados!$E$2:$E$33,COUNTIF(Dados!$E$2:$E$33,"&lt;="&amp;AN223*1.25*AK223/(0.22*SQRT(INDEX('Dados - Inversores'!AK:AK,MATCH('1'!AL223,'Dados - Inversores'!C:C,0)))))+1)</f>
        <v>2</v>
      </c>
      <c r="BG223" s="34" t="b">
        <f>IF(O223="TRIFASICO",INDEX(Dados!G:G,MATCH(BF223,Dados!E:E,0)),IF(O223="BIFASICO",INDEX(Dados!F:F,MATCH(BF223,Dados!E:E,0),)))</f>
        <v>0</v>
      </c>
    </row>
    <row r="224" spans="1:59" s="33" customFormat="1" x14ac:dyDescent="0.35">
      <c r="A224" s="33">
        <f>'Dados - Cliente'!A224</f>
        <v>0</v>
      </c>
      <c r="B224" s="33">
        <f>'Dados - Cliente'!B224</f>
        <v>0</v>
      </c>
      <c r="C224" s="33">
        <f>'Dados - Cliente'!C224</f>
        <v>0</v>
      </c>
      <c r="D224" s="33">
        <f>'Dados - Cliente'!D224</f>
        <v>0</v>
      </c>
      <c r="E224" s="33">
        <f>'Dados - Cliente'!E224</f>
        <v>0</v>
      </c>
      <c r="F224" s="33">
        <f>'Dados - Cliente'!F224</f>
        <v>0</v>
      </c>
      <c r="G224" s="33">
        <f>'Dados - Cliente'!G224</f>
        <v>0</v>
      </c>
      <c r="H224" s="33">
        <f>'Dados - Cliente'!H224</f>
        <v>0</v>
      </c>
      <c r="I224" s="75" t="s">
        <v>4313</v>
      </c>
      <c r="J224" s="52" t="s">
        <v>4314</v>
      </c>
      <c r="K224" s="52" t="s">
        <v>4314</v>
      </c>
      <c r="L224" s="33">
        <f>'Dados - Cliente'!I224</f>
        <v>0</v>
      </c>
      <c r="M224" s="33">
        <f>'Dados - Cliente'!K224</f>
        <v>0</v>
      </c>
      <c r="N224" s="33">
        <f>'Dados - Cliente'!L224</f>
        <v>0</v>
      </c>
      <c r="O224" s="33">
        <f>'Dados - Cliente'!M224</f>
        <v>0</v>
      </c>
      <c r="P224" s="33">
        <f>'Dados - Cliente'!N224</f>
        <v>0</v>
      </c>
      <c r="Q224" s="33">
        <f>'Dados - Cliente'!O224</f>
        <v>0</v>
      </c>
      <c r="R224" s="33">
        <f>'Dados - Cliente'!P224</f>
        <v>0</v>
      </c>
      <c r="S224" s="33">
        <f>'Dados - Cliente'!Q224</f>
        <v>0</v>
      </c>
      <c r="T224" s="33">
        <f>'Dados - Cliente'!R224</f>
        <v>0</v>
      </c>
      <c r="U224" s="34">
        <f>'Dados - Cliente'!S224</f>
        <v>0</v>
      </c>
      <c r="V224" s="34">
        <f>'Dados - Cliente'!T224</f>
        <v>0</v>
      </c>
      <c r="W224" s="34">
        <f>'Dados - Cliente'!U224</f>
        <v>0</v>
      </c>
      <c r="X224" s="34">
        <f>'Dados - Cliente'!V224</f>
        <v>0</v>
      </c>
      <c r="Y224" s="34">
        <f>'Dados - Cliente'!W224</f>
        <v>0</v>
      </c>
      <c r="Z224" s="34">
        <f>'Dados - Cliente'!X224</f>
        <v>0</v>
      </c>
      <c r="AA224" s="33" t="e">
        <f t="shared" si="19"/>
        <v>#N/A</v>
      </c>
      <c r="AB224" s="33">
        <f>'Dados - Cliente'!Y224</f>
        <v>0</v>
      </c>
      <c r="AC224" s="33">
        <f>'Dados - Cliente'!Z224</f>
        <v>0</v>
      </c>
      <c r="AD224" s="33">
        <f>'Dados - Cliente'!AA224</f>
        <v>0</v>
      </c>
      <c r="AE224" s="33">
        <f>'Dados - Cliente'!AB224</f>
        <v>0</v>
      </c>
      <c r="AF224" s="33">
        <f>'Dados - Cliente'!AC224</f>
        <v>0</v>
      </c>
      <c r="AG224" s="35">
        <f>'Dados - Cliente'!AD224</f>
        <v>0</v>
      </c>
      <c r="AH224" s="33" t="e">
        <f>INDEX('Dados - Placas'!$A:$A,MATCH('1'!AG224,'Dados - Placas'!$D:$D,0))</f>
        <v>#N/A</v>
      </c>
      <c r="AI224" s="35" t="e">
        <f>INDEX('Dados - Placas'!$E:$E,MATCH('1'!AG224,'Dados - Placas'!$D:$D,0))</f>
        <v>#N/A</v>
      </c>
      <c r="AJ224" s="34" t="e">
        <f>INDEX('Dados - Placas'!$F:$F,MATCH('1'!AG224,'Dados - Placas'!$D:$D,0))*AF224</f>
        <v>#N/A</v>
      </c>
      <c r="AK224" s="33">
        <f>'Dados - Cliente'!AE224</f>
        <v>0</v>
      </c>
      <c r="AL224" s="33">
        <f>'Dados - Cliente'!AF224</f>
        <v>0</v>
      </c>
      <c r="AM224" s="36" t="e">
        <f>INDEX('Dados - Inversores'!$A:$A,MATCH('1'!AL224,'Dados - Inversores'!$C:$C,0))</f>
        <v>#N/A</v>
      </c>
      <c r="AN224" s="33">
        <f>'Dados - Cliente'!AG224</f>
        <v>0</v>
      </c>
      <c r="AO224" s="33" t="e">
        <f>AA224*1.25/(0.22*SQRT(INDEX('Dados - Inversores'!AK:AK,MATCH('1'!AL224,'Dados - Inversores'!C:C,0))))</f>
        <v>#N/A</v>
      </c>
      <c r="AP224" s="34">
        <f>INDEX(Dados!$E$2:$E$33,COUNTIF(Dados!$E$2:$E$33,"&lt;="&amp;AN224*1.25/(INDEX('Dados - Inversores'!AL:AL,MATCH('1'!AL224,'Dados - Inversores'!C:C,0))*SQRT(INDEX('Dados - Inversores'!AK:AK,MATCH('1'!AL224,'Dados - Inversores'!C:C,0)))))+1)</f>
        <v>2</v>
      </c>
      <c r="AQ224" s="33" t="s">
        <v>59</v>
      </c>
      <c r="AR224" s="33" t="str">
        <f t="shared" si="20"/>
        <v>Micro</v>
      </c>
      <c r="AS224" s="33">
        <f>'Dados - Cliente'!AH224</f>
        <v>0</v>
      </c>
      <c r="AT224" s="33">
        <f>'Dados - Cliente'!AI224</f>
        <v>0</v>
      </c>
      <c r="AU224" s="33" t="e">
        <f>INDEX('Dados - Placas'!$N:$N,MATCH('1'!AG224,'Dados - Placas'!$D:$D,0))-1</f>
        <v>#N/A</v>
      </c>
      <c r="AV224" s="33" t="e">
        <f>INDEX('Dados - Placas'!$O:$O,MATCH('1'!AG224,'Dados - Placas'!$D:$D,0))</f>
        <v>#N/A</v>
      </c>
      <c r="AW224" s="33" t="e">
        <f>INDEX('Dados - Inversores'!AM:AM,MATCH('1'!AL224,'Dados - Inversores'!$C:$C,0))-1</f>
        <v>#N/A</v>
      </c>
      <c r="AX224" s="33" t="e">
        <f>INDEX('Dados - Inversores'!AN:AN,MATCH('1'!AL224,'Dados - Inversores'!$C:$C,0))-1</f>
        <v>#N/A</v>
      </c>
      <c r="AY224" s="33" t="e">
        <f>MATCH('1'!H224,Dados!$D$89:$D$167,0)+1</f>
        <v>#N/A</v>
      </c>
      <c r="AZ224" s="33" t="e">
        <f>MATCH('1'!N224,'Dados - Solicitação de acesso'!$N$2:$N$8,0)</f>
        <v>#N/A</v>
      </c>
      <c r="BA224" s="33" t="e">
        <f>MATCH('1'!T224,'Dados - Solicitação de acesso'!$T$2:$T$20,0)</f>
        <v>#N/A</v>
      </c>
      <c r="BB224" s="34"/>
      <c r="BC224" s="33">
        <f>MATCH(AT224,'Dados - Solicitação de acesso'!$AT$2:$AT$28,0)</f>
        <v>1</v>
      </c>
      <c r="BD224" s="33" t="b">
        <f>IF(O224="TRIFASICO",INDEX(Dados!G:G,MATCH('1'!AP224,Dados!E:E,0)),IF(O224="BIFASICO",INDEX(Dados!F:F,MATCH('1'!AP224,Dados!E:E,0),)))</f>
        <v>0</v>
      </c>
      <c r="BE224" s="33">
        <f>'Dados - Cliente'!J224</f>
        <v>0</v>
      </c>
      <c r="BF224" s="34">
        <f>INDEX(Dados!$E$2:$E$33,COUNTIF(Dados!$E$2:$E$33,"&lt;="&amp;AN224*1.25*AK224/(0.22*SQRT(INDEX('Dados - Inversores'!AK:AK,MATCH('1'!AL224,'Dados - Inversores'!C:C,0)))))+1)</f>
        <v>2</v>
      </c>
      <c r="BG224" s="34" t="b">
        <f>IF(O224="TRIFASICO",INDEX(Dados!G:G,MATCH(BF224,Dados!E:E,0)),IF(O224="BIFASICO",INDEX(Dados!F:F,MATCH(BF224,Dados!E:E,0),)))</f>
        <v>0</v>
      </c>
    </row>
    <row r="225" spans="1:59" s="33" customFormat="1" x14ac:dyDescent="0.35">
      <c r="A225" s="33">
        <f>'Dados - Cliente'!A225</f>
        <v>0</v>
      </c>
      <c r="B225" s="33">
        <f>'Dados - Cliente'!B225</f>
        <v>0</v>
      </c>
      <c r="C225" s="33">
        <f>'Dados - Cliente'!C225</f>
        <v>0</v>
      </c>
      <c r="D225" s="33">
        <f>'Dados - Cliente'!D225</f>
        <v>0</v>
      </c>
      <c r="E225" s="33">
        <f>'Dados - Cliente'!E225</f>
        <v>0</v>
      </c>
      <c r="F225" s="33">
        <f>'Dados - Cliente'!F225</f>
        <v>0</v>
      </c>
      <c r="G225" s="33">
        <f>'Dados - Cliente'!G225</f>
        <v>0</v>
      </c>
      <c r="H225" s="33">
        <f>'Dados - Cliente'!H225</f>
        <v>0</v>
      </c>
      <c r="I225" s="75" t="s">
        <v>4313</v>
      </c>
      <c r="J225" s="52" t="s">
        <v>4314</v>
      </c>
      <c r="K225" s="52" t="s">
        <v>4314</v>
      </c>
      <c r="L225" s="33">
        <f>'Dados - Cliente'!I225</f>
        <v>0</v>
      </c>
      <c r="M225" s="33">
        <f>'Dados - Cliente'!K225</f>
        <v>0</v>
      </c>
      <c r="N225" s="33">
        <f>'Dados - Cliente'!L225</f>
        <v>0</v>
      </c>
      <c r="O225" s="33">
        <f>'Dados - Cliente'!M225</f>
        <v>0</v>
      </c>
      <c r="P225" s="33">
        <f>'Dados - Cliente'!N225</f>
        <v>0</v>
      </c>
      <c r="Q225" s="33">
        <f>'Dados - Cliente'!O225</f>
        <v>0</v>
      </c>
      <c r="R225" s="33">
        <f>'Dados - Cliente'!P225</f>
        <v>0</v>
      </c>
      <c r="S225" s="33">
        <f>'Dados - Cliente'!Q225</f>
        <v>0</v>
      </c>
      <c r="T225" s="33">
        <f>'Dados - Cliente'!R225</f>
        <v>0</v>
      </c>
      <c r="U225" s="34">
        <f>'Dados - Cliente'!S225</f>
        <v>0</v>
      </c>
      <c r="V225" s="34">
        <f>'Dados - Cliente'!T225</f>
        <v>0</v>
      </c>
      <c r="W225" s="34">
        <f>'Dados - Cliente'!U225</f>
        <v>0</v>
      </c>
      <c r="X225" s="34">
        <f>'Dados - Cliente'!V225</f>
        <v>0</v>
      </c>
      <c r="Y225" s="34">
        <f>'Dados - Cliente'!W225</f>
        <v>0</v>
      </c>
      <c r="Z225" s="34">
        <f>'Dados - Cliente'!X225</f>
        <v>0</v>
      </c>
      <c r="AA225" s="33" t="e">
        <f t="shared" si="19"/>
        <v>#N/A</v>
      </c>
      <c r="AB225" s="33">
        <f>'Dados - Cliente'!Y225</f>
        <v>0</v>
      </c>
      <c r="AC225" s="33">
        <f>'Dados - Cliente'!Z225</f>
        <v>0</v>
      </c>
      <c r="AD225" s="33">
        <f>'Dados - Cliente'!AA225</f>
        <v>0</v>
      </c>
      <c r="AE225" s="33">
        <f>'Dados - Cliente'!AB225</f>
        <v>0</v>
      </c>
      <c r="AF225" s="33">
        <f>'Dados - Cliente'!AC225</f>
        <v>0</v>
      </c>
      <c r="AG225" s="35">
        <f>'Dados - Cliente'!AD225</f>
        <v>0</v>
      </c>
      <c r="AH225" s="33" t="e">
        <f>INDEX('Dados - Placas'!$A:$A,MATCH('1'!AG225,'Dados - Placas'!$D:$D,0))</f>
        <v>#N/A</v>
      </c>
      <c r="AI225" s="35" t="e">
        <f>INDEX('Dados - Placas'!$E:$E,MATCH('1'!AG225,'Dados - Placas'!$D:$D,0))</f>
        <v>#N/A</v>
      </c>
      <c r="AJ225" s="34" t="e">
        <f>INDEX('Dados - Placas'!$F:$F,MATCH('1'!AG225,'Dados - Placas'!$D:$D,0))*AF225</f>
        <v>#N/A</v>
      </c>
      <c r="AK225" s="33">
        <f>'Dados - Cliente'!AE225</f>
        <v>0</v>
      </c>
      <c r="AL225" s="33">
        <f>'Dados - Cliente'!AF225</f>
        <v>0</v>
      </c>
      <c r="AM225" s="36" t="e">
        <f>INDEX('Dados - Inversores'!$A:$A,MATCH('1'!AL225,'Dados - Inversores'!$C:$C,0))</f>
        <v>#N/A</v>
      </c>
      <c r="AN225" s="33">
        <f>'Dados - Cliente'!AG225</f>
        <v>0</v>
      </c>
      <c r="AO225" s="33" t="e">
        <f>AA225*1.25/(0.22*SQRT(INDEX('Dados - Inversores'!AK:AK,MATCH('1'!AL225,'Dados - Inversores'!C:C,0))))</f>
        <v>#N/A</v>
      </c>
      <c r="AP225" s="34">
        <f>INDEX(Dados!$E$2:$E$33,COUNTIF(Dados!$E$2:$E$33,"&lt;="&amp;AN225*1.25/(INDEX('Dados - Inversores'!AL:AL,MATCH('1'!AL225,'Dados - Inversores'!C:C,0))*SQRT(INDEX('Dados - Inversores'!AK:AK,MATCH('1'!AL225,'Dados - Inversores'!C:C,0)))))+1)</f>
        <v>2</v>
      </c>
      <c r="AQ225" s="33" t="s">
        <v>59</v>
      </c>
      <c r="AR225" s="33" t="str">
        <f t="shared" si="20"/>
        <v>Micro</v>
      </c>
      <c r="AS225" s="33">
        <f>'Dados - Cliente'!AH225</f>
        <v>0</v>
      </c>
      <c r="AT225" s="33">
        <f>'Dados - Cliente'!AI225</f>
        <v>0</v>
      </c>
      <c r="AU225" s="33" t="e">
        <f>INDEX('Dados - Placas'!$N:$N,MATCH('1'!AG225,'Dados - Placas'!$D:$D,0))-1</f>
        <v>#N/A</v>
      </c>
      <c r="AV225" s="33" t="e">
        <f>INDEX('Dados - Placas'!$O:$O,MATCH('1'!AG225,'Dados - Placas'!$D:$D,0))</f>
        <v>#N/A</v>
      </c>
      <c r="AW225" s="33" t="e">
        <f>INDEX('Dados - Inversores'!AM:AM,MATCH('1'!AL225,'Dados - Inversores'!$C:$C,0))-1</f>
        <v>#N/A</v>
      </c>
      <c r="AX225" s="33" t="e">
        <f>INDEX('Dados - Inversores'!AN:AN,MATCH('1'!AL225,'Dados - Inversores'!$C:$C,0))-1</f>
        <v>#N/A</v>
      </c>
      <c r="AY225" s="33" t="e">
        <f>MATCH('1'!H225,Dados!$D$89:$D$167,0)+1</f>
        <v>#N/A</v>
      </c>
      <c r="AZ225" s="33" t="e">
        <f>MATCH('1'!N225,'Dados - Solicitação de acesso'!$N$2:$N$8,0)</f>
        <v>#N/A</v>
      </c>
      <c r="BA225" s="33" t="e">
        <f>MATCH('1'!T225,'Dados - Solicitação de acesso'!$T$2:$T$20,0)</f>
        <v>#N/A</v>
      </c>
      <c r="BB225" s="34"/>
      <c r="BC225" s="33">
        <f>MATCH(AT225,'Dados - Solicitação de acesso'!$AT$2:$AT$28,0)</f>
        <v>1</v>
      </c>
      <c r="BD225" s="33" t="b">
        <f>IF(O225="TRIFASICO",INDEX(Dados!G:G,MATCH('1'!AP225,Dados!E:E,0)),IF(O225="BIFASICO",INDEX(Dados!F:F,MATCH('1'!AP225,Dados!E:E,0),)))</f>
        <v>0</v>
      </c>
      <c r="BE225" s="33">
        <f>'Dados - Cliente'!J225</f>
        <v>0</v>
      </c>
      <c r="BF225" s="34">
        <f>INDEX(Dados!$E$2:$E$33,COUNTIF(Dados!$E$2:$E$33,"&lt;="&amp;AN225*1.25*AK225/(0.22*SQRT(INDEX('Dados - Inversores'!AK:AK,MATCH('1'!AL225,'Dados - Inversores'!C:C,0)))))+1)</f>
        <v>2</v>
      </c>
      <c r="BG225" s="34" t="b">
        <f>IF(O225="TRIFASICO",INDEX(Dados!G:G,MATCH(BF225,Dados!E:E,0)),IF(O225="BIFASICO",INDEX(Dados!F:F,MATCH(BF225,Dados!E:E,0),)))</f>
        <v>0</v>
      </c>
    </row>
    <row r="226" spans="1:59" s="33" customFormat="1" x14ac:dyDescent="0.35">
      <c r="A226" s="33">
        <f>'Dados - Cliente'!A226</f>
        <v>0</v>
      </c>
      <c r="B226" s="33">
        <f>'Dados - Cliente'!B226</f>
        <v>0</v>
      </c>
      <c r="C226" s="33">
        <f>'Dados - Cliente'!C226</f>
        <v>0</v>
      </c>
      <c r="D226" s="33">
        <f>'Dados - Cliente'!D226</f>
        <v>0</v>
      </c>
      <c r="E226" s="33">
        <f>'Dados - Cliente'!E226</f>
        <v>0</v>
      </c>
      <c r="F226" s="33">
        <f>'Dados - Cliente'!F226</f>
        <v>0</v>
      </c>
      <c r="G226" s="33">
        <f>'Dados - Cliente'!G226</f>
        <v>0</v>
      </c>
      <c r="H226" s="33">
        <f>'Dados - Cliente'!H226</f>
        <v>0</v>
      </c>
      <c r="I226" s="75" t="s">
        <v>4313</v>
      </c>
      <c r="J226" s="52" t="s">
        <v>4314</v>
      </c>
      <c r="K226" s="52" t="s">
        <v>4314</v>
      </c>
      <c r="L226" s="33">
        <f>'Dados - Cliente'!I226</f>
        <v>0</v>
      </c>
      <c r="M226" s="33">
        <f>'Dados - Cliente'!K226</f>
        <v>0</v>
      </c>
      <c r="N226" s="33">
        <f>'Dados - Cliente'!L226</f>
        <v>0</v>
      </c>
      <c r="O226" s="33">
        <f>'Dados - Cliente'!M226</f>
        <v>0</v>
      </c>
      <c r="P226" s="33">
        <f>'Dados - Cliente'!N226</f>
        <v>0</v>
      </c>
      <c r="Q226" s="33">
        <f>'Dados - Cliente'!O226</f>
        <v>0</v>
      </c>
      <c r="R226" s="33">
        <f>'Dados - Cliente'!P226</f>
        <v>0</v>
      </c>
      <c r="S226" s="33">
        <f>'Dados - Cliente'!Q226</f>
        <v>0</v>
      </c>
      <c r="T226" s="33">
        <f>'Dados - Cliente'!R226</f>
        <v>0</v>
      </c>
      <c r="U226" s="34">
        <f>'Dados - Cliente'!S226</f>
        <v>0</v>
      </c>
      <c r="V226" s="34">
        <f>'Dados - Cliente'!T226</f>
        <v>0</v>
      </c>
      <c r="W226" s="34">
        <f>'Dados - Cliente'!U226</f>
        <v>0</v>
      </c>
      <c r="X226" s="34">
        <f>'Dados - Cliente'!V226</f>
        <v>0</v>
      </c>
      <c r="Y226" s="34">
        <f>'Dados - Cliente'!W226</f>
        <v>0</v>
      </c>
      <c r="Z226" s="34">
        <f>'Dados - Cliente'!X226</f>
        <v>0</v>
      </c>
      <c r="AA226" s="33" t="e">
        <f t="shared" si="19"/>
        <v>#N/A</v>
      </c>
      <c r="AB226" s="33">
        <f>'Dados - Cliente'!Y226</f>
        <v>0</v>
      </c>
      <c r="AC226" s="33">
        <f>'Dados - Cliente'!Z226</f>
        <v>0</v>
      </c>
      <c r="AD226" s="33">
        <f>'Dados - Cliente'!AA226</f>
        <v>0</v>
      </c>
      <c r="AE226" s="33">
        <f>'Dados - Cliente'!AB226</f>
        <v>0</v>
      </c>
      <c r="AF226" s="33">
        <f>'Dados - Cliente'!AC226</f>
        <v>0</v>
      </c>
      <c r="AG226" s="35">
        <f>'Dados - Cliente'!AD226</f>
        <v>0</v>
      </c>
      <c r="AH226" s="33" t="e">
        <f>INDEX('Dados - Placas'!$A:$A,MATCH('1'!AG226,'Dados - Placas'!$D:$D,0))</f>
        <v>#N/A</v>
      </c>
      <c r="AI226" s="35" t="e">
        <f>INDEX('Dados - Placas'!$E:$E,MATCH('1'!AG226,'Dados - Placas'!$D:$D,0))</f>
        <v>#N/A</v>
      </c>
      <c r="AJ226" s="34" t="e">
        <f>INDEX('Dados - Placas'!$F:$F,MATCH('1'!AG226,'Dados - Placas'!$D:$D,0))*AF226</f>
        <v>#N/A</v>
      </c>
      <c r="AK226" s="33">
        <f>'Dados - Cliente'!AE226</f>
        <v>0</v>
      </c>
      <c r="AL226" s="33">
        <f>'Dados - Cliente'!AF226</f>
        <v>0</v>
      </c>
      <c r="AM226" s="36" t="e">
        <f>INDEX('Dados - Inversores'!$A:$A,MATCH('1'!AL226,'Dados - Inversores'!$C:$C,0))</f>
        <v>#N/A</v>
      </c>
      <c r="AN226" s="33">
        <f>'Dados - Cliente'!AG226</f>
        <v>0</v>
      </c>
      <c r="AO226" s="33" t="e">
        <f>AA226*1.25/(0.22*SQRT(INDEX('Dados - Inversores'!AK:AK,MATCH('1'!AL226,'Dados - Inversores'!C:C,0))))</f>
        <v>#N/A</v>
      </c>
      <c r="AP226" s="34">
        <f>INDEX(Dados!$E$2:$E$33,COUNTIF(Dados!$E$2:$E$33,"&lt;="&amp;AN226*1.25/(INDEX('Dados - Inversores'!AL:AL,MATCH('1'!AL226,'Dados - Inversores'!C:C,0))*SQRT(INDEX('Dados - Inversores'!AK:AK,MATCH('1'!AL226,'Dados - Inversores'!C:C,0)))))+1)</f>
        <v>2</v>
      </c>
      <c r="AQ226" s="33" t="s">
        <v>59</v>
      </c>
      <c r="AR226" s="33" t="str">
        <f t="shared" si="20"/>
        <v>Micro</v>
      </c>
      <c r="AS226" s="33">
        <f>'Dados - Cliente'!AH226</f>
        <v>0</v>
      </c>
      <c r="AT226" s="33">
        <f>'Dados - Cliente'!AI226</f>
        <v>0</v>
      </c>
      <c r="AU226" s="33" t="e">
        <f>INDEX('Dados - Placas'!$N:$N,MATCH('1'!AG226,'Dados - Placas'!$D:$D,0))-1</f>
        <v>#N/A</v>
      </c>
      <c r="AV226" s="33" t="e">
        <f>INDEX('Dados - Placas'!$O:$O,MATCH('1'!AG226,'Dados - Placas'!$D:$D,0))</f>
        <v>#N/A</v>
      </c>
      <c r="AW226" s="33" t="e">
        <f>INDEX('Dados - Inversores'!AM:AM,MATCH('1'!AL226,'Dados - Inversores'!$C:$C,0))-1</f>
        <v>#N/A</v>
      </c>
      <c r="AX226" s="33" t="e">
        <f>INDEX('Dados - Inversores'!AN:AN,MATCH('1'!AL226,'Dados - Inversores'!$C:$C,0))-1</f>
        <v>#N/A</v>
      </c>
      <c r="AY226" s="33" t="e">
        <f>MATCH('1'!H226,Dados!$D$89:$D$167,0)+1</f>
        <v>#N/A</v>
      </c>
      <c r="AZ226" s="33" t="e">
        <f>MATCH('1'!N226,'Dados - Solicitação de acesso'!$N$2:$N$8,0)</f>
        <v>#N/A</v>
      </c>
      <c r="BA226" s="33" t="e">
        <f>MATCH('1'!T226,'Dados - Solicitação de acesso'!$T$2:$T$20,0)</f>
        <v>#N/A</v>
      </c>
      <c r="BB226" s="34"/>
      <c r="BC226" s="33">
        <f>MATCH(AT226,'Dados - Solicitação de acesso'!$AT$2:$AT$28,0)</f>
        <v>1</v>
      </c>
      <c r="BD226" s="33" t="b">
        <f>IF(O226="TRIFASICO",INDEX(Dados!G:G,MATCH('1'!AP226,Dados!E:E,0)),IF(O226="BIFASICO",INDEX(Dados!F:F,MATCH('1'!AP226,Dados!E:E,0),)))</f>
        <v>0</v>
      </c>
      <c r="BE226" s="33">
        <f>'Dados - Cliente'!J226</f>
        <v>0</v>
      </c>
      <c r="BF226" s="34">
        <f>INDEX(Dados!$E$2:$E$33,COUNTIF(Dados!$E$2:$E$33,"&lt;="&amp;AN226*1.25*AK226/(0.22*SQRT(INDEX('Dados - Inversores'!AK:AK,MATCH('1'!AL226,'Dados - Inversores'!C:C,0)))))+1)</f>
        <v>2</v>
      </c>
      <c r="BG226" s="34" t="b">
        <f>IF(O226="TRIFASICO",INDEX(Dados!G:G,MATCH(BF226,Dados!E:E,0)),IF(O226="BIFASICO",INDEX(Dados!F:F,MATCH(BF226,Dados!E:E,0),)))</f>
        <v>0</v>
      </c>
    </row>
    <row r="227" spans="1:59" s="33" customFormat="1" x14ac:dyDescent="0.35">
      <c r="A227" s="33">
        <f>'Dados - Cliente'!A227</f>
        <v>0</v>
      </c>
      <c r="B227" s="33">
        <f>'Dados - Cliente'!B227</f>
        <v>0</v>
      </c>
      <c r="C227" s="33">
        <f>'Dados - Cliente'!C227</f>
        <v>0</v>
      </c>
      <c r="D227" s="33">
        <f>'Dados - Cliente'!D227</f>
        <v>0</v>
      </c>
      <c r="E227" s="33">
        <f>'Dados - Cliente'!E227</f>
        <v>0</v>
      </c>
      <c r="F227" s="33">
        <f>'Dados - Cliente'!F227</f>
        <v>0</v>
      </c>
      <c r="G227" s="33">
        <f>'Dados - Cliente'!G227</f>
        <v>0</v>
      </c>
      <c r="H227" s="33">
        <f>'Dados - Cliente'!H227</f>
        <v>0</v>
      </c>
      <c r="I227" s="75" t="s">
        <v>4313</v>
      </c>
      <c r="J227" s="52" t="s">
        <v>4314</v>
      </c>
      <c r="K227" s="52" t="s">
        <v>4314</v>
      </c>
      <c r="L227" s="33">
        <f>'Dados - Cliente'!I227</f>
        <v>0</v>
      </c>
      <c r="M227" s="33">
        <f>'Dados - Cliente'!K227</f>
        <v>0</v>
      </c>
      <c r="N227" s="33">
        <f>'Dados - Cliente'!L227</f>
        <v>0</v>
      </c>
      <c r="O227" s="33">
        <f>'Dados - Cliente'!M227</f>
        <v>0</v>
      </c>
      <c r="P227" s="33">
        <f>'Dados - Cliente'!N227</f>
        <v>0</v>
      </c>
      <c r="Q227" s="33">
        <f>'Dados - Cliente'!O227</f>
        <v>0</v>
      </c>
      <c r="R227" s="33">
        <f>'Dados - Cliente'!P227</f>
        <v>0</v>
      </c>
      <c r="S227" s="33">
        <f>'Dados - Cliente'!Q227</f>
        <v>0</v>
      </c>
      <c r="T227" s="33">
        <f>'Dados - Cliente'!R227</f>
        <v>0</v>
      </c>
      <c r="U227" s="34">
        <f>'Dados - Cliente'!S227</f>
        <v>0</v>
      </c>
      <c r="V227" s="34">
        <f>'Dados - Cliente'!T227</f>
        <v>0</v>
      </c>
      <c r="W227" s="34">
        <f>'Dados - Cliente'!U227</f>
        <v>0</v>
      </c>
      <c r="X227" s="34">
        <f>'Dados - Cliente'!V227</f>
        <v>0</v>
      </c>
      <c r="Y227" s="34">
        <f>'Dados - Cliente'!W227</f>
        <v>0</v>
      </c>
      <c r="Z227" s="34">
        <f>'Dados - Cliente'!X227</f>
        <v>0</v>
      </c>
      <c r="AA227" s="33" t="e">
        <f t="shared" si="19"/>
        <v>#N/A</v>
      </c>
      <c r="AB227" s="33">
        <f>'Dados - Cliente'!Y227</f>
        <v>0</v>
      </c>
      <c r="AC227" s="33">
        <f>'Dados - Cliente'!Z227</f>
        <v>0</v>
      </c>
      <c r="AD227" s="33">
        <f>'Dados - Cliente'!AA227</f>
        <v>0</v>
      </c>
      <c r="AE227" s="33">
        <f>'Dados - Cliente'!AB227</f>
        <v>0</v>
      </c>
      <c r="AF227" s="33">
        <f>'Dados - Cliente'!AC227</f>
        <v>0</v>
      </c>
      <c r="AG227" s="35">
        <f>'Dados - Cliente'!AD227</f>
        <v>0</v>
      </c>
      <c r="AH227" s="33" t="e">
        <f>INDEX('Dados - Placas'!$A:$A,MATCH('1'!AG227,'Dados - Placas'!$D:$D,0))</f>
        <v>#N/A</v>
      </c>
      <c r="AI227" s="35" t="e">
        <f>INDEX('Dados - Placas'!$E:$E,MATCH('1'!AG227,'Dados - Placas'!$D:$D,0))</f>
        <v>#N/A</v>
      </c>
      <c r="AJ227" s="34" t="e">
        <f>INDEX('Dados - Placas'!$F:$F,MATCH('1'!AG227,'Dados - Placas'!$D:$D,0))*AF227</f>
        <v>#N/A</v>
      </c>
      <c r="AK227" s="33">
        <f>'Dados - Cliente'!AE227</f>
        <v>0</v>
      </c>
      <c r="AL227" s="33">
        <f>'Dados - Cliente'!AF227</f>
        <v>0</v>
      </c>
      <c r="AM227" s="36" t="e">
        <f>INDEX('Dados - Inversores'!$A:$A,MATCH('1'!AL227,'Dados - Inversores'!$C:$C,0))</f>
        <v>#N/A</v>
      </c>
      <c r="AN227" s="33">
        <f>'Dados - Cliente'!AG227</f>
        <v>0</v>
      </c>
      <c r="AO227" s="33" t="e">
        <f>AA227*1.25/(0.22*SQRT(INDEX('Dados - Inversores'!AK:AK,MATCH('1'!AL227,'Dados - Inversores'!C:C,0))))</f>
        <v>#N/A</v>
      </c>
      <c r="AP227" s="34">
        <f>INDEX(Dados!$E$2:$E$33,COUNTIF(Dados!$E$2:$E$33,"&lt;="&amp;AN227*1.25/(INDEX('Dados - Inversores'!AL:AL,MATCH('1'!AL227,'Dados - Inversores'!C:C,0))*SQRT(INDEX('Dados - Inversores'!AK:AK,MATCH('1'!AL227,'Dados - Inversores'!C:C,0)))))+1)</f>
        <v>2</v>
      </c>
      <c r="AQ227" s="33" t="s">
        <v>59</v>
      </c>
      <c r="AR227" s="33" t="str">
        <f t="shared" si="20"/>
        <v>Micro</v>
      </c>
      <c r="AS227" s="33">
        <f>'Dados - Cliente'!AH227</f>
        <v>0</v>
      </c>
      <c r="AT227" s="33">
        <f>'Dados - Cliente'!AI227</f>
        <v>0</v>
      </c>
      <c r="AU227" s="33" t="e">
        <f>INDEX('Dados - Placas'!$N:$N,MATCH('1'!AG227,'Dados - Placas'!$D:$D,0))-1</f>
        <v>#N/A</v>
      </c>
      <c r="AV227" s="33" t="e">
        <f>INDEX('Dados - Placas'!$O:$O,MATCH('1'!AG227,'Dados - Placas'!$D:$D,0))</f>
        <v>#N/A</v>
      </c>
      <c r="AW227" s="33" t="e">
        <f>INDEX('Dados - Inversores'!AM:AM,MATCH('1'!AL227,'Dados - Inversores'!$C:$C,0))-1</f>
        <v>#N/A</v>
      </c>
      <c r="AX227" s="33" t="e">
        <f>INDEX('Dados - Inversores'!AN:AN,MATCH('1'!AL227,'Dados - Inversores'!$C:$C,0))-1</f>
        <v>#N/A</v>
      </c>
      <c r="AY227" s="33" t="e">
        <f>MATCH('1'!H227,Dados!$D$89:$D$167,0)+1</f>
        <v>#N/A</v>
      </c>
      <c r="AZ227" s="33" t="e">
        <f>MATCH('1'!N227,'Dados - Solicitação de acesso'!$N$2:$N$8,0)</f>
        <v>#N/A</v>
      </c>
      <c r="BA227" s="33" t="e">
        <f>MATCH('1'!T227,'Dados - Solicitação de acesso'!$T$2:$T$20,0)</f>
        <v>#N/A</v>
      </c>
      <c r="BB227" s="34"/>
      <c r="BC227" s="33">
        <f>MATCH(AT227,'Dados - Solicitação de acesso'!$AT$2:$AT$28,0)</f>
        <v>1</v>
      </c>
      <c r="BD227" s="33" t="b">
        <f>IF(O227="TRIFASICO",INDEX(Dados!G:G,MATCH('1'!AP227,Dados!E:E,0)),IF(O227="BIFASICO",INDEX(Dados!F:F,MATCH('1'!AP227,Dados!E:E,0),)))</f>
        <v>0</v>
      </c>
      <c r="BE227" s="33">
        <f>'Dados - Cliente'!J227</f>
        <v>0</v>
      </c>
      <c r="BF227" s="34">
        <f>INDEX(Dados!$E$2:$E$33,COUNTIF(Dados!$E$2:$E$33,"&lt;="&amp;AN227*1.25*AK227/(0.22*SQRT(INDEX('Dados - Inversores'!AK:AK,MATCH('1'!AL227,'Dados - Inversores'!C:C,0)))))+1)</f>
        <v>2</v>
      </c>
      <c r="BG227" s="34" t="b">
        <f>IF(O227="TRIFASICO",INDEX(Dados!G:G,MATCH(BF227,Dados!E:E,0)),IF(O227="BIFASICO",INDEX(Dados!F:F,MATCH(BF227,Dados!E:E,0),)))</f>
        <v>0</v>
      </c>
    </row>
    <row r="228" spans="1:59" s="33" customFormat="1" x14ac:dyDescent="0.35">
      <c r="A228" s="33">
        <f>'Dados - Cliente'!A228</f>
        <v>0</v>
      </c>
      <c r="B228" s="33">
        <f>'Dados - Cliente'!B228</f>
        <v>0</v>
      </c>
      <c r="C228" s="33">
        <f>'Dados - Cliente'!C228</f>
        <v>0</v>
      </c>
      <c r="D228" s="33">
        <f>'Dados - Cliente'!D228</f>
        <v>0</v>
      </c>
      <c r="E228" s="33">
        <f>'Dados - Cliente'!E228</f>
        <v>0</v>
      </c>
      <c r="F228" s="33">
        <f>'Dados - Cliente'!F228</f>
        <v>0</v>
      </c>
      <c r="G228" s="33">
        <f>'Dados - Cliente'!G228</f>
        <v>0</v>
      </c>
      <c r="H228" s="33">
        <f>'Dados - Cliente'!H228</f>
        <v>0</v>
      </c>
      <c r="I228" s="75" t="s">
        <v>4313</v>
      </c>
      <c r="J228" s="52" t="s">
        <v>4314</v>
      </c>
      <c r="K228" s="52" t="s">
        <v>4314</v>
      </c>
      <c r="L228" s="33">
        <f>'Dados - Cliente'!I228</f>
        <v>0</v>
      </c>
      <c r="M228" s="33">
        <f>'Dados - Cliente'!K228</f>
        <v>0</v>
      </c>
      <c r="N228" s="33">
        <f>'Dados - Cliente'!L228</f>
        <v>0</v>
      </c>
      <c r="O228" s="33">
        <f>'Dados - Cliente'!M228</f>
        <v>0</v>
      </c>
      <c r="P228" s="33">
        <f>'Dados - Cliente'!N228</f>
        <v>0</v>
      </c>
      <c r="Q228" s="33">
        <f>'Dados - Cliente'!O228</f>
        <v>0</v>
      </c>
      <c r="R228" s="33">
        <f>'Dados - Cliente'!P228</f>
        <v>0</v>
      </c>
      <c r="S228" s="33">
        <f>'Dados - Cliente'!Q228</f>
        <v>0</v>
      </c>
      <c r="T228" s="33">
        <f>'Dados - Cliente'!R228</f>
        <v>0</v>
      </c>
      <c r="U228" s="34">
        <f>'Dados - Cliente'!S228</f>
        <v>0</v>
      </c>
      <c r="V228" s="34">
        <f>'Dados - Cliente'!T228</f>
        <v>0</v>
      </c>
      <c r="W228" s="34">
        <f>'Dados - Cliente'!U228</f>
        <v>0</v>
      </c>
      <c r="X228" s="34">
        <f>'Dados - Cliente'!V228</f>
        <v>0</v>
      </c>
      <c r="Y228" s="34">
        <f>'Dados - Cliente'!W228</f>
        <v>0</v>
      </c>
      <c r="Z228" s="34">
        <f>'Dados - Cliente'!X228</f>
        <v>0</v>
      </c>
      <c r="AA228" s="33" t="e">
        <f t="shared" ref="AA228:AA242" si="21">AI228*AF228</f>
        <v>#N/A</v>
      </c>
      <c r="AB228" s="33">
        <f>'Dados - Cliente'!Y228</f>
        <v>0</v>
      </c>
      <c r="AC228" s="33">
        <f>'Dados - Cliente'!Z228</f>
        <v>0</v>
      </c>
      <c r="AD228" s="33">
        <f>'Dados - Cliente'!AA228</f>
        <v>0</v>
      </c>
      <c r="AE228" s="33">
        <f>'Dados - Cliente'!AB228</f>
        <v>0</v>
      </c>
      <c r="AF228" s="33">
        <f>'Dados - Cliente'!AC228</f>
        <v>0</v>
      </c>
      <c r="AG228" s="35">
        <f>'Dados - Cliente'!AD228</f>
        <v>0</v>
      </c>
      <c r="AH228" s="33" t="e">
        <f>INDEX('Dados - Placas'!$A:$A,MATCH('1'!AG228,'Dados - Placas'!$D:$D,0))</f>
        <v>#N/A</v>
      </c>
      <c r="AI228" s="35" t="e">
        <f>INDEX('Dados - Placas'!$E:$E,MATCH('1'!AG228,'Dados - Placas'!$D:$D,0))</f>
        <v>#N/A</v>
      </c>
      <c r="AJ228" s="34" t="e">
        <f>INDEX('Dados - Placas'!$F:$F,MATCH('1'!AG228,'Dados - Placas'!$D:$D,0))*AF228</f>
        <v>#N/A</v>
      </c>
      <c r="AK228" s="33">
        <f>'Dados - Cliente'!AE228</f>
        <v>0</v>
      </c>
      <c r="AL228" s="33">
        <f>'Dados - Cliente'!AF228</f>
        <v>0</v>
      </c>
      <c r="AM228" s="36" t="e">
        <f>INDEX('Dados - Inversores'!$A:$A,MATCH('1'!AL228,'Dados - Inversores'!$C:$C,0))</f>
        <v>#N/A</v>
      </c>
      <c r="AN228" s="33">
        <f>'Dados - Cliente'!AG228</f>
        <v>0</v>
      </c>
      <c r="AO228" s="33" t="e">
        <f>AA228*1.25/(0.22*SQRT(INDEX('Dados - Inversores'!AK:AK,MATCH('1'!AL228,'Dados - Inversores'!C:C,0))))</f>
        <v>#N/A</v>
      </c>
      <c r="AP228" s="34">
        <f>INDEX(Dados!$E$2:$E$33,COUNTIF(Dados!$E$2:$E$33,"&lt;="&amp;AN228*1.25/(INDEX('Dados - Inversores'!AL:AL,MATCH('1'!AL228,'Dados - Inversores'!C:C,0))*SQRT(INDEX('Dados - Inversores'!AK:AK,MATCH('1'!AL228,'Dados - Inversores'!C:C,0)))))+1)</f>
        <v>2</v>
      </c>
      <c r="AQ228" s="33" t="s">
        <v>59</v>
      </c>
      <c r="AR228" s="33" t="str">
        <f t="shared" ref="AR228:AR242" si="22">IF((AN228*AK228)&gt;10,"Mini","Micro")</f>
        <v>Micro</v>
      </c>
      <c r="AS228" s="33">
        <f>'Dados - Cliente'!AH228</f>
        <v>0</v>
      </c>
      <c r="AT228" s="33">
        <f>'Dados - Cliente'!AI228</f>
        <v>0</v>
      </c>
      <c r="AU228" s="33" t="e">
        <f>INDEX('Dados - Placas'!$N:$N,MATCH('1'!AG228,'Dados - Placas'!$D:$D,0))-1</f>
        <v>#N/A</v>
      </c>
      <c r="AV228" s="33" t="e">
        <f>INDEX('Dados - Placas'!$O:$O,MATCH('1'!AG228,'Dados - Placas'!$D:$D,0))</f>
        <v>#N/A</v>
      </c>
      <c r="AW228" s="33" t="e">
        <f>INDEX('Dados - Inversores'!AM:AM,MATCH('1'!AL228,'Dados - Inversores'!$C:$C,0))-1</f>
        <v>#N/A</v>
      </c>
      <c r="AX228" s="33" t="e">
        <f>INDEX('Dados - Inversores'!AN:AN,MATCH('1'!AL228,'Dados - Inversores'!$C:$C,0))-1</f>
        <v>#N/A</v>
      </c>
      <c r="AY228" s="33" t="e">
        <f>MATCH('1'!H228,Dados!$D$89:$D$167,0)+1</f>
        <v>#N/A</v>
      </c>
      <c r="AZ228" s="33" t="e">
        <f>MATCH('1'!N228,'Dados - Solicitação de acesso'!$N$2:$N$8,0)</f>
        <v>#N/A</v>
      </c>
      <c r="BA228" s="33" t="e">
        <f>MATCH('1'!T228,'Dados - Solicitação de acesso'!$T$2:$T$20,0)</f>
        <v>#N/A</v>
      </c>
      <c r="BB228" s="34"/>
      <c r="BC228" s="33">
        <f>MATCH(AT228,'Dados - Solicitação de acesso'!$AT$2:$AT$28,0)</f>
        <v>1</v>
      </c>
      <c r="BD228" s="33" t="b">
        <f>IF(O228="TRIFASICO",INDEX(Dados!G:G,MATCH('1'!AP228,Dados!E:E,0)),IF(O228="BIFASICO",INDEX(Dados!F:F,MATCH('1'!AP228,Dados!E:E,0),)))</f>
        <v>0</v>
      </c>
      <c r="BE228" s="33">
        <f>'Dados - Cliente'!J228</f>
        <v>0</v>
      </c>
      <c r="BF228" s="34">
        <f>INDEX(Dados!$E$2:$E$33,COUNTIF(Dados!$E$2:$E$33,"&lt;="&amp;AN228*1.25*AK228/(0.22*SQRT(INDEX('Dados - Inversores'!AK:AK,MATCH('1'!AL228,'Dados - Inversores'!C:C,0)))))+1)</f>
        <v>2</v>
      </c>
      <c r="BG228" s="34" t="b">
        <f>IF(O228="TRIFASICO",INDEX(Dados!G:G,MATCH(BF228,Dados!E:E,0)),IF(O228="BIFASICO",INDEX(Dados!F:F,MATCH(BF228,Dados!E:E,0),)))</f>
        <v>0</v>
      </c>
    </row>
    <row r="229" spans="1:59" s="33" customFormat="1" x14ac:dyDescent="0.35">
      <c r="A229" s="33">
        <f>'Dados - Cliente'!A229</f>
        <v>0</v>
      </c>
      <c r="B229" s="33">
        <f>'Dados - Cliente'!B229</f>
        <v>0</v>
      </c>
      <c r="C229" s="33">
        <f>'Dados - Cliente'!C229</f>
        <v>0</v>
      </c>
      <c r="D229" s="33">
        <f>'Dados - Cliente'!D229</f>
        <v>0</v>
      </c>
      <c r="E229" s="33">
        <f>'Dados - Cliente'!E229</f>
        <v>0</v>
      </c>
      <c r="F229" s="33">
        <f>'Dados - Cliente'!F229</f>
        <v>0</v>
      </c>
      <c r="G229" s="33">
        <f>'Dados - Cliente'!G229</f>
        <v>0</v>
      </c>
      <c r="H229" s="33">
        <f>'Dados - Cliente'!H229</f>
        <v>0</v>
      </c>
      <c r="I229" s="75" t="s">
        <v>4313</v>
      </c>
      <c r="J229" s="52" t="s">
        <v>4314</v>
      </c>
      <c r="K229" s="52" t="s">
        <v>4314</v>
      </c>
      <c r="L229" s="33">
        <f>'Dados - Cliente'!I229</f>
        <v>0</v>
      </c>
      <c r="M229" s="33">
        <f>'Dados - Cliente'!K229</f>
        <v>0</v>
      </c>
      <c r="N229" s="33">
        <f>'Dados - Cliente'!L229</f>
        <v>0</v>
      </c>
      <c r="O229" s="33">
        <f>'Dados - Cliente'!M229</f>
        <v>0</v>
      </c>
      <c r="P229" s="33">
        <f>'Dados - Cliente'!N229</f>
        <v>0</v>
      </c>
      <c r="Q229" s="33">
        <f>'Dados - Cliente'!O229</f>
        <v>0</v>
      </c>
      <c r="R229" s="33">
        <f>'Dados - Cliente'!P229</f>
        <v>0</v>
      </c>
      <c r="S229" s="33">
        <f>'Dados - Cliente'!Q229</f>
        <v>0</v>
      </c>
      <c r="T229" s="33">
        <f>'Dados - Cliente'!R229</f>
        <v>0</v>
      </c>
      <c r="U229" s="34">
        <f>'Dados - Cliente'!S229</f>
        <v>0</v>
      </c>
      <c r="V229" s="34">
        <f>'Dados - Cliente'!T229</f>
        <v>0</v>
      </c>
      <c r="W229" s="34">
        <f>'Dados - Cliente'!U229</f>
        <v>0</v>
      </c>
      <c r="X229" s="34">
        <f>'Dados - Cliente'!V229</f>
        <v>0</v>
      </c>
      <c r="Y229" s="34">
        <f>'Dados - Cliente'!W229</f>
        <v>0</v>
      </c>
      <c r="Z229" s="34">
        <f>'Dados - Cliente'!X229</f>
        <v>0</v>
      </c>
      <c r="AA229" s="33" t="e">
        <f t="shared" si="21"/>
        <v>#N/A</v>
      </c>
      <c r="AB229" s="33">
        <f>'Dados - Cliente'!Y229</f>
        <v>0</v>
      </c>
      <c r="AC229" s="33">
        <f>'Dados - Cliente'!Z229</f>
        <v>0</v>
      </c>
      <c r="AD229" s="33">
        <f>'Dados - Cliente'!AA229</f>
        <v>0</v>
      </c>
      <c r="AE229" s="33">
        <f>'Dados - Cliente'!AB229</f>
        <v>0</v>
      </c>
      <c r="AF229" s="33">
        <f>'Dados - Cliente'!AC229</f>
        <v>0</v>
      </c>
      <c r="AG229" s="35">
        <f>'Dados - Cliente'!AD229</f>
        <v>0</v>
      </c>
      <c r="AH229" s="33" t="e">
        <f>INDEX('Dados - Placas'!$A:$A,MATCH('1'!AG229,'Dados - Placas'!$D:$D,0))</f>
        <v>#N/A</v>
      </c>
      <c r="AI229" s="35" t="e">
        <f>INDEX('Dados - Placas'!$E:$E,MATCH('1'!AG229,'Dados - Placas'!$D:$D,0))</f>
        <v>#N/A</v>
      </c>
      <c r="AJ229" s="34" t="e">
        <f>INDEX('Dados - Placas'!$F:$F,MATCH('1'!AG229,'Dados - Placas'!$D:$D,0))*AF229</f>
        <v>#N/A</v>
      </c>
      <c r="AK229" s="33">
        <f>'Dados - Cliente'!AE229</f>
        <v>0</v>
      </c>
      <c r="AL229" s="33">
        <f>'Dados - Cliente'!AF229</f>
        <v>0</v>
      </c>
      <c r="AM229" s="36" t="e">
        <f>INDEX('Dados - Inversores'!$A:$A,MATCH('1'!AL229,'Dados - Inversores'!$C:$C,0))</f>
        <v>#N/A</v>
      </c>
      <c r="AN229" s="33">
        <f>'Dados - Cliente'!AG229</f>
        <v>0</v>
      </c>
      <c r="AO229" s="33" t="e">
        <f>AA229*1.25/(0.22*SQRT(INDEX('Dados - Inversores'!AK:AK,MATCH('1'!AL229,'Dados - Inversores'!C:C,0))))</f>
        <v>#N/A</v>
      </c>
      <c r="AP229" s="34">
        <f>INDEX(Dados!$E$2:$E$33,COUNTIF(Dados!$E$2:$E$33,"&lt;="&amp;AN229*1.25/(INDEX('Dados - Inversores'!AL:AL,MATCH('1'!AL229,'Dados - Inversores'!C:C,0))*SQRT(INDEX('Dados - Inversores'!AK:AK,MATCH('1'!AL229,'Dados - Inversores'!C:C,0)))))+1)</f>
        <v>2</v>
      </c>
      <c r="AQ229" s="33" t="s">
        <v>59</v>
      </c>
      <c r="AR229" s="33" t="str">
        <f t="shared" si="22"/>
        <v>Micro</v>
      </c>
      <c r="AS229" s="33">
        <f>'Dados - Cliente'!AH229</f>
        <v>0</v>
      </c>
      <c r="AT229" s="33">
        <f>'Dados - Cliente'!AI229</f>
        <v>0</v>
      </c>
      <c r="AU229" s="33" t="e">
        <f>INDEX('Dados - Placas'!$N:$N,MATCH('1'!AG229,'Dados - Placas'!$D:$D,0))-1</f>
        <v>#N/A</v>
      </c>
      <c r="AV229" s="33" t="e">
        <f>INDEX('Dados - Placas'!$O:$O,MATCH('1'!AG229,'Dados - Placas'!$D:$D,0))</f>
        <v>#N/A</v>
      </c>
      <c r="AW229" s="33" t="e">
        <f>INDEX('Dados - Inversores'!AM:AM,MATCH('1'!AL229,'Dados - Inversores'!$C:$C,0))-1</f>
        <v>#N/A</v>
      </c>
      <c r="AX229" s="33" t="e">
        <f>INDEX('Dados - Inversores'!AN:AN,MATCH('1'!AL229,'Dados - Inversores'!$C:$C,0))-1</f>
        <v>#N/A</v>
      </c>
      <c r="AY229" s="33" t="e">
        <f>MATCH('1'!H229,Dados!$D$89:$D$167,0)+1</f>
        <v>#N/A</v>
      </c>
      <c r="AZ229" s="33" t="e">
        <f>MATCH('1'!N229,'Dados - Solicitação de acesso'!$N$2:$N$8,0)</f>
        <v>#N/A</v>
      </c>
      <c r="BA229" s="33" t="e">
        <f>MATCH('1'!T229,'Dados - Solicitação de acesso'!$T$2:$T$20,0)</f>
        <v>#N/A</v>
      </c>
      <c r="BB229" s="34"/>
      <c r="BC229" s="33">
        <f>MATCH(AT229,'Dados - Solicitação de acesso'!$AT$2:$AT$28,0)</f>
        <v>1</v>
      </c>
      <c r="BD229" s="33" t="b">
        <f>IF(O229="TRIFASICO",INDEX(Dados!G:G,MATCH('1'!AP229,Dados!E:E,0)),IF(O229="BIFASICO",INDEX(Dados!F:F,MATCH('1'!AP229,Dados!E:E,0),)))</f>
        <v>0</v>
      </c>
      <c r="BE229" s="33">
        <f>'Dados - Cliente'!J229</f>
        <v>0</v>
      </c>
      <c r="BF229" s="34">
        <f>INDEX(Dados!$E$2:$E$33,COUNTIF(Dados!$E$2:$E$33,"&lt;="&amp;AN229*1.25*AK229/(0.22*SQRT(INDEX('Dados - Inversores'!AK:AK,MATCH('1'!AL229,'Dados - Inversores'!C:C,0)))))+1)</f>
        <v>2</v>
      </c>
      <c r="BG229" s="34" t="b">
        <f>IF(O229="TRIFASICO",INDEX(Dados!G:G,MATCH(BF229,Dados!E:E,0)),IF(O229="BIFASICO",INDEX(Dados!F:F,MATCH(BF229,Dados!E:E,0),)))</f>
        <v>0</v>
      </c>
    </row>
    <row r="230" spans="1:59" s="33" customFormat="1" x14ac:dyDescent="0.35">
      <c r="A230" s="33">
        <f>'Dados - Cliente'!A230</f>
        <v>0</v>
      </c>
      <c r="B230" s="33">
        <f>'Dados - Cliente'!B230</f>
        <v>0</v>
      </c>
      <c r="C230" s="33">
        <f>'Dados - Cliente'!C230</f>
        <v>0</v>
      </c>
      <c r="D230" s="33">
        <f>'Dados - Cliente'!D230</f>
        <v>0</v>
      </c>
      <c r="E230" s="33">
        <f>'Dados - Cliente'!E230</f>
        <v>0</v>
      </c>
      <c r="F230" s="33">
        <f>'Dados - Cliente'!F230</f>
        <v>0</v>
      </c>
      <c r="G230" s="33">
        <f>'Dados - Cliente'!G230</f>
        <v>0</v>
      </c>
      <c r="H230" s="33">
        <f>'Dados - Cliente'!H230</f>
        <v>0</v>
      </c>
      <c r="I230" s="75" t="s">
        <v>4313</v>
      </c>
      <c r="J230" s="52" t="s">
        <v>4314</v>
      </c>
      <c r="K230" s="52" t="s">
        <v>4314</v>
      </c>
      <c r="L230" s="33">
        <f>'Dados - Cliente'!I230</f>
        <v>0</v>
      </c>
      <c r="M230" s="33">
        <f>'Dados - Cliente'!K230</f>
        <v>0</v>
      </c>
      <c r="N230" s="33">
        <f>'Dados - Cliente'!L230</f>
        <v>0</v>
      </c>
      <c r="O230" s="33">
        <f>'Dados - Cliente'!M230</f>
        <v>0</v>
      </c>
      <c r="P230" s="33">
        <f>'Dados - Cliente'!N230</f>
        <v>0</v>
      </c>
      <c r="Q230" s="33">
        <f>'Dados - Cliente'!O230</f>
        <v>0</v>
      </c>
      <c r="R230" s="33">
        <f>'Dados - Cliente'!P230</f>
        <v>0</v>
      </c>
      <c r="S230" s="33">
        <f>'Dados - Cliente'!Q230</f>
        <v>0</v>
      </c>
      <c r="T230" s="33">
        <f>'Dados - Cliente'!R230</f>
        <v>0</v>
      </c>
      <c r="U230" s="34">
        <f>'Dados - Cliente'!S230</f>
        <v>0</v>
      </c>
      <c r="V230" s="34">
        <f>'Dados - Cliente'!T230</f>
        <v>0</v>
      </c>
      <c r="W230" s="34">
        <f>'Dados - Cliente'!U230</f>
        <v>0</v>
      </c>
      <c r="X230" s="34">
        <f>'Dados - Cliente'!V230</f>
        <v>0</v>
      </c>
      <c r="Y230" s="34">
        <f>'Dados - Cliente'!W230</f>
        <v>0</v>
      </c>
      <c r="Z230" s="34">
        <f>'Dados - Cliente'!X230</f>
        <v>0</v>
      </c>
      <c r="AA230" s="33" t="e">
        <f t="shared" si="21"/>
        <v>#N/A</v>
      </c>
      <c r="AB230" s="33">
        <f>'Dados - Cliente'!Y230</f>
        <v>0</v>
      </c>
      <c r="AC230" s="33">
        <f>'Dados - Cliente'!Z230</f>
        <v>0</v>
      </c>
      <c r="AD230" s="33">
        <f>'Dados - Cliente'!AA230</f>
        <v>0</v>
      </c>
      <c r="AE230" s="33">
        <f>'Dados - Cliente'!AB230</f>
        <v>0</v>
      </c>
      <c r="AF230" s="33">
        <f>'Dados - Cliente'!AC230</f>
        <v>0</v>
      </c>
      <c r="AG230" s="35">
        <f>'Dados - Cliente'!AD230</f>
        <v>0</v>
      </c>
      <c r="AH230" s="33" t="e">
        <f>INDEX('Dados - Placas'!$A:$A,MATCH('1'!AG230,'Dados - Placas'!$D:$D,0))</f>
        <v>#N/A</v>
      </c>
      <c r="AI230" s="35" t="e">
        <f>INDEX('Dados - Placas'!$E:$E,MATCH('1'!AG230,'Dados - Placas'!$D:$D,0))</f>
        <v>#N/A</v>
      </c>
      <c r="AJ230" s="34" t="e">
        <f>INDEX('Dados - Placas'!$F:$F,MATCH('1'!AG230,'Dados - Placas'!$D:$D,0))*AF230</f>
        <v>#N/A</v>
      </c>
      <c r="AK230" s="33">
        <f>'Dados - Cliente'!AE230</f>
        <v>0</v>
      </c>
      <c r="AL230" s="33">
        <f>'Dados - Cliente'!AF230</f>
        <v>0</v>
      </c>
      <c r="AM230" s="36" t="e">
        <f>INDEX('Dados - Inversores'!$A:$A,MATCH('1'!AL230,'Dados - Inversores'!$C:$C,0))</f>
        <v>#N/A</v>
      </c>
      <c r="AN230" s="33">
        <f>'Dados - Cliente'!AG230</f>
        <v>0</v>
      </c>
      <c r="AO230" s="33" t="e">
        <f>AA230*1.25/(0.22*SQRT(INDEX('Dados - Inversores'!AK:AK,MATCH('1'!AL230,'Dados - Inversores'!C:C,0))))</f>
        <v>#N/A</v>
      </c>
      <c r="AP230" s="34">
        <f>INDEX(Dados!$E$2:$E$33,COUNTIF(Dados!$E$2:$E$33,"&lt;="&amp;AN230*1.25/(INDEX('Dados - Inversores'!AL:AL,MATCH('1'!AL230,'Dados - Inversores'!C:C,0))*SQRT(INDEX('Dados - Inversores'!AK:AK,MATCH('1'!AL230,'Dados - Inversores'!C:C,0)))))+1)</f>
        <v>2</v>
      </c>
      <c r="AQ230" s="33" t="s">
        <v>59</v>
      </c>
      <c r="AR230" s="33" t="str">
        <f t="shared" si="22"/>
        <v>Micro</v>
      </c>
      <c r="AS230" s="33">
        <f>'Dados - Cliente'!AH230</f>
        <v>0</v>
      </c>
      <c r="AT230" s="33">
        <f>'Dados - Cliente'!AI230</f>
        <v>0</v>
      </c>
      <c r="AU230" s="33" t="e">
        <f>INDEX('Dados - Placas'!$N:$N,MATCH('1'!AG230,'Dados - Placas'!$D:$D,0))-1</f>
        <v>#N/A</v>
      </c>
      <c r="AV230" s="33" t="e">
        <f>INDEX('Dados - Placas'!$O:$O,MATCH('1'!AG230,'Dados - Placas'!$D:$D,0))</f>
        <v>#N/A</v>
      </c>
      <c r="AW230" s="33" t="e">
        <f>INDEX('Dados - Inversores'!AM:AM,MATCH('1'!AL230,'Dados - Inversores'!$C:$C,0))-1</f>
        <v>#N/A</v>
      </c>
      <c r="AX230" s="33" t="e">
        <f>INDEX('Dados - Inversores'!AN:AN,MATCH('1'!AL230,'Dados - Inversores'!$C:$C,0))-1</f>
        <v>#N/A</v>
      </c>
      <c r="AY230" s="33" t="e">
        <f>MATCH('1'!H230,Dados!$D$89:$D$167,0)+1</f>
        <v>#N/A</v>
      </c>
      <c r="AZ230" s="33" t="e">
        <f>MATCH('1'!N230,'Dados - Solicitação de acesso'!$N$2:$N$8,0)</f>
        <v>#N/A</v>
      </c>
      <c r="BA230" s="33" t="e">
        <f>MATCH('1'!T230,'Dados - Solicitação de acesso'!$T$2:$T$20,0)</f>
        <v>#N/A</v>
      </c>
      <c r="BB230" s="34"/>
      <c r="BC230" s="33">
        <f>MATCH(AT230,'Dados - Solicitação de acesso'!$AT$2:$AT$28,0)</f>
        <v>1</v>
      </c>
      <c r="BD230" s="33" t="b">
        <f>IF(O230="TRIFASICO",INDEX(Dados!G:G,MATCH('1'!AP230,Dados!E:E,0)),IF(O230="BIFASICO",INDEX(Dados!F:F,MATCH('1'!AP230,Dados!E:E,0),)))</f>
        <v>0</v>
      </c>
      <c r="BE230" s="33">
        <f>'Dados - Cliente'!J230</f>
        <v>0</v>
      </c>
      <c r="BF230" s="34">
        <f>INDEX(Dados!$E$2:$E$33,COUNTIF(Dados!$E$2:$E$33,"&lt;="&amp;AN230*1.25*AK230/(0.22*SQRT(INDEX('Dados - Inversores'!AK:AK,MATCH('1'!AL230,'Dados - Inversores'!C:C,0)))))+1)</f>
        <v>2</v>
      </c>
      <c r="BG230" s="34" t="b">
        <f>IF(O230="TRIFASICO",INDEX(Dados!G:G,MATCH(BF230,Dados!E:E,0)),IF(O230="BIFASICO",INDEX(Dados!F:F,MATCH(BF230,Dados!E:E,0),)))</f>
        <v>0</v>
      </c>
    </row>
    <row r="231" spans="1:59" s="33" customFormat="1" x14ac:dyDescent="0.35">
      <c r="A231" s="33">
        <f>'Dados - Cliente'!A231</f>
        <v>0</v>
      </c>
      <c r="B231" s="33">
        <f>'Dados - Cliente'!B231</f>
        <v>0</v>
      </c>
      <c r="C231" s="33">
        <f>'Dados - Cliente'!C231</f>
        <v>0</v>
      </c>
      <c r="D231" s="33">
        <f>'Dados - Cliente'!D231</f>
        <v>0</v>
      </c>
      <c r="E231" s="33">
        <f>'Dados - Cliente'!E231</f>
        <v>0</v>
      </c>
      <c r="F231" s="33">
        <f>'Dados - Cliente'!F231</f>
        <v>0</v>
      </c>
      <c r="G231" s="33">
        <f>'Dados - Cliente'!G231</f>
        <v>0</v>
      </c>
      <c r="H231" s="33">
        <f>'Dados - Cliente'!H231</f>
        <v>0</v>
      </c>
      <c r="I231" s="75" t="s">
        <v>4313</v>
      </c>
      <c r="J231" s="52" t="s">
        <v>4314</v>
      </c>
      <c r="K231" s="52" t="s">
        <v>4314</v>
      </c>
      <c r="L231" s="33">
        <f>'Dados - Cliente'!I231</f>
        <v>0</v>
      </c>
      <c r="M231" s="33">
        <f>'Dados - Cliente'!K231</f>
        <v>0</v>
      </c>
      <c r="N231" s="33">
        <f>'Dados - Cliente'!L231</f>
        <v>0</v>
      </c>
      <c r="O231" s="33">
        <f>'Dados - Cliente'!M231</f>
        <v>0</v>
      </c>
      <c r="P231" s="33">
        <f>'Dados - Cliente'!N231</f>
        <v>0</v>
      </c>
      <c r="Q231" s="33">
        <f>'Dados - Cliente'!O231</f>
        <v>0</v>
      </c>
      <c r="R231" s="33">
        <f>'Dados - Cliente'!P231</f>
        <v>0</v>
      </c>
      <c r="S231" s="33">
        <f>'Dados - Cliente'!Q231</f>
        <v>0</v>
      </c>
      <c r="T231" s="33">
        <f>'Dados - Cliente'!R231</f>
        <v>0</v>
      </c>
      <c r="U231" s="34">
        <f>'Dados - Cliente'!S231</f>
        <v>0</v>
      </c>
      <c r="V231" s="34">
        <f>'Dados - Cliente'!T231</f>
        <v>0</v>
      </c>
      <c r="W231" s="34">
        <f>'Dados - Cliente'!U231</f>
        <v>0</v>
      </c>
      <c r="X231" s="34">
        <f>'Dados - Cliente'!V231</f>
        <v>0</v>
      </c>
      <c r="Y231" s="34">
        <f>'Dados - Cliente'!W231</f>
        <v>0</v>
      </c>
      <c r="Z231" s="34">
        <f>'Dados - Cliente'!X231</f>
        <v>0</v>
      </c>
      <c r="AA231" s="33" t="e">
        <f t="shared" si="21"/>
        <v>#N/A</v>
      </c>
      <c r="AB231" s="33">
        <f>'Dados - Cliente'!Y231</f>
        <v>0</v>
      </c>
      <c r="AC231" s="33">
        <f>'Dados - Cliente'!Z231</f>
        <v>0</v>
      </c>
      <c r="AD231" s="33">
        <f>'Dados - Cliente'!AA231</f>
        <v>0</v>
      </c>
      <c r="AE231" s="33">
        <f>'Dados - Cliente'!AB231</f>
        <v>0</v>
      </c>
      <c r="AF231" s="33">
        <f>'Dados - Cliente'!AC231</f>
        <v>0</v>
      </c>
      <c r="AG231" s="35">
        <f>'Dados - Cliente'!AD231</f>
        <v>0</v>
      </c>
      <c r="AH231" s="33" t="e">
        <f>INDEX('Dados - Placas'!$A:$A,MATCH('1'!AG231,'Dados - Placas'!$D:$D,0))</f>
        <v>#N/A</v>
      </c>
      <c r="AI231" s="35" t="e">
        <f>INDEX('Dados - Placas'!$E:$E,MATCH('1'!AG231,'Dados - Placas'!$D:$D,0))</f>
        <v>#N/A</v>
      </c>
      <c r="AJ231" s="34" t="e">
        <f>INDEX('Dados - Placas'!$F:$F,MATCH('1'!AG231,'Dados - Placas'!$D:$D,0))*AF231</f>
        <v>#N/A</v>
      </c>
      <c r="AK231" s="33">
        <f>'Dados - Cliente'!AE231</f>
        <v>0</v>
      </c>
      <c r="AL231" s="33">
        <f>'Dados - Cliente'!AF231</f>
        <v>0</v>
      </c>
      <c r="AM231" s="36" t="e">
        <f>INDEX('Dados - Inversores'!$A:$A,MATCH('1'!AL231,'Dados - Inversores'!$C:$C,0))</f>
        <v>#N/A</v>
      </c>
      <c r="AN231" s="33">
        <f>'Dados - Cliente'!AG231</f>
        <v>0</v>
      </c>
      <c r="AO231" s="33" t="e">
        <f>AA231*1.25/(0.22*SQRT(INDEX('Dados - Inversores'!AK:AK,MATCH('1'!AL231,'Dados - Inversores'!C:C,0))))</f>
        <v>#N/A</v>
      </c>
      <c r="AP231" s="34">
        <f>INDEX(Dados!$E$2:$E$33,COUNTIF(Dados!$E$2:$E$33,"&lt;="&amp;AN231*1.25/(INDEX('Dados - Inversores'!AL:AL,MATCH('1'!AL231,'Dados - Inversores'!C:C,0))*SQRT(INDEX('Dados - Inversores'!AK:AK,MATCH('1'!AL231,'Dados - Inversores'!C:C,0)))))+1)</f>
        <v>2</v>
      </c>
      <c r="AQ231" s="33" t="s">
        <v>59</v>
      </c>
      <c r="AR231" s="33" t="str">
        <f t="shared" si="22"/>
        <v>Micro</v>
      </c>
      <c r="AS231" s="33">
        <f>'Dados - Cliente'!AH231</f>
        <v>0</v>
      </c>
      <c r="AT231" s="33">
        <f>'Dados - Cliente'!AI231</f>
        <v>0</v>
      </c>
      <c r="AU231" s="33" t="e">
        <f>INDEX('Dados - Placas'!$N:$N,MATCH('1'!AG231,'Dados - Placas'!$D:$D,0))-1</f>
        <v>#N/A</v>
      </c>
      <c r="AV231" s="33" t="e">
        <f>INDEX('Dados - Placas'!$O:$O,MATCH('1'!AG231,'Dados - Placas'!$D:$D,0))</f>
        <v>#N/A</v>
      </c>
      <c r="AW231" s="33" t="e">
        <f>INDEX('Dados - Inversores'!AM:AM,MATCH('1'!AL231,'Dados - Inversores'!$C:$C,0))-1</f>
        <v>#N/A</v>
      </c>
      <c r="AX231" s="33" t="e">
        <f>INDEX('Dados - Inversores'!AN:AN,MATCH('1'!AL231,'Dados - Inversores'!$C:$C,0))-1</f>
        <v>#N/A</v>
      </c>
      <c r="AY231" s="33" t="e">
        <f>MATCH('1'!H231,Dados!$D$89:$D$167,0)+1</f>
        <v>#N/A</v>
      </c>
      <c r="AZ231" s="33" t="e">
        <f>MATCH('1'!N231,'Dados - Solicitação de acesso'!$N$2:$N$8,0)</f>
        <v>#N/A</v>
      </c>
      <c r="BA231" s="33" t="e">
        <f>MATCH('1'!T231,'Dados - Solicitação de acesso'!$T$2:$T$20,0)</f>
        <v>#N/A</v>
      </c>
      <c r="BB231" s="34"/>
      <c r="BC231" s="33">
        <f>MATCH(AT231,'Dados - Solicitação de acesso'!$AT$2:$AT$28,0)</f>
        <v>1</v>
      </c>
      <c r="BD231" s="33" t="b">
        <f>IF(O231="TRIFASICO",INDEX(Dados!G:G,MATCH('1'!AP231,Dados!E:E,0)),IF(O231="BIFASICO",INDEX(Dados!F:F,MATCH('1'!AP231,Dados!E:E,0),)))</f>
        <v>0</v>
      </c>
      <c r="BE231" s="33">
        <f>'Dados - Cliente'!J231</f>
        <v>0</v>
      </c>
      <c r="BF231" s="34">
        <f>INDEX(Dados!$E$2:$E$33,COUNTIF(Dados!$E$2:$E$33,"&lt;="&amp;AN231*1.25*AK231/(0.22*SQRT(INDEX('Dados - Inversores'!AK:AK,MATCH('1'!AL231,'Dados - Inversores'!C:C,0)))))+1)</f>
        <v>2</v>
      </c>
      <c r="BG231" s="34" t="b">
        <f>IF(O231="TRIFASICO",INDEX(Dados!G:G,MATCH(BF231,Dados!E:E,0)),IF(O231="BIFASICO",INDEX(Dados!F:F,MATCH(BF231,Dados!E:E,0),)))</f>
        <v>0</v>
      </c>
    </row>
    <row r="232" spans="1:59" s="33" customFormat="1" x14ac:dyDescent="0.35">
      <c r="A232" s="33">
        <f>'Dados - Cliente'!A232</f>
        <v>0</v>
      </c>
      <c r="B232" s="33">
        <f>'Dados - Cliente'!B232</f>
        <v>0</v>
      </c>
      <c r="C232" s="33">
        <f>'Dados - Cliente'!C232</f>
        <v>0</v>
      </c>
      <c r="D232" s="33">
        <f>'Dados - Cliente'!D232</f>
        <v>0</v>
      </c>
      <c r="E232" s="33">
        <f>'Dados - Cliente'!E232</f>
        <v>0</v>
      </c>
      <c r="F232" s="33">
        <f>'Dados - Cliente'!F232</f>
        <v>0</v>
      </c>
      <c r="G232" s="33">
        <f>'Dados - Cliente'!G232</f>
        <v>0</v>
      </c>
      <c r="H232" s="33">
        <f>'Dados - Cliente'!H232</f>
        <v>0</v>
      </c>
      <c r="I232" s="75" t="s">
        <v>4313</v>
      </c>
      <c r="J232" s="52" t="s">
        <v>4314</v>
      </c>
      <c r="K232" s="52" t="s">
        <v>4314</v>
      </c>
      <c r="L232" s="33">
        <f>'Dados - Cliente'!I232</f>
        <v>0</v>
      </c>
      <c r="M232" s="33">
        <f>'Dados - Cliente'!K232</f>
        <v>0</v>
      </c>
      <c r="N232" s="33">
        <f>'Dados - Cliente'!L232</f>
        <v>0</v>
      </c>
      <c r="O232" s="33">
        <f>'Dados - Cliente'!M232</f>
        <v>0</v>
      </c>
      <c r="P232" s="33">
        <f>'Dados - Cliente'!N232</f>
        <v>0</v>
      </c>
      <c r="Q232" s="33">
        <f>'Dados - Cliente'!O232</f>
        <v>0</v>
      </c>
      <c r="R232" s="33">
        <f>'Dados - Cliente'!P232</f>
        <v>0</v>
      </c>
      <c r="S232" s="33">
        <f>'Dados - Cliente'!Q232</f>
        <v>0</v>
      </c>
      <c r="T232" s="33">
        <f>'Dados - Cliente'!R232</f>
        <v>0</v>
      </c>
      <c r="U232" s="34">
        <f>'Dados - Cliente'!S232</f>
        <v>0</v>
      </c>
      <c r="V232" s="34">
        <f>'Dados - Cliente'!T232</f>
        <v>0</v>
      </c>
      <c r="W232" s="34">
        <f>'Dados - Cliente'!U232</f>
        <v>0</v>
      </c>
      <c r="X232" s="34">
        <f>'Dados - Cliente'!V232</f>
        <v>0</v>
      </c>
      <c r="Y232" s="34">
        <f>'Dados - Cliente'!W232</f>
        <v>0</v>
      </c>
      <c r="Z232" s="34">
        <f>'Dados - Cliente'!X232</f>
        <v>0</v>
      </c>
      <c r="AA232" s="33" t="e">
        <f t="shared" si="21"/>
        <v>#N/A</v>
      </c>
      <c r="AB232" s="33">
        <f>'Dados - Cliente'!Y232</f>
        <v>0</v>
      </c>
      <c r="AC232" s="33">
        <f>'Dados - Cliente'!Z232</f>
        <v>0</v>
      </c>
      <c r="AD232" s="33">
        <f>'Dados - Cliente'!AA232</f>
        <v>0</v>
      </c>
      <c r="AE232" s="33">
        <f>'Dados - Cliente'!AB232</f>
        <v>0</v>
      </c>
      <c r="AF232" s="33">
        <f>'Dados - Cliente'!AC232</f>
        <v>0</v>
      </c>
      <c r="AG232" s="35">
        <f>'Dados - Cliente'!AD232</f>
        <v>0</v>
      </c>
      <c r="AH232" s="33" t="e">
        <f>INDEX('Dados - Placas'!$A:$A,MATCH('1'!AG232,'Dados - Placas'!$D:$D,0))</f>
        <v>#N/A</v>
      </c>
      <c r="AI232" s="35" t="e">
        <f>INDEX('Dados - Placas'!$E:$E,MATCH('1'!AG232,'Dados - Placas'!$D:$D,0))</f>
        <v>#N/A</v>
      </c>
      <c r="AJ232" s="34" t="e">
        <f>INDEX('Dados - Placas'!$F:$F,MATCH('1'!AG232,'Dados - Placas'!$D:$D,0))*AF232</f>
        <v>#N/A</v>
      </c>
      <c r="AK232" s="33">
        <f>'Dados - Cliente'!AE232</f>
        <v>0</v>
      </c>
      <c r="AL232" s="33">
        <f>'Dados - Cliente'!AF232</f>
        <v>0</v>
      </c>
      <c r="AM232" s="36" t="e">
        <f>INDEX('Dados - Inversores'!$A:$A,MATCH('1'!AL232,'Dados - Inversores'!$C:$C,0))</f>
        <v>#N/A</v>
      </c>
      <c r="AN232" s="33">
        <f>'Dados - Cliente'!AG232</f>
        <v>0</v>
      </c>
      <c r="AO232" s="33" t="e">
        <f>AA232*1.25/(0.22*SQRT(INDEX('Dados - Inversores'!AK:AK,MATCH('1'!AL232,'Dados - Inversores'!C:C,0))))</f>
        <v>#N/A</v>
      </c>
      <c r="AP232" s="34">
        <f>INDEX(Dados!$E$2:$E$33,COUNTIF(Dados!$E$2:$E$33,"&lt;="&amp;AN232*1.25/(INDEX('Dados - Inversores'!AL:AL,MATCH('1'!AL232,'Dados - Inversores'!C:C,0))*SQRT(INDEX('Dados - Inversores'!AK:AK,MATCH('1'!AL232,'Dados - Inversores'!C:C,0)))))+1)</f>
        <v>2</v>
      </c>
      <c r="AQ232" s="33" t="s">
        <v>59</v>
      </c>
      <c r="AR232" s="33" t="str">
        <f t="shared" si="22"/>
        <v>Micro</v>
      </c>
      <c r="AS232" s="33">
        <f>'Dados - Cliente'!AH232</f>
        <v>0</v>
      </c>
      <c r="AT232" s="33">
        <f>'Dados - Cliente'!AI232</f>
        <v>0</v>
      </c>
      <c r="AU232" s="33" t="e">
        <f>INDEX('Dados - Placas'!$N:$N,MATCH('1'!AG232,'Dados - Placas'!$D:$D,0))-1</f>
        <v>#N/A</v>
      </c>
      <c r="AV232" s="33" t="e">
        <f>INDEX('Dados - Placas'!$O:$O,MATCH('1'!AG232,'Dados - Placas'!$D:$D,0))</f>
        <v>#N/A</v>
      </c>
      <c r="AW232" s="33" t="e">
        <f>INDEX('Dados - Inversores'!AM:AM,MATCH('1'!AL232,'Dados - Inversores'!$C:$C,0))-1</f>
        <v>#N/A</v>
      </c>
      <c r="AX232" s="33" t="e">
        <f>INDEX('Dados - Inversores'!AN:AN,MATCH('1'!AL232,'Dados - Inversores'!$C:$C,0))-1</f>
        <v>#N/A</v>
      </c>
      <c r="AY232" s="33" t="e">
        <f>MATCH('1'!H232,Dados!$D$89:$D$167,0)+1</f>
        <v>#N/A</v>
      </c>
      <c r="AZ232" s="33" t="e">
        <f>MATCH('1'!N232,'Dados - Solicitação de acesso'!$N$2:$N$8,0)</f>
        <v>#N/A</v>
      </c>
      <c r="BA232" s="33" t="e">
        <f>MATCH('1'!T232,'Dados - Solicitação de acesso'!$T$2:$T$20,0)</f>
        <v>#N/A</v>
      </c>
      <c r="BB232" s="34"/>
      <c r="BC232" s="33">
        <f>MATCH(AT232,'Dados - Solicitação de acesso'!$AT$2:$AT$28,0)</f>
        <v>1</v>
      </c>
      <c r="BD232" s="33" t="b">
        <f>IF(O232="TRIFASICO",INDEX(Dados!G:G,MATCH('1'!AP232,Dados!E:E,0)),IF(O232="BIFASICO",INDEX(Dados!F:F,MATCH('1'!AP232,Dados!E:E,0),)))</f>
        <v>0</v>
      </c>
      <c r="BE232" s="33">
        <f>'Dados - Cliente'!J232</f>
        <v>0</v>
      </c>
      <c r="BF232" s="34">
        <f>INDEX(Dados!$E$2:$E$33,COUNTIF(Dados!$E$2:$E$33,"&lt;="&amp;AN232*1.25*AK232/(0.22*SQRT(INDEX('Dados - Inversores'!AK:AK,MATCH('1'!AL232,'Dados - Inversores'!C:C,0)))))+1)</f>
        <v>2</v>
      </c>
      <c r="BG232" s="34" t="b">
        <f>IF(O232="TRIFASICO",INDEX(Dados!G:G,MATCH(BF232,Dados!E:E,0)),IF(O232="BIFASICO",INDEX(Dados!F:F,MATCH(BF232,Dados!E:E,0),)))</f>
        <v>0</v>
      </c>
    </row>
    <row r="233" spans="1:59" s="33" customFormat="1" x14ac:dyDescent="0.35">
      <c r="A233" s="33">
        <f>'Dados - Cliente'!A233</f>
        <v>0</v>
      </c>
      <c r="B233" s="33">
        <f>'Dados - Cliente'!B233</f>
        <v>0</v>
      </c>
      <c r="C233" s="33">
        <f>'Dados - Cliente'!C233</f>
        <v>0</v>
      </c>
      <c r="D233" s="33">
        <f>'Dados - Cliente'!D233</f>
        <v>0</v>
      </c>
      <c r="E233" s="33">
        <f>'Dados - Cliente'!E233</f>
        <v>0</v>
      </c>
      <c r="F233" s="33">
        <f>'Dados - Cliente'!F233</f>
        <v>0</v>
      </c>
      <c r="G233" s="33">
        <f>'Dados - Cliente'!G233</f>
        <v>0</v>
      </c>
      <c r="H233" s="33">
        <f>'Dados - Cliente'!H233</f>
        <v>0</v>
      </c>
      <c r="I233" s="75" t="s">
        <v>4313</v>
      </c>
      <c r="J233" s="52" t="s">
        <v>4314</v>
      </c>
      <c r="K233" s="52" t="s">
        <v>4314</v>
      </c>
      <c r="L233" s="33">
        <f>'Dados - Cliente'!I233</f>
        <v>0</v>
      </c>
      <c r="M233" s="33">
        <f>'Dados - Cliente'!K233</f>
        <v>0</v>
      </c>
      <c r="N233" s="33">
        <f>'Dados - Cliente'!L233</f>
        <v>0</v>
      </c>
      <c r="O233" s="33">
        <f>'Dados - Cliente'!M233</f>
        <v>0</v>
      </c>
      <c r="P233" s="33">
        <f>'Dados - Cliente'!N233</f>
        <v>0</v>
      </c>
      <c r="Q233" s="33">
        <f>'Dados - Cliente'!O233</f>
        <v>0</v>
      </c>
      <c r="R233" s="33">
        <f>'Dados - Cliente'!P233</f>
        <v>0</v>
      </c>
      <c r="S233" s="33">
        <f>'Dados - Cliente'!Q233</f>
        <v>0</v>
      </c>
      <c r="T233" s="33">
        <f>'Dados - Cliente'!R233</f>
        <v>0</v>
      </c>
      <c r="U233" s="34">
        <f>'Dados - Cliente'!S233</f>
        <v>0</v>
      </c>
      <c r="V233" s="34">
        <f>'Dados - Cliente'!T233</f>
        <v>0</v>
      </c>
      <c r="W233" s="34">
        <f>'Dados - Cliente'!U233</f>
        <v>0</v>
      </c>
      <c r="X233" s="34">
        <f>'Dados - Cliente'!V233</f>
        <v>0</v>
      </c>
      <c r="Y233" s="34">
        <f>'Dados - Cliente'!W233</f>
        <v>0</v>
      </c>
      <c r="Z233" s="34">
        <f>'Dados - Cliente'!X233</f>
        <v>0</v>
      </c>
      <c r="AA233" s="33" t="e">
        <f t="shared" si="21"/>
        <v>#N/A</v>
      </c>
      <c r="AB233" s="33">
        <f>'Dados - Cliente'!Y233</f>
        <v>0</v>
      </c>
      <c r="AC233" s="33">
        <f>'Dados - Cliente'!Z233</f>
        <v>0</v>
      </c>
      <c r="AD233" s="33">
        <f>'Dados - Cliente'!AA233</f>
        <v>0</v>
      </c>
      <c r="AE233" s="33">
        <f>'Dados - Cliente'!AB233</f>
        <v>0</v>
      </c>
      <c r="AF233" s="33">
        <f>'Dados - Cliente'!AC233</f>
        <v>0</v>
      </c>
      <c r="AG233" s="35">
        <f>'Dados - Cliente'!AD233</f>
        <v>0</v>
      </c>
      <c r="AH233" s="33" t="e">
        <f>INDEX('Dados - Placas'!$A:$A,MATCH('1'!AG233,'Dados - Placas'!$D:$D,0))</f>
        <v>#N/A</v>
      </c>
      <c r="AI233" s="35" t="e">
        <f>INDEX('Dados - Placas'!$E:$E,MATCH('1'!AG233,'Dados - Placas'!$D:$D,0))</f>
        <v>#N/A</v>
      </c>
      <c r="AJ233" s="34" t="e">
        <f>INDEX('Dados - Placas'!$F:$F,MATCH('1'!AG233,'Dados - Placas'!$D:$D,0))*AF233</f>
        <v>#N/A</v>
      </c>
      <c r="AK233" s="33">
        <f>'Dados - Cliente'!AE233</f>
        <v>0</v>
      </c>
      <c r="AL233" s="33">
        <f>'Dados - Cliente'!AF233</f>
        <v>0</v>
      </c>
      <c r="AM233" s="36" t="e">
        <f>INDEX('Dados - Inversores'!$A:$A,MATCH('1'!AL233,'Dados - Inversores'!$C:$C,0))</f>
        <v>#N/A</v>
      </c>
      <c r="AN233" s="33">
        <f>'Dados - Cliente'!AG233</f>
        <v>0</v>
      </c>
      <c r="AO233" s="33" t="e">
        <f>AA233*1.25/(0.22*SQRT(INDEX('Dados - Inversores'!AK:AK,MATCH('1'!AL233,'Dados - Inversores'!C:C,0))))</f>
        <v>#N/A</v>
      </c>
      <c r="AP233" s="34">
        <f>INDEX(Dados!$E$2:$E$33,COUNTIF(Dados!$E$2:$E$33,"&lt;="&amp;AN233*1.25/(INDEX('Dados - Inversores'!AL:AL,MATCH('1'!AL233,'Dados - Inversores'!C:C,0))*SQRT(INDEX('Dados - Inversores'!AK:AK,MATCH('1'!AL233,'Dados - Inversores'!C:C,0)))))+1)</f>
        <v>2</v>
      </c>
      <c r="AQ233" s="33" t="s">
        <v>59</v>
      </c>
      <c r="AR233" s="33" t="str">
        <f t="shared" si="22"/>
        <v>Micro</v>
      </c>
      <c r="AS233" s="33">
        <f>'Dados - Cliente'!AH233</f>
        <v>0</v>
      </c>
      <c r="AT233" s="33">
        <f>'Dados - Cliente'!AI233</f>
        <v>0</v>
      </c>
      <c r="AU233" s="33" t="e">
        <f>INDEX('Dados - Placas'!$N:$N,MATCH('1'!AG233,'Dados - Placas'!$D:$D,0))-1</f>
        <v>#N/A</v>
      </c>
      <c r="AV233" s="33" t="e">
        <f>INDEX('Dados - Placas'!$O:$O,MATCH('1'!AG233,'Dados - Placas'!$D:$D,0))</f>
        <v>#N/A</v>
      </c>
      <c r="AW233" s="33" t="e">
        <f>INDEX('Dados - Inversores'!AM:AM,MATCH('1'!AL233,'Dados - Inversores'!$C:$C,0))-1</f>
        <v>#N/A</v>
      </c>
      <c r="AX233" s="33" t="e">
        <f>INDEX('Dados - Inversores'!AN:AN,MATCH('1'!AL233,'Dados - Inversores'!$C:$C,0))-1</f>
        <v>#N/A</v>
      </c>
      <c r="AY233" s="33" t="e">
        <f>MATCH('1'!H233,Dados!$D$89:$D$167,0)+1</f>
        <v>#N/A</v>
      </c>
      <c r="AZ233" s="33" t="e">
        <f>MATCH('1'!N233,'Dados - Solicitação de acesso'!$N$2:$N$8,0)</f>
        <v>#N/A</v>
      </c>
      <c r="BA233" s="33" t="e">
        <f>MATCH('1'!T233,'Dados - Solicitação de acesso'!$T$2:$T$20,0)</f>
        <v>#N/A</v>
      </c>
      <c r="BB233" s="34"/>
      <c r="BC233" s="33">
        <f>MATCH(AT233,'Dados - Solicitação de acesso'!$AT$2:$AT$28,0)</f>
        <v>1</v>
      </c>
      <c r="BD233" s="33" t="b">
        <f>IF(O233="TRIFASICO",INDEX(Dados!G:G,MATCH('1'!AP233,Dados!E:E,0)),IF(O233="BIFASICO",INDEX(Dados!F:F,MATCH('1'!AP233,Dados!E:E,0),)))</f>
        <v>0</v>
      </c>
      <c r="BE233" s="33">
        <f>'Dados - Cliente'!J233</f>
        <v>0</v>
      </c>
      <c r="BF233" s="34">
        <f>INDEX(Dados!$E$2:$E$33,COUNTIF(Dados!$E$2:$E$33,"&lt;="&amp;AN233*1.25*AK233/(0.22*SQRT(INDEX('Dados - Inversores'!AK:AK,MATCH('1'!AL233,'Dados - Inversores'!C:C,0)))))+1)</f>
        <v>2</v>
      </c>
      <c r="BG233" s="34" t="b">
        <f>IF(O233="TRIFASICO",INDEX(Dados!G:G,MATCH(BF233,Dados!E:E,0)),IF(O233="BIFASICO",INDEX(Dados!F:F,MATCH(BF233,Dados!E:E,0),)))</f>
        <v>0</v>
      </c>
    </row>
    <row r="234" spans="1:59" s="33" customFormat="1" x14ac:dyDescent="0.35">
      <c r="A234" s="33">
        <f>'Dados - Cliente'!A234</f>
        <v>0</v>
      </c>
      <c r="B234" s="33">
        <f>'Dados - Cliente'!B234</f>
        <v>0</v>
      </c>
      <c r="C234" s="33">
        <f>'Dados - Cliente'!C234</f>
        <v>0</v>
      </c>
      <c r="D234" s="33">
        <f>'Dados - Cliente'!D234</f>
        <v>0</v>
      </c>
      <c r="E234" s="33">
        <f>'Dados - Cliente'!E234</f>
        <v>0</v>
      </c>
      <c r="F234" s="33">
        <f>'Dados - Cliente'!F234</f>
        <v>0</v>
      </c>
      <c r="G234" s="33">
        <f>'Dados - Cliente'!G234</f>
        <v>0</v>
      </c>
      <c r="H234" s="33">
        <f>'Dados - Cliente'!H234</f>
        <v>0</v>
      </c>
      <c r="I234" s="75" t="s">
        <v>4313</v>
      </c>
      <c r="J234" s="52" t="s">
        <v>4314</v>
      </c>
      <c r="K234" s="52" t="s">
        <v>4314</v>
      </c>
      <c r="L234" s="33">
        <f>'Dados - Cliente'!I234</f>
        <v>0</v>
      </c>
      <c r="M234" s="33">
        <f>'Dados - Cliente'!K234</f>
        <v>0</v>
      </c>
      <c r="N234" s="33">
        <f>'Dados - Cliente'!L234</f>
        <v>0</v>
      </c>
      <c r="O234" s="33">
        <f>'Dados - Cliente'!M234</f>
        <v>0</v>
      </c>
      <c r="P234" s="33">
        <f>'Dados - Cliente'!N234</f>
        <v>0</v>
      </c>
      <c r="Q234" s="33">
        <f>'Dados - Cliente'!O234</f>
        <v>0</v>
      </c>
      <c r="R234" s="33">
        <f>'Dados - Cliente'!P234</f>
        <v>0</v>
      </c>
      <c r="S234" s="33">
        <f>'Dados - Cliente'!Q234</f>
        <v>0</v>
      </c>
      <c r="T234" s="33">
        <f>'Dados - Cliente'!R234</f>
        <v>0</v>
      </c>
      <c r="U234" s="34">
        <f>'Dados - Cliente'!S234</f>
        <v>0</v>
      </c>
      <c r="V234" s="34">
        <f>'Dados - Cliente'!T234</f>
        <v>0</v>
      </c>
      <c r="W234" s="34">
        <f>'Dados - Cliente'!U234</f>
        <v>0</v>
      </c>
      <c r="X234" s="34">
        <f>'Dados - Cliente'!V234</f>
        <v>0</v>
      </c>
      <c r="Y234" s="34">
        <f>'Dados - Cliente'!W234</f>
        <v>0</v>
      </c>
      <c r="Z234" s="34">
        <f>'Dados - Cliente'!X234</f>
        <v>0</v>
      </c>
      <c r="AA234" s="33" t="e">
        <f t="shared" si="21"/>
        <v>#N/A</v>
      </c>
      <c r="AB234" s="33">
        <f>'Dados - Cliente'!Y234</f>
        <v>0</v>
      </c>
      <c r="AC234" s="33">
        <f>'Dados - Cliente'!Z234</f>
        <v>0</v>
      </c>
      <c r="AD234" s="33">
        <f>'Dados - Cliente'!AA234</f>
        <v>0</v>
      </c>
      <c r="AE234" s="33">
        <f>'Dados - Cliente'!AB234</f>
        <v>0</v>
      </c>
      <c r="AF234" s="33">
        <f>'Dados - Cliente'!AC234</f>
        <v>0</v>
      </c>
      <c r="AG234" s="35">
        <f>'Dados - Cliente'!AD234</f>
        <v>0</v>
      </c>
      <c r="AH234" s="33" t="e">
        <f>INDEX('Dados - Placas'!$A:$A,MATCH('1'!AG234,'Dados - Placas'!$D:$D,0))</f>
        <v>#N/A</v>
      </c>
      <c r="AI234" s="35" t="e">
        <f>INDEX('Dados - Placas'!$E:$E,MATCH('1'!AG234,'Dados - Placas'!$D:$D,0))</f>
        <v>#N/A</v>
      </c>
      <c r="AJ234" s="34" t="e">
        <f>INDEX('Dados - Placas'!$F:$F,MATCH('1'!AG234,'Dados - Placas'!$D:$D,0))*AF234</f>
        <v>#N/A</v>
      </c>
      <c r="AK234" s="33">
        <f>'Dados - Cliente'!AE234</f>
        <v>0</v>
      </c>
      <c r="AL234" s="33">
        <f>'Dados - Cliente'!AF234</f>
        <v>0</v>
      </c>
      <c r="AM234" s="36" t="e">
        <f>INDEX('Dados - Inversores'!$A:$A,MATCH('1'!AL234,'Dados - Inversores'!$C:$C,0))</f>
        <v>#N/A</v>
      </c>
      <c r="AN234" s="33">
        <f>'Dados - Cliente'!AG234</f>
        <v>0</v>
      </c>
      <c r="AO234" s="33" t="e">
        <f>AA234*1.25/(0.22*SQRT(INDEX('Dados - Inversores'!AK:AK,MATCH('1'!AL234,'Dados - Inversores'!C:C,0))))</f>
        <v>#N/A</v>
      </c>
      <c r="AP234" s="34">
        <f>INDEX(Dados!$E$2:$E$33,COUNTIF(Dados!$E$2:$E$33,"&lt;="&amp;AN234*1.25/(INDEX('Dados - Inversores'!AL:AL,MATCH('1'!AL234,'Dados - Inversores'!C:C,0))*SQRT(INDEX('Dados - Inversores'!AK:AK,MATCH('1'!AL234,'Dados - Inversores'!C:C,0)))))+1)</f>
        <v>2</v>
      </c>
      <c r="AQ234" s="33" t="s">
        <v>59</v>
      </c>
      <c r="AR234" s="33" t="str">
        <f t="shared" si="22"/>
        <v>Micro</v>
      </c>
      <c r="AS234" s="33">
        <f>'Dados - Cliente'!AH234</f>
        <v>0</v>
      </c>
      <c r="AT234" s="33">
        <f>'Dados - Cliente'!AI234</f>
        <v>0</v>
      </c>
      <c r="AU234" s="33" t="e">
        <f>INDEX('Dados - Placas'!$N:$N,MATCH('1'!AG234,'Dados - Placas'!$D:$D,0))-1</f>
        <v>#N/A</v>
      </c>
      <c r="AV234" s="33" t="e">
        <f>INDEX('Dados - Placas'!$O:$O,MATCH('1'!AG234,'Dados - Placas'!$D:$D,0))</f>
        <v>#N/A</v>
      </c>
      <c r="AW234" s="33" t="e">
        <f>INDEX('Dados - Inversores'!AM:AM,MATCH('1'!AL234,'Dados - Inversores'!$C:$C,0))-1</f>
        <v>#N/A</v>
      </c>
      <c r="AX234" s="33" t="e">
        <f>INDEX('Dados - Inversores'!AN:AN,MATCH('1'!AL234,'Dados - Inversores'!$C:$C,0))-1</f>
        <v>#N/A</v>
      </c>
      <c r="AY234" s="33" t="e">
        <f>MATCH('1'!H234,Dados!$D$89:$D$167,0)+1</f>
        <v>#N/A</v>
      </c>
      <c r="AZ234" s="33" t="e">
        <f>MATCH('1'!N234,'Dados - Solicitação de acesso'!$N$2:$N$8,0)</f>
        <v>#N/A</v>
      </c>
      <c r="BA234" s="33" t="e">
        <f>MATCH('1'!T234,'Dados - Solicitação de acesso'!$T$2:$T$20,0)</f>
        <v>#N/A</v>
      </c>
      <c r="BB234" s="34"/>
      <c r="BC234" s="33">
        <f>MATCH(AT234,'Dados - Solicitação de acesso'!$AT$2:$AT$28,0)</f>
        <v>1</v>
      </c>
      <c r="BD234" s="33" t="b">
        <f>IF(O234="TRIFASICO",INDEX(Dados!G:G,MATCH('1'!AP234,Dados!E:E,0)),IF(O234="BIFASICO",INDEX(Dados!F:F,MATCH('1'!AP234,Dados!E:E,0),)))</f>
        <v>0</v>
      </c>
      <c r="BE234" s="33">
        <f>'Dados - Cliente'!J234</f>
        <v>0</v>
      </c>
      <c r="BF234" s="34">
        <f>INDEX(Dados!$E$2:$E$33,COUNTIF(Dados!$E$2:$E$33,"&lt;="&amp;AN234*1.25*AK234/(0.22*SQRT(INDEX('Dados - Inversores'!AK:AK,MATCH('1'!AL234,'Dados - Inversores'!C:C,0)))))+1)</f>
        <v>2</v>
      </c>
      <c r="BG234" s="34" t="b">
        <f>IF(O234="TRIFASICO",INDEX(Dados!G:G,MATCH(BF234,Dados!E:E,0)),IF(O234="BIFASICO",INDEX(Dados!F:F,MATCH(BF234,Dados!E:E,0),)))</f>
        <v>0</v>
      </c>
    </row>
    <row r="235" spans="1:59" s="33" customFormat="1" x14ac:dyDescent="0.35">
      <c r="A235" s="33">
        <f>'Dados - Cliente'!A235</f>
        <v>0</v>
      </c>
      <c r="B235" s="33">
        <f>'Dados - Cliente'!B235</f>
        <v>0</v>
      </c>
      <c r="C235" s="33">
        <f>'Dados - Cliente'!C235</f>
        <v>0</v>
      </c>
      <c r="D235" s="33">
        <f>'Dados - Cliente'!D235</f>
        <v>0</v>
      </c>
      <c r="E235" s="33">
        <f>'Dados - Cliente'!E235</f>
        <v>0</v>
      </c>
      <c r="F235" s="33">
        <f>'Dados - Cliente'!F235</f>
        <v>0</v>
      </c>
      <c r="G235" s="33">
        <f>'Dados - Cliente'!G235</f>
        <v>0</v>
      </c>
      <c r="H235" s="33">
        <f>'Dados - Cliente'!H235</f>
        <v>0</v>
      </c>
      <c r="I235" s="75" t="s">
        <v>4313</v>
      </c>
      <c r="J235" s="52" t="s">
        <v>4314</v>
      </c>
      <c r="K235" s="52" t="s">
        <v>4314</v>
      </c>
      <c r="L235" s="33">
        <f>'Dados - Cliente'!I235</f>
        <v>0</v>
      </c>
      <c r="M235" s="33">
        <f>'Dados - Cliente'!K235</f>
        <v>0</v>
      </c>
      <c r="N235" s="33">
        <f>'Dados - Cliente'!L235</f>
        <v>0</v>
      </c>
      <c r="O235" s="33">
        <f>'Dados - Cliente'!M235</f>
        <v>0</v>
      </c>
      <c r="P235" s="33">
        <f>'Dados - Cliente'!N235</f>
        <v>0</v>
      </c>
      <c r="Q235" s="33">
        <f>'Dados - Cliente'!O235</f>
        <v>0</v>
      </c>
      <c r="R235" s="33">
        <f>'Dados - Cliente'!P235</f>
        <v>0</v>
      </c>
      <c r="S235" s="33">
        <f>'Dados - Cliente'!Q235</f>
        <v>0</v>
      </c>
      <c r="T235" s="33">
        <f>'Dados - Cliente'!R235</f>
        <v>0</v>
      </c>
      <c r="U235" s="34">
        <f>'Dados - Cliente'!S235</f>
        <v>0</v>
      </c>
      <c r="V235" s="34">
        <f>'Dados - Cliente'!T235</f>
        <v>0</v>
      </c>
      <c r="W235" s="34">
        <f>'Dados - Cliente'!U235</f>
        <v>0</v>
      </c>
      <c r="X235" s="34">
        <f>'Dados - Cliente'!V235</f>
        <v>0</v>
      </c>
      <c r="Y235" s="34">
        <f>'Dados - Cliente'!W235</f>
        <v>0</v>
      </c>
      <c r="Z235" s="34">
        <f>'Dados - Cliente'!X235</f>
        <v>0</v>
      </c>
      <c r="AA235" s="33" t="e">
        <f t="shared" si="21"/>
        <v>#N/A</v>
      </c>
      <c r="AB235" s="33">
        <f>'Dados - Cliente'!Y235</f>
        <v>0</v>
      </c>
      <c r="AC235" s="33">
        <f>'Dados - Cliente'!Z235</f>
        <v>0</v>
      </c>
      <c r="AD235" s="33">
        <f>'Dados - Cliente'!AA235</f>
        <v>0</v>
      </c>
      <c r="AE235" s="33">
        <f>'Dados - Cliente'!AB235</f>
        <v>0</v>
      </c>
      <c r="AF235" s="33">
        <f>'Dados - Cliente'!AC235</f>
        <v>0</v>
      </c>
      <c r="AG235" s="35">
        <f>'Dados - Cliente'!AD235</f>
        <v>0</v>
      </c>
      <c r="AH235" s="33" t="e">
        <f>INDEX('Dados - Placas'!$A:$A,MATCH('1'!AG235,'Dados - Placas'!$D:$D,0))</f>
        <v>#N/A</v>
      </c>
      <c r="AI235" s="35" t="e">
        <f>INDEX('Dados - Placas'!$E:$E,MATCH('1'!AG235,'Dados - Placas'!$D:$D,0))</f>
        <v>#N/A</v>
      </c>
      <c r="AJ235" s="34" t="e">
        <f>INDEX('Dados - Placas'!$F:$F,MATCH('1'!AG235,'Dados - Placas'!$D:$D,0))*AF235</f>
        <v>#N/A</v>
      </c>
      <c r="AK235" s="33">
        <f>'Dados - Cliente'!AE235</f>
        <v>0</v>
      </c>
      <c r="AL235" s="33">
        <f>'Dados - Cliente'!AF235</f>
        <v>0</v>
      </c>
      <c r="AM235" s="36" t="e">
        <f>INDEX('Dados - Inversores'!$A:$A,MATCH('1'!AL235,'Dados - Inversores'!$C:$C,0))</f>
        <v>#N/A</v>
      </c>
      <c r="AN235" s="33">
        <f>'Dados - Cliente'!AG235</f>
        <v>0</v>
      </c>
      <c r="AO235" s="33" t="e">
        <f>AA235*1.25/(0.22*SQRT(INDEX('Dados - Inversores'!AK:AK,MATCH('1'!AL235,'Dados - Inversores'!C:C,0))))</f>
        <v>#N/A</v>
      </c>
      <c r="AP235" s="34">
        <f>INDEX(Dados!$E$2:$E$33,COUNTIF(Dados!$E$2:$E$33,"&lt;="&amp;AN235*1.25/(INDEX('Dados - Inversores'!AL:AL,MATCH('1'!AL235,'Dados - Inversores'!C:C,0))*SQRT(INDEX('Dados - Inversores'!AK:AK,MATCH('1'!AL235,'Dados - Inversores'!C:C,0)))))+1)</f>
        <v>2</v>
      </c>
      <c r="AQ235" s="33" t="s">
        <v>59</v>
      </c>
      <c r="AR235" s="33" t="str">
        <f t="shared" si="22"/>
        <v>Micro</v>
      </c>
      <c r="AS235" s="33">
        <f>'Dados - Cliente'!AH235</f>
        <v>0</v>
      </c>
      <c r="AT235" s="33">
        <f>'Dados - Cliente'!AI235</f>
        <v>0</v>
      </c>
      <c r="AU235" s="33" t="e">
        <f>INDEX('Dados - Placas'!$N:$N,MATCH('1'!AG235,'Dados - Placas'!$D:$D,0))-1</f>
        <v>#N/A</v>
      </c>
      <c r="AV235" s="33" t="e">
        <f>INDEX('Dados - Placas'!$O:$O,MATCH('1'!AG235,'Dados - Placas'!$D:$D,0))</f>
        <v>#N/A</v>
      </c>
      <c r="AW235" s="33" t="e">
        <f>INDEX('Dados - Inversores'!AM:AM,MATCH('1'!AL235,'Dados - Inversores'!$C:$C,0))-1</f>
        <v>#N/A</v>
      </c>
      <c r="AX235" s="33" t="e">
        <f>INDEX('Dados - Inversores'!AN:AN,MATCH('1'!AL235,'Dados - Inversores'!$C:$C,0))-1</f>
        <v>#N/A</v>
      </c>
      <c r="AY235" s="33" t="e">
        <f>MATCH('1'!H235,Dados!$D$89:$D$167,0)+1</f>
        <v>#N/A</v>
      </c>
      <c r="AZ235" s="33" t="e">
        <f>MATCH('1'!N235,'Dados - Solicitação de acesso'!$N$2:$N$8,0)</f>
        <v>#N/A</v>
      </c>
      <c r="BA235" s="33" t="e">
        <f>MATCH('1'!T235,'Dados - Solicitação de acesso'!$T$2:$T$20,0)</f>
        <v>#N/A</v>
      </c>
      <c r="BB235" s="34"/>
      <c r="BC235" s="33">
        <f>MATCH(AT235,'Dados - Solicitação de acesso'!$AT$2:$AT$28,0)</f>
        <v>1</v>
      </c>
      <c r="BD235" s="33" t="b">
        <f>IF(O235="TRIFASICO",INDEX(Dados!G:G,MATCH('1'!AP235,Dados!E:E,0)),IF(O235="BIFASICO",INDEX(Dados!F:F,MATCH('1'!AP235,Dados!E:E,0),)))</f>
        <v>0</v>
      </c>
      <c r="BE235" s="33">
        <f>'Dados - Cliente'!J235</f>
        <v>0</v>
      </c>
      <c r="BF235" s="34">
        <f>INDEX(Dados!$E$2:$E$33,COUNTIF(Dados!$E$2:$E$33,"&lt;="&amp;AN235*1.25*AK235/(0.22*SQRT(INDEX('Dados - Inversores'!AK:AK,MATCH('1'!AL235,'Dados - Inversores'!C:C,0)))))+1)</f>
        <v>2</v>
      </c>
      <c r="BG235" s="34" t="b">
        <f>IF(O235="TRIFASICO",INDEX(Dados!G:G,MATCH(BF235,Dados!E:E,0)),IF(O235="BIFASICO",INDEX(Dados!F:F,MATCH(BF235,Dados!E:E,0),)))</f>
        <v>0</v>
      </c>
    </row>
    <row r="236" spans="1:59" s="33" customFormat="1" x14ac:dyDescent="0.35">
      <c r="A236" s="33">
        <f>'Dados - Cliente'!A236</f>
        <v>0</v>
      </c>
      <c r="B236" s="33">
        <f>'Dados - Cliente'!B236</f>
        <v>0</v>
      </c>
      <c r="C236" s="33">
        <f>'Dados - Cliente'!C236</f>
        <v>0</v>
      </c>
      <c r="D236" s="33">
        <f>'Dados - Cliente'!D236</f>
        <v>0</v>
      </c>
      <c r="E236" s="33">
        <f>'Dados - Cliente'!E236</f>
        <v>0</v>
      </c>
      <c r="F236" s="33">
        <f>'Dados - Cliente'!F236</f>
        <v>0</v>
      </c>
      <c r="G236" s="33">
        <f>'Dados - Cliente'!G236</f>
        <v>0</v>
      </c>
      <c r="H236" s="33">
        <f>'Dados - Cliente'!H236</f>
        <v>0</v>
      </c>
      <c r="I236" s="75" t="s">
        <v>4313</v>
      </c>
      <c r="J236" s="52" t="s">
        <v>4314</v>
      </c>
      <c r="K236" s="52" t="s">
        <v>4314</v>
      </c>
      <c r="L236" s="33">
        <f>'Dados - Cliente'!I236</f>
        <v>0</v>
      </c>
      <c r="M236" s="33">
        <f>'Dados - Cliente'!K236</f>
        <v>0</v>
      </c>
      <c r="N236" s="33">
        <f>'Dados - Cliente'!L236</f>
        <v>0</v>
      </c>
      <c r="O236" s="33">
        <f>'Dados - Cliente'!M236</f>
        <v>0</v>
      </c>
      <c r="P236" s="33">
        <f>'Dados - Cliente'!N236</f>
        <v>0</v>
      </c>
      <c r="Q236" s="33">
        <f>'Dados - Cliente'!O236</f>
        <v>0</v>
      </c>
      <c r="R236" s="33">
        <f>'Dados - Cliente'!P236</f>
        <v>0</v>
      </c>
      <c r="S236" s="33">
        <f>'Dados - Cliente'!Q236</f>
        <v>0</v>
      </c>
      <c r="T236" s="33">
        <f>'Dados - Cliente'!R236</f>
        <v>0</v>
      </c>
      <c r="U236" s="34">
        <f>'Dados - Cliente'!S236</f>
        <v>0</v>
      </c>
      <c r="V236" s="34">
        <f>'Dados - Cliente'!T236</f>
        <v>0</v>
      </c>
      <c r="W236" s="34">
        <f>'Dados - Cliente'!U236</f>
        <v>0</v>
      </c>
      <c r="X236" s="34">
        <f>'Dados - Cliente'!V236</f>
        <v>0</v>
      </c>
      <c r="Y236" s="34">
        <f>'Dados - Cliente'!W236</f>
        <v>0</v>
      </c>
      <c r="Z236" s="34">
        <f>'Dados - Cliente'!X236</f>
        <v>0</v>
      </c>
      <c r="AA236" s="33" t="e">
        <f t="shared" si="21"/>
        <v>#N/A</v>
      </c>
      <c r="AB236" s="33">
        <f>'Dados - Cliente'!Y236</f>
        <v>0</v>
      </c>
      <c r="AC236" s="33">
        <f>'Dados - Cliente'!Z236</f>
        <v>0</v>
      </c>
      <c r="AD236" s="33">
        <f>'Dados - Cliente'!AA236</f>
        <v>0</v>
      </c>
      <c r="AE236" s="33">
        <f>'Dados - Cliente'!AB236</f>
        <v>0</v>
      </c>
      <c r="AF236" s="33">
        <f>'Dados - Cliente'!AC236</f>
        <v>0</v>
      </c>
      <c r="AG236" s="35">
        <f>'Dados - Cliente'!AD236</f>
        <v>0</v>
      </c>
      <c r="AH236" s="33" t="e">
        <f>INDEX('Dados - Placas'!$A:$A,MATCH('1'!AG236,'Dados - Placas'!$D:$D,0))</f>
        <v>#N/A</v>
      </c>
      <c r="AI236" s="35" t="e">
        <f>INDEX('Dados - Placas'!$E:$E,MATCH('1'!AG236,'Dados - Placas'!$D:$D,0))</f>
        <v>#N/A</v>
      </c>
      <c r="AJ236" s="34" t="e">
        <f>INDEX('Dados - Placas'!$F:$F,MATCH('1'!AG236,'Dados - Placas'!$D:$D,0))*AF236</f>
        <v>#N/A</v>
      </c>
      <c r="AK236" s="33">
        <f>'Dados - Cliente'!AE236</f>
        <v>0</v>
      </c>
      <c r="AL236" s="33">
        <f>'Dados - Cliente'!AF236</f>
        <v>0</v>
      </c>
      <c r="AM236" s="36" t="e">
        <f>INDEX('Dados - Inversores'!$A:$A,MATCH('1'!AL236,'Dados - Inversores'!$C:$C,0))</f>
        <v>#N/A</v>
      </c>
      <c r="AN236" s="33">
        <f>'Dados - Cliente'!AG236</f>
        <v>0</v>
      </c>
      <c r="AO236" s="33" t="e">
        <f>AA236*1.25/(0.22*SQRT(INDEX('Dados - Inversores'!AK:AK,MATCH('1'!AL236,'Dados - Inversores'!C:C,0))))</f>
        <v>#N/A</v>
      </c>
      <c r="AP236" s="34">
        <f>INDEX(Dados!$E$2:$E$33,COUNTIF(Dados!$E$2:$E$33,"&lt;="&amp;AN236*1.25/(INDEX('Dados - Inversores'!AL:AL,MATCH('1'!AL236,'Dados - Inversores'!C:C,0))*SQRT(INDEX('Dados - Inversores'!AK:AK,MATCH('1'!AL236,'Dados - Inversores'!C:C,0)))))+1)</f>
        <v>2</v>
      </c>
      <c r="AQ236" s="33" t="s">
        <v>59</v>
      </c>
      <c r="AR236" s="33" t="str">
        <f t="shared" si="22"/>
        <v>Micro</v>
      </c>
      <c r="AS236" s="33">
        <f>'Dados - Cliente'!AH236</f>
        <v>0</v>
      </c>
      <c r="AT236" s="33">
        <f>'Dados - Cliente'!AI236</f>
        <v>0</v>
      </c>
      <c r="AU236" s="33" t="e">
        <f>INDEX('Dados - Placas'!$N:$N,MATCH('1'!AG236,'Dados - Placas'!$D:$D,0))-1</f>
        <v>#N/A</v>
      </c>
      <c r="AV236" s="33" t="e">
        <f>INDEX('Dados - Placas'!$O:$O,MATCH('1'!AG236,'Dados - Placas'!$D:$D,0))</f>
        <v>#N/A</v>
      </c>
      <c r="AW236" s="33" t="e">
        <f>INDEX('Dados - Inversores'!AM:AM,MATCH('1'!AL236,'Dados - Inversores'!$C:$C,0))-1</f>
        <v>#N/A</v>
      </c>
      <c r="AX236" s="33" t="e">
        <f>INDEX('Dados - Inversores'!AN:AN,MATCH('1'!AL236,'Dados - Inversores'!$C:$C,0))-1</f>
        <v>#N/A</v>
      </c>
      <c r="AY236" s="33" t="e">
        <f>MATCH('1'!H236,Dados!$D$89:$D$167,0)+1</f>
        <v>#N/A</v>
      </c>
      <c r="AZ236" s="33" t="e">
        <f>MATCH('1'!N236,'Dados - Solicitação de acesso'!$N$2:$N$8,0)</f>
        <v>#N/A</v>
      </c>
      <c r="BA236" s="33" t="e">
        <f>MATCH('1'!T236,'Dados - Solicitação de acesso'!$T$2:$T$20,0)</f>
        <v>#N/A</v>
      </c>
      <c r="BB236" s="34"/>
      <c r="BC236" s="33">
        <f>MATCH(AT236,'Dados - Solicitação de acesso'!$AT$2:$AT$28,0)</f>
        <v>1</v>
      </c>
      <c r="BD236" s="33" t="b">
        <f>IF(O236="TRIFASICO",INDEX(Dados!G:G,MATCH('1'!AP236,Dados!E:E,0)),IF(O236="BIFASICO",INDEX(Dados!F:F,MATCH('1'!AP236,Dados!E:E,0),)))</f>
        <v>0</v>
      </c>
      <c r="BE236" s="33">
        <f>'Dados - Cliente'!J236</f>
        <v>0</v>
      </c>
      <c r="BF236" s="34">
        <f>INDEX(Dados!$E$2:$E$33,COUNTIF(Dados!$E$2:$E$33,"&lt;="&amp;AN236*1.25*AK236/(0.22*SQRT(INDEX('Dados - Inversores'!AK:AK,MATCH('1'!AL236,'Dados - Inversores'!C:C,0)))))+1)</f>
        <v>2</v>
      </c>
      <c r="BG236" s="34" t="b">
        <f>IF(O236="TRIFASICO",INDEX(Dados!G:G,MATCH(BF236,Dados!E:E,0)),IF(O236="BIFASICO",INDEX(Dados!F:F,MATCH(BF236,Dados!E:E,0),)))</f>
        <v>0</v>
      </c>
    </row>
    <row r="237" spans="1:59" s="33" customFormat="1" x14ac:dyDescent="0.35">
      <c r="A237" s="33">
        <f>'Dados - Cliente'!A237</f>
        <v>0</v>
      </c>
      <c r="B237" s="33">
        <f>'Dados - Cliente'!B237</f>
        <v>0</v>
      </c>
      <c r="C237" s="33">
        <f>'Dados - Cliente'!C237</f>
        <v>0</v>
      </c>
      <c r="D237" s="33">
        <f>'Dados - Cliente'!D237</f>
        <v>0</v>
      </c>
      <c r="E237" s="33">
        <f>'Dados - Cliente'!E237</f>
        <v>0</v>
      </c>
      <c r="F237" s="33">
        <f>'Dados - Cliente'!F237</f>
        <v>0</v>
      </c>
      <c r="G237" s="33">
        <f>'Dados - Cliente'!G237</f>
        <v>0</v>
      </c>
      <c r="H237" s="33">
        <f>'Dados - Cliente'!H237</f>
        <v>0</v>
      </c>
      <c r="I237" s="75" t="s">
        <v>4313</v>
      </c>
      <c r="J237" s="52" t="s">
        <v>4314</v>
      </c>
      <c r="K237" s="52" t="s">
        <v>4314</v>
      </c>
      <c r="L237" s="33">
        <f>'Dados - Cliente'!I237</f>
        <v>0</v>
      </c>
      <c r="M237" s="33">
        <f>'Dados - Cliente'!K237</f>
        <v>0</v>
      </c>
      <c r="N237" s="33">
        <f>'Dados - Cliente'!L237</f>
        <v>0</v>
      </c>
      <c r="O237" s="33">
        <f>'Dados - Cliente'!M237</f>
        <v>0</v>
      </c>
      <c r="P237" s="33">
        <f>'Dados - Cliente'!N237</f>
        <v>0</v>
      </c>
      <c r="Q237" s="33">
        <f>'Dados - Cliente'!O237</f>
        <v>0</v>
      </c>
      <c r="R237" s="33">
        <f>'Dados - Cliente'!P237</f>
        <v>0</v>
      </c>
      <c r="S237" s="33">
        <f>'Dados - Cliente'!Q237</f>
        <v>0</v>
      </c>
      <c r="T237" s="33">
        <f>'Dados - Cliente'!R237</f>
        <v>0</v>
      </c>
      <c r="U237" s="34">
        <f>'Dados - Cliente'!S237</f>
        <v>0</v>
      </c>
      <c r="V237" s="34">
        <f>'Dados - Cliente'!T237</f>
        <v>0</v>
      </c>
      <c r="W237" s="34">
        <f>'Dados - Cliente'!U237</f>
        <v>0</v>
      </c>
      <c r="X237" s="34">
        <f>'Dados - Cliente'!V237</f>
        <v>0</v>
      </c>
      <c r="Y237" s="34">
        <f>'Dados - Cliente'!W237</f>
        <v>0</v>
      </c>
      <c r="Z237" s="34">
        <f>'Dados - Cliente'!X237</f>
        <v>0</v>
      </c>
      <c r="AA237" s="33" t="e">
        <f t="shared" si="21"/>
        <v>#N/A</v>
      </c>
      <c r="AB237" s="33">
        <f>'Dados - Cliente'!Y237</f>
        <v>0</v>
      </c>
      <c r="AC237" s="33">
        <f>'Dados - Cliente'!Z237</f>
        <v>0</v>
      </c>
      <c r="AD237" s="33">
        <f>'Dados - Cliente'!AA237</f>
        <v>0</v>
      </c>
      <c r="AE237" s="33">
        <f>'Dados - Cliente'!AB237</f>
        <v>0</v>
      </c>
      <c r="AF237" s="33">
        <f>'Dados - Cliente'!AC237</f>
        <v>0</v>
      </c>
      <c r="AG237" s="35">
        <f>'Dados - Cliente'!AD237</f>
        <v>0</v>
      </c>
      <c r="AH237" s="33" t="e">
        <f>INDEX('Dados - Placas'!$A:$A,MATCH('1'!AG237,'Dados - Placas'!$D:$D,0))</f>
        <v>#N/A</v>
      </c>
      <c r="AI237" s="35" t="e">
        <f>INDEX('Dados - Placas'!$E:$E,MATCH('1'!AG237,'Dados - Placas'!$D:$D,0))</f>
        <v>#N/A</v>
      </c>
      <c r="AJ237" s="34" t="e">
        <f>INDEX('Dados - Placas'!$F:$F,MATCH('1'!AG237,'Dados - Placas'!$D:$D,0))*AF237</f>
        <v>#N/A</v>
      </c>
      <c r="AK237" s="33">
        <f>'Dados - Cliente'!AE237</f>
        <v>0</v>
      </c>
      <c r="AL237" s="33">
        <f>'Dados - Cliente'!AF237</f>
        <v>0</v>
      </c>
      <c r="AM237" s="36" t="e">
        <f>INDEX('Dados - Inversores'!$A:$A,MATCH('1'!AL237,'Dados - Inversores'!$C:$C,0))</f>
        <v>#N/A</v>
      </c>
      <c r="AN237" s="33">
        <f>'Dados - Cliente'!AG237</f>
        <v>0</v>
      </c>
      <c r="AO237" s="33" t="e">
        <f>AA237*1.25/(0.22*SQRT(INDEX('Dados - Inversores'!AK:AK,MATCH('1'!AL237,'Dados - Inversores'!C:C,0))))</f>
        <v>#N/A</v>
      </c>
      <c r="AP237" s="34">
        <f>INDEX(Dados!$E$2:$E$33,COUNTIF(Dados!$E$2:$E$33,"&lt;="&amp;AN237*1.25/(INDEX('Dados - Inversores'!AL:AL,MATCH('1'!AL237,'Dados - Inversores'!C:C,0))*SQRT(INDEX('Dados - Inversores'!AK:AK,MATCH('1'!AL237,'Dados - Inversores'!C:C,0)))))+1)</f>
        <v>2</v>
      </c>
      <c r="AQ237" s="33" t="s">
        <v>59</v>
      </c>
      <c r="AR237" s="33" t="str">
        <f t="shared" si="22"/>
        <v>Micro</v>
      </c>
      <c r="AS237" s="33">
        <f>'Dados - Cliente'!AH237</f>
        <v>0</v>
      </c>
      <c r="AT237" s="33">
        <f>'Dados - Cliente'!AI237</f>
        <v>0</v>
      </c>
      <c r="AU237" s="33" t="e">
        <f>INDEX('Dados - Placas'!$N:$N,MATCH('1'!AG237,'Dados - Placas'!$D:$D,0))-1</f>
        <v>#N/A</v>
      </c>
      <c r="AV237" s="33" t="e">
        <f>INDEX('Dados - Placas'!$O:$O,MATCH('1'!AG237,'Dados - Placas'!$D:$D,0))</f>
        <v>#N/A</v>
      </c>
      <c r="AW237" s="33" t="e">
        <f>INDEX('Dados - Inversores'!AM:AM,MATCH('1'!AL237,'Dados - Inversores'!$C:$C,0))-1</f>
        <v>#N/A</v>
      </c>
      <c r="AX237" s="33" t="e">
        <f>INDEX('Dados - Inversores'!AN:AN,MATCH('1'!AL237,'Dados - Inversores'!$C:$C,0))-1</f>
        <v>#N/A</v>
      </c>
      <c r="AY237" s="33" t="e">
        <f>MATCH('1'!H237,Dados!$D$89:$D$167,0)+1</f>
        <v>#N/A</v>
      </c>
      <c r="AZ237" s="33" t="e">
        <f>MATCH('1'!N237,'Dados - Solicitação de acesso'!$N$2:$N$8,0)</f>
        <v>#N/A</v>
      </c>
      <c r="BA237" s="33" t="e">
        <f>MATCH('1'!T237,'Dados - Solicitação de acesso'!$T$2:$T$20,0)</f>
        <v>#N/A</v>
      </c>
      <c r="BB237" s="34"/>
      <c r="BC237" s="33">
        <f>MATCH(AT237,'Dados - Solicitação de acesso'!$AT$2:$AT$28,0)</f>
        <v>1</v>
      </c>
      <c r="BD237" s="33" t="b">
        <f>IF(O237="TRIFASICO",INDEX(Dados!G:G,MATCH('1'!AP237,Dados!E:E,0)),IF(O237="BIFASICO",INDEX(Dados!F:F,MATCH('1'!AP237,Dados!E:E,0),)))</f>
        <v>0</v>
      </c>
      <c r="BE237" s="33">
        <f>'Dados - Cliente'!J237</f>
        <v>0</v>
      </c>
      <c r="BF237" s="34">
        <f>INDEX(Dados!$E$2:$E$33,COUNTIF(Dados!$E$2:$E$33,"&lt;="&amp;AN237*1.25*AK237/(0.22*SQRT(INDEX('Dados - Inversores'!AK:AK,MATCH('1'!AL237,'Dados - Inversores'!C:C,0)))))+1)</f>
        <v>2</v>
      </c>
      <c r="BG237" s="34" t="b">
        <f>IF(O237="TRIFASICO",INDEX(Dados!G:G,MATCH(BF237,Dados!E:E,0)),IF(O237="BIFASICO",INDEX(Dados!F:F,MATCH(BF237,Dados!E:E,0),)))</f>
        <v>0</v>
      </c>
    </row>
    <row r="238" spans="1:59" s="33" customFormat="1" x14ac:dyDescent="0.35">
      <c r="A238" s="33">
        <f>'Dados - Cliente'!A238</f>
        <v>0</v>
      </c>
      <c r="B238" s="33">
        <f>'Dados - Cliente'!B238</f>
        <v>0</v>
      </c>
      <c r="C238" s="33">
        <f>'Dados - Cliente'!C238</f>
        <v>0</v>
      </c>
      <c r="D238" s="33">
        <f>'Dados - Cliente'!D238</f>
        <v>0</v>
      </c>
      <c r="E238" s="33">
        <f>'Dados - Cliente'!E238</f>
        <v>0</v>
      </c>
      <c r="F238" s="33">
        <f>'Dados - Cliente'!F238</f>
        <v>0</v>
      </c>
      <c r="G238" s="33">
        <f>'Dados - Cliente'!G238</f>
        <v>0</v>
      </c>
      <c r="H238" s="33">
        <f>'Dados - Cliente'!H238</f>
        <v>0</v>
      </c>
      <c r="I238" s="75" t="s">
        <v>4313</v>
      </c>
      <c r="J238" s="52" t="s">
        <v>4314</v>
      </c>
      <c r="K238" s="52" t="s">
        <v>4314</v>
      </c>
      <c r="L238" s="33">
        <f>'Dados - Cliente'!I238</f>
        <v>0</v>
      </c>
      <c r="M238" s="33">
        <f>'Dados - Cliente'!K238</f>
        <v>0</v>
      </c>
      <c r="N238" s="33">
        <f>'Dados - Cliente'!L238</f>
        <v>0</v>
      </c>
      <c r="O238" s="33">
        <f>'Dados - Cliente'!M238</f>
        <v>0</v>
      </c>
      <c r="P238" s="33">
        <f>'Dados - Cliente'!N238</f>
        <v>0</v>
      </c>
      <c r="Q238" s="33">
        <f>'Dados - Cliente'!O238</f>
        <v>0</v>
      </c>
      <c r="R238" s="33">
        <f>'Dados - Cliente'!P238</f>
        <v>0</v>
      </c>
      <c r="S238" s="33">
        <f>'Dados - Cliente'!Q238</f>
        <v>0</v>
      </c>
      <c r="T238" s="33">
        <f>'Dados - Cliente'!R238</f>
        <v>0</v>
      </c>
      <c r="U238" s="34">
        <f>'Dados - Cliente'!S238</f>
        <v>0</v>
      </c>
      <c r="V238" s="34">
        <f>'Dados - Cliente'!T238</f>
        <v>0</v>
      </c>
      <c r="W238" s="34">
        <f>'Dados - Cliente'!U238</f>
        <v>0</v>
      </c>
      <c r="X238" s="34">
        <f>'Dados - Cliente'!V238</f>
        <v>0</v>
      </c>
      <c r="Y238" s="34">
        <f>'Dados - Cliente'!W238</f>
        <v>0</v>
      </c>
      <c r="Z238" s="34">
        <f>'Dados - Cliente'!X238</f>
        <v>0</v>
      </c>
      <c r="AA238" s="33" t="e">
        <f t="shared" si="21"/>
        <v>#N/A</v>
      </c>
      <c r="AB238" s="33">
        <f>'Dados - Cliente'!Y238</f>
        <v>0</v>
      </c>
      <c r="AC238" s="33">
        <f>'Dados - Cliente'!Z238</f>
        <v>0</v>
      </c>
      <c r="AD238" s="33">
        <f>'Dados - Cliente'!AA238</f>
        <v>0</v>
      </c>
      <c r="AE238" s="33">
        <f>'Dados - Cliente'!AB238</f>
        <v>0</v>
      </c>
      <c r="AF238" s="33">
        <f>'Dados - Cliente'!AC238</f>
        <v>0</v>
      </c>
      <c r="AG238" s="35">
        <f>'Dados - Cliente'!AD238</f>
        <v>0</v>
      </c>
      <c r="AH238" s="33" t="e">
        <f>INDEX('Dados - Placas'!$A:$A,MATCH('1'!AG238,'Dados - Placas'!$D:$D,0))</f>
        <v>#N/A</v>
      </c>
      <c r="AI238" s="35" t="e">
        <f>INDEX('Dados - Placas'!$E:$E,MATCH('1'!AG238,'Dados - Placas'!$D:$D,0))</f>
        <v>#N/A</v>
      </c>
      <c r="AJ238" s="34" t="e">
        <f>INDEX('Dados - Placas'!$F:$F,MATCH('1'!AG238,'Dados - Placas'!$D:$D,0))*AF238</f>
        <v>#N/A</v>
      </c>
      <c r="AK238" s="33">
        <f>'Dados - Cliente'!AE238</f>
        <v>0</v>
      </c>
      <c r="AL238" s="33">
        <f>'Dados - Cliente'!AF238</f>
        <v>0</v>
      </c>
      <c r="AM238" s="36" t="e">
        <f>INDEX('Dados - Inversores'!$A:$A,MATCH('1'!AL238,'Dados - Inversores'!$C:$C,0))</f>
        <v>#N/A</v>
      </c>
      <c r="AN238" s="33">
        <f>'Dados - Cliente'!AG238</f>
        <v>0</v>
      </c>
      <c r="AO238" s="33" t="e">
        <f>AA238*1.25/(0.22*SQRT(INDEX('Dados - Inversores'!AK:AK,MATCH('1'!AL238,'Dados - Inversores'!C:C,0))))</f>
        <v>#N/A</v>
      </c>
      <c r="AP238" s="34">
        <f>INDEX(Dados!$E$2:$E$33,COUNTIF(Dados!$E$2:$E$33,"&lt;="&amp;AN238*1.25/(INDEX('Dados - Inversores'!AL:AL,MATCH('1'!AL238,'Dados - Inversores'!C:C,0))*SQRT(INDEX('Dados - Inversores'!AK:AK,MATCH('1'!AL238,'Dados - Inversores'!C:C,0)))))+1)</f>
        <v>2</v>
      </c>
      <c r="AQ238" s="33" t="s">
        <v>59</v>
      </c>
      <c r="AR238" s="33" t="str">
        <f t="shared" si="22"/>
        <v>Micro</v>
      </c>
      <c r="AS238" s="33">
        <f>'Dados - Cliente'!AH238</f>
        <v>0</v>
      </c>
      <c r="AT238" s="33">
        <f>'Dados - Cliente'!AI238</f>
        <v>0</v>
      </c>
      <c r="AU238" s="33" t="e">
        <f>INDEX('Dados - Placas'!$N:$N,MATCH('1'!AG238,'Dados - Placas'!$D:$D,0))-1</f>
        <v>#N/A</v>
      </c>
      <c r="AV238" s="33" t="e">
        <f>INDEX('Dados - Placas'!$O:$O,MATCH('1'!AG238,'Dados - Placas'!$D:$D,0))</f>
        <v>#N/A</v>
      </c>
      <c r="AW238" s="33" t="e">
        <f>INDEX('Dados - Inversores'!AM:AM,MATCH('1'!AL238,'Dados - Inversores'!$C:$C,0))-1</f>
        <v>#N/A</v>
      </c>
      <c r="AX238" s="33" t="e">
        <f>INDEX('Dados - Inversores'!AN:AN,MATCH('1'!AL238,'Dados - Inversores'!$C:$C,0))-1</f>
        <v>#N/A</v>
      </c>
      <c r="AY238" s="33" t="e">
        <f>MATCH('1'!H238,Dados!$D$89:$D$167,0)+1</f>
        <v>#N/A</v>
      </c>
      <c r="AZ238" s="33" t="e">
        <f>MATCH('1'!N238,'Dados - Solicitação de acesso'!$N$2:$N$8,0)</f>
        <v>#N/A</v>
      </c>
      <c r="BA238" s="33" t="e">
        <f>MATCH('1'!T238,'Dados - Solicitação de acesso'!$T$2:$T$20,0)</f>
        <v>#N/A</v>
      </c>
      <c r="BB238" s="34"/>
      <c r="BC238" s="33">
        <f>MATCH(AT238,'Dados - Solicitação de acesso'!$AT$2:$AT$28,0)</f>
        <v>1</v>
      </c>
      <c r="BD238" s="33" t="b">
        <f>IF(O238="TRIFASICO",INDEX(Dados!G:G,MATCH('1'!AP238,Dados!E:E,0)),IF(O238="BIFASICO",INDEX(Dados!F:F,MATCH('1'!AP238,Dados!E:E,0),)))</f>
        <v>0</v>
      </c>
      <c r="BE238" s="33">
        <f>'Dados - Cliente'!J238</f>
        <v>0</v>
      </c>
      <c r="BF238" s="34">
        <f>INDEX(Dados!$E$2:$E$33,COUNTIF(Dados!$E$2:$E$33,"&lt;="&amp;AN238*1.25*AK238/(0.22*SQRT(INDEX('Dados - Inversores'!AK:AK,MATCH('1'!AL238,'Dados - Inversores'!C:C,0)))))+1)</f>
        <v>2</v>
      </c>
      <c r="BG238" s="34" t="b">
        <f>IF(O238="TRIFASICO",INDEX(Dados!G:G,MATCH(BF238,Dados!E:E,0)),IF(O238="BIFASICO",INDEX(Dados!F:F,MATCH(BF238,Dados!E:E,0),)))</f>
        <v>0</v>
      </c>
    </row>
    <row r="239" spans="1:59" s="33" customFormat="1" x14ac:dyDescent="0.35">
      <c r="A239" s="33">
        <f>'Dados - Cliente'!A239</f>
        <v>0</v>
      </c>
      <c r="B239" s="33">
        <f>'Dados - Cliente'!B239</f>
        <v>0</v>
      </c>
      <c r="C239" s="33">
        <f>'Dados - Cliente'!C239</f>
        <v>0</v>
      </c>
      <c r="D239" s="33">
        <f>'Dados - Cliente'!D239</f>
        <v>0</v>
      </c>
      <c r="E239" s="33">
        <f>'Dados - Cliente'!E239</f>
        <v>0</v>
      </c>
      <c r="F239" s="33">
        <f>'Dados - Cliente'!F239</f>
        <v>0</v>
      </c>
      <c r="G239" s="33">
        <f>'Dados - Cliente'!G239</f>
        <v>0</v>
      </c>
      <c r="H239" s="33">
        <f>'Dados - Cliente'!H239</f>
        <v>0</v>
      </c>
      <c r="I239" s="75" t="s">
        <v>4313</v>
      </c>
      <c r="J239" s="52" t="s">
        <v>4314</v>
      </c>
      <c r="K239" s="52" t="s">
        <v>4314</v>
      </c>
      <c r="L239" s="33">
        <f>'Dados - Cliente'!I239</f>
        <v>0</v>
      </c>
      <c r="M239" s="33">
        <f>'Dados - Cliente'!K239</f>
        <v>0</v>
      </c>
      <c r="N239" s="33">
        <f>'Dados - Cliente'!L239</f>
        <v>0</v>
      </c>
      <c r="O239" s="33">
        <f>'Dados - Cliente'!M239</f>
        <v>0</v>
      </c>
      <c r="P239" s="33">
        <f>'Dados - Cliente'!N239</f>
        <v>0</v>
      </c>
      <c r="Q239" s="33">
        <f>'Dados - Cliente'!O239</f>
        <v>0</v>
      </c>
      <c r="R239" s="33">
        <f>'Dados - Cliente'!P239</f>
        <v>0</v>
      </c>
      <c r="S239" s="33">
        <f>'Dados - Cliente'!Q239</f>
        <v>0</v>
      </c>
      <c r="T239" s="33">
        <f>'Dados - Cliente'!R239</f>
        <v>0</v>
      </c>
      <c r="U239" s="34">
        <f>'Dados - Cliente'!S239</f>
        <v>0</v>
      </c>
      <c r="V239" s="34">
        <f>'Dados - Cliente'!T239</f>
        <v>0</v>
      </c>
      <c r="W239" s="34">
        <f>'Dados - Cliente'!U239</f>
        <v>0</v>
      </c>
      <c r="X239" s="34">
        <f>'Dados - Cliente'!V239</f>
        <v>0</v>
      </c>
      <c r="Y239" s="34">
        <f>'Dados - Cliente'!W239</f>
        <v>0</v>
      </c>
      <c r="Z239" s="34">
        <f>'Dados - Cliente'!X239</f>
        <v>0</v>
      </c>
      <c r="AA239" s="33" t="e">
        <f t="shared" si="21"/>
        <v>#N/A</v>
      </c>
      <c r="AB239" s="33">
        <f>'Dados - Cliente'!Y239</f>
        <v>0</v>
      </c>
      <c r="AC239" s="33">
        <f>'Dados - Cliente'!Z239</f>
        <v>0</v>
      </c>
      <c r="AD239" s="33">
        <f>'Dados - Cliente'!AA239</f>
        <v>0</v>
      </c>
      <c r="AE239" s="33">
        <f>'Dados - Cliente'!AB239</f>
        <v>0</v>
      </c>
      <c r="AF239" s="33">
        <f>'Dados - Cliente'!AC239</f>
        <v>0</v>
      </c>
      <c r="AG239" s="35">
        <f>'Dados - Cliente'!AD239</f>
        <v>0</v>
      </c>
      <c r="AH239" s="33" t="e">
        <f>INDEX('Dados - Placas'!$A:$A,MATCH('1'!AG239,'Dados - Placas'!$D:$D,0))</f>
        <v>#N/A</v>
      </c>
      <c r="AI239" s="35" t="e">
        <f>INDEX('Dados - Placas'!$E:$E,MATCH('1'!AG239,'Dados - Placas'!$D:$D,0))</f>
        <v>#N/A</v>
      </c>
      <c r="AJ239" s="34" t="e">
        <f>INDEX('Dados - Placas'!$F:$F,MATCH('1'!AG239,'Dados - Placas'!$D:$D,0))*AF239</f>
        <v>#N/A</v>
      </c>
      <c r="AK239" s="33">
        <f>'Dados - Cliente'!AE239</f>
        <v>0</v>
      </c>
      <c r="AL239" s="33">
        <f>'Dados - Cliente'!AF239</f>
        <v>0</v>
      </c>
      <c r="AM239" s="36" t="e">
        <f>INDEX('Dados - Inversores'!$A:$A,MATCH('1'!AL239,'Dados - Inversores'!$C:$C,0))</f>
        <v>#N/A</v>
      </c>
      <c r="AN239" s="33">
        <f>'Dados - Cliente'!AG239</f>
        <v>0</v>
      </c>
      <c r="AO239" s="33" t="e">
        <f>AA239*1.25/(0.22*SQRT(INDEX('Dados - Inversores'!AK:AK,MATCH('1'!AL239,'Dados - Inversores'!C:C,0))))</f>
        <v>#N/A</v>
      </c>
      <c r="AP239" s="34">
        <f>INDEX(Dados!$E$2:$E$33,COUNTIF(Dados!$E$2:$E$33,"&lt;="&amp;AN239*1.25/(INDEX('Dados - Inversores'!AL:AL,MATCH('1'!AL239,'Dados - Inversores'!C:C,0))*SQRT(INDEX('Dados - Inversores'!AK:AK,MATCH('1'!AL239,'Dados - Inversores'!C:C,0)))))+1)</f>
        <v>2</v>
      </c>
      <c r="AQ239" s="33" t="s">
        <v>59</v>
      </c>
      <c r="AR239" s="33" t="str">
        <f t="shared" si="22"/>
        <v>Micro</v>
      </c>
      <c r="AS239" s="33">
        <f>'Dados - Cliente'!AH239</f>
        <v>0</v>
      </c>
      <c r="AT239" s="33">
        <f>'Dados - Cliente'!AI239</f>
        <v>0</v>
      </c>
      <c r="AU239" s="33" t="e">
        <f>INDEX('Dados - Placas'!$N:$N,MATCH('1'!AG239,'Dados - Placas'!$D:$D,0))-1</f>
        <v>#N/A</v>
      </c>
      <c r="AV239" s="33" t="e">
        <f>INDEX('Dados - Placas'!$O:$O,MATCH('1'!AG239,'Dados - Placas'!$D:$D,0))</f>
        <v>#N/A</v>
      </c>
      <c r="AW239" s="33" t="e">
        <f>INDEX('Dados - Inversores'!AM:AM,MATCH('1'!AL239,'Dados - Inversores'!$C:$C,0))-1</f>
        <v>#N/A</v>
      </c>
      <c r="AX239" s="33" t="e">
        <f>INDEX('Dados - Inversores'!AN:AN,MATCH('1'!AL239,'Dados - Inversores'!$C:$C,0))-1</f>
        <v>#N/A</v>
      </c>
      <c r="AY239" s="33" t="e">
        <f>MATCH('1'!H239,Dados!$D$89:$D$167,0)+1</f>
        <v>#N/A</v>
      </c>
      <c r="AZ239" s="33" t="e">
        <f>MATCH('1'!N239,'Dados - Solicitação de acesso'!$N$2:$N$8,0)</f>
        <v>#N/A</v>
      </c>
      <c r="BA239" s="33" t="e">
        <f>MATCH('1'!T239,'Dados - Solicitação de acesso'!$T$2:$T$20,0)</f>
        <v>#N/A</v>
      </c>
      <c r="BB239" s="34"/>
      <c r="BC239" s="33">
        <f>MATCH(AT239,'Dados - Solicitação de acesso'!$AT$2:$AT$28,0)</f>
        <v>1</v>
      </c>
      <c r="BD239" s="33" t="b">
        <f>IF(O239="TRIFASICO",INDEX(Dados!G:G,MATCH('1'!AP239,Dados!E:E,0)),IF(O239="BIFASICO",INDEX(Dados!F:F,MATCH('1'!AP239,Dados!E:E,0),)))</f>
        <v>0</v>
      </c>
      <c r="BE239" s="33">
        <f>'Dados - Cliente'!J239</f>
        <v>0</v>
      </c>
      <c r="BF239" s="34">
        <f>INDEX(Dados!$E$2:$E$33,COUNTIF(Dados!$E$2:$E$33,"&lt;="&amp;AN239*1.25*AK239/(0.22*SQRT(INDEX('Dados - Inversores'!AK:AK,MATCH('1'!AL239,'Dados - Inversores'!C:C,0)))))+1)</f>
        <v>2</v>
      </c>
      <c r="BG239" s="34" t="b">
        <f>IF(O239="TRIFASICO",INDEX(Dados!G:G,MATCH(BF239,Dados!E:E,0)),IF(O239="BIFASICO",INDEX(Dados!F:F,MATCH(BF239,Dados!E:E,0),)))</f>
        <v>0</v>
      </c>
    </row>
    <row r="240" spans="1:59" s="33" customFormat="1" x14ac:dyDescent="0.35">
      <c r="A240" s="33">
        <f>'Dados - Cliente'!A240</f>
        <v>0</v>
      </c>
      <c r="B240" s="33">
        <f>'Dados - Cliente'!B240</f>
        <v>0</v>
      </c>
      <c r="C240" s="33">
        <f>'Dados - Cliente'!C240</f>
        <v>0</v>
      </c>
      <c r="D240" s="33">
        <f>'Dados - Cliente'!D240</f>
        <v>0</v>
      </c>
      <c r="E240" s="33">
        <f>'Dados - Cliente'!E240</f>
        <v>0</v>
      </c>
      <c r="F240" s="33">
        <f>'Dados - Cliente'!F240</f>
        <v>0</v>
      </c>
      <c r="G240" s="33">
        <f>'Dados - Cliente'!G240</f>
        <v>0</v>
      </c>
      <c r="H240" s="33">
        <f>'Dados - Cliente'!H240</f>
        <v>0</v>
      </c>
      <c r="I240" s="75" t="s">
        <v>4313</v>
      </c>
      <c r="J240" s="52" t="s">
        <v>4314</v>
      </c>
      <c r="K240" s="52" t="s">
        <v>4314</v>
      </c>
      <c r="L240" s="33">
        <f>'Dados - Cliente'!I240</f>
        <v>0</v>
      </c>
      <c r="M240" s="33">
        <f>'Dados - Cliente'!K240</f>
        <v>0</v>
      </c>
      <c r="N240" s="33">
        <f>'Dados - Cliente'!L240</f>
        <v>0</v>
      </c>
      <c r="O240" s="33">
        <f>'Dados - Cliente'!M240</f>
        <v>0</v>
      </c>
      <c r="P240" s="33">
        <f>'Dados - Cliente'!N240</f>
        <v>0</v>
      </c>
      <c r="Q240" s="33">
        <f>'Dados - Cliente'!O240</f>
        <v>0</v>
      </c>
      <c r="R240" s="33">
        <f>'Dados - Cliente'!P240</f>
        <v>0</v>
      </c>
      <c r="S240" s="33">
        <f>'Dados - Cliente'!Q240</f>
        <v>0</v>
      </c>
      <c r="T240" s="33">
        <f>'Dados - Cliente'!R240</f>
        <v>0</v>
      </c>
      <c r="U240" s="34">
        <f>'Dados - Cliente'!S240</f>
        <v>0</v>
      </c>
      <c r="V240" s="34">
        <f>'Dados - Cliente'!T240</f>
        <v>0</v>
      </c>
      <c r="W240" s="34">
        <f>'Dados - Cliente'!U240</f>
        <v>0</v>
      </c>
      <c r="X240" s="34">
        <f>'Dados - Cliente'!V240</f>
        <v>0</v>
      </c>
      <c r="Y240" s="34">
        <f>'Dados - Cliente'!W240</f>
        <v>0</v>
      </c>
      <c r="Z240" s="34">
        <f>'Dados - Cliente'!X240</f>
        <v>0</v>
      </c>
      <c r="AA240" s="33" t="e">
        <f t="shared" si="21"/>
        <v>#N/A</v>
      </c>
      <c r="AB240" s="33">
        <f>'Dados - Cliente'!Y240</f>
        <v>0</v>
      </c>
      <c r="AC240" s="33">
        <f>'Dados - Cliente'!Z240</f>
        <v>0</v>
      </c>
      <c r="AD240" s="33">
        <f>'Dados - Cliente'!AA240</f>
        <v>0</v>
      </c>
      <c r="AE240" s="33">
        <f>'Dados - Cliente'!AB240</f>
        <v>0</v>
      </c>
      <c r="AF240" s="33">
        <f>'Dados - Cliente'!AC240</f>
        <v>0</v>
      </c>
      <c r="AG240" s="35">
        <f>'Dados - Cliente'!AD240</f>
        <v>0</v>
      </c>
      <c r="AH240" s="33" t="e">
        <f>INDEX('Dados - Placas'!$A:$A,MATCH('1'!AG240,'Dados - Placas'!$D:$D,0))</f>
        <v>#N/A</v>
      </c>
      <c r="AI240" s="35" t="e">
        <f>INDEX('Dados - Placas'!$E:$E,MATCH('1'!AG240,'Dados - Placas'!$D:$D,0))</f>
        <v>#N/A</v>
      </c>
      <c r="AJ240" s="34" t="e">
        <f>INDEX('Dados - Placas'!$F:$F,MATCH('1'!AG240,'Dados - Placas'!$D:$D,0))*AF240</f>
        <v>#N/A</v>
      </c>
      <c r="AK240" s="33">
        <f>'Dados - Cliente'!AE240</f>
        <v>0</v>
      </c>
      <c r="AL240" s="33">
        <f>'Dados - Cliente'!AF240</f>
        <v>0</v>
      </c>
      <c r="AM240" s="36" t="e">
        <f>INDEX('Dados - Inversores'!$A:$A,MATCH('1'!AL240,'Dados - Inversores'!$C:$C,0))</f>
        <v>#N/A</v>
      </c>
      <c r="AN240" s="33">
        <f>'Dados - Cliente'!AG240</f>
        <v>0</v>
      </c>
      <c r="AO240" s="33" t="e">
        <f>AA240*1.25/(0.22*SQRT(INDEX('Dados - Inversores'!AK:AK,MATCH('1'!AL240,'Dados - Inversores'!C:C,0))))</f>
        <v>#N/A</v>
      </c>
      <c r="AP240" s="34">
        <f>INDEX(Dados!$E$2:$E$33,COUNTIF(Dados!$E$2:$E$33,"&lt;="&amp;AN240*1.25/(INDEX('Dados - Inversores'!AL:AL,MATCH('1'!AL240,'Dados - Inversores'!C:C,0))*SQRT(INDEX('Dados - Inversores'!AK:AK,MATCH('1'!AL240,'Dados - Inversores'!C:C,0)))))+1)</f>
        <v>2</v>
      </c>
      <c r="AQ240" s="33" t="s">
        <v>59</v>
      </c>
      <c r="AR240" s="33" t="str">
        <f t="shared" si="22"/>
        <v>Micro</v>
      </c>
      <c r="AS240" s="33">
        <f>'Dados - Cliente'!AH240</f>
        <v>0</v>
      </c>
      <c r="AT240" s="33">
        <f>'Dados - Cliente'!AI240</f>
        <v>0</v>
      </c>
      <c r="AU240" s="33" t="e">
        <f>INDEX('Dados - Placas'!$N:$N,MATCH('1'!AG240,'Dados - Placas'!$D:$D,0))-1</f>
        <v>#N/A</v>
      </c>
      <c r="AV240" s="33" t="e">
        <f>INDEX('Dados - Placas'!$O:$O,MATCH('1'!AG240,'Dados - Placas'!$D:$D,0))</f>
        <v>#N/A</v>
      </c>
      <c r="AW240" s="33" t="e">
        <f>INDEX('Dados - Inversores'!AM:AM,MATCH('1'!AL240,'Dados - Inversores'!$C:$C,0))-1</f>
        <v>#N/A</v>
      </c>
      <c r="AX240" s="33" t="e">
        <f>INDEX('Dados - Inversores'!AN:AN,MATCH('1'!AL240,'Dados - Inversores'!$C:$C,0))-1</f>
        <v>#N/A</v>
      </c>
      <c r="AY240" s="33" t="e">
        <f>MATCH('1'!H240,Dados!$D$89:$D$167,0)+1</f>
        <v>#N/A</v>
      </c>
      <c r="AZ240" s="33" t="e">
        <f>MATCH('1'!N240,'Dados - Solicitação de acesso'!$N$2:$N$8,0)</f>
        <v>#N/A</v>
      </c>
      <c r="BA240" s="33" t="e">
        <f>MATCH('1'!T240,'Dados - Solicitação de acesso'!$T$2:$T$20,0)</f>
        <v>#N/A</v>
      </c>
      <c r="BB240" s="34"/>
      <c r="BC240" s="33">
        <f>MATCH(AT240,'Dados - Solicitação de acesso'!$AT$2:$AT$28,0)</f>
        <v>1</v>
      </c>
      <c r="BD240" s="33" t="b">
        <f>IF(O240="TRIFASICO",INDEX(Dados!G:G,MATCH('1'!AP240,Dados!E:E,0)),IF(O240="BIFASICO",INDEX(Dados!F:F,MATCH('1'!AP240,Dados!E:E,0),)))</f>
        <v>0</v>
      </c>
      <c r="BE240" s="33">
        <f>'Dados - Cliente'!J240</f>
        <v>0</v>
      </c>
      <c r="BF240" s="34">
        <f>INDEX(Dados!$E$2:$E$33,COUNTIF(Dados!$E$2:$E$33,"&lt;="&amp;AN240*1.25*AK240/(0.22*SQRT(INDEX('Dados - Inversores'!AK:AK,MATCH('1'!AL240,'Dados - Inversores'!C:C,0)))))+1)</f>
        <v>2</v>
      </c>
      <c r="BG240" s="34" t="b">
        <f>IF(O240="TRIFASICO",INDEX(Dados!G:G,MATCH(BF240,Dados!E:E,0)),IF(O240="BIFASICO",INDEX(Dados!F:F,MATCH(BF240,Dados!E:E,0),)))</f>
        <v>0</v>
      </c>
    </row>
    <row r="241" spans="1:59" s="33" customFormat="1" x14ac:dyDescent="0.35">
      <c r="A241" s="33">
        <f>'Dados - Cliente'!A241</f>
        <v>0</v>
      </c>
      <c r="B241" s="33">
        <f>'Dados - Cliente'!B241</f>
        <v>0</v>
      </c>
      <c r="C241" s="33">
        <f>'Dados - Cliente'!C241</f>
        <v>0</v>
      </c>
      <c r="D241" s="33">
        <f>'Dados - Cliente'!D241</f>
        <v>0</v>
      </c>
      <c r="E241" s="33">
        <f>'Dados - Cliente'!E241</f>
        <v>0</v>
      </c>
      <c r="F241" s="33">
        <f>'Dados - Cliente'!F241</f>
        <v>0</v>
      </c>
      <c r="G241" s="33">
        <f>'Dados - Cliente'!G241</f>
        <v>0</v>
      </c>
      <c r="H241" s="33">
        <f>'Dados - Cliente'!H241</f>
        <v>0</v>
      </c>
      <c r="I241" s="75" t="s">
        <v>4313</v>
      </c>
      <c r="J241" s="52" t="s">
        <v>4314</v>
      </c>
      <c r="K241" s="52" t="s">
        <v>4314</v>
      </c>
      <c r="L241" s="33">
        <f>'Dados - Cliente'!I241</f>
        <v>0</v>
      </c>
      <c r="M241" s="33">
        <f>'Dados - Cliente'!K241</f>
        <v>0</v>
      </c>
      <c r="N241" s="33">
        <f>'Dados - Cliente'!L241</f>
        <v>0</v>
      </c>
      <c r="O241" s="33">
        <f>'Dados - Cliente'!M241</f>
        <v>0</v>
      </c>
      <c r="P241" s="33">
        <f>'Dados - Cliente'!N241</f>
        <v>0</v>
      </c>
      <c r="Q241" s="33">
        <f>'Dados - Cliente'!O241</f>
        <v>0</v>
      </c>
      <c r="R241" s="33">
        <f>'Dados - Cliente'!P241</f>
        <v>0</v>
      </c>
      <c r="S241" s="33">
        <f>'Dados - Cliente'!Q241</f>
        <v>0</v>
      </c>
      <c r="T241" s="33">
        <f>'Dados - Cliente'!R241</f>
        <v>0</v>
      </c>
      <c r="U241" s="34">
        <f>'Dados - Cliente'!S241</f>
        <v>0</v>
      </c>
      <c r="V241" s="34">
        <f>'Dados - Cliente'!T241</f>
        <v>0</v>
      </c>
      <c r="W241" s="34">
        <f>'Dados - Cliente'!U241</f>
        <v>0</v>
      </c>
      <c r="X241" s="34">
        <f>'Dados - Cliente'!V241</f>
        <v>0</v>
      </c>
      <c r="Y241" s="34">
        <f>'Dados - Cliente'!W241</f>
        <v>0</v>
      </c>
      <c r="Z241" s="34">
        <f>'Dados - Cliente'!X241</f>
        <v>0</v>
      </c>
      <c r="AA241" s="33" t="e">
        <f t="shared" si="21"/>
        <v>#N/A</v>
      </c>
      <c r="AB241" s="33">
        <f>'Dados - Cliente'!Y241</f>
        <v>0</v>
      </c>
      <c r="AC241" s="33">
        <f>'Dados - Cliente'!Z241</f>
        <v>0</v>
      </c>
      <c r="AD241" s="33">
        <f>'Dados - Cliente'!AA241</f>
        <v>0</v>
      </c>
      <c r="AE241" s="33">
        <f>'Dados - Cliente'!AB241</f>
        <v>0</v>
      </c>
      <c r="AF241" s="33">
        <f>'Dados - Cliente'!AC241</f>
        <v>0</v>
      </c>
      <c r="AG241" s="35">
        <f>'Dados - Cliente'!AD241</f>
        <v>0</v>
      </c>
      <c r="AH241" s="33" t="e">
        <f>INDEX('Dados - Placas'!$A:$A,MATCH('1'!AG241,'Dados - Placas'!$D:$D,0))</f>
        <v>#N/A</v>
      </c>
      <c r="AI241" s="35" t="e">
        <f>INDEX('Dados - Placas'!$E:$E,MATCH('1'!AG241,'Dados - Placas'!$D:$D,0))</f>
        <v>#N/A</v>
      </c>
      <c r="AJ241" s="34" t="e">
        <f>INDEX('Dados - Placas'!$F:$F,MATCH('1'!AG241,'Dados - Placas'!$D:$D,0))*AF241</f>
        <v>#N/A</v>
      </c>
      <c r="AK241" s="33">
        <f>'Dados - Cliente'!AE241</f>
        <v>0</v>
      </c>
      <c r="AL241" s="33">
        <f>'Dados - Cliente'!AF241</f>
        <v>0</v>
      </c>
      <c r="AM241" s="36" t="e">
        <f>INDEX('Dados - Inversores'!$A:$A,MATCH('1'!AL241,'Dados - Inversores'!$C:$C,0))</f>
        <v>#N/A</v>
      </c>
      <c r="AN241" s="33">
        <f>'Dados - Cliente'!AG241</f>
        <v>0</v>
      </c>
      <c r="AO241" s="33" t="e">
        <f>AA241*1.25/(0.22*SQRT(INDEX('Dados - Inversores'!AK:AK,MATCH('1'!AL241,'Dados - Inversores'!C:C,0))))</f>
        <v>#N/A</v>
      </c>
      <c r="AP241" s="34">
        <f>INDEX(Dados!$E$2:$E$33,COUNTIF(Dados!$E$2:$E$33,"&lt;="&amp;AN241*1.25/(INDEX('Dados - Inversores'!AL:AL,MATCH('1'!AL241,'Dados - Inversores'!C:C,0))*SQRT(INDEX('Dados - Inversores'!AK:AK,MATCH('1'!AL241,'Dados - Inversores'!C:C,0)))))+1)</f>
        <v>2</v>
      </c>
      <c r="AQ241" s="33" t="s">
        <v>59</v>
      </c>
      <c r="AR241" s="33" t="str">
        <f t="shared" si="22"/>
        <v>Micro</v>
      </c>
      <c r="AS241" s="33">
        <f>'Dados - Cliente'!AH241</f>
        <v>0</v>
      </c>
      <c r="AT241" s="33">
        <f>'Dados - Cliente'!AI241</f>
        <v>0</v>
      </c>
      <c r="AU241" s="33" t="e">
        <f>INDEX('Dados - Placas'!$N:$N,MATCH('1'!AG241,'Dados - Placas'!$D:$D,0))-1</f>
        <v>#N/A</v>
      </c>
      <c r="AV241" s="33" t="e">
        <f>INDEX('Dados - Placas'!$O:$O,MATCH('1'!AG241,'Dados - Placas'!$D:$D,0))</f>
        <v>#N/A</v>
      </c>
      <c r="AW241" s="33" t="e">
        <f>INDEX('Dados - Inversores'!AM:AM,MATCH('1'!AL241,'Dados - Inversores'!$C:$C,0))-1</f>
        <v>#N/A</v>
      </c>
      <c r="AX241" s="33" t="e">
        <f>INDEX('Dados - Inversores'!AN:AN,MATCH('1'!AL241,'Dados - Inversores'!$C:$C,0))-1</f>
        <v>#N/A</v>
      </c>
      <c r="AY241" s="33" t="e">
        <f>MATCH('1'!H241,Dados!$D$89:$D$167,0)+1</f>
        <v>#N/A</v>
      </c>
      <c r="AZ241" s="33" t="e">
        <f>MATCH('1'!N241,'Dados - Solicitação de acesso'!$N$2:$N$8,0)</f>
        <v>#N/A</v>
      </c>
      <c r="BA241" s="33" t="e">
        <f>MATCH('1'!T241,'Dados - Solicitação de acesso'!$T$2:$T$20,0)</f>
        <v>#N/A</v>
      </c>
      <c r="BB241" s="34"/>
      <c r="BC241" s="33">
        <f>MATCH(AT241,'Dados - Solicitação de acesso'!$AT$2:$AT$28,0)</f>
        <v>1</v>
      </c>
      <c r="BD241" s="33" t="b">
        <f>IF(O241="TRIFASICO",INDEX(Dados!G:G,MATCH('1'!AP241,Dados!E:E,0)),IF(O241="BIFASICO",INDEX(Dados!F:F,MATCH('1'!AP241,Dados!E:E,0),)))</f>
        <v>0</v>
      </c>
      <c r="BE241" s="33">
        <f>'Dados - Cliente'!J241</f>
        <v>0</v>
      </c>
      <c r="BF241" s="34">
        <f>INDEX(Dados!$E$2:$E$33,COUNTIF(Dados!$E$2:$E$33,"&lt;="&amp;AN241*1.25*AK241/(0.22*SQRT(INDEX('Dados - Inversores'!AK:AK,MATCH('1'!AL241,'Dados - Inversores'!C:C,0)))))+1)</f>
        <v>2</v>
      </c>
      <c r="BG241" s="34" t="b">
        <f>IF(O241="TRIFASICO",INDEX(Dados!G:G,MATCH(BF241,Dados!E:E,0)),IF(O241="BIFASICO",INDEX(Dados!F:F,MATCH(BF241,Dados!E:E,0),)))</f>
        <v>0</v>
      </c>
    </row>
    <row r="242" spans="1:59" s="33" customFormat="1" x14ac:dyDescent="0.35">
      <c r="A242" s="33">
        <f>'Dados - Cliente'!A242</f>
        <v>0</v>
      </c>
      <c r="B242" s="33">
        <f>'Dados - Cliente'!B242</f>
        <v>0</v>
      </c>
      <c r="C242" s="33">
        <f>'Dados - Cliente'!C242</f>
        <v>0</v>
      </c>
      <c r="D242" s="33">
        <f>'Dados - Cliente'!D242</f>
        <v>0</v>
      </c>
      <c r="E242" s="33">
        <f>'Dados - Cliente'!E242</f>
        <v>0</v>
      </c>
      <c r="F242" s="33">
        <f>'Dados - Cliente'!F242</f>
        <v>0</v>
      </c>
      <c r="G242" s="33">
        <f>'Dados - Cliente'!G242</f>
        <v>0</v>
      </c>
      <c r="H242" s="33">
        <f>'Dados - Cliente'!H242</f>
        <v>0</v>
      </c>
      <c r="I242" s="75" t="s">
        <v>4313</v>
      </c>
      <c r="J242" s="52" t="s">
        <v>4314</v>
      </c>
      <c r="K242" s="52" t="s">
        <v>4314</v>
      </c>
      <c r="L242" s="33">
        <f>'Dados - Cliente'!I242</f>
        <v>0</v>
      </c>
      <c r="M242" s="33">
        <f>'Dados - Cliente'!K242</f>
        <v>0</v>
      </c>
      <c r="N242" s="33">
        <f>'Dados - Cliente'!L242</f>
        <v>0</v>
      </c>
      <c r="O242" s="33">
        <f>'Dados - Cliente'!M242</f>
        <v>0</v>
      </c>
      <c r="P242" s="33">
        <f>'Dados - Cliente'!N242</f>
        <v>0</v>
      </c>
      <c r="Q242" s="33">
        <f>'Dados - Cliente'!O242</f>
        <v>0</v>
      </c>
      <c r="R242" s="33">
        <f>'Dados - Cliente'!P242</f>
        <v>0</v>
      </c>
      <c r="S242" s="33">
        <f>'Dados - Cliente'!Q242</f>
        <v>0</v>
      </c>
      <c r="T242" s="33">
        <f>'Dados - Cliente'!R242</f>
        <v>0</v>
      </c>
      <c r="U242" s="34">
        <f>'Dados - Cliente'!S242</f>
        <v>0</v>
      </c>
      <c r="V242" s="34">
        <f>'Dados - Cliente'!T242</f>
        <v>0</v>
      </c>
      <c r="W242" s="34">
        <f>'Dados - Cliente'!U242</f>
        <v>0</v>
      </c>
      <c r="X242" s="34">
        <f>'Dados - Cliente'!V242</f>
        <v>0</v>
      </c>
      <c r="Y242" s="34">
        <f>'Dados - Cliente'!W242</f>
        <v>0</v>
      </c>
      <c r="Z242" s="34">
        <f>'Dados - Cliente'!X242</f>
        <v>0</v>
      </c>
      <c r="AA242" s="33" t="e">
        <f t="shared" si="21"/>
        <v>#N/A</v>
      </c>
      <c r="AB242" s="33">
        <f>'Dados - Cliente'!Y242</f>
        <v>0</v>
      </c>
      <c r="AC242" s="33">
        <f>'Dados - Cliente'!Z242</f>
        <v>0</v>
      </c>
      <c r="AD242" s="33">
        <f>'Dados - Cliente'!AA242</f>
        <v>0</v>
      </c>
      <c r="AE242" s="33">
        <f>'Dados - Cliente'!AB242</f>
        <v>0</v>
      </c>
      <c r="AF242" s="33">
        <f>'Dados - Cliente'!AC242</f>
        <v>0</v>
      </c>
      <c r="AG242" s="35">
        <f>'Dados - Cliente'!AD242</f>
        <v>0</v>
      </c>
      <c r="AH242" s="33" t="e">
        <f>INDEX('Dados - Placas'!$A:$A,MATCH('1'!AG242,'Dados - Placas'!$D:$D,0))</f>
        <v>#N/A</v>
      </c>
      <c r="AI242" s="35" t="e">
        <f>INDEX('Dados - Placas'!$E:$E,MATCH('1'!AG242,'Dados - Placas'!$D:$D,0))</f>
        <v>#N/A</v>
      </c>
      <c r="AJ242" s="34" t="e">
        <f>INDEX('Dados - Placas'!$F:$F,MATCH('1'!AG242,'Dados - Placas'!$D:$D,0))*AF242</f>
        <v>#N/A</v>
      </c>
      <c r="AK242" s="33">
        <f>'Dados - Cliente'!AE242</f>
        <v>0</v>
      </c>
      <c r="AL242" s="33">
        <f>'Dados - Cliente'!AF242</f>
        <v>0</v>
      </c>
      <c r="AM242" s="36" t="e">
        <f>INDEX('Dados - Inversores'!$A:$A,MATCH('1'!AL242,'Dados - Inversores'!$C:$C,0))</f>
        <v>#N/A</v>
      </c>
      <c r="AN242" s="33">
        <f>'Dados - Cliente'!AG242</f>
        <v>0</v>
      </c>
      <c r="AO242" s="33" t="e">
        <f>AA242*1.25/(0.22*SQRT(INDEX('Dados - Inversores'!AK:AK,MATCH('1'!AL242,'Dados - Inversores'!C:C,0))))</f>
        <v>#N/A</v>
      </c>
      <c r="AP242" s="34">
        <f>INDEX(Dados!$E$2:$E$33,COUNTIF(Dados!$E$2:$E$33,"&lt;="&amp;AN242*1.25/(INDEX('Dados - Inversores'!AL:AL,MATCH('1'!AL242,'Dados - Inversores'!C:C,0))*SQRT(INDEX('Dados - Inversores'!AK:AK,MATCH('1'!AL242,'Dados - Inversores'!C:C,0)))))+1)</f>
        <v>2</v>
      </c>
      <c r="AQ242" s="33" t="s">
        <v>59</v>
      </c>
      <c r="AR242" s="33" t="str">
        <f t="shared" si="22"/>
        <v>Micro</v>
      </c>
      <c r="AS242" s="33">
        <f>'Dados - Cliente'!AH242</f>
        <v>0</v>
      </c>
      <c r="AT242" s="33">
        <f>'Dados - Cliente'!AI242</f>
        <v>0</v>
      </c>
      <c r="AU242" s="33" t="e">
        <f>INDEX('Dados - Placas'!$N:$N,MATCH('1'!AG242,'Dados - Placas'!$D:$D,0))-1</f>
        <v>#N/A</v>
      </c>
      <c r="AV242" s="33" t="e">
        <f>INDEX('Dados - Placas'!$O:$O,MATCH('1'!AG242,'Dados - Placas'!$D:$D,0))</f>
        <v>#N/A</v>
      </c>
      <c r="AW242" s="33" t="e">
        <f>INDEX('Dados - Inversores'!AM:AM,MATCH('1'!AL242,'Dados - Inversores'!$C:$C,0))-1</f>
        <v>#N/A</v>
      </c>
      <c r="AX242" s="33" t="e">
        <f>INDEX('Dados - Inversores'!AN:AN,MATCH('1'!AL242,'Dados - Inversores'!$C:$C,0))-1</f>
        <v>#N/A</v>
      </c>
      <c r="AY242" s="33" t="e">
        <f>MATCH('1'!H242,Dados!$D$89:$D$167,0)+1</f>
        <v>#N/A</v>
      </c>
      <c r="AZ242" s="33" t="e">
        <f>MATCH('1'!N242,'Dados - Solicitação de acesso'!$N$2:$N$8,0)</f>
        <v>#N/A</v>
      </c>
      <c r="BA242" s="33" t="e">
        <f>MATCH('1'!T242,'Dados - Solicitação de acesso'!$T$2:$T$20,0)</f>
        <v>#N/A</v>
      </c>
      <c r="BB242" s="34"/>
      <c r="BC242" s="33">
        <f>MATCH(AT242,'Dados - Solicitação de acesso'!$AT$2:$AT$28,0)</f>
        <v>1</v>
      </c>
      <c r="BD242" s="33" t="b">
        <f>IF(O242="TRIFASICO",INDEX(Dados!G:G,MATCH('1'!AP242,Dados!E:E,0)),IF(O242="BIFASICO",INDEX(Dados!F:F,MATCH('1'!AP242,Dados!E:E,0),)))</f>
        <v>0</v>
      </c>
      <c r="BE242" s="33">
        <f>'Dados - Cliente'!J242</f>
        <v>0</v>
      </c>
      <c r="BF242" s="34">
        <f>INDEX(Dados!$E$2:$E$33,COUNTIF(Dados!$E$2:$E$33,"&lt;="&amp;AN242*1.25*AK242/(0.22*SQRT(INDEX('Dados - Inversores'!AK:AK,MATCH('1'!AL242,'Dados - Inversores'!C:C,0)))))+1)</f>
        <v>2</v>
      </c>
      <c r="BG242" s="34" t="b">
        <f>IF(O242="TRIFASICO",INDEX(Dados!G:G,MATCH(BF242,Dados!E:E,0)),IF(O242="BIFASICO",INDEX(Dados!F:F,MATCH(BF242,Dados!E:E,0),)))</f>
        <v>0</v>
      </c>
    </row>
    <row r="243" spans="1:59" x14ac:dyDescent="0.35">
      <c r="A243" s="33">
        <f>'Dados - Cliente'!A243</f>
        <v>0</v>
      </c>
      <c r="B243" s="33">
        <f>'Dados - Cliente'!B243</f>
        <v>0</v>
      </c>
      <c r="C243" s="33">
        <f>'Dados - Cliente'!C243</f>
        <v>0</v>
      </c>
      <c r="D243" s="33">
        <f>'Dados - Cliente'!D243</f>
        <v>0</v>
      </c>
      <c r="E243" s="33">
        <f>'Dados - Cliente'!E243</f>
        <v>0</v>
      </c>
      <c r="F243" s="33">
        <f>'Dados - Cliente'!F243</f>
        <v>0</v>
      </c>
      <c r="G243" s="33">
        <f>'Dados - Cliente'!G243</f>
        <v>0</v>
      </c>
      <c r="H243" s="33">
        <f>'Dados - Cliente'!H243</f>
        <v>0</v>
      </c>
      <c r="I243" s="75" t="s">
        <v>4313</v>
      </c>
      <c r="J243" s="52" t="s">
        <v>4314</v>
      </c>
      <c r="K243" s="52" t="s">
        <v>4314</v>
      </c>
      <c r="L243" s="33">
        <f>'Dados - Cliente'!I243</f>
        <v>0</v>
      </c>
      <c r="M243" s="33">
        <f>'Dados - Cliente'!K243</f>
        <v>0</v>
      </c>
      <c r="N243" s="33">
        <f>'Dados - Cliente'!L243</f>
        <v>0</v>
      </c>
      <c r="O243" s="33">
        <f>'Dados - Cliente'!M243</f>
        <v>0</v>
      </c>
      <c r="P243" s="33">
        <f>'Dados - Cliente'!N243</f>
        <v>0</v>
      </c>
      <c r="Q243" s="33">
        <f>'Dados - Cliente'!O243</f>
        <v>0</v>
      </c>
      <c r="R243" s="33">
        <f>'Dados - Cliente'!P243</f>
        <v>0</v>
      </c>
      <c r="S243" s="33">
        <f>'Dados - Cliente'!Q243</f>
        <v>0</v>
      </c>
      <c r="T243" s="33">
        <f>'Dados - Cliente'!R243</f>
        <v>0</v>
      </c>
      <c r="U243" s="34">
        <f>'Dados - Cliente'!S243</f>
        <v>0</v>
      </c>
      <c r="V243" s="34">
        <f>'Dados - Cliente'!T243</f>
        <v>0</v>
      </c>
      <c r="W243" s="34">
        <f>'Dados - Cliente'!U243</f>
        <v>0</v>
      </c>
      <c r="X243" s="34">
        <f>'Dados - Cliente'!V243</f>
        <v>0</v>
      </c>
      <c r="Y243" s="34">
        <f>'Dados - Cliente'!W243</f>
        <v>0</v>
      </c>
      <c r="Z243" s="34">
        <f>'Dados - Cliente'!X243</f>
        <v>0</v>
      </c>
      <c r="AA243" s="33" t="e">
        <f t="shared" ref="AA243:AA306" si="23">AI243*AF243</f>
        <v>#N/A</v>
      </c>
      <c r="AB243" s="33">
        <f>'Dados - Cliente'!Y243</f>
        <v>0</v>
      </c>
      <c r="AC243" s="33">
        <f>'Dados - Cliente'!Z243</f>
        <v>0</v>
      </c>
      <c r="AD243" s="33">
        <f>'Dados - Cliente'!AA243</f>
        <v>0</v>
      </c>
      <c r="AE243" s="33">
        <f>'Dados - Cliente'!AB243</f>
        <v>0</v>
      </c>
      <c r="AF243" s="33">
        <f>'Dados - Cliente'!AC243</f>
        <v>0</v>
      </c>
      <c r="AG243" s="35">
        <f>'Dados - Cliente'!AD243</f>
        <v>0</v>
      </c>
      <c r="AH243" s="33" t="e">
        <f>INDEX('Dados - Placas'!$A:$A,MATCH('1'!AG243,'Dados - Placas'!$D:$D,0))</f>
        <v>#N/A</v>
      </c>
      <c r="AI243" s="35" t="e">
        <f>INDEX('Dados - Placas'!$E:$E,MATCH('1'!AG243,'Dados - Placas'!$D:$D,0))</f>
        <v>#N/A</v>
      </c>
      <c r="AJ243" s="34" t="e">
        <f>INDEX('Dados - Placas'!$F:$F,MATCH('1'!AG243,'Dados - Placas'!$D:$D,0))*AF243</f>
        <v>#N/A</v>
      </c>
      <c r="AK243" s="33">
        <f>'Dados - Cliente'!AE243</f>
        <v>0</v>
      </c>
      <c r="AL243" s="33">
        <f>'Dados - Cliente'!AF243</f>
        <v>0</v>
      </c>
      <c r="AM243" s="36" t="e">
        <f>INDEX('Dados - Inversores'!$A:$A,MATCH('1'!AL243,'Dados - Inversores'!$C:$C,0))</f>
        <v>#N/A</v>
      </c>
      <c r="AN243" s="33">
        <f>'Dados - Cliente'!AG243</f>
        <v>0</v>
      </c>
      <c r="AO243" s="33" t="e">
        <f>AA243*1.25/(0.22*SQRT(INDEX('Dados - Inversores'!AK:AK,MATCH('1'!AL243,'Dados - Inversores'!C:C,0))))</f>
        <v>#N/A</v>
      </c>
      <c r="AP243" s="34">
        <f>INDEX(Dados!$E$2:$E$33,COUNTIF(Dados!$E$2:$E$33,"&lt;="&amp;AN243*1.25/(INDEX('Dados - Inversores'!AL:AL,MATCH('1'!AL243,'Dados - Inversores'!C:C,0))*SQRT(INDEX('Dados - Inversores'!AK:AK,MATCH('1'!AL243,'Dados - Inversores'!C:C,0)))))+1)</f>
        <v>2</v>
      </c>
      <c r="AQ243" s="33" t="s">
        <v>59</v>
      </c>
      <c r="AR243" s="33" t="str">
        <f t="shared" ref="AR243:AR306" si="24">IF((AN243*AK243)&gt;10,"Mini","Micro")</f>
        <v>Micro</v>
      </c>
      <c r="AS243" s="33">
        <f>'Dados - Cliente'!AH243</f>
        <v>0</v>
      </c>
      <c r="AT243" s="33">
        <f>'Dados - Cliente'!AI243</f>
        <v>0</v>
      </c>
      <c r="AU243" s="33" t="e">
        <f>INDEX('Dados - Placas'!$N:$N,MATCH('1'!AG243,'Dados - Placas'!$D:$D,0))-1</f>
        <v>#N/A</v>
      </c>
      <c r="AV243" s="33" t="e">
        <f>INDEX('Dados - Placas'!$O:$O,MATCH('1'!AG243,'Dados - Placas'!$D:$D,0))</f>
        <v>#N/A</v>
      </c>
      <c r="AW243" s="33" t="e">
        <f>INDEX('Dados - Inversores'!AM:AM,MATCH('1'!AL243,'Dados - Inversores'!$C:$C,0))-1</f>
        <v>#N/A</v>
      </c>
      <c r="AX243" s="33" t="e">
        <f>INDEX('Dados - Inversores'!AN:AN,MATCH('1'!AL243,'Dados - Inversores'!$C:$C,0))-1</f>
        <v>#N/A</v>
      </c>
      <c r="AY243" s="33" t="e">
        <f>MATCH('1'!H243,Dados!$D$89:$D$167,0)+1</f>
        <v>#N/A</v>
      </c>
      <c r="AZ243" s="33" t="e">
        <f>MATCH('1'!N243,'Dados - Solicitação de acesso'!$N$2:$N$8,0)</f>
        <v>#N/A</v>
      </c>
      <c r="BA243" s="33" t="e">
        <f>MATCH('1'!T243,'Dados - Solicitação de acesso'!$T$2:$T$20,0)</f>
        <v>#N/A</v>
      </c>
    </row>
    <row r="244" spans="1:59" x14ac:dyDescent="0.35">
      <c r="A244" s="33">
        <f>'Dados - Cliente'!A244</f>
        <v>0</v>
      </c>
      <c r="B244" s="33">
        <f>'Dados - Cliente'!B244</f>
        <v>0</v>
      </c>
      <c r="C244" s="33">
        <f>'Dados - Cliente'!C244</f>
        <v>0</v>
      </c>
      <c r="D244" s="33">
        <f>'Dados - Cliente'!D244</f>
        <v>0</v>
      </c>
      <c r="E244" s="33">
        <f>'Dados - Cliente'!E244</f>
        <v>0</v>
      </c>
      <c r="F244" s="33">
        <f>'Dados - Cliente'!F244</f>
        <v>0</v>
      </c>
      <c r="G244" s="33">
        <f>'Dados - Cliente'!G244</f>
        <v>0</v>
      </c>
      <c r="H244" s="33">
        <f>'Dados - Cliente'!H244</f>
        <v>0</v>
      </c>
      <c r="I244" s="75" t="s">
        <v>4313</v>
      </c>
      <c r="J244" s="52" t="s">
        <v>4314</v>
      </c>
      <c r="K244" s="52" t="s">
        <v>4314</v>
      </c>
      <c r="L244" s="33">
        <f>'Dados - Cliente'!I244</f>
        <v>0</v>
      </c>
      <c r="M244" s="33">
        <f>'Dados - Cliente'!K244</f>
        <v>0</v>
      </c>
      <c r="N244" s="33">
        <f>'Dados - Cliente'!L244</f>
        <v>0</v>
      </c>
      <c r="O244" s="33">
        <f>'Dados - Cliente'!M244</f>
        <v>0</v>
      </c>
      <c r="P244" s="33">
        <f>'Dados - Cliente'!N244</f>
        <v>0</v>
      </c>
      <c r="Q244" s="33">
        <f>'Dados - Cliente'!O244</f>
        <v>0</v>
      </c>
      <c r="R244" s="33">
        <f>'Dados - Cliente'!P244</f>
        <v>0</v>
      </c>
      <c r="S244" s="33">
        <f>'Dados - Cliente'!Q244</f>
        <v>0</v>
      </c>
      <c r="T244" s="33">
        <f>'Dados - Cliente'!R244</f>
        <v>0</v>
      </c>
      <c r="U244" s="34">
        <f>'Dados - Cliente'!S244</f>
        <v>0</v>
      </c>
      <c r="V244" s="34">
        <f>'Dados - Cliente'!T244</f>
        <v>0</v>
      </c>
      <c r="W244" s="34">
        <f>'Dados - Cliente'!U244</f>
        <v>0</v>
      </c>
      <c r="X244" s="34">
        <f>'Dados - Cliente'!V244</f>
        <v>0</v>
      </c>
      <c r="Y244" s="34">
        <f>'Dados - Cliente'!W244</f>
        <v>0</v>
      </c>
      <c r="Z244" s="34">
        <f>'Dados - Cliente'!X244</f>
        <v>0</v>
      </c>
      <c r="AA244" s="33" t="e">
        <f t="shared" si="23"/>
        <v>#N/A</v>
      </c>
      <c r="AB244" s="33">
        <f>'Dados - Cliente'!Y244</f>
        <v>0</v>
      </c>
      <c r="AC244" s="33">
        <f>'Dados - Cliente'!Z244</f>
        <v>0</v>
      </c>
      <c r="AD244" s="33">
        <f>'Dados - Cliente'!AA244</f>
        <v>0</v>
      </c>
      <c r="AE244" s="33">
        <f>'Dados - Cliente'!AB244</f>
        <v>0</v>
      </c>
      <c r="AF244" s="33">
        <f>'Dados - Cliente'!AC244</f>
        <v>0</v>
      </c>
      <c r="AG244" s="35">
        <f>'Dados - Cliente'!AD244</f>
        <v>0</v>
      </c>
      <c r="AH244" s="33" t="e">
        <f>INDEX('Dados - Placas'!$A:$A,MATCH('1'!AG244,'Dados - Placas'!$D:$D,0))</f>
        <v>#N/A</v>
      </c>
      <c r="AI244" s="35" t="e">
        <f>INDEX('Dados - Placas'!$E:$E,MATCH('1'!AG244,'Dados - Placas'!$D:$D,0))</f>
        <v>#N/A</v>
      </c>
      <c r="AJ244" s="34" t="e">
        <f>INDEX('Dados - Placas'!$F:$F,MATCH('1'!AG244,'Dados - Placas'!$D:$D,0))*AF244</f>
        <v>#N/A</v>
      </c>
      <c r="AK244" s="33">
        <f>'Dados - Cliente'!AE244</f>
        <v>0</v>
      </c>
      <c r="AL244" s="33">
        <f>'Dados - Cliente'!AF244</f>
        <v>0</v>
      </c>
      <c r="AM244" s="36" t="e">
        <f>INDEX('Dados - Inversores'!$A:$A,MATCH('1'!AL244,'Dados - Inversores'!$C:$C,0))</f>
        <v>#N/A</v>
      </c>
      <c r="AN244" s="33">
        <f>'Dados - Cliente'!AG244</f>
        <v>0</v>
      </c>
      <c r="AO244" s="33" t="e">
        <f>AA244*1.25/(0.22*SQRT(INDEX('Dados - Inversores'!AK:AK,MATCH('1'!AL244,'Dados - Inversores'!C:C,0))))</f>
        <v>#N/A</v>
      </c>
      <c r="AP244" s="34">
        <f>INDEX(Dados!$E$2:$E$33,COUNTIF(Dados!$E$2:$E$33,"&lt;="&amp;AN244*1.25/(INDEX('Dados - Inversores'!AL:AL,MATCH('1'!AL244,'Dados - Inversores'!C:C,0))*SQRT(INDEX('Dados - Inversores'!AK:AK,MATCH('1'!AL244,'Dados - Inversores'!C:C,0)))))+1)</f>
        <v>2</v>
      </c>
      <c r="AQ244" s="33" t="s">
        <v>59</v>
      </c>
      <c r="AR244" s="33" t="str">
        <f t="shared" si="24"/>
        <v>Micro</v>
      </c>
      <c r="AS244" s="33">
        <f>'Dados - Cliente'!AH244</f>
        <v>0</v>
      </c>
      <c r="AT244" s="33">
        <f>'Dados - Cliente'!AI244</f>
        <v>0</v>
      </c>
      <c r="AU244" s="33" t="e">
        <f>INDEX('Dados - Placas'!$N:$N,MATCH('1'!AG244,'Dados - Placas'!$D:$D,0))-1</f>
        <v>#N/A</v>
      </c>
      <c r="AV244" s="33" t="e">
        <f>INDEX('Dados - Placas'!$O:$O,MATCH('1'!AG244,'Dados - Placas'!$D:$D,0))</f>
        <v>#N/A</v>
      </c>
      <c r="AW244" s="33" t="e">
        <f>INDEX('Dados - Inversores'!AM:AM,MATCH('1'!AL244,'Dados - Inversores'!$C:$C,0))-1</f>
        <v>#N/A</v>
      </c>
      <c r="AX244" s="33" t="e">
        <f>INDEX('Dados - Inversores'!AN:AN,MATCH('1'!AL244,'Dados - Inversores'!$C:$C,0))-1</f>
        <v>#N/A</v>
      </c>
      <c r="AY244" s="33" t="e">
        <f>MATCH('1'!H244,Dados!$D$89:$D$167,0)+1</f>
        <v>#N/A</v>
      </c>
      <c r="AZ244" s="33" t="e">
        <f>MATCH('1'!N244,'Dados - Solicitação de acesso'!$N$2:$N$8,0)</f>
        <v>#N/A</v>
      </c>
      <c r="BA244" s="33" t="e">
        <f>MATCH('1'!T244,'Dados - Solicitação de acesso'!$T$2:$T$20,0)</f>
        <v>#N/A</v>
      </c>
    </row>
    <row r="245" spans="1:59" x14ac:dyDescent="0.35">
      <c r="A245" s="33">
        <f>'Dados - Cliente'!A245</f>
        <v>0</v>
      </c>
      <c r="B245" s="33">
        <f>'Dados - Cliente'!B245</f>
        <v>0</v>
      </c>
      <c r="C245" s="33">
        <f>'Dados - Cliente'!C245</f>
        <v>0</v>
      </c>
      <c r="D245" s="33">
        <f>'Dados - Cliente'!D245</f>
        <v>0</v>
      </c>
      <c r="E245" s="33">
        <f>'Dados - Cliente'!E245</f>
        <v>0</v>
      </c>
      <c r="F245" s="33">
        <f>'Dados - Cliente'!F245</f>
        <v>0</v>
      </c>
      <c r="G245" s="33">
        <f>'Dados - Cliente'!G245</f>
        <v>0</v>
      </c>
      <c r="H245" s="33">
        <f>'Dados - Cliente'!H245</f>
        <v>0</v>
      </c>
      <c r="I245" s="75" t="s">
        <v>4313</v>
      </c>
      <c r="J245" s="52" t="s">
        <v>4314</v>
      </c>
      <c r="K245" s="52" t="s">
        <v>4314</v>
      </c>
      <c r="L245" s="33">
        <f>'Dados - Cliente'!I245</f>
        <v>0</v>
      </c>
      <c r="M245" s="33">
        <f>'Dados - Cliente'!K245</f>
        <v>0</v>
      </c>
      <c r="N245" s="33">
        <f>'Dados - Cliente'!L245</f>
        <v>0</v>
      </c>
      <c r="O245" s="33">
        <f>'Dados - Cliente'!M245</f>
        <v>0</v>
      </c>
      <c r="P245" s="33">
        <f>'Dados - Cliente'!N245</f>
        <v>0</v>
      </c>
      <c r="Q245" s="33">
        <f>'Dados - Cliente'!O245</f>
        <v>0</v>
      </c>
      <c r="R245" s="33">
        <f>'Dados - Cliente'!P245</f>
        <v>0</v>
      </c>
      <c r="S245" s="33">
        <f>'Dados - Cliente'!Q245</f>
        <v>0</v>
      </c>
      <c r="T245" s="33">
        <f>'Dados - Cliente'!R245</f>
        <v>0</v>
      </c>
      <c r="U245" s="34">
        <f>'Dados - Cliente'!S245</f>
        <v>0</v>
      </c>
      <c r="V245" s="34">
        <f>'Dados - Cliente'!T245</f>
        <v>0</v>
      </c>
      <c r="W245" s="34">
        <f>'Dados - Cliente'!U245</f>
        <v>0</v>
      </c>
      <c r="X245" s="34">
        <f>'Dados - Cliente'!V245</f>
        <v>0</v>
      </c>
      <c r="Y245" s="34">
        <f>'Dados - Cliente'!W245</f>
        <v>0</v>
      </c>
      <c r="Z245" s="34">
        <f>'Dados - Cliente'!X245</f>
        <v>0</v>
      </c>
      <c r="AA245" s="33" t="e">
        <f t="shared" si="23"/>
        <v>#N/A</v>
      </c>
      <c r="AB245" s="33">
        <f>'Dados - Cliente'!Y245</f>
        <v>0</v>
      </c>
      <c r="AC245" s="33">
        <f>'Dados - Cliente'!Z245</f>
        <v>0</v>
      </c>
      <c r="AD245" s="33">
        <f>'Dados - Cliente'!AA245</f>
        <v>0</v>
      </c>
      <c r="AE245" s="33">
        <f>'Dados - Cliente'!AB245</f>
        <v>0</v>
      </c>
      <c r="AF245" s="33">
        <f>'Dados - Cliente'!AC245</f>
        <v>0</v>
      </c>
      <c r="AG245" s="35">
        <f>'Dados - Cliente'!AD245</f>
        <v>0</v>
      </c>
      <c r="AH245" s="33" t="e">
        <f>INDEX('Dados - Placas'!$A:$A,MATCH('1'!AG245,'Dados - Placas'!$D:$D,0))</f>
        <v>#N/A</v>
      </c>
      <c r="AI245" s="35" t="e">
        <f>INDEX('Dados - Placas'!$E:$E,MATCH('1'!AG245,'Dados - Placas'!$D:$D,0))</f>
        <v>#N/A</v>
      </c>
      <c r="AJ245" s="34" t="e">
        <f>INDEX('Dados - Placas'!$F:$F,MATCH('1'!AG245,'Dados - Placas'!$D:$D,0))*AF245</f>
        <v>#N/A</v>
      </c>
      <c r="AK245" s="33">
        <f>'Dados - Cliente'!AE245</f>
        <v>0</v>
      </c>
      <c r="AL245" s="33">
        <f>'Dados - Cliente'!AF245</f>
        <v>0</v>
      </c>
      <c r="AM245" s="36" t="e">
        <f>INDEX('Dados - Inversores'!$A:$A,MATCH('1'!AL245,'Dados - Inversores'!$C:$C,0))</f>
        <v>#N/A</v>
      </c>
      <c r="AN245" s="33">
        <f>'Dados - Cliente'!AG245</f>
        <v>0</v>
      </c>
      <c r="AO245" s="33" t="e">
        <f>AA245*1.25/(0.22*SQRT(INDEX('Dados - Inversores'!AK:AK,MATCH('1'!AL245,'Dados - Inversores'!C:C,0))))</f>
        <v>#N/A</v>
      </c>
      <c r="AP245" s="34">
        <f>INDEX(Dados!$E$2:$E$33,COUNTIF(Dados!$E$2:$E$33,"&lt;="&amp;AN245*1.25/(INDEX('Dados - Inversores'!AL:AL,MATCH('1'!AL245,'Dados - Inversores'!C:C,0))*SQRT(INDEX('Dados - Inversores'!AK:AK,MATCH('1'!AL245,'Dados - Inversores'!C:C,0)))))+1)</f>
        <v>2</v>
      </c>
      <c r="AQ245" s="33" t="s">
        <v>59</v>
      </c>
      <c r="AR245" s="33" t="str">
        <f t="shared" si="24"/>
        <v>Micro</v>
      </c>
      <c r="AS245" s="33">
        <f>'Dados - Cliente'!AH245</f>
        <v>0</v>
      </c>
      <c r="AT245" s="33">
        <f>'Dados - Cliente'!AI245</f>
        <v>0</v>
      </c>
      <c r="AU245" s="33" t="e">
        <f>INDEX('Dados - Placas'!$N:$N,MATCH('1'!AG245,'Dados - Placas'!$D:$D,0))-1</f>
        <v>#N/A</v>
      </c>
      <c r="AV245" s="33" t="e">
        <f>INDEX('Dados - Placas'!$O:$O,MATCH('1'!AG245,'Dados - Placas'!$D:$D,0))</f>
        <v>#N/A</v>
      </c>
      <c r="AW245" s="33" t="e">
        <f>INDEX('Dados - Inversores'!AM:AM,MATCH('1'!AL245,'Dados - Inversores'!$C:$C,0))-1</f>
        <v>#N/A</v>
      </c>
      <c r="AX245" s="33" t="e">
        <f>INDEX('Dados - Inversores'!AN:AN,MATCH('1'!AL245,'Dados - Inversores'!$C:$C,0))-1</f>
        <v>#N/A</v>
      </c>
      <c r="AY245" s="33" t="e">
        <f>MATCH('1'!H245,Dados!$D$89:$D$167,0)+1</f>
        <v>#N/A</v>
      </c>
      <c r="AZ245" s="33" t="e">
        <f>MATCH('1'!N245,'Dados - Solicitação de acesso'!$N$2:$N$8,0)</f>
        <v>#N/A</v>
      </c>
      <c r="BA245" s="33" t="e">
        <f>MATCH('1'!T245,'Dados - Solicitação de acesso'!$T$2:$T$20,0)</f>
        <v>#N/A</v>
      </c>
    </row>
    <row r="246" spans="1:59" x14ac:dyDescent="0.35">
      <c r="A246" s="33">
        <f>'Dados - Cliente'!A246</f>
        <v>0</v>
      </c>
      <c r="B246" s="33">
        <f>'Dados - Cliente'!B246</f>
        <v>0</v>
      </c>
      <c r="C246" s="33">
        <f>'Dados - Cliente'!C246</f>
        <v>0</v>
      </c>
      <c r="D246" s="33">
        <f>'Dados - Cliente'!D246</f>
        <v>0</v>
      </c>
      <c r="E246" s="33">
        <f>'Dados - Cliente'!E246</f>
        <v>0</v>
      </c>
      <c r="F246" s="33">
        <f>'Dados - Cliente'!F246</f>
        <v>0</v>
      </c>
      <c r="G246" s="33">
        <f>'Dados - Cliente'!G246</f>
        <v>0</v>
      </c>
      <c r="H246" s="33">
        <f>'Dados - Cliente'!H246</f>
        <v>0</v>
      </c>
      <c r="I246" s="75" t="s">
        <v>4313</v>
      </c>
      <c r="J246" s="52" t="s">
        <v>4314</v>
      </c>
      <c r="K246" s="52" t="s">
        <v>4314</v>
      </c>
      <c r="L246" s="33">
        <f>'Dados - Cliente'!I246</f>
        <v>0</v>
      </c>
      <c r="M246" s="33">
        <f>'Dados - Cliente'!K246</f>
        <v>0</v>
      </c>
      <c r="N246" s="33">
        <f>'Dados - Cliente'!L246</f>
        <v>0</v>
      </c>
      <c r="O246" s="33">
        <f>'Dados - Cliente'!M246</f>
        <v>0</v>
      </c>
      <c r="P246" s="33">
        <f>'Dados - Cliente'!N246</f>
        <v>0</v>
      </c>
      <c r="Q246" s="33">
        <f>'Dados - Cliente'!O246</f>
        <v>0</v>
      </c>
      <c r="R246" s="33">
        <f>'Dados - Cliente'!P246</f>
        <v>0</v>
      </c>
      <c r="S246" s="33">
        <f>'Dados - Cliente'!Q246</f>
        <v>0</v>
      </c>
      <c r="T246" s="33">
        <f>'Dados - Cliente'!R246</f>
        <v>0</v>
      </c>
      <c r="U246" s="34">
        <f>'Dados - Cliente'!S246</f>
        <v>0</v>
      </c>
      <c r="V246" s="34">
        <f>'Dados - Cliente'!T246</f>
        <v>0</v>
      </c>
      <c r="W246" s="34">
        <f>'Dados - Cliente'!U246</f>
        <v>0</v>
      </c>
      <c r="X246" s="34">
        <f>'Dados - Cliente'!V246</f>
        <v>0</v>
      </c>
      <c r="Y246" s="34">
        <f>'Dados - Cliente'!W246</f>
        <v>0</v>
      </c>
      <c r="Z246" s="34">
        <f>'Dados - Cliente'!X246</f>
        <v>0</v>
      </c>
      <c r="AA246" s="33" t="e">
        <f t="shared" si="23"/>
        <v>#N/A</v>
      </c>
      <c r="AB246" s="33">
        <f>'Dados - Cliente'!Y246</f>
        <v>0</v>
      </c>
      <c r="AC246" s="33">
        <f>'Dados - Cliente'!Z246</f>
        <v>0</v>
      </c>
      <c r="AD246" s="33">
        <f>'Dados - Cliente'!AA246</f>
        <v>0</v>
      </c>
      <c r="AE246" s="33">
        <f>'Dados - Cliente'!AB246</f>
        <v>0</v>
      </c>
      <c r="AF246" s="33">
        <f>'Dados - Cliente'!AC246</f>
        <v>0</v>
      </c>
      <c r="AG246" s="35">
        <f>'Dados - Cliente'!AD246</f>
        <v>0</v>
      </c>
      <c r="AH246" s="33" t="e">
        <f>INDEX('Dados - Placas'!$A:$A,MATCH('1'!AG246,'Dados - Placas'!$D:$D,0))</f>
        <v>#N/A</v>
      </c>
      <c r="AI246" s="35" t="e">
        <f>INDEX('Dados - Placas'!$E:$E,MATCH('1'!AG246,'Dados - Placas'!$D:$D,0))</f>
        <v>#N/A</v>
      </c>
      <c r="AJ246" s="34" t="e">
        <f>INDEX('Dados - Placas'!$F:$F,MATCH('1'!AG246,'Dados - Placas'!$D:$D,0))*AF246</f>
        <v>#N/A</v>
      </c>
      <c r="AK246" s="33">
        <f>'Dados - Cliente'!AE246</f>
        <v>0</v>
      </c>
      <c r="AL246" s="33">
        <f>'Dados - Cliente'!AF246</f>
        <v>0</v>
      </c>
      <c r="AM246" s="36" t="e">
        <f>INDEX('Dados - Inversores'!$A:$A,MATCH('1'!AL246,'Dados - Inversores'!$C:$C,0))</f>
        <v>#N/A</v>
      </c>
      <c r="AN246" s="33">
        <f>'Dados - Cliente'!AG246</f>
        <v>0</v>
      </c>
      <c r="AO246" s="33" t="e">
        <f>AA246*1.25/(0.22*SQRT(INDEX('Dados - Inversores'!AK:AK,MATCH('1'!AL246,'Dados - Inversores'!C:C,0))))</f>
        <v>#N/A</v>
      </c>
      <c r="AP246" s="34">
        <f>INDEX(Dados!$E$2:$E$33,COUNTIF(Dados!$E$2:$E$33,"&lt;="&amp;AN246*1.25/(INDEX('Dados - Inversores'!AL:AL,MATCH('1'!AL246,'Dados - Inversores'!C:C,0))*SQRT(INDEX('Dados - Inversores'!AK:AK,MATCH('1'!AL246,'Dados - Inversores'!C:C,0)))))+1)</f>
        <v>2</v>
      </c>
      <c r="AQ246" s="33" t="s">
        <v>59</v>
      </c>
      <c r="AR246" s="33" t="str">
        <f t="shared" si="24"/>
        <v>Micro</v>
      </c>
      <c r="AS246" s="33">
        <f>'Dados - Cliente'!AH246</f>
        <v>0</v>
      </c>
      <c r="AT246" s="33">
        <f>'Dados - Cliente'!AI246</f>
        <v>0</v>
      </c>
      <c r="AU246" s="33" t="e">
        <f>INDEX('Dados - Placas'!$N:$N,MATCH('1'!AG246,'Dados - Placas'!$D:$D,0))-1</f>
        <v>#N/A</v>
      </c>
      <c r="AV246" s="33" t="e">
        <f>INDEX('Dados - Placas'!$O:$O,MATCH('1'!AG246,'Dados - Placas'!$D:$D,0))</f>
        <v>#N/A</v>
      </c>
      <c r="AW246" s="33" t="e">
        <f>INDEX('Dados - Inversores'!AM:AM,MATCH('1'!AL246,'Dados - Inversores'!$C:$C,0))-1</f>
        <v>#N/A</v>
      </c>
      <c r="AX246" s="33" t="e">
        <f>INDEX('Dados - Inversores'!AN:AN,MATCH('1'!AL246,'Dados - Inversores'!$C:$C,0))-1</f>
        <v>#N/A</v>
      </c>
      <c r="AY246" s="33" t="e">
        <f>MATCH('1'!H246,Dados!$D$89:$D$167,0)+1</f>
        <v>#N/A</v>
      </c>
      <c r="AZ246" s="33" t="e">
        <f>MATCH('1'!N246,'Dados - Solicitação de acesso'!$N$2:$N$8,0)</f>
        <v>#N/A</v>
      </c>
      <c r="BA246" s="33" t="e">
        <f>MATCH('1'!T246,'Dados - Solicitação de acesso'!$T$2:$T$20,0)</f>
        <v>#N/A</v>
      </c>
    </row>
    <row r="247" spans="1:59" x14ac:dyDescent="0.35">
      <c r="A247" s="33">
        <f>'Dados - Cliente'!A247</f>
        <v>0</v>
      </c>
      <c r="B247" s="33">
        <f>'Dados - Cliente'!B247</f>
        <v>0</v>
      </c>
      <c r="C247" s="33">
        <f>'Dados - Cliente'!C247</f>
        <v>0</v>
      </c>
      <c r="D247" s="33">
        <f>'Dados - Cliente'!D247</f>
        <v>0</v>
      </c>
      <c r="E247" s="33">
        <f>'Dados - Cliente'!E247</f>
        <v>0</v>
      </c>
      <c r="F247" s="33">
        <f>'Dados - Cliente'!F247</f>
        <v>0</v>
      </c>
      <c r="G247" s="33">
        <f>'Dados - Cliente'!G247</f>
        <v>0</v>
      </c>
      <c r="H247" s="33">
        <f>'Dados - Cliente'!H247</f>
        <v>0</v>
      </c>
      <c r="I247" s="75" t="s">
        <v>4313</v>
      </c>
      <c r="J247" s="52" t="s">
        <v>4314</v>
      </c>
      <c r="K247" s="52" t="s">
        <v>4314</v>
      </c>
      <c r="L247" s="33">
        <f>'Dados - Cliente'!I247</f>
        <v>0</v>
      </c>
      <c r="M247" s="33">
        <f>'Dados - Cliente'!K247</f>
        <v>0</v>
      </c>
      <c r="N247" s="33">
        <f>'Dados - Cliente'!L247</f>
        <v>0</v>
      </c>
      <c r="O247" s="33">
        <f>'Dados - Cliente'!M247</f>
        <v>0</v>
      </c>
      <c r="P247" s="33">
        <f>'Dados - Cliente'!N247</f>
        <v>0</v>
      </c>
      <c r="Q247" s="33">
        <f>'Dados - Cliente'!O247</f>
        <v>0</v>
      </c>
      <c r="R247" s="33">
        <f>'Dados - Cliente'!P247</f>
        <v>0</v>
      </c>
      <c r="S247" s="33">
        <f>'Dados - Cliente'!Q247</f>
        <v>0</v>
      </c>
      <c r="T247" s="33">
        <f>'Dados - Cliente'!R247</f>
        <v>0</v>
      </c>
      <c r="U247" s="34">
        <f>'Dados - Cliente'!S247</f>
        <v>0</v>
      </c>
      <c r="V247" s="34">
        <f>'Dados - Cliente'!T247</f>
        <v>0</v>
      </c>
      <c r="W247" s="34">
        <f>'Dados - Cliente'!U247</f>
        <v>0</v>
      </c>
      <c r="X247" s="34">
        <f>'Dados - Cliente'!V247</f>
        <v>0</v>
      </c>
      <c r="Y247" s="34">
        <f>'Dados - Cliente'!W247</f>
        <v>0</v>
      </c>
      <c r="Z247" s="34">
        <f>'Dados - Cliente'!X247</f>
        <v>0</v>
      </c>
      <c r="AA247" s="33" t="e">
        <f t="shared" si="23"/>
        <v>#N/A</v>
      </c>
      <c r="AB247" s="33">
        <f>'Dados - Cliente'!Y247</f>
        <v>0</v>
      </c>
      <c r="AC247" s="33">
        <f>'Dados - Cliente'!Z247</f>
        <v>0</v>
      </c>
      <c r="AD247" s="33">
        <f>'Dados - Cliente'!AA247</f>
        <v>0</v>
      </c>
      <c r="AE247" s="33">
        <f>'Dados - Cliente'!AB247</f>
        <v>0</v>
      </c>
      <c r="AF247" s="33">
        <f>'Dados - Cliente'!AC247</f>
        <v>0</v>
      </c>
      <c r="AG247" s="35">
        <f>'Dados - Cliente'!AD247</f>
        <v>0</v>
      </c>
      <c r="AH247" s="33" t="e">
        <f>INDEX('Dados - Placas'!$A:$A,MATCH('1'!AG247,'Dados - Placas'!$D:$D,0))</f>
        <v>#N/A</v>
      </c>
      <c r="AI247" s="35" t="e">
        <f>INDEX('Dados - Placas'!$E:$E,MATCH('1'!AG247,'Dados - Placas'!$D:$D,0))</f>
        <v>#N/A</v>
      </c>
      <c r="AJ247" s="34" t="e">
        <f>INDEX('Dados - Placas'!$F:$F,MATCH('1'!AG247,'Dados - Placas'!$D:$D,0))*AF247</f>
        <v>#N/A</v>
      </c>
      <c r="AK247" s="33">
        <f>'Dados - Cliente'!AE247</f>
        <v>0</v>
      </c>
      <c r="AL247" s="33">
        <f>'Dados - Cliente'!AF247</f>
        <v>0</v>
      </c>
      <c r="AM247" s="36" t="e">
        <f>INDEX('Dados - Inversores'!$A:$A,MATCH('1'!AL247,'Dados - Inversores'!$C:$C,0))</f>
        <v>#N/A</v>
      </c>
      <c r="AN247" s="33">
        <f>'Dados - Cliente'!AG247</f>
        <v>0</v>
      </c>
      <c r="AO247" s="33" t="e">
        <f>AA247*1.25/(0.22*SQRT(INDEX('Dados - Inversores'!AK:AK,MATCH('1'!AL247,'Dados - Inversores'!C:C,0))))</f>
        <v>#N/A</v>
      </c>
      <c r="AP247" s="34">
        <f>INDEX(Dados!$E$2:$E$33,COUNTIF(Dados!$E$2:$E$33,"&lt;="&amp;AN247*1.25/(INDEX('Dados - Inversores'!AL:AL,MATCH('1'!AL247,'Dados - Inversores'!C:C,0))*SQRT(INDEX('Dados - Inversores'!AK:AK,MATCH('1'!AL247,'Dados - Inversores'!C:C,0)))))+1)</f>
        <v>2</v>
      </c>
      <c r="AQ247" s="33" t="s">
        <v>59</v>
      </c>
      <c r="AR247" s="33" t="str">
        <f t="shared" si="24"/>
        <v>Micro</v>
      </c>
      <c r="AS247" s="33">
        <f>'Dados - Cliente'!AH247</f>
        <v>0</v>
      </c>
      <c r="AT247" s="33">
        <f>'Dados - Cliente'!AI247</f>
        <v>0</v>
      </c>
      <c r="AU247" s="33" t="e">
        <f>INDEX('Dados - Placas'!$N:$N,MATCH('1'!AG247,'Dados - Placas'!$D:$D,0))-1</f>
        <v>#N/A</v>
      </c>
      <c r="AV247" s="33" t="e">
        <f>INDEX('Dados - Placas'!$O:$O,MATCH('1'!AG247,'Dados - Placas'!$D:$D,0))</f>
        <v>#N/A</v>
      </c>
      <c r="AW247" s="33" t="e">
        <f>INDEX('Dados - Inversores'!AM:AM,MATCH('1'!AL247,'Dados - Inversores'!$C:$C,0))-1</f>
        <v>#N/A</v>
      </c>
      <c r="AX247" s="33" t="e">
        <f>INDEX('Dados - Inversores'!AN:AN,MATCH('1'!AL247,'Dados - Inversores'!$C:$C,0))-1</f>
        <v>#N/A</v>
      </c>
      <c r="AY247" s="33" t="e">
        <f>MATCH('1'!H247,Dados!$D$89:$D$167,0)+1</f>
        <v>#N/A</v>
      </c>
      <c r="AZ247" s="33" t="e">
        <f>MATCH('1'!N247,'Dados - Solicitação de acesso'!$N$2:$N$8,0)</f>
        <v>#N/A</v>
      </c>
      <c r="BA247" s="33" t="e">
        <f>MATCH('1'!T247,'Dados - Solicitação de acesso'!$T$2:$T$20,0)</f>
        <v>#N/A</v>
      </c>
    </row>
    <row r="248" spans="1:59" x14ac:dyDescent="0.35">
      <c r="A248" s="33">
        <f>'Dados - Cliente'!A248</f>
        <v>0</v>
      </c>
      <c r="B248" s="33">
        <f>'Dados - Cliente'!B248</f>
        <v>0</v>
      </c>
      <c r="C248" s="33">
        <f>'Dados - Cliente'!C248</f>
        <v>0</v>
      </c>
      <c r="D248" s="33">
        <f>'Dados - Cliente'!D248</f>
        <v>0</v>
      </c>
      <c r="E248" s="33">
        <f>'Dados - Cliente'!E248</f>
        <v>0</v>
      </c>
      <c r="F248" s="33">
        <f>'Dados - Cliente'!F248</f>
        <v>0</v>
      </c>
      <c r="G248" s="33">
        <f>'Dados - Cliente'!G248</f>
        <v>0</v>
      </c>
      <c r="H248" s="33">
        <f>'Dados - Cliente'!H248</f>
        <v>0</v>
      </c>
      <c r="I248" s="75" t="s">
        <v>4313</v>
      </c>
      <c r="J248" s="52" t="s">
        <v>4314</v>
      </c>
      <c r="K248" s="52" t="s">
        <v>4314</v>
      </c>
      <c r="L248" s="33">
        <f>'Dados - Cliente'!I248</f>
        <v>0</v>
      </c>
      <c r="M248" s="33">
        <f>'Dados - Cliente'!K248</f>
        <v>0</v>
      </c>
      <c r="N248" s="33">
        <f>'Dados - Cliente'!L248</f>
        <v>0</v>
      </c>
      <c r="O248" s="33">
        <f>'Dados - Cliente'!M248</f>
        <v>0</v>
      </c>
      <c r="P248" s="33">
        <f>'Dados - Cliente'!N248</f>
        <v>0</v>
      </c>
      <c r="Q248" s="33">
        <f>'Dados - Cliente'!O248</f>
        <v>0</v>
      </c>
      <c r="R248" s="33">
        <f>'Dados - Cliente'!P248</f>
        <v>0</v>
      </c>
      <c r="S248" s="33">
        <f>'Dados - Cliente'!Q248</f>
        <v>0</v>
      </c>
      <c r="T248" s="33">
        <f>'Dados - Cliente'!R248</f>
        <v>0</v>
      </c>
      <c r="U248" s="34">
        <f>'Dados - Cliente'!S248</f>
        <v>0</v>
      </c>
      <c r="V248" s="34">
        <f>'Dados - Cliente'!T248</f>
        <v>0</v>
      </c>
      <c r="W248" s="34">
        <f>'Dados - Cliente'!U248</f>
        <v>0</v>
      </c>
      <c r="X248" s="34">
        <f>'Dados - Cliente'!V248</f>
        <v>0</v>
      </c>
      <c r="Y248" s="34">
        <f>'Dados - Cliente'!W248</f>
        <v>0</v>
      </c>
      <c r="Z248" s="34">
        <f>'Dados - Cliente'!X248</f>
        <v>0</v>
      </c>
      <c r="AA248" s="33" t="e">
        <f t="shared" si="23"/>
        <v>#N/A</v>
      </c>
      <c r="AB248" s="33">
        <f>'Dados - Cliente'!Y248</f>
        <v>0</v>
      </c>
      <c r="AC248" s="33">
        <f>'Dados - Cliente'!Z248</f>
        <v>0</v>
      </c>
      <c r="AD248" s="33">
        <f>'Dados - Cliente'!AA248</f>
        <v>0</v>
      </c>
      <c r="AE248" s="33">
        <f>'Dados - Cliente'!AB248</f>
        <v>0</v>
      </c>
      <c r="AF248" s="33">
        <f>'Dados - Cliente'!AC248</f>
        <v>0</v>
      </c>
      <c r="AG248" s="35">
        <f>'Dados - Cliente'!AD248</f>
        <v>0</v>
      </c>
      <c r="AH248" s="33" t="e">
        <f>INDEX('Dados - Placas'!$A:$A,MATCH('1'!AG248,'Dados - Placas'!$D:$D,0))</f>
        <v>#N/A</v>
      </c>
      <c r="AI248" s="35" t="e">
        <f>INDEX('Dados - Placas'!$E:$E,MATCH('1'!AG248,'Dados - Placas'!$D:$D,0))</f>
        <v>#N/A</v>
      </c>
      <c r="AJ248" s="34" t="e">
        <f>INDEX('Dados - Placas'!$F:$F,MATCH('1'!AG248,'Dados - Placas'!$D:$D,0))*AF248</f>
        <v>#N/A</v>
      </c>
      <c r="AK248" s="33">
        <f>'Dados - Cliente'!AE248</f>
        <v>0</v>
      </c>
      <c r="AL248" s="33">
        <f>'Dados - Cliente'!AF248</f>
        <v>0</v>
      </c>
      <c r="AM248" s="36" t="e">
        <f>INDEX('Dados - Inversores'!$A:$A,MATCH('1'!AL248,'Dados - Inversores'!$C:$C,0))</f>
        <v>#N/A</v>
      </c>
      <c r="AN248" s="33">
        <f>'Dados - Cliente'!AG248</f>
        <v>0</v>
      </c>
      <c r="AO248" s="33" t="e">
        <f>AA248*1.25/(0.22*SQRT(INDEX('Dados - Inversores'!AK:AK,MATCH('1'!AL248,'Dados - Inversores'!C:C,0))))</f>
        <v>#N/A</v>
      </c>
      <c r="AP248" s="34">
        <f>INDEX(Dados!$E$2:$E$33,COUNTIF(Dados!$E$2:$E$33,"&lt;="&amp;AN248*1.25/(INDEX('Dados - Inversores'!AL:AL,MATCH('1'!AL248,'Dados - Inversores'!C:C,0))*SQRT(INDEX('Dados - Inversores'!AK:AK,MATCH('1'!AL248,'Dados - Inversores'!C:C,0)))))+1)</f>
        <v>2</v>
      </c>
      <c r="AQ248" s="33" t="s">
        <v>59</v>
      </c>
      <c r="AR248" s="33" t="str">
        <f t="shared" si="24"/>
        <v>Micro</v>
      </c>
      <c r="AS248" s="33">
        <f>'Dados - Cliente'!AH248</f>
        <v>0</v>
      </c>
      <c r="AT248" s="33">
        <f>'Dados - Cliente'!AI248</f>
        <v>0</v>
      </c>
      <c r="AU248" s="33" t="e">
        <f>INDEX('Dados - Placas'!$N:$N,MATCH('1'!AG248,'Dados - Placas'!$D:$D,0))-1</f>
        <v>#N/A</v>
      </c>
      <c r="AV248" s="33" t="e">
        <f>INDEX('Dados - Placas'!$O:$O,MATCH('1'!AG248,'Dados - Placas'!$D:$D,0))</f>
        <v>#N/A</v>
      </c>
      <c r="AW248" s="33" t="e">
        <f>INDEX('Dados - Inversores'!AM:AM,MATCH('1'!AL248,'Dados - Inversores'!$C:$C,0))-1</f>
        <v>#N/A</v>
      </c>
      <c r="AX248" s="33" t="e">
        <f>INDEX('Dados - Inversores'!AN:AN,MATCH('1'!AL248,'Dados - Inversores'!$C:$C,0))-1</f>
        <v>#N/A</v>
      </c>
      <c r="AY248" s="33" t="e">
        <f>MATCH('1'!H248,Dados!$D$89:$D$167,0)+1</f>
        <v>#N/A</v>
      </c>
      <c r="AZ248" s="33" t="e">
        <f>MATCH('1'!N248,'Dados - Solicitação de acesso'!$N$2:$N$8,0)</f>
        <v>#N/A</v>
      </c>
      <c r="BA248" s="33" t="e">
        <f>MATCH('1'!T248,'Dados - Solicitação de acesso'!$T$2:$T$20,0)</f>
        <v>#N/A</v>
      </c>
    </row>
    <row r="249" spans="1:59" x14ac:dyDescent="0.35">
      <c r="A249" s="33">
        <f>'Dados - Cliente'!A249</f>
        <v>0</v>
      </c>
      <c r="B249" s="33">
        <f>'Dados - Cliente'!B249</f>
        <v>0</v>
      </c>
      <c r="C249" s="33">
        <f>'Dados - Cliente'!C249</f>
        <v>0</v>
      </c>
      <c r="D249" s="33">
        <f>'Dados - Cliente'!D249</f>
        <v>0</v>
      </c>
      <c r="E249" s="33">
        <f>'Dados - Cliente'!E249</f>
        <v>0</v>
      </c>
      <c r="F249" s="33">
        <f>'Dados - Cliente'!F249</f>
        <v>0</v>
      </c>
      <c r="G249" s="33">
        <f>'Dados - Cliente'!G249</f>
        <v>0</v>
      </c>
      <c r="H249" s="33">
        <f>'Dados - Cliente'!H249</f>
        <v>0</v>
      </c>
      <c r="I249" s="75" t="s">
        <v>4313</v>
      </c>
      <c r="J249" s="52" t="s">
        <v>4314</v>
      </c>
      <c r="K249" s="52" t="s">
        <v>4314</v>
      </c>
      <c r="L249" s="33">
        <f>'Dados - Cliente'!I249</f>
        <v>0</v>
      </c>
      <c r="M249" s="33">
        <f>'Dados - Cliente'!K249</f>
        <v>0</v>
      </c>
      <c r="N249" s="33">
        <f>'Dados - Cliente'!L249</f>
        <v>0</v>
      </c>
      <c r="O249" s="33">
        <f>'Dados - Cliente'!M249</f>
        <v>0</v>
      </c>
      <c r="P249" s="33">
        <f>'Dados - Cliente'!N249</f>
        <v>0</v>
      </c>
      <c r="Q249" s="33">
        <f>'Dados - Cliente'!O249</f>
        <v>0</v>
      </c>
      <c r="R249" s="33">
        <f>'Dados - Cliente'!P249</f>
        <v>0</v>
      </c>
      <c r="S249" s="33">
        <f>'Dados - Cliente'!Q249</f>
        <v>0</v>
      </c>
      <c r="T249" s="33">
        <f>'Dados - Cliente'!R249</f>
        <v>0</v>
      </c>
      <c r="U249" s="34">
        <f>'Dados - Cliente'!S249</f>
        <v>0</v>
      </c>
      <c r="V249" s="34">
        <f>'Dados - Cliente'!T249</f>
        <v>0</v>
      </c>
      <c r="W249" s="34">
        <f>'Dados - Cliente'!U249</f>
        <v>0</v>
      </c>
      <c r="X249" s="34">
        <f>'Dados - Cliente'!V249</f>
        <v>0</v>
      </c>
      <c r="Y249" s="34">
        <f>'Dados - Cliente'!W249</f>
        <v>0</v>
      </c>
      <c r="Z249" s="34">
        <f>'Dados - Cliente'!X249</f>
        <v>0</v>
      </c>
      <c r="AA249" s="33" t="e">
        <f t="shared" si="23"/>
        <v>#N/A</v>
      </c>
      <c r="AB249" s="33">
        <f>'Dados - Cliente'!Y249</f>
        <v>0</v>
      </c>
      <c r="AC249" s="33">
        <f>'Dados - Cliente'!Z249</f>
        <v>0</v>
      </c>
      <c r="AD249" s="33">
        <f>'Dados - Cliente'!AA249</f>
        <v>0</v>
      </c>
      <c r="AE249" s="33">
        <f>'Dados - Cliente'!AB249</f>
        <v>0</v>
      </c>
      <c r="AF249" s="33">
        <f>'Dados - Cliente'!AC249</f>
        <v>0</v>
      </c>
      <c r="AG249" s="35">
        <f>'Dados - Cliente'!AD249</f>
        <v>0</v>
      </c>
      <c r="AH249" s="33" t="e">
        <f>INDEX('Dados - Placas'!$A:$A,MATCH('1'!AG249,'Dados - Placas'!$D:$D,0))</f>
        <v>#N/A</v>
      </c>
      <c r="AI249" s="35" t="e">
        <f>INDEX('Dados - Placas'!$E:$E,MATCH('1'!AG249,'Dados - Placas'!$D:$D,0))</f>
        <v>#N/A</v>
      </c>
      <c r="AJ249" s="34" t="e">
        <f>INDEX('Dados - Placas'!$F:$F,MATCH('1'!AG249,'Dados - Placas'!$D:$D,0))*AF249</f>
        <v>#N/A</v>
      </c>
      <c r="AK249" s="33">
        <f>'Dados - Cliente'!AE249</f>
        <v>0</v>
      </c>
      <c r="AL249" s="33">
        <f>'Dados - Cliente'!AF249</f>
        <v>0</v>
      </c>
      <c r="AM249" s="36" t="e">
        <f>INDEX('Dados - Inversores'!$A:$A,MATCH('1'!AL249,'Dados - Inversores'!$C:$C,0))</f>
        <v>#N/A</v>
      </c>
      <c r="AN249" s="33">
        <f>'Dados - Cliente'!AG249</f>
        <v>0</v>
      </c>
      <c r="AO249" s="33" t="e">
        <f>AA249*1.25/(0.22*SQRT(INDEX('Dados - Inversores'!AK:AK,MATCH('1'!AL249,'Dados - Inversores'!C:C,0))))</f>
        <v>#N/A</v>
      </c>
      <c r="AP249" s="34">
        <f>INDEX(Dados!$E$2:$E$33,COUNTIF(Dados!$E$2:$E$33,"&lt;="&amp;AN249*1.25/(INDEX('Dados - Inversores'!AL:AL,MATCH('1'!AL249,'Dados - Inversores'!C:C,0))*SQRT(INDEX('Dados - Inversores'!AK:AK,MATCH('1'!AL249,'Dados - Inversores'!C:C,0)))))+1)</f>
        <v>2</v>
      </c>
      <c r="AQ249" s="33" t="s">
        <v>59</v>
      </c>
      <c r="AR249" s="33" t="str">
        <f t="shared" si="24"/>
        <v>Micro</v>
      </c>
      <c r="AS249" s="33">
        <f>'Dados - Cliente'!AH249</f>
        <v>0</v>
      </c>
      <c r="AT249" s="33">
        <f>'Dados - Cliente'!AI249</f>
        <v>0</v>
      </c>
      <c r="AU249" s="33" t="e">
        <f>INDEX('Dados - Placas'!$N:$N,MATCH('1'!AG249,'Dados - Placas'!$D:$D,0))-1</f>
        <v>#N/A</v>
      </c>
      <c r="AV249" s="33" t="e">
        <f>INDEX('Dados - Placas'!$O:$O,MATCH('1'!AG249,'Dados - Placas'!$D:$D,0))</f>
        <v>#N/A</v>
      </c>
      <c r="AW249" s="33" t="e">
        <f>INDEX('Dados - Inversores'!AM:AM,MATCH('1'!AL249,'Dados - Inversores'!$C:$C,0))-1</f>
        <v>#N/A</v>
      </c>
      <c r="AX249" s="33" t="e">
        <f>INDEX('Dados - Inversores'!AN:AN,MATCH('1'!AL249,'Dados - Inversores'!$C:$C,0))-1</f>
        <v>#N/A</v>
      </c>
      <c r="AY249" s="33" t="e">
        <f>MATCH('1'!H249,Dados!$D$89:$D$167,0)+1</f>
        <v>#N/A</v>
      </c>
      <c r="AZ249" s="33" t="e">
        <f>MATCH('1'!N249,'Dados - Solicitação de acesso'!$N$2:$N$8,0)</f>
        <v>#N/A</v>
      </c>
      <c r="BA249" s="33" t="e">
        <f>MATCH('1'!T249,'Dados - Solicitação de acesso'!$T$2:$T$20,0)</f>
        <v>#N/A</v>
      </c>
    </row>
    <row r="250" spans="1:59" x14ac:dyDescent="0.35">
      <c r="A250" s="33">
        <f>'Dados - Cliente'!A250</f>
        <v>0</v>
      </c>
      <c r="B250" s="33">
        <f>'Dados - Cliente'!B250</f>
        <v>0</v>
      </c>
      <c r="C250" s="33">
        <f>'Dados - Cliente'!C250</f>
        <v>0</v>
      </c>
      <c r="D250" s="33">
        <f>'Dados - Cliente'!D250</f>
        <v>0</v>
      </c>
      <c r="E250" s="33">
        <f>'Dados - Cliente'!E250</f>
        <v>0</v>
      </c>
      <c r="F250" s="33">
        <f>'Dados - Cliente'!F250</f>
        <v>0</v>
      </c>
      <c r="G250" s="33">
        <f>'Dados - Cliente'!G250</f>
        <v>0</v>
      </c>
      <c r="H250" s="33">
        <f>'Dados - Cliente'!H250</f>
        <v>0</v>
      </c>
      <c r="I250" s="75" t="s">
        <v>4313</v>
      </c>
      <c r="J250" s="52" t="s">
        <v>4314</v>
      </c>
      <c r="K250" s="52" t="s">
        <v>4314</v>
      </c>
      <c r="L250" s="33">
        <f>'Dados - Cliente'!I250</f>
        <v>0</v>
      </c>
      <c r="M250" s="33">
        <f>'Dados - Cliente'!K250</f>
        <v>0</v>
      </c>
      <c r="N250" s="33">
        <f>'Dados - Cliente'!L250</f>
        <v>0</v>
      </c>
      <c r="O250" s="33">
        <f>'Dados - Cliente'!M250</f>
        <v>0</v>
      </c>
      <c r="P250" s="33">
        <f>'Dados - Cliente'!N250</f>
        <v>0</v>
      </c>
      <c r="Q250" s="33">
        <f>'Dados - Cliente'!O250</f>
        <v>0</v>
      </c>
      <c r="R250" s="33">
        <f>'Dados - Cliente'!P250</f>
        <v>0</v>
      </c>
      <c r="S250" s="33">
        <f>'Dados - Cliente'!Q250</f>
        <v>0</v>
      </c>
      <c r="T250" s="33">
        <f>'Dados - Cliente'!R250</f>
        <v>0</v>
      </c>
      <c r="U250" s="34">
        <f>'Dados - Cliente'!S250</f>
        <v>0</v>
      </c>
      <c r="V250" s="34">
        <f>'Dados - Cliente'!T250</f>
        <v>0</v>
      </c>
      <c r="W250" s="34">
        <f>'Dados - Cliente'!U250</f>
        <v>0</v>
      </c>
      <c r="X250" s="34">
        <f>'Dados - Cliente'!V250</f>
        <v>0</v>
      </c>
      <c r="Y250" s="34">
        <f>'Dados - Cliente'!W250</f>
        <v>0</v>
      </c>
      <c r="Z250" s="34">
        <f>'Dados - Cliente'!X250</f>
        <v>0</v>
      </c>
      <c r="AA250" s="33" t="e">
        <f t="shared" si="23"/>
        <v>#N/A</v>
      </c>
      <c r="AB250" s="33">
        <f>'Dados - Cliente'!Y250</f>
        <v>0</v>
      </c>
      <c r="AC250" s="33">
        <f>'Dados - Cliente'!Z250</f>
        <v>0</v>
      </c>
      <c r="AD250" s="33">
        <f>'Dados - Cliente'!AA250</f>
        <v>0</v>
      </c>
      <c r="AE250" s="33">
        <f>'Dados - Cliente'!AB250</f>
        <v>0</v>
      </c>
      <c r="AF250" s="33">
        <f>'Dados - Cliente'!AC250</f>
        <v>0</v>
      </c>
      <c r="AG250" s="35">
        <f>'Dados - Cliente'!AD250</f>
        <v>0</v>
      </c>
      <c r="AH250" s="33" t="e">
        <f>INDEX('Dados - Placas'!$A:$A,MATCH('1'!AG250,'Dados - Placas'!$D:$D,0))</f>
        <v>#N/A</v>
      </c>
      <c r="AI250" s="35" t="e">
        <f>INDEX('Dados - Placas'!$E:$E,MATCH('1'!AG250,'Dados - Placas'!$D:$D,0))</f>
        <v>#N/A</v>
      </c>
      <c r="AJ250" s="34" t="e">
        <f>INDEX('Dados - Placas'!$F:$F,MATCH('1'!AG250,'Dados - Placas'!$D:$D,0))*AF250</f>
        <v>#N/A</v>
      </c>
      <c r="AK250" s="33">
        <f>'Dados - Cliente'!AE250</f>
        <v>0</v>
      </c>
      <c r="AL250" s="33">
        <f>'Dados - Cliente'!AF250</f>
        <v>0</v>
      </c>
      <c r="AM250" s="36" t="e">
        <f>INDEX('Dados - Inversores'!$A:$A,MATCH('1'!AL250,'Dados - Inversores'!$C:$C,0))</f>
        <v>#N/A</v>
      </c>
      <c r="AN250" s="33">
        <f>'Dados - Cliente'!AG250</f>
        <v>0</v>
      </c>
      <c r="AO250" s="33" t="e">
        <f>AA250*1.25/(0.22*SQRT(INDEX('Dados - Inversores'!AK:AK,MATCH('1'!AL250,'Dados - Inversores'!C:C,0))))</f>
        <v>#N/A</v>
      </c>
      <c r="AP250" s="34">
        <f>INDEX(Dados!$E$2:$E$33,COUNTIF(Dados!$E$2:$E$33,"&lt;="&amp;AN250*1.25/(INDEX('Dados - Inversores'!AL:AL,MATCH('1'!AL250,'Dados - Inversores'!C:C,0))*SQRT(INDEX('Dados - Inversores'!AK:AK,MATCH('1'!AL250,'Dados - Inversores'!C:C,0)))))+1)</f>
        <v>2</v>
      </c>
      <c r="AQ250" s="33" t="s">
        <v>59</v>
      </c>
      <c r="AR250" s="33" t="str">
        <f t="shared" si="24"/>
        <v>Micro</v>
      </c>
      <c r="AS250" s="33">
        <f>'Dados - Cliente'!AH250</f>
        <v>0</v>
      </c>
      <c r="AT250" s="33">
        <f>'Dados - Cliente'!AI250</f>
        <v>0</v>
      </c>
      <c r="AU250" s="33" t="e">
        <f>INDEX('Dados - Placas'!$N:$N,MATCH('1'!AG250,'Dados - Placas'!$D:$D,0))-1</f>
        <v>#N/A</v>
      </c>
      <c r="AV250" s="33" t="e">
        <f>INDEX('Dados - Placas'!$O:$O,MATCH('1'!AG250,'Dados - Placas'!$D:$D,0))</f>
        <v>#N/A</v>
      </c>
      <c r="AW250" s="33" t="e">
        <f>INDEX('Dados - Inversores'!AM:AM,MATCH('1'!AL250,'Dados - Inversores'!$C:$C,0))-1</f>
        <v>#N/A</v>
      </c>
      <c r="AX250" s="33" t="e">
        <f>INDEX('Dados - Inversores'!AN:AN,MATCH('1'!AL250,'Dados - Inversores'!$C:$C,0))-1</f>
        <v>#N/A</v>
      </c>
      <c r="AY250" s="33" t="e">
        <f>MATCH('1'!H250,Dados!$D$89:$D$167,0)+1</f>
        <v>#N/A</v>
      </c>
      <c r="AZ250" s="33" t="e">
        <f>MATCH('1'!N250,'Dados - Solicitação de acesso'!$N$2:$N$8,0)</f>
        <v>#N/A</v>
      </c>
      <c r="BA250" s="33" t="e">
        <f>MATCH('1'!T250,'Dados - Solicitação de acesso'!$T$2:$T$20,0)</f>
        <v>#N/A</v>
      </c>
    </row>
    <row r="251" spans="1:59" x14ac:dyDescent="0.35">
      <c r="A251" s="33">
        <f>'Dados - Cliente'!A251</f>
        <v>0</v>
      </c>
      <c r="B251" s="33">
        <f>'Dados - Cliente'!B251</f>
        <v>0</v>
      </c>
      <c r="C251" s="33">
        <f>'Dados - Cliente'!C251</f>
        <v>0</v>
      </c>
      <c r="D251" s="33">
        <f>'Dados - Cliente'!D251</f>
        <v>0</v>
      </c>
      <c r="E251" s="33">
        <f>'Dados - Cliente'!E251</f>
        <v>0</v>
      </c>
      <c r="F251" s="33">
        <f>'Dados - Cliente'!F251</f>
        <v>0</v>
      </c>
      <c r="G251" s="33">
        <f>'Dados - Cliente'!G251</f>
        <v>0</v>
      </c>
      <c r="H251" s="33">
        <f>'Dados - Cliente'!H251</f>
        <v>0</v>
      </c>
      <c r="I251" s="75" t="s">
        <v>4313</v>
      </c>
      <c r="J251" s="52" t="s">
        <v>4314</v>
      </c>
      <c r="K251" s="52" t="s">
        <v>4314</v>
      </c>
      <c r="L251" s="33">
        <f>'Dados - Cliente'!I251</f>
        <v>0</v>
      </c>
      <c r="M251" s="33">
        <f>'Dados - Cliente'!K251</f>
        <v>0</v>
      </c>
      <c r="N251" s="33">
        <f>'Dados - Cliente'!L251</f>
        <v>0</v>
      </c>
      <c r="O251" s="33">
        <f>'Dados - Cliente'!M251</f>
        <v>0</v>
      </c>
      <c r="P251" s="33">
        <f>'Dados - Cliente'!N251</f>
        <v>0</v>
      </c>
      <c r="Q251" s="33">
        <f>'Dados - Cliente'!O251</f>
        <v>0</v>
      </c>
      <c r="R251" s="33">
        <f>'Dados - Cliente'!P251</f>
        <v>0</v>
      </c>
      <c r="S251" s="33">
        <f>'Dados - Cliente'!Q251</f>
        <v>0</v>
      </c>
      <c r="T251" s="33">
        <f>'Dados - Cliente'!R251</f>
        <v>0</v>
      </c>
      <c r="U251" s="34">
        <f>'Dados - Cliente'!S251</f>
        <v>0</v>
      </c>
      <c r="V251" s="34">
        <f>'Dados - Cliente'!T251</f>
        <v>0</v>
      </c>
      <c r="W251" s="34">
        <f>'Dados - Cliente'!U251</f>
        <v>0</v>
      </c>
      <c r="X251" s="34">
        <f>'Dados - Cliente'!V251</f>
        <v>0</v>
      </c>
      <c r="Y251" s="34">
        <f>'Dados - Cliente'!W251</f>
        <v>0</v>
      </c>
      <c r="Z251" s="34">
        <f>'Dados - Cliente'!X251</f>
        <v>0</v>
      </c>
      <c r="AA251" s="33" t="e">
        <f t="shared" si="23"/>
        <v>#N/A</v>
      </c>
      <c r="AB251" s="33">
        <f>'Dados - Cliente'!Y251</f>
        <v>0</v>
      </c>
      <c r="AC251" s="33">
        <f>'Dados - Cliente'!Z251</f>
        <v>0</v>
      </c>
      <c r="AD251" s="33">
        <f>'Dados - Cliente'!AA251</f>
        <v>0</v>
      </c>
      <c r="AE251" s="33">
        <f>'Dados - Cliente'!AB251</f>
        <v>0</v>
      </c>
      <c r="AF251" s="33">
        <f>'Dados - Cliente'!AC251</f>
        <v>0</v>
      </c>
      <c r="AG251" s="35">
        <f>'Dados - Cliente'!AD251</f>
        <v>0</v>
      </c>
      <c r="AH251" s="33" t="e">
        <f>INDEX('Dados - Placas'!$A:$A,MATCH('1'!AG251,'Dados - Placas'!$D:$D,0))</f>
        <v>#N/A</v>
      </c>
      <c r="AI251" s="35" t="e">
        <f>INDEX('Dados - Placas'!$E:$E,MATCH('1'!AG251,'Dados - Placas'!$D:$D,0))</f>
        <v>#N/A</v>
      </c>
      <c r="AJ251" s="34" t="e">
        <f>INDEX('Dados - Placas'!$F:$F,MATCH('1'!AG251,'Dados - Placas'!$D:$D,0))*AF251</f>
        <v>#N/A</v>
      </c>
      <c r="AK251" s="33">
        <f>'Dados - Cliente'!AE251</f>
        <v>0</v>
      </c>
      <c r="AL251" s="33">
        <f>'Dados - Cliente'!AF251</f>
        <v>0</v>
      </c>
      <c r="AM251" s="36" t="e">
        <f>INDEX('Dados - Inversores'!$A:$A,MATCH('1'!AL251,'Dados - Inversores'!$C:$C,0))</f>
        <v>#N/A</v>
      </c>
      <c r="AN251" s="33">
        <f>'Dados - Cliente'!AG251</f>
        <v>0</v>
      </c>
      <c r="AO251" s="33" t="e">
        <f>AA251*1.25/(0.22*SQRT(INDEX('Dados - Inversores'!AK:AK,MATCH('1'!AL251,'Dados - Inversores'!C:C,0))))</f>
        <v>#N/A</v>
      </c>
      <c r="AP251" s="34">
        <f>INDEX(Dados!$E$2:$E$33,COUNTIF(Dados!$E$2:$E$33,"&lt;="&amp;AN251*1.25/(INDEX('Dados - Inversores'!AL:AL,MATCH('1'!AL251,'Dados - Inversores'!C:C,0))*SQRT(INDEX('Dados - Inversores'!AK:AK,MATCH('1'!AL251,'Dados - Inversores'!C:C,0)))))+1)</f>
        <v>2</v>
      </c>
      <c r="AQ251" s="33" t="s">
        <v>59</v>
      </c>
      <c r="AR251" s="33" t="str">
        <f t="shared" si="24"/>
        <v>Micro</v>
      </c>
      <c r="AS251" s="33">
        <f>'Dados - Cliente'!AH251</f>
        <v>0</v>
      </c>
      <c r="AT251" s="33">
        <f>'Dados - Cliente'!AI251</f>
        <v>0</v>
      </c>
      <c r="AU251" s="33" t="e">
        <f>INDEX('Dados - Placas'!$N:$N,MATCH('1'!AG251,'Dados - Placas'!$D:$D,0))-1</f>
        <v>#N/A</v>
      </c>
      <c r="AV251" s="33" t="e">
        <f>INDEX('Dados - Placas'!$O:$O,MATCH('1'!AG251,'Dados - Placas'!$D:$D,0))</f>
        <v>#N/A</v>
      </c>
      <c r="AW251" s="33" t="e">
        <f>INDEX('Dados - Inversores'!AM:AM,MATCH('1'!AL251,'Dados - Inversores'!$C:$C,0))-1</f>
        <v>#N/A</v>
      </c>
      <c r="AX251" s="33" t="e">
        <f>INDEX('Dados - Inversores'!AN:AN,MATCH('1'!AL251,'Dados - Inversores'!$C:$C,0))-1</f>
        <v>#N/A</v>
      </c>
      <c r="AY251" s="33" t="e">
        <f>MATCH('1'!H251,Dados!$D$89:$D$167,0)+1</f>
        <v>#N/A</v>
      </c>
      <c r="AZ251" s="33" t="e">
        <f>MATCH('1'!N251,'Dados - Solicitação de acesso'!$N$2:$N$8,0)</f>
        <v>#N/A</v>
      </c>
      <c r="BA251" s="33" t="e">
        <f>MATCH('1'!T251,'Dados - Solicitação de acesso'!$T$2:$T$20,0)</f>
        <v>#N/A</v>
      </c>
    </row>
    <row r="252" spans="1:59" x14ac:dyDescent="0.35">
      <c r="A252" s="33">
        <f>'Dados - Cliente'!A252</f>
        <v>0</v>
      </c>
      <c r="B252" s="33">
        <f>'Dados - Cliente'!B252</f>
        <v>0</v>
      </c>
      <c r="C252" s="33">
        <f>'Dados - Cliente'!C252</f>
        <v>0</v>
      </c>
      <c r="D252" s="33">
        <f>'Dados - Cliente'!D252</f>
        <v>0</v>
      </c>
      <c r="E252" s="33">
        <f>'Dados - Cliente'!E252</f>
        <v>0</v>
      </c>
      <c r="F252" s="33">
        <f>'Dados - Cliente'!F252</f>
        <v>0</v>
      </c>
      <c r="G252" s="33">
        <f>'Dados - Cliente'!G252</f>
        <v>0</v>
      </c>
      <c r="H252" s="33">
        <f>'Dados - Cliente'!H252</f>
        <v>0</v>
      </c>
      <c r="I252" s="75" t="s">
        <v>4313</v>
      </c>
      <c r="J252" s="52" t="s">
        <v>4314</v>
      </c>
      <c r="K252" s="52" t="s">
        <v>4314</v>
      </c>
      <c r="L252" s="33">
        <f>'Dados - Cliente'!I252</f>
        <v>0</v>
      </c>
      <c r="M252" s="33">
        <f>'Dados - Cliente'!K252</f>
        <v>0</v>
      </c>
      <c r="N252" s="33">
        <f>'Dados - Cliente'!L252</f>
        <v>0</v>
      </c>
      <c r="O252" s="33">
        <f>'Dados - Cliente'!M252</f>
        <v>0</v>
      </c>
      <c r="P252" s="33">
        <f>'Dados - Cliente'!N252</f>
        <v>0</v>
      </c>
      <c r="Q252" s="33">
        <f>'Dados - Cliente'!O252</f>
        <v>0</v>
      </c>
      <c r="R252" s="33">
        <f>'Dados - Cliente'!P252</f>
        <v>0</v>
      </c>
      <c r="S252" s="33">
        <f>'Dados - Cliente'!Q252</f>
        <v>0</v>
      </c>
      <c r="T252" s="33">
        <f>'Dados - Cliente'!R252</f>
        <v>0</v>
      </c>
      <c r="U252" s="34">
        <f>'Dados - Cliente'!S252</f>
        <v>0</v>
      </c>
      <c r="V252" s="34">
        <f>'Dados - Cliente'!T252</f>
        <v>0</v>
      </c>
      <c r="W252" s="34">
        <f>'Dados - Cliente'!U252</f>
        <v>0</v>
      </c>
      <c r="X252" s="34">
        <f>'Dados - Cliente'!V252</f>
        <v>0</v>
      </c>
      <c r="Y252" s="34">
        <f>'Dados - Cliente'!W252</f>
        <v>0</v>
      </c>
      <c r="Z252" s="34">
        <f>'Dados - Cliente'!X252</f>
        <v>0</v>
      </c>
      <c r="AA252" s="33" t="e">
        <f t="shared" si="23"/>
        <v>#N/A</v>
      </c>
      <c r="AB252" s="33">
        <f>'Dados - Cliente'!Y252</f>
        <v>0</v>
      </c>
      <c r="AC252" s="33">
        <f>'Dados - Cliente'!Z252</f>
        <v>0</v>
      </c>
      <c r="AD252" s="33">
        <f>'Dados - Cliente'!AA252</f>
        <v>0</v>
      </c>
      <c r="AE252" s="33">
        <f>'Dados - Cliente'!AB252</f>
        <v>0</v>
      </c>
      <c r="AF252" s="33">
        <f>'Dados - Cliente'!AC252</f>
        <v>0</v>
      </c>
      <c r="AG252" s="35">
        <f>'Dados - Cliente'!AD252</f>
        <v>0</v>
      </c>
      <c r="AH252" s="33" t="e">
        <f>INDEX('Dados - Placas'!$A:$A,MATCH('1'!AG252,'Dados - Placas'!$D:$D,0))</f>
        <v>#N/A</v>
      </c>
      <c r="AI252" s="35" t="e">
        <f>INDEX('Dados - Placas'!$E:$E,MATCH('1'!AG252,'Dados - Placas'!$D:$D,0))</f>
        <v>#N/A</v>
      </c>
      <c r="AJ252" s="34" t="e">
        <f>INDEX('Dados - Placas'!$F:$F,MATCH('1'!AG252,'Dados - Placas'!$D:$D,0))*AF252</f>
        <v>#N/A</v>
      </c>
      <c r="AK252" s="33">
        <f>'Dados - Cliente'!AE252</f>
        <v>0</v>
      </c>
      <c r="AL252" s="33">
        <f>'Dados - Cliente'!AF252</f>
        <v>0</v>
      </c>
      <c r="AM252" s="36" t="e">
        <f>INDEX('Dados - Inversores'!$A:$A,MATCH('1'!AL252,'Dados - Inversores'!$C:$C,0))</f>
        <v>#N/A</v>
      </c>
      <c r="AN252" s="33">
        <f>'Dados - Cliente'!AG252</f>
        <v>0</v>
      </c>
      <c r="AO252" s="33" t="e">
        <f>AA252*1.25/(0.22*SQRT(INDEX('Dados - Inversores'!AK:AK,MATCH('1'!AL252,'Dados - Inversores'!C:C,0))))</f>
        <v>#N/A</v>
      </c>
      <c r="AP252" s="34">
        <f>INDEX(Dados!$E$2:$E$33,COUNTIF(Dados!$E$2:$E$33,"&lt;="&amp;AN252*1.25/(INDEX('Dados - Inversores'!AL:AL,MATCH('1'!AL252,'Dados - Inversores'!C:C,0))*SQRT(INDEX('Dados - Inversores'!AK:AK,MATCH('1'!AL252,'Dados - Inversores'!C:C,0)))))+1)</f>
        <v>2</v>
      </c>
      <c r="AQ252" s="33" t="s">
        <v>59</v>
      </c>
      <c r="AR252" s="33" t="str">
        <f t="shared" si="24"/>
        <v>Micro</v>
      </c>
      <c r="AS252" s="33">
        <f>'Dados - Cliente'!AH252</f>
        <v>0</v>
      </c>
      <c r="AT252" s="33">
        <f>'Dados - Cliente'!AI252</f>
        <v>0</v>
      </c>
      <c r="AU252" s="33" t="e">
        <f>INDEX('Dados - Placas'!$N:$N,MATCH('1'!AG252,'Dados - Placas'!$D:$D,0))-1</f>
        <v>#N/A</v>
      </c>
      <c r="AV252" s="33" t="e">
        <f>INDEX('Dados - Placas'!$O:$O,MATCH('1'!AG252,'Dados - Placas'!$D:$D,0))</f>
        <v>#N/A</v>
      </c>
      <c r="AW252" s="33" t="e">
        <f>INDEX('Dados - Inversores'!AM:AM,MATCH('1'!AL252,'Dados - Inversores'!$C:$C,0))-1</f>
        <v>#N/A</v>
      </c>
      <c r="AX252" s="33" t="e">
        <f>INDEX('Dados - Inversores'!AN:AN,MATCH('1'!AL252,'Dados - Inversores'!$C:$C,0))-1</f>
        <v>#N/A</v>
      </c>
      <c r="AY252" s="33" t="e">
        <f>MATCH('1'!H252,Dados!$D$89:$D$167,0)+1</f>
        <v>#N/A</v>
      </c>
      <c r="AZ252" s="33" t="e">
        <f>MATCH('1'!N252,'Dados - Solicitação de acesso'!$N$2:$N$8,0)</f>
        <v>#N/A</v>
      </c>
      <c r="BA252" s="33" t="e">
        <f>MATCH('1'!T252,'Dados - Solicitação de acesso'!$T$2:$T$20,0)</f>
        <v>#N/A</v>
      </c>
    </row>
    <row r="253" spans="1:59" x14ac:dyDescent="0.35">
      <c r="A253" s="33">
        <f>'Dados - Cliente'!A253</f>
        <v>0</v>
      </c>
      <c r="B253" s="33">
        <f>'Dados - Cliente'!B253</f>
        <v>0</v>
      </c>
      <c r="C253" s="33">
        <f>'Dados - Cliente'!C253</f>
        <v>0</v>
      </c>
      <c r="D253" s="33">
        <f>'Dados - Cliente'!D253</f>
        <v>0</v>
      </c>
      <c r="E253" s="33">
        <f>'Dados - Cliente'!E253</f>
        <v>0</v>
      </c>
      <c r="F253" s="33">
        <f>'Dados - Cliente'!F253</f>
        <v>0</v>
      </c>
      <c r="G253" s="33">
        <f>'Dados - Cliente'!G253</f>
        <v>0</v>
      </c>
      <c r="H253" s="33">
        <f>'Dados - Cliente'!H253</f>
        <v>0</v>
      </c>
      <c r="I253" s="75" t="s">
        <v>4313</v>
      </c>
      <c r="J253" s="52" t="s">
        <v>4314</v>
      </c>
      <c r="K253" s="52" t="s">
        <v>4314</v>
      </c>
      <c r="L253" s="33">
        <f>'Dados - Cliente'!I253</f>
        <v>0</v>
      </c>
      <c r="M253" s="33">
        <f>'Dados - Cliente'!K253</f>
        <v>0</v>
      </c>
      <c r="N253" s="33">
        <f>'Dados - Cliente'!L253</f>
        <v>0</v>
      </c>
      <c r="O253" s="33">
        <f>'Dados - Cliente'!M253</f>
        <v>0</v>
      </c>
      <c r="P253" s="33">
        <f>'Dados - Cliente'!N253</f>
        <v>0</v>
      </c>
      <c r="Q253" s="33">
        <f>'Dados - Cliente'!O253</f>
        <v>0</v>
      </c>
      <c r="R253" s="33">
        <f>'Dados - Cliente'!P253</f>
        <v>0</v>
      </c>
      <c r="S253" s="33">
        <f>'Dados - Cliente'!Q253</f>
        <v>0</v>
      </c>
      <c r="T253" s="33">
        <f>'Dados - Cliente'!R253</f>
        <v>0</v>
      </c>
      <c r="U253" s="34">
        <f>'Dados - Cliente'!S253</f>
        <v>0</v>
      </c>
      <c r="V253" s="34">
        <f>'Dados - Cliente'!T253</f>
        <v>0</v>
      </c>
      <c r="W253" s="34">
        <f>'Dados - Cliente'!U253</f>
        <v>0</v>
      </c>
      <c r="X253" s="34">
        <f>'Dados - Cliente'!V253</f>
        <v>0</v>
      </c>
      <c r="Y253" s="34">
        <f>'Dados - Cliente'!W253</f>
        <v>0</v>
      </c>
      <c r="Z253" s="34">
        <f>'Dados - Cliente'!X253</f>
        <v>0</v>
      </c>
      <c r="AA253" s="33" t="e">
        <f t="shared" si="23"/>
        <v>#N/A</v>
      </c>
      <c r="AB253" s="33">
        <f>'Dados - Cliente'!Y253</f>
        <v>0</v>
      </c>
      <c r="AC253" s="33">
        <f>'Dados - Cliente'!Z253</f>
        <v>0</v>
      </c>
      <c r="AD253" s="33">
        <f>'Dados - Cliente'!AA253</f>
        <v>0</v>
      </c>
      <c r="AE253" s="33">
        <f>'Dados - Cliente'!AB253</f>
        <v>0</v>
      </c>
      <c r="AF253" s="33">
        <f>'Dados - Cliente'!AC253</f>
        <v>0</v>
      </c>
      <c r="AG253" s="35">
        <f>'Dados - Cliente'!AD253</f>
        <v>0</v>
      </c>
      <c r="AH253" s="33" t="e">
        <f>INDEX('Dados - Placas'!$A:$A,MATCH('1'!AG253,'Dados - Placas'!$D:$D,0))</f>
        <v>#N/A</v>
      </c>
      <c r="AI253" s="35" t="e">
        <f>INDEX('Dados - Placas'!$E:$E,MATCH('1'!AG253,'Dados - Placas'!$D:$D,0))</f>
        <v>#N/A</v>
      </c>
      <c r="AJ253" s="34" t="e">
        <f>INDEX('Dados - Placas'!$F:$F,MATCH('1'!AG253,'Dados - Placas'!$D:$D,0))*AF253</f>
        <v>#N/A</v>
      </c>
      <c r="AK253" s="33">
        <f>'Dados - Cliente'!AE253</f>
        <v>0</v>
      </c>
      <c r="AL253" s="33">
        <f>'Dados - Cliente'!AF253</f>
        <v>0</v>
      </c>
      <c r="AM253" s="36" t="e">
        <f>INDEX('Dados - Inversores'!$A:$A,MATCH('1'!AL253,'Dados - Inversores'!$C:$C,0))</f>
        <v>#N/A</v>
      </c>
      <c r="AN253" s="33">
        <f>'Dados - Cliente'!AG253</f>
        <v>0</v>
      </c>
      <c r="AO253" s="33" t="e">
        <f>AA253*1.25/(0.22*SQRT(INDEX('Dados - Inversores'!AK:AK,MATCH('1'!AL253,'Dados - Inversores'!C:C,0))))</f>
        <v>#N/A</v>
      </c>
      <c r="AP253" s="34">
        <f>INDEX(Dados!$E$2:$E$33,COUNTIF(Dados!$E$2:$E$33,"&lt;="&amp;AN253*1.25/(INDEX('Dados - Inversores'!AL:AL,MATCH('1'!AL253,'Dados - Inversores'!C:C,0))*SQRT(INDEX('Dados - Inversores'!AK:AK,MATCH('1'!AL253,'Dados - Inversores'!C:C,0)))))+1)</f>
        <v>2</v>
      </c>
      <c r="AQ253" s="33" t="s">
        <v>59</v>
      </c>
      <c r="AR253" s="33" t="str">
        <f t="shared" si="24"/>
        <v>Micro</v>
      </c>
      <c r="AS253" s="33">
        <f>'Dados - Cliente'!AH253</f>
        <v>0</v>
      </c>
      <c r="AT253" s="33">
        <f>'Dados - Cliente'!AI253</f>
        <v>0</v>
      </c>
      <c r="AU253" s="33" t="e">
        <f>INDEX('Dados - Placas'!$N:$N,MATCH('1'!AG253,'Dados - Placas'!$D:$D,0))-1</f>
        <v>#N/A</v>
      </c>
      <c r="AV253" s="33" t="e">
        <f>INDEX('Dados - Placas'!$O:$O,MATCH('1'!AG253,'Dados - Placas'!$D:$D,0))</f>
        <v>#N/A</v>
      </c>
      <c r="AW253" s="33" t="e">
        <f>INDEX('Dados - Inversores'!AM:AM,MATCH('1'!AL253,'Dados - Inversores'!$C:$C,0))-1</f>
        <v>#N/A</v>
      </c>
      <c r="AX253" s="33" t="e">
        <f>INDEX('Dados - Inversores'!AN:AN,MATCH('1'!AL253,'Dados - Inversores'!$C:$C,0))-1</f>
        <v>#N/A</v>
      </c>
      <c r="AY253" s="33" t="e">
        <f>MATCH('1'!H253,Dados!$D$89:$D$167,0)+1</f>
        <v>#N/A</v>
      </c>
      <c r="AZ253" s="33" t="e">
        <f>MATCH('1'!N253,'Dados - Solicitação de acesso'!$N$2:$N$8,0)</f>
        <v>#N/A</v>
      </c>
      <c r="BA253" s="33" t="e">
        <f>MATCH('1'!T253,'Dados - Solicitação de acesso'!$T$2:$T$20,0)</f>
        <v>#N/A</v>
      </c>
    </row>
    <row r="254" spans="1:59" x14ac:dyDescent="0.35">
      <c r="A254" s="33">
        <f>'Dados - Cliente'!A254</f>
        <v>0</v>
      </c>
      <c r="B254" s="33">
        <f>'Dados - Cliente'!B254</f>
        <v>0</v>
      </c>
      <c r="C254" s="33">
        <f>'Dados - Cliente'!C254</f>
        <v>0</v>
      </c>
      <c r="D254" s="33">
        <f>'Dados - Cliente'!D254</f>
        <v>0</v>
      </c>
      <c r="E254" s="33">
        <f>'Dados - Cliente'!E254</f>
        <v>0</v>
      </c>
      <c r="F254" s="33">
        <f>'Dados - Cliente'!F254</f>
        <v>0</v>
      </c>
      <c r="G254" s="33">
        <f>'Dados - Cliente'!G254</f>
        <v>0</v>
      </c>
      <c r="H254" s="33">
        <f>'Dados - Cliente'!H254</f>
        <v>0</v>
      </c>
      <c r="I254" s="75" t="s">
        <v>4313</v>
      </c>
      <c r="J254" s="52" t="s">
        <v>4314</v>
      </c>
      <c r="K254" s="52" t="s">
        <v>4314</v>
      </c>
      <c r="L254" s="33">
        <f>'Dados - Cliente'!I254</f>
        <v>0</v>
      </c>
      <c r="M254" s="33">
        <f>'Dados - Cliente'!K254</f>
        <v>0</v>
      </c>
      <c r="N254" s="33">
        <f>'Dados - Cliente'!L254</f>
        <v>0</v>
      </c>
      <c r="O254" s="33">
        <f>'Dados - Cliente'!M254</f>
        <v>0</v>
      </c>
      <c r="P254" s="33">
        <f>'Dados - Cliente'!N254</f>
        <v>0</v>
      </c>
      <c r="Q254" s="33">
        <f>'Dados - Cliente'!O254</f>
        <v>0</v>
      </c>
      <c r="R254" s="33">
        <f>'Dados - Cliente'!P254</f>
        <v>0</v>
      </c>
      <c r="S254" s="33">
        <f>'Dados - Cliente'!Q254</f>
        <v>0</v>
      </c>
      <c r="T254" s="33">
        <f>'Dados - Cliente'!R254</f>
        <v>0</v>
      </c>
      <c r="U254" s="34">
        <f>'Dados - Cliente'!S254</f>
        <v>0</v>
      </c>
      <c r="V254" s="34">
        <f>'Dados - Cliente'!T254</f>
        <v>0</v>
      </c>
      <c r="W254" s="34">
        <f>'Dados - Cliente'!U254</f>
        <v>0</v>
      </c>
      <c r="X254" s="34">
        <f>'Dados - Cliente'!V254</f>
        <v>0</v>
      </c>
      <c r="Y254" s="34">
        <f>'Dados - Cliente'!W254</f>
        <v>0</v>
      </c>
      <c r="Z254" s="34">
        <f>'Dados - Cliente'!X254</f>
        <v>0</v>
      </c>
      <c r="AA254" s="33" t="e">
        <f t="shared" si="23"/>
        <v>#N/A</v>
      </c>
      <c r="AB254" s="33">
        <f>'Dados - Cliente'!Y254</f>
        <v>0</v>
      </c>
      <c r="AC254" s="33">
        <f>'Dados - Cliente'!Z254</f>
        <v>0</v>
      </c>
      <c r="AD254" s="33">
        <f>'Dados - Cliente'!AA254</f>
        <v>0</v>
      </c>
      <c r="AE254" s="33">
        <f>'Dados - Cliente'!AB254</f>
        <v>0</v>
      </c>
      <c r="AF254" s="33">
        <f>'Dados - Cliente'!AC254</f>
        <v>0</v>
      </c>
      <c r="AG254" s="35">
        <f>'Dados - Cliente'!AD254</f>
        <v>0</v>
      </c>
      <c r="AH254" s="33" t="e">
        <f>INDEX('Dados - Placas'!$A:$A,MATCH('1'!AG254,'Dados - Placas'!$D:$D,0))</f>
        <v>#N/A</v>
      </c>
      <c r="AI254" s="35" t="e">
        <f>INDEX('Dados - Placas'!$E:$E,MATCH('1'!AG254,'Dados - Placas'!$D:$D,0))</f>
        <v>#N/A</v>
      </c>
      <c r="AJ254" s="34" t="e">
        <f>INDEX('Dados - Placas'!$F:$F,MATCH('1'!AG254,'Dados - Placas'!$D:$D,0))*AF254</f>
        <v>#N/A</v>
      </c>
      <c r="AK254" s="33">
        <f>'Dados - Cliente'!AE254</f>
        <v>0</v>
      </c>
      <c r="AL254" s="33">
        <f>'Dados - Cliente'!AF254</f>
        <v>0</v>
      </c>
      <c r="AM254" s="36" t="e">
        <f>INDEX('Dados - Inversores'!$A:$A,MATCH('1'!AL254,'Dados - Inversores'!$C:$C,0))</f>
        <v>#N/A</v>
      </c>
      <c r="AN254" s="33">
        <f>'Dados - Cliente'!AG254</f>
        <v>0</v>
      </c>
      <c r="AO254" s="33" t="e">
        <f>AA254*1.25/(0.22*SQRT(INDEX('Dados - Inversores'!AK:AK,MATCH('1'!AL254,'Dados - Inversores'!C:C,0))))</f>
        <v>#N/A</v>
      </c>
      <c r="AP254" s="34">
        <f>INDEX(Dados!$E$2:$E$33,COUNTIF(Dados!$E$2:$E$33,"&lt;="&amp;AN254*1.25/(INDEX('Dados - Inversores'!AL:AL,MATCH('1'!AL254,'Dados - Inversores'!C:C,0))*SQRT(INDEX('Dados - Inversores'!AK:AK,MATCH('1'!AL254,'Dados - Inversores'!C:C,0)))))+1)</f>
        <v>2</v>
      </c>
      <c r="AQ254" s="33" t="s">
        <v>59</v>
      </c>
      <c r="AR254" s="33" t="str">
        <f t="shared" si="24"/>
        <v>Micro</v>
      </c>
      <c r="AS254" s="33">
        <f>'Dados - Cliente'!AH254</f>
        <v>0</v>
      </c>
      <c r="AT254" s="33">
        <f>'Dados - Cliente'!AI254</f>
        <v>0</v>
      </c>
      <c r="AU254" s="33" t="e">
        <f>INDEX('Dados - Placas'!$N:$N,MATCH('1'!AG254,'Dados - Placas'!$D:$D,0))-1</f>
        <v>#N/A</v>
      </c>
      <c r="AV254" s="33" t="e">
        <f>INDEX('Dados - Placas'!$O:$O,MATCH('1'!AG254,'Dados - Placas'!$D:$D,0))</f>
        <v>#N/A</v>
      </c>
      <c r="AW254" s="33" t="e">
        <f>INDEX('Dados - Inversores'!AM:AM,MATCH('1'!AL254,'Dados - Inversores'!$C:$C,0))-1</f>
        <v>#N/A</v>
      </c>
      <c r="AX254" s="33" t="e">
        <f>INDEX('Dados - Inversores'!AN:AN,MATCH('1'!AL254,'Dados - Inversores'!$C:$C,0))-1</f>
        <v>#N/A</v>
      </c>
      <c r="AY254" s="33" t="e">
        <f>MATCH('1'!H254,Dados!$D$89:$D$167,0)+1</f>
        <v>#N/A</v>
      </c>
      <c r="AZ254" s="33" t="e">
        <f>MATCH('1'!N254,'Dados - Solicitação de acesso'!$N$2:$N$8,0)</f>
        <v>#N/A</v>
      </c>
      <c r="BA254" s="33" t="e">
        <f>MATCH('1'!T254,'Dados - Solicitação de acesso'!$T$2:$T$20,0)</f>
        <v>#N/A</v>
      </c>
    </row>
    <row r="255" spans="1:59" x14ac:dyDescent="0.35">
      <c r="A255" s="33">
        <f>'Dados - Cliente'!A255</f>
        <v>0</v>
      </c>
      <c r="B255" s="33">
        <f>'Dados - Cliente'!B255</f>
        <v>0</v>
      </c>
      <c r="C255" s="33">
        <f>'Dados - Cliente'!C255</f>
        <v>0</v>
      </c>
      <c r="D255" s="33">
        <f>'Dados - Cliente'!D255</f>
        <v>0</v>
      </c>
      <c r="E255" s="33">
        <f>'Dados - Cliente'!E255</f>
        <v>0</v>
      </c>
      <c r="F255" s="33">
        <f>'Dados - Cliente'!F255</f>
        <v>0</v>
      </c>
      <c r="G255" s="33">
        <f>'Dados - Cliente'!G255</f>
        <v>0</v>
      </c>
      <c r="H255" s="33">
        <f>'Dados - Cliente'!H255</f>
        <v>0</v>
      </c>
      <c r="I255" s="75" t="s">
        <v>4313</v>
      </c>
      <c r="J255" s="52" t="s">
        <v>4314</v>
      </c>
      <c r="K255" s="52" t="s">
        <v>4314</v>
      </c>
      <c r="L255" s="33">
        <f>'Dados - Cliente'!I255</f>
        <v>0</v>
      </c>
      <c r="M255" s="33">
        <f>'Dados - Cliente'!K255</f>
        <v>0</v>
      </c>
      <c r="N255" s="33">
        <f>'Dados - Cliente'!L255</f>
        <v>0</v>
      </c>
      <c r="O255" s="33">
        <f>'Dados - Cliente'!M255</f>
        <v>0</v>
      </c>
      <c r="P255" s="33">
        <f>'Dados - Cliente'!N255</f>
        <v>0</v>
      </c>
      <c r="Q255" s="33">
        <f>'Dados - Cliente'!O255</f>
        <v>0</v>
      </c>
      <c r="R255" s="33">
        <f>'Dados - Cliente'!P255</f>
        <v>0</v>
      </c>
      <c r="S255" s="33">
        <f>'Dados - Cliente'!Q255</f>
        <v>0</v>
      </c>
      <c r="T255" s="33">
        <f>'Dados - Cliente'!R255</f>
        <v>0</v>
      </c>
      <c r="U255" s="34">
        <f>'Dados - Cliente'!S255</f>
        <v>0</v>
      </c>
      <c r="V255" s="34">
        <f>'Dados - Cliente'!T255</f>
        <v>0</v>
      </c>
      <c r="W255" s="34">
        <f>'Dados - Cliente'!U255</f>
        <v>0</v>
      </c>
      <c r="X255" s="34">
        <f>'Dados - Cliente'!V255</f>
        <v>0</v>
      </c>
      <c r="Y255" s="34">
        <f>'Dados - Cliente'!W255</f>
        <v>0</v>
      </c>
      <c r="Z255" s="34">
        <f>'Dados - Cliente'!X255</f>
        <v>0</v>
      </c>
      <c r="AA255" s="33" t="e">
        <f t="shared" si="23"/>
        <v>#N/A</v>
      </c>
      <c r="AB255" s="33">
        <f>'Dados - Cliente'!Y255</f>
        <v>0</v>
      </c>
      <c r="AC255" s="33">
        <f>'Dados - Cliente'!Z255</f>
        <v>0</v>
      </c>
      <c r="AD255" s="33">
        <f>'Dados - Cliente'!AA255</f>
        <v>0</v>
      </c>
      <c r="AE255" s="33">
        <f>'Dados - Cliente'!AB255</f>
        <v>0</v>
      </c>
      <c r="AF255" s="33">
        <f>'Dados - Cliente'!AC255</f>
        <v>0</v>
      </c>
      <c r="AG255" s="35">
        <f>'Dados - Cliente'!AD255</f>
        <v>0</v>
      </c>
      <c r="AH255" s="33" t="e">
        <f>INDEX('Dados - Placas'!$A:$A,MATCH('1'!AG255,'Dados - Placas'!$D:$D,0))</f>
        <v>#N/A</v>
      </c>
      <c r="AI255" s="35" t="e">
        <f>INDEX('Dados - Placas'!$E:$E,MATCH('1'!AG255,'Dados - Placas'!$D:$D,0))</f>
        <v>#N/A</v>
      </c>
      <c r="AJ255" s="34" t="e">
        <f>INDEX('Dados - Placas'!$F:$F,MATCH('1'!AG255,'Dados - Placas'!$D:$D,0))*AF255</f>
        <v>#N/A</v>
      </c>
      <c r="AK255" s="33">
        <f>'Dados - Cliente'!AE255</f>
        <v>0</v>
      </c>
      <c r="AL255" s="33">
        <f>'Dados - Cliente'!AF255</f>
        <v>0</v>
      </c>
      <c r="AM255" s="36" t="e">
        <f>INDEX('Dados - Inversores'!$A:$A,MATCH('1'!AL255,'Dados - Inversores'!$C:$C,0))</f>
        <v>#N/A</v>
      </c>
      <c r="AN255" s="33">
        <f>'Dados - Cliente'!AG255</f>
        <v>0</v>
      </c>
      <c r="AO255" s="33" t="e">
        <f>AA255*1.25/(0.22*SQRT(INDEX('Dados - Inversores'!AK:AK,MATCH('1'!AL255,'Dados - Inversores'!C:C,0))))</f>
        <v>#N/A</v>
      </c>
      <c r="AP255" s="34">
        <f>INDEX(Dados!$E$2:$E$33,COUNTIF(Dados!$E$2:$E$33,"&lt;="&amp;AN255*1.25/(INDEX('Dados - Inversores'!AL:AL,MATCH('1'!AL255,'Dados - Inversores'!C:C,0))*SQRT(INDEX('Dados - Inversores'!AK:AK,MATCH('1'!AL255,'Dados - Inversores'!C:C,0)))))+1)</f>
        <v>2</v>
      </c>
      <c r="AQ255" s="33" t="s">
        <v>59</v>
      </c>
      <c r="AR255" s="33" t="str">
        <f t="shared" si="24"/>
        <v>Micro</v>
      </c>
      <c r="AS255" s="33">
        <f>'Dados - Cliente'!AH255</f>
        <v>0</v>
      </c>
      <c r="AT255" s="33">
        <f>'Dados - Cliente'!AI255</f>
        <v>0</v>
      </c>
      <c r="AU255" s="33" t="e">
        <f>INDEX('Dados - Placas'!$N:$N,MATCH('1'!AG255,'Dados - Placas'!$D:$D,0))-1</f>
        <v>#N/A</v>
      </c>
      <c r="AV255" s="33" t="e">
        <f>INDEX('Dados - Placas'!$O:$O,MATCH('1'!AG255,'Dados - Placas'!$D:$D,0))</f>
        <v>#N/A</v>
      </c>
      <c r="AW255" s="33" t="e">
        <f>INDEX('Dados - Inversores'!AM:AM,MATCH('1'!AL255,'Dados - Inversores'!$C:$C,0))-1</f>
        <v>#N/A</v>
      </c>
      <c r="AX255" s="33" t="e">
        <f>INDEX('Dados - Inversores'!AN:AN,MATCH('1'!AL255,'Dados - Inversores'!$C:$C,0))-1</f>
        <v>#N/A</v>
      </c>
      <c r="AY255" s="33" t="e">
        <f>MATCH('1'!H255,Dados!$D$89:$D$167,0)+1</f>
        <v>#N/A</v>
      </c>
      <c r="AZ255" s="33" t="e">
        <f>MATCH('1'!N255,'Dados - Solicitação de acesso'!$N$2:$N$8,0)</f>
        <v>#N/A</v>
      </c>
      <c r="BA255" s="33" t="e">
        <f>MATCH('1'!T255,'Dados - Solicitação de acesso'!$T$2:$T$20,0)</f>
        <v>#N/A</v>
      </c>
    </row>
    <row r="256" spans="1:59" x14ac:dyDescent="0.35">
      <c r="A256" s="33">
        <f>'Dados - Cliente'!A256</f>
        <v>0</v>
      </c>
      <c r="B256" s="33">
        <f>'Dados - Cliente'!B256</f>
        <v>0</v>
      </c>
      <c r="C256" s="33">
        <f>'Dados - Cliente'!C256</f>
        <v>0</v>
      </c>
      <c r="D256" s="33">
        <f>'Dados - Cliente'!D256</f>
        <v>0</v>
      </c>
      <c r="E256" s="33">
        <f>'Dados - Cliente'!E256</f>
        <v>0</v>
      </c>
      <c r="F256" s="33">
        <f>'Dados - Cliente'!F256</f>
        <v>0</v>
      </c>
      <c r="G256" s="33">
        <f>'Dados - Cliente'!G256</f>
        <v>0</v>
      </c>
      <c r="H256" s="33">
        <f>'Dados - Cliente'!H256</f>
        <v>0</v>
      </c>
      <c r="I256" s="75" t="s">
        <v>4313</v>
      </c>
      <c r="J256" s="52" t="s">
        <v>4314</v>
      </c>
      <c r="K256" s="52" t="s">
        <v>4314</v>
      </c>
      <c r="L256" s="33">
        <f>'Dados - Cliente'!I256</f>
        <v>0</v>
      </c>
      <c r="M256" s="33">
        <f>'Dados - Cliente'!K256</f>
        <v>0</v>
      </c>
      <c r="N256" s="33">
        <f>'Dados - Cliente'!L256</f>
        <v>0</v>
      </c>
      <c r="O256" s="33">
        <f>'Dados - Cliente'!M256</f>
        <v>0</v>
      </c>
      <c r="P256" s="33">
        <f>'Dados - Cliente'!N256</f>
        <v>0</v>
      </c>
      <c r="Q256" s="33">
        <f>'Dados - Cliente'!O256</f>
        <v>0</v>
      </c>
      <c r="R256" s="33">
        <f>'Dados - Cliente'!P256</f>
        <v>0</v>
      </c>
      <c r="S256" s="33">
        <f>'Dados - Cliente'!Q256</f>
        <v>0</v>
      </c>
      <c r="T256" s="33">
        <f>'Dados - Cliente'!R256</f>
        <v>0</v>
      </c>
      <c r="U256" s="34">
        <f>'Dados - Cliente'!S256</f>
        <v>0</v>
      </c>
      <c r="V256" s="34">
        <f>'Dados - Cliente'!T256</f>
        <v>0</v>
      </c>
      <c r="W256" s="34">
        <f>'Dados - Cliente'!U256</f>
        <v>0</v>
      </c>
      <c r="X256" s="34">
        <f>'Dados - Cliente'!V256</f>
        <v>0</v>
      </c>
      <c r="Y256" s="34">
        <f>'Dados - Cliente'!W256</f>
        <v>0</v>
      </c>
      <c r="Z256" s="34">
        <f>'Dados - Cliente'!X256</f>
        <v>0</v>
      </c>
      <c r="AA256" s="33" t="e">
        <f t="shared" si="23"/>
        <v>#N/A</v>
      </c>
      <c r="AB256" s="33">
        <f>'Dados - Cliente'!Y256</f>
        <v>0</v>
      </c>
      <c r="AC256" s="33">
        <f>'Dados - Cliente'!Z256</f>
        <v>0</v>
      </c>
      <c r="AD256" s="33">
        <f>'Dados - Cliente'!AA256</f>
        <v>0</v>
      </c>
      <c r="AE256" s="33">
        <f>'Dados - Cliente'!AB256</f>
        <v>0</v>
      </c>
      <c r="AF256" s="33">
        <f>'Dados - Cliente'!AC256</f>
        <v>0</v>
      </c>
      <c r="AG256" s="35">
        <f>'Dados - Cliente'!AD256</f>
        <v>0</v>
      </c>
      <c r="AH256" s="33" t="e">
        <f>INDEX('Dados - Placas'!$A:$A,MATCH('1'!AG256,'Dados - Placas'!$D:$D,0))</f>
        <v>#N/A</v>
      </c>
      <c r="AI256" s="35" t="e">
        <f>INDEX('Dados - Placas'!$E:$E,MATCH('1'!AG256,'Dados - Placas'!$D:$D,0))</f>
        <v>#N/A</v>
      </c>
      <c r="AJ256" s="34" t="e">
        <f>INDEX('Dados - Placas'!$F:$F,MATCH('1'!AG256,'Dados - Placas'!$D:$D,0))*AF256</f>
        <v>#N/A</v>
      </c>
      <c r="AK256" s="33">
        <f>'Dados - Cliente'!AE256</f>
        <v>0</v>
      </c>
      <c r="AL256" s="33">
        <f>'Dados - Cliente'!AF256</f>
        <v>0</v>
      </c>
      <c r="AM256" s="36" t="e">
        <f>INDEX('Dados - Inversores'!$A:$A,MATCH('1'!AL256,'Dados - Inversores'!$C:$C,0))</f>
        <v>#N/A</v>
      </c>
      <c r="AN256" s="33">
        <f>'Dados - Cliente'!AG256</f>
        <v>0</v>
      </c>
      <c r="AO256" s="33" t="e">
        <f>AA256*1.25/(0.22*SQRT(INDEX('Dados - Inversores'!AK:AK,MATCH('1'!AL256,'Dados - Inversores'!C:C,0))))</f>
        <v>#N/A</v>
      </c>
      <c r="AP256" s="34">
        <f>INDEX(Dados!$E$2:$E$33,COUNTIF(Dados!$E$2:$E$33,"&lt;="&amp;AN256*1.25/(INDEX('Dados - Inversores'!AL:AL,MATCH('1'!AL256,'Dados - Inversores'!C:C,0))*SQRT(INDEX('Dados - Inversores'!AK:AK,MATCH('1'!AL256,'Dados - Inversores'!C:C,0)))))+1)</f>
        <v>2</v>
      </c>
      <c r="AQ256" s="33" t="s">
        <v>59</v>
      </c>
      <c r="AR256" s="33" t="str">
        <f t="shared" si="24"/>
        <v>Micro</v>
      </c>
      <c r="AS256" s="33">
        <f>'Dados - Cliente'!AH256</f>
        <v>0</v>
      </c>
      <c r="AT256" s="33">
        <f>'Dados - Cliente'!AI256</f>
        <v>0</v>
      </c>
      <c r="AU256" s="33" t="e">
        <f>INDEX('Dados - Placas'!$N:$N,MATCH('1'!AG256,'Dados - Placas'!$D:$D,0))-1</f>
        <v>#N/A</v>
      </c>
      <c r="AV256" s="33" t="e">
        <f>INDEX('Dados - Placas'!$O:$O,MATCH('1'!AG256,'Dados - Placas'!$D:$D,0))</f>
        <v>#N/A</v>
      </c>
      <c r="AW256" s="33" t="e">
        <f>INDEX('Dados - Inversores'!AM:AM,MATCH('1'!AL256,'Dados - Inversores'!$C:$C,0))-1</f>
        <v>#N/A</v>
      </c>
      <c r="AX256" s="33" t="e">
        <f>INDEX('Dados - Inversores'!AN:AN,MATCH('1'!AL256,'Dados - Inversores'!$C:$C,0))-1</f>
        <v>#N/A</v>
      </c>
      <c r="AY256" s="33" t="e">
        <f>MATCH('1'!H256,Dados!$D$89:$D$167,0)+1</f>
        <v>#N/A</v>
      </c>
      <c r="AZ256" s="33" t="e">
        <f>MATCH('1'!N256,'Dados - Solicitação de acesso'!$N$2:$N$8,0)</f>
        <v>#N/A</v>
      </c>
      <c r="BA256" s="33" t="e">
        <f>MATCH('1'!T256,'Dados - Solicitação de acesso'!$T$2:$T$20,0)</f>
        <v>#N/A</v>
      </c>
    </row>
    <row r="257" spans="1:53" x14ac:dyDescent="0.35">
      <c r="A257" s="33">
        <f>'Dados - Cliente'!A257</f>
        <v>0</v>
      </c>
      <c r="B257" s="33">
        <f>'Dados - Cliente'!B257</f>
        <v>0</v>
      </c>
      <c r="C257" s="33">
        <f>'Dados - Cliente'!C257</f>
        <v>0</v>
      </c>
      <c r="D257" s="33">
        <f>'Dados - Cliente'!D257</f>
        <v>0</v>
      </c>
      <c r="E257" s="33">
        <f>'Dados - Cliente'!E257</f>
        <v>0</v>
      </c>
      <c r="F257" s="33">
        <f>'Dados - Cliente'!F257</f>
        <v>0</v>
      </c>
      <c r="G257" s="33">
        <f>'Dados - Cliente'!G257</f>
        <v>0</v>
      </c>
      <c r="H257" s="33">
        <f>'Dados - Cliente'!H257</f>
        <v>0</v>
      </c>
      <c r="I257" s="75" t="s">
        <v>4313</v>
      </c>
      <c r="J257" s="52" t="s">
        <v>4314</v>
      </c>
      <c r="K257" s="52" t="s">
        <v>4314</v>
      </c>
      <c r="L257" s="33">
        <f>'Dados - Cliente'!I257</f>
        <v>0</v>
      </c>
      <c r="M257" s="33">
        <f>'Dados - Cliente'!K257</f>
        <v>0</v>
      </c>
      <c r="N257" s="33">
        <f>'Dados - Cliente'!L257</f>
        <v>0</v>
      </c>
      <c r="O257" s="33">
        <f>'Dados - Cliente'!M257</f>
        <v>0</v>
      </c>
      <c r="P257" s="33">
        <f>'Dados - Cliente'!N257</f>
        <v>0</v>
      </c>
      <c r="Q257" s="33">
        <f>'Dados - Cliente'!O257</f>
        <v>0</v>
      </c>
      <c r="R257" s="33">
        <f>'Dados - Cliente'!P257</f>
        <v>0</v>
      </c>
      <c r="S257" s="33">
        <f>'Dados - Cliente'!Q257</f>
        <v>0</v>
      </c>
      <c r="T257" s="33">
        <f>'Dados - Cliente'!R257</f>
        <v>0</v>
      </c>
      <c r="U257" s="34">
        <f>'Dados - Cliente'!S257</f>
        <v>0</v>
      </c>
      <c r="V257" s="34">
        <f>'Dados - Cliente'!T257</f>
        <v>0</v>
      </c>
      <c r="W257" s="34">
        <f>'Dados - Cliente'!U257</f>
        <v>0</v>
      </c>
      <c r="X257" s="34">
        <f>'Dados - Cliente'!V257</f>
        <v>0</v>
      </c>
      <c r="Y257" s="34">
        <f>'Dados - Cliente'!W257</f>
        <v>0</v>
      </c>
      <c r="Z257" s="34">
        <f>'Dados - Cliente'!X257</f>
        <v>0</v>
      </c>
      <c r="AA257" s="33" t="e">
        <f t="shared" si="23"/>
        <v>#N/A</v>
      </c>
      <c r="AB257" s="33">
        <f>'Dados - Cliente'!Y257</f>
        <v>0</v>
      </c>
      <c r="AC257" s="33">
        <f>'Dados - Cliente'!Z257</f>
        <v>0</v>
      </c>
      <c r="AD257" s="33">
        <f>'Dados - Cliente'!AA257</f>
        <v>0</v>
      </c>
      <c r="AE257" s="33">
        <f>'Dados - Cliente'!AB257</f>
        <v>0</v>
      </c>
      <c r="AF257" s="33">
        <f>'Dados - Cliente'!AC257</f>
        <v>0</v>
      </c>
      <c r="AG257" s="35">
        <f>'Dados - Cliente'!AD257</f>
        <v>0</v>
      </c>
      <c r="AH257" s="33" t="e">
        <f>INDEX('Dados - Placas'!$A:$A,MATCH('1'!AG257,'Dados - Placas'!$D:$D,0))</f>
        <v>#N/A</v>
      </c>
      <c r="AI257" s="35" t="e">
        <f>INDEX('Dados - Placas'!$E:$E,MATCH('1'!AG257,'Dados - Placas'!$D:$D,0))</f>
        <v>#N/A</v>
      </c>
      <c r="AJ257" s="34" t="e">
        <f>INDEX('Dados - Placas'!$F:$F,MATCH('1'!AG257,'Dados - Placas'!$D:$D,0))*AF257</f>
        <v>#N/A</v>
      </c>
      <c r="AK257" s="33">
        <f>'Dados - Cliente'!AE257</f>
        <v>0</v>
      </c>
      <c r="AL257" s="33">
        <f>'Dados - Cliente'!AF257</f>
        <v>0</v>
      </c>
      <c r="AM257" s="36" t="e">
        <f>INDEX('Dados - Inversores'!$A:$A,MATCH('1'!AL257,'Dados - Inversores'!$C:$C,0))</f>
        <v>#N/A</v>
      </c>
      <c r="AN257" s="33">
        <f>'Dados - Cliente'!AG257</f>
        <v>0</v>
      </c>
      <c r="AO257" s="33" t="e">
        <f>AA257*1.25/(0.22*SQRT(INDEX('Dados - Inversores'!AK:AK,MATCH('1'!AL257,'Dados - Inversores'!C:C,0))))</f>
        <v>#N/A</v>
      </c>
      <c r="AP257" s="34">
        <f>INDEX(Dados!$E$2:$E$33,COUNTIF(Dados!$E$2:$E$33,"&lt;="&amp;AN257*1.25/(INDEX('Dados - Inversores'!AL:AL,MATCH('1'!AL257,'Dados - Inversores'!C:C,0))*SQRT(INDEX('Dados - Inversores'!AK:AK,MATCH('1'!AL257,'Dados - Inversores'!C:C,0)))))+1)</f>
        <v>2</v>
      </c>
      <c r="AQ257" s="33" t="s">
        <v>59</v>
      </c>
      <c r="AR257" s="33" t="str">
        <f t="shared" si="24"/>
        <v>Micro</v>
      </c>
      <c r="AS257" s="33">
        <f>'Dados - Cliente'!AH257</f>
        <v>0</v>
      </c>
      <c r="AT257" s="33">
        <f>'Dados - Cliente'!AI257</f>
        <v>0</v>
      </c>
      <c r="AU257" s="33" t="e">
        <f>INDEX('Dados - Placas'!$N:$N,MATCH('1'!AG257,'Dados - Placas'!$D:$D,0))-1</f>
        <v>#N/A</v>
      </c>
      <c r="AV257" s="33" t="e">
        <f>INDEX('Dados - Placas'!$O:$O,MATCH('1'!AG257,'Dados - Placas'!$D:$D,0))</f>
        <v>#N/A</v>
      </c>
      <c r="AW257" s="33" t="e">
        <f>INDEX('Dados - Inversores'!AM:AM,MATCH('1'!AL257,'Dados - Inversores'!$C:$C,0))-1</f>
        <v>#N/A</v>
      </c>
      <c r="AX257" s="33" t="e">
        <f>INDEX('Dados - Inversores'!AN:AN,MATCH('1'!AL257,'Dados - Inversores'!$C:$C,0))-1</f>
        <v>#N/A</v>
      </c>
      <c r="AY257" s="33" t="e">
        <f>MATCH('1'!H257,Dados!$D$89:$D$167,0)+1</f>
        <v>#N/A</v>
      </c>
      <c r="AZ257" s="33" t="e">
        <f>MATCH('1'!N257,'Dados - Solicitação de acesso'!$N$2:$N$8,0)</f>
        <v>#N/A</v>
      </c>
      <c r="BA257" s="33" t="e">
        <f>MATCH('1'!T257,'Dados - Solicitação de acesso'!$T$2:$T$20,0)</f>
        <v>#N/A</v>
      </c>
    </row>
    <row r="258" spans="1:53" x14ac:dyDescent="0.35">
      <c r="A258" s="33">
        <f>'Dados - Cliente'!A258</f>
        <v>0</v>
      </c>
      <c r="B258" s="33">
        <f>'Dados - Cliente'!B258</f>
        <v>0</v>
      </c>
      <c r="C258" s="33">
        <f>'Dados - Cliente'!C258</f>
        <v>0</v>
      </c>
      <c r="D258" s="33">
        <f>'Dados - Cliente'!D258</f>
        <v>0</v>
      </c>
      <c r="E258" s="33">
        <f>'Dados - Cliente'!E258</f>
        <v>0</v>
      </c>
      <c r="F258" s="33">
        <f>'Dados - Cliente'!F258</f>
        <v>0</v>
      </c>
      <c r="G258" s="33">
        <f>'Dados - Cliente'!G258</f>
        <v>0</v>
      </c>
      <c r="H258" s="33">
        <f>'Dados - Cliente'!H258</f>
        <v>0</v>
      </c>
      <c r="I258" s="75" t="s">
        <v>4313</v>
      </c>
      <c r="J258" s="52" t="s">
        <v>4314</v>
      </c>
      <c r="K258" s="52" t="s">
        <v>4314</v>
      </c>
      <c r="L258" s="33">
        <f>'Dados - Cliente'!I258</f>
        <v>0</v>
      </c>
      <c r="M258" s="33">
        <f>'Dados - Cliente'!K258</f>
        <v>0</v>
      </c>
      <c r="N258" s="33">
        <f>'Dados - Cliente'!L258</f>
        <v>0</v>
      </c>
      <c r="O258" s="33">
        <f>'Dados - Cliente'!M258</f>
        <v>0</v>
      </c>
      <c r="P258" s="33">
        <f>'Dados - Cliente'!N258</f>
        <v>0</v>
      </c>
      <c r="Q258" s="33">
        <f>'Dados - Cliente'!O258</f>
        <v>0</v>
      </c>
      <c r="R258" s="33">
        <f>'Dados - Cliente'!P258</f>
        <v>0</v>
      </c>
      <c r="S258" s="33">
        <f>'Dados - Cliente'!Q258</f>
        <v>0</v>
      </c>
      <c r="T258" s="33">
        <f>'Dados - Cliente'!R258</f>
        <v>0</v>
      </c>
      <c r="U258" s="34">
        <f>'Dados - Cliente'!S258</f>
        <v>0</v>
      </c>
      <c r="V258" s="34">
        <f>'Dados - Cliente'!T258</f>
        <v>0</v>
      </c>
      <c r="W258" s="34">
        <f>'Dados - Cliente'!U258</f>
        <v>0</v>
      </c>
      <c r="X258" s="34">
        <f>'Dados - Cliente'!V258</f>
        <v>0</v>
      </c>
      <c r="Y258" s="34">
        <f>'Dados - Cliente'!W258</f>
        <v>0</v>
      </c>
      <c r="Z258" s="34">
        <f>'Dados - Cliente'!X258</f>
        <v>0</v>
      </c>
      <c r="AA258" s="33" t="e">
        <f t="shared" si="23"/>
        <v>#N/A</v>
      </c>
      <c r="AB258" s="33">
        <f>'Dados - Cliente'!Y258</f>
        <v>0</v>
      </c>
      <c r="AC258" s="33">
        <f>'Dados - Cliente'!Z258</f>
        <v>0</v>
      </c>
      <c r="AD258" s="33">
        <f>'Dados - Cliente'!AA258</f>
        <v>0</v>
      </c>
      <c r="AE258" s="33">
        <f>'Dados - Cliente'!AB258</f>
        <v>0</v>
      </c>
      <c r="AF258" s="33">
        <f>'Dados - Cliente'!AC258</f>
        <v>0</v>
      </c>
      <c r="AG258" s="35">
        <f>'Dados - Cliente'!AD258</f>
        <v>0</v>
      </c>
      <c r="AH258" s="33" t="e">
        <f>INDEX('Dados - Placas'!$A:$A,MATCH('1'!AG258,'Dados - Placas'!$D:$D,0))</f>
        <v>#N/A</v>
      </c>
      <c r="AI258" s="35" t="e">
        <f>INDEX('Dados - Placas'!$E:$E,MATCH('1'!AG258,'Dados - Placas'!$D:$D,0))</f>
        <v>#N/A</v>
      </c>
      <c r="AJ258" s="34" t="e">
        <f>INDEX('Dados - Placas'!$F:$F,MATCH('1'!AG258,'Dados - Placas'!$D:$D,0))*AF258</f>
        <v>#N/A</v>
      </c>
      <c r="AK258" s="33">
        <f>'Dados - Cliente'!AE258</f>
        <v>0</v>
      </c>
      <c r="AL258" s="33">
        <f>'Dados - Cliente'!AF258</f>
        <v>0</v>
      </c>
      <c r="AM258" s="36" t="e">
        <f>INDEX('Dados - Inversores'!$A:$A,MATCH('1'!AL258,'Dados - Inversores'!$C:$C,0))</f>
        <v>#N/A</v>
      </c>
      <c r="AN258" s="33">
        <f>'Dados - Cliente'!AG258</f>
        <v>0</v>
      </c>
      <c r="AO258" s="33" t="e">
        <f>AA258*1.25/(0.22*SQRT(INDEX('Dados - Inversores'!AK:AK,MATCH('1'!AL258,'Dados - Inversores'!C:C,0))))</f>
        <v>#N/A</v>
      </c>
      <c r="AP258" s="34">
        <f>INDEX(Dados!$E$2:$E$33,COUNTIF(Dados!$E$2:$E$33,"&lt;="&amp;AN258*1.25/(INDEX('Dados - Inversores'!AL:AL,MATCH('1'!AL258,'Dados - Inversores'!C:C,0))*SQRT(INDEX('Dados - Inversores'!AK:AK,MATCH('1'!AL258,'Dados - Inversores'!C:C,0)))))+1)</f>
        <v>2</v>
      </c>
      <c r="AQ258" s="33" t="s">
        <v>59</v>
      </c>
      <c r="AR258" s="33" t="str">
        <f t="shared" si="24"/>
        <v>Micro</v>
      </c>
      <c r="AS258" s="33">
        <f>'Dados - Cliente'!AH258</f>
        <v>0</v>
      </c>
      <c r="AT258" s="33">
        <f>'Dados - Cliente'!AI258</f>
        <v>0</v>
      </c>
      <c r="AU258" s="33" t="e">
        <f>INDEX('Dados - Placas'!$N:$N,MATCH('1'!AG258,'Dados - Placas'!$D:$D,0))-1</f>
        <v>#N/A</v>
      </c>
      <c r="AV258" s="33" t="e">
        <f>INDEX('Dados - Placas'!$O:$O,MATCH('1'!AG258,'Dados - Placas'!$D:$D,0))</f>
        <v>#N/A</v>
      </c>
      <c r="AW258" s="33" t="e">
        <f>INDEX('Dados - Inversores'!AM:AM,MATCH('1'!AL258,'Dados - Inversores'!$C:$C,0))-1</f>
        <v>#N/A</v>
      </c>
      <c r="AX258" s="33" t="e">
        <f>INDEX('Dados - Inversores'!AN:AN,MATCH('1'!AL258,'Dados - Inversores'!$C:$C,0))-1</f>
        <v>#N/A</v>
      </c>
      <c r="AY258" s="33" t="e">
        <f>MATCH('1'!H258,Dados!$D$89:$D$167,0)+1</f>
        <v>#N/A</v>
      </c>
      <c r="AZ258" s="33" t="e">
        <f>MATCH('1'!N258,'Dados - Solicitação de acesso'!$N$2:$N$8,0)</f>
        <v>#N/A</v>
      </c>
      <c r="BA258" s="33" t="e">
        <f>MATCH('1'!T258,'Dados - Solicitação de acesso'!$T$2:$T$20,0)</f>
        <v>#N/A</v>
      </c>
    </row>
    <row r="259" spans="1:53" x14ac:dyDescent="0.35">
      <c r="A259" s="33">
        <f>'Dados - Cliente'!A259</f>
        <v>0</v>
      </c>
      <c r="B259" s="33">
        <f>'Dados - Cliente'!B259</f>
        <v>0</v>
      </c>
      <c r="C259" s="33">
        <f>'Dados - Cliente'!C259</f>
        <v>0</v>
      </c>
      <c r="D259" s="33">
        <f>'Dados - Cliente'!D259</f>
        <v>0</v>
      </c>
      <c r="E259" s="33">
        <f>'Dados - Cliente'!E259</f>
        <v>0</v>
      </c>
      <c r="F259" s="33">
        <f>'Dados - Cliente'!F259</f>
        <v>0</v>
      </c>
      <c r="G259" s="33">
        <f>'Dados - Cliente'!G259</f>
        <v>0</v>
      </c>
      <c r="H259" s="33">
        <f>'Dados - Cliente'!H259</f>
        <v>0</v>
      </c>
      <c r="I259" s="75" t="s">
        <v>4313</v>
      </c>
      <c r="J259" s="52" t="s">
        <v>4314</v>
      </c>
      <c r="K259" s="52" t="s">
        <v>4314</v>
      </c>
      <c r="L259" s="33">
        <f>'Dados - Cliente'!I259</f>
        <v>0</v>
      </c>
      <c r="M259" s="33">
        <f>'Dados - Cliente'!K259</f>
        <v>0</v>
      </c>
      <c r="N259" s="33">
        <f>'Dados - Cliente'!L259</f>
        <v>0</v>
      </c>
      <c r="O259" s="33">
        <f>'Dados - Cliente'!M259</f>
        <v>0</v>
      </c>
      <c r="P259" s="33">
        <f>'Dados - Cliente'!N259</f>
        <v>0</v>
      </c>
      <c r="Q259" s="33">
        <f>'Dados - Cliente'!O259</f>
        <v>0</v>
      </c>
      <c r="R259" s="33">
        <f>'Dados - Cliente'!P259</f>
        <v>0</v>
      </c>
      <c r="S259" s="33">
        <f>'Dados - Cliente'!Q259</f>
        <v>0</v>
      </c>
      <c r="T259" s="33">
        <f>'Dados - Cliente'!R259</f>
        <v>0</v>
      </c>
      <c r="U259" s="34">
        <f>'Dados - Cliente'!S259</f>
        <v>0</v>
      </c>
      <c r="V259" s="34">
        <f>'Dados - Cliente'!T259</f>
        <v>0</v>
      </c>
      <c r="W259" s="34">
        <f>'Dados - Cliente'!U259</f>
        <v>0</v>
      </c>
      <c r="X259" s="34">
        <f>'Dados - Cliente'!V259</f>
        <v>0</v>
      </c>
      <c r="Y259" s="34">
        <f>'Dados - Cliente'!W259</f>
        <v>0</v>
      </c>
      <c r="Z259" s="34">
        <f>'Dados - Cliente'!X259</f>
        <v>0</v>
      </c>
      <c r="AA259" s="33" t="e">
        <f t="shared" si="23"/>
        <v>#N/A</v>
      </c>
      <c r="AB259" s="33">
        <f>'Dados - Cliente'!Y259</f>
        <v>0</v>
      </c>
      <c r="AC259" s="33">
        <f>'Dados - Cliente'!Z259</f>
        <v>0</v>
      </c>
      <c r="AD259" s="33">
        <f>'Dados - Cliente'!AA259</f>
        <v>0</v>
      </c>
      <c r="AE259" s="33">
        <f>'Dados - Cliente'!AB259</f>
        <v>0</v>
      </c>
      <c r="AF259" s="33">
        <f>'Dados - Cliente'!AC259</f>
        <v>0</v>
      </c>
      <c r="AG259" s="35">
        <f>'Dados - Cliente'!AD259</f>
        <v>0</v>
      </c>
      <c r="AH259" s="33" t="e">
        <f>INDEX('Dados - Placas'!$A:$A,MATCH('1'!AG259,'Dados - Placas'!$D:$D,0))</f>
        <v>#N/A</v>
      </c>
      <c r="AI259" s="35" t="e">
        <f>INDEX('Dados - Placas'!$E:$E,MATCH('1'!AG259,'Dados - Placas'!$D:$D,0))</f>
        <v>#N/A</v>
      </c>
      <c r="AJ259" s="34" t="e">
        <f>INDEX('Dados - Placas'!$F:$F,MATCH('1'!AG259,'Dados - Placas'!$D:$D,0))*AF259</f>
        <v>#N/A</v>
      </c>
      <c r="AK259" s="33">
        <f>'Dados - Cliente'!AE259</f>
        <v>0</v>
      </c>
      <c r="AL259" s="33">
        <f>'Dados - Cliente'!AF259</f>
        <v>0</v>
      </c>
      <c r="AM259" s="36" t="e">
        <f>INDEX('Dados - Inversores'!$A:$A,MATCH('1'!AL259,'Dados - Inversores'!$C:$C,0))</f>
        <v>#N/A</v>
      </c>
      <c r="AN259" s="33">
        <f>'Dados - Cliente'!AG259</f>
        <v>0</v>
      </c>
      <c r="AO259" s="33" t="e">
        <f>AA259*1.25/(0.22*SQRT(INDEX('Dados - Inversores'!AK:AK,MATCH('1'!AL259,'Dados - Inversores'!C:C,0))))</f>
        <v>#N/A</v>
      </c>
      <c r="AP259" s="34">
        <f>INDEX(Dados!$E$2:$E$33,COUNTIF(Dados!$E$2:$E$33,"&lt;="&amp;AN259*1.25/(INDEX('Dados - Inversores'!AL:AL,MATCH('1'!AL259,'Dados - Inversores'!C:C,0))*SQRT(INDEX('Dados - Inversores'!AK:AK,MATCH('1'!AL259,'Dados - Inversores'!C:C,0)))))+1)</f>
        <v>2</v>
      </c>
      <c r="AQ259" s="33" t="s">
        <v>59</v>
      </c>
      <c r="AR259" s="33" t="str">
        <f t="shared" si="24"/>
        <v>Micro</v>
      </c>
      <c r="AS259" s="33">
        <f>'Dados - Cliente'!AH259</f>
        <v>0</v>
      </c>
      <c r="AT259" s="33">
        <f>'Dados - Cliente'!AI259</f>
        <v>0</v>
      </c>
      <c r="AU259" s="33" t="e">
        <f>INDEX('Dados - Placas'!$N:$N,MATCH('1'!AG259,'Dados - Placas'!$D:$D,0))-1</f>
        <v>#N/A</v>
      </c>
      <c r="AV259" s="33" t="e">
        <f>INDEX('Dados - Placas'!$O:$O,MATCH('1'!AG259,'Dados - Placas'!$D:$D,0))</f>
        <v>#N/A</v>
      </c>
      <c r="AW259" s="33" t="e">
        <f>INDEX('Dados - Inversores'!AM:AM,MATCH('1'!AL259,'Dados - Inversores'!$C:$C,0))-1</f>
        <v>#N/A</v>
      </c>
      <c r="AX259" s="33" t="e">
        <f>INDEX('Dados - Inversores'!AN:AN,MATCH('1'!AL259,'Dados - Inversores'!$C:$C,0))-1</f>
        <v>#N/A</v>
      </c>
      <c r="AY259" s="33" t="e">
        <f>MATCH('1'!H259,Dados!$D$89:$D$167,0)+1</f>
        <v>#N/A</v>
      </c>
      <c r="AZ259" s="33" t="e">
        <f>MATCH('1'!N259,'Dados - Solicitação de acesso'!$N$2:$N$8,0)</f>
        <v>#N/A</v>
      </c>
      <c r="BA259" s="33" t="e">
        <f>MATCH('1'!T259,'Dados - Solicitação de acesso'!$T$2:$T$20,0)</f>
        <v>#N/A</v>
      </c>
    </row>
    <row r="260" spans="1:53" x14ac:dyDescent="0.35">
      <c r="A260" s="33">
        <f>'Dados - Cliente'!A260</f>
        <v>0</v>
      </c>
      <c r="B260" s="33">
        <f>'Dados - Cliente'!B260</f>
        <v>0</v>
      </c>
      <c r="C260" s="33">
        <f>'Dados - Cliente'!C260</f>
        <v>0</v>
      </c>
      <c r="D260" s="33">
        <f>'Dados - Cliente'!D260</f>
        <v>0</v>
      </c>
      <c r="E260" s="33">
        <f>'Dados - Cliente'!E260</f>
        <v>0</v>
      </c>
      <c r="F260" s="33">
        <f>'Dados - Cliente'!F260</f>
        <v>0</v>
      </c>
      <c r="G260" s="33">
        <f>'Dados - Cliente'!G260</f>
        <v>0</v>
      </c>
      <c r="H260" s="33">
        <f>'Dados - Cliente'!H260</f>
        <v>0</v>
      </c>
      <c r="I260" s="75" t="s">
        <v>4313</v>
      </c>
      <c r="J260" s="52" t="s">
        <v>4314</v>
      </c>
      <c r="K260" s="52" t="s">
        <v>4314</v>
      </c>
      <c r="L260" s="33">
        <f>'Dados - Cliente'!I260</f>
        <v>0</v>
      </c>
      <c r="M260" s="33">
        <f>'Dados - Cliente'!K260</f>
        <v>0</v>
      </c>
      <c r="N260" s="33">
        <f>'Dados - Cliente'!L260</f>
        <v>0</v>
      </c>
      <c r="O260" s="33">
        <f>'Dados - Cliente'!M260</f>
        <v>0</v>
      </c>
      <c r="P260" s="33">
        <f>'Dados - Cliente'!N260</f>
        <v>0</v>
      </c>
      <c r="Q260" s="33">
        <f>'Dados - Cliente'!O260</f>
        <v>0</v>
      </c>
      <c r="R260" s="33">
        <f>'Dados - Cliente'!P260</f>
        <v>0</v>
      </c>
      <c r="S260" s="33">
        <f>'Dados - Cliente'!Q260</f>
        <v>0</v>
      </c>
      <c r="T260" s="33">
        <f>'Dados - Cliente'!R260</f>
        <v>0</v>
      </c>
      <c r="U260" s="34">
        <f>'Dados - Cliente'!S260</f>
        <v>0</v>
      </c>
      <c r="V260" s="34">
        <f>'Dados - Cliente'!T260</f>
        <v>0</v>
      </c>
      <c r="W260" s="34">
        <f>'Dados - Cliente'!U260</f>
        <v>0</v>
      </c>
      <c r="X260" s="34">
        <f>'Dados - Cliente'!V260</f>
        <v>0</v>
      </c>
      <c r="Y260" s="34">
        <f>'Dados - Cliente'!W260</f>
        <v>0</v>
      </c>
      <c r="Z260" s="34">
        <f>'Dados - Cliente'!X260</f>
        <v>0</v>
      </c>
      <c r="AA260" s="33" t="e">
        <f t="shared" si="23"/>
        <v>#N/A</v>
      </c>
      <c r="AB260" s="33">
        <f>'Dados - Cliente'!Y260</f>
        <v>0</v>
      </c>
      <c r="AC260" s="33">
        <f>'Dados - Cliente'!Z260</f>
        <v>0</v>
      </c>
      <c r="AD260" s="33">
        <f>'Dados - Cliente'!AA260</f>
        <v>0</v>
      </c>
      <c r="AE260" s="33">
        <f>'Dados - Cliente'!AB260</f>
        <v>0</v>
      </c>
      <c r="AF260" s="33">
        <f>'Dados - Cliente'!AC260</f>
        <v>0</v>
      </c>
      <c r="AG260" s="35">
        <f>'Dados - Cliente'!AD260</f>
        <v>0</v>
      </c>
      <c r="AH260" s="33" t="e">
        <f>INDEX('Dados - Placas'!$A:$A,MATCH('1'!AG260,'Dados - Placas'!$D:$D,0))</f>
        <v>#N/A</v>
      </c>
      <c r="AI260" s="35" t="e">
        <f>INDEX('Dados - Placas'!$E:$E,MATCH('1'!AG260,'Dados - Placas'!$D:$D,0))</f>
        <v>#N/A</v>
      </c>
      <c r="AJ260" s="34" t="e">
        <f>INDEX('Dados - Placas'!$F:$F,MATCH('1'!AG260,'Dados - Placas'!$D:$D,0))*AF260</f>
        <v>#N/A</v>
      </c>
      <c r="AK260" s="33">
        <f>'Dados - Cliente'!AE260</f>
        <v>0</v>
      </c>
      <c r="AL260" s="33">
        <f>'Dados - Cliente'!AF260</f>
        <v>0</v>
      </c>
      <c r="AM260" s="36" t="e">
        <f>INDEX('Dados - Inversores'!$A:$A,MATCH('1'!AL260,'Dados - Inversores'!$C:$C,0))</f>
        <v>#N/A</v>
      </c>
      <c r="AN260" s="33">
        <f>'Dados - Cliente'!AG260</f>
        <v>0</v>
      </c>
      <c r="AO260" s="33" t="e">
        <f>AA260*1.25/(0.22*SQRT(INDEX('Dados - Inversores'!AK:AK,MATCH('1'!AL260,'Dados - Inversores'!C:C,0))))</f>
        <v>#N/A</v>
      </c>
      <c r="AP260" s="34">
        <f>INDEX(Dados!$E$2:$E$33,COUNTIF(Dados!$E$2:$E$33,"&lt;="&amp;AN260*1.25/(INDEX('Dados - Inversores'!AL:AL,MATCH('1'!AL260,'Dados - Inversores'!C:C,0))*SQRT(INDEX('Dados - Inversores'!AK:AK,MATCH('1'!AL260,'Dados - Inversores'!C:C,0)))))+1)</f>
        <v>2</v>
      </c>
      <c r="AQ260" s="33" t="s">
        <v>59</v>
      </c>
      <c r="AR260" s="33" t="str">
        <f t="shared" si="24"/>
        <v>Micro</v>
      </c>
      <c r="AS260" s="33">
        <f>'Dados - Cliente'!AH260</f>
        <v>0</v>
      </c>
      <c r="AT260" s="33">
        <f>'Dados - Cliente'!AI260</f>
        <v>0</v>
      </c>
      <c r="AU260" s="33" t="e">
        <f>INDEX('Dados - Placas'!$N:$N,MATCH('1'!AG260,'Dados - Placas'!$D:$D,0))-1</f>
        <v>#N/A</v>
      </c>
      <c r="AV260" s="33" t="e">
        <f>INDEX('Dados - Placas'!$O:$O,MATCH('1'!AG260,'Dados - Placas'!$D:$D,0))</f>
        <v>#N/A</v>
      </c>
      <c r="AW260" s="33" t="e">
        <f>INDEX('Dados - Inversores'!AM:AM,MATCH('1'!AL260,'Dados - Inversores'!$C:$C,0))-1</f>
        <v>#N/A</v>
      </c>
      <c r="AX260" s="33" t="e">
        <f>INDEX('Dados - Inversores'!AN:AN,MATCH('1'!AL260,'Dados - Inversores'!$C:$C,0))-1</f>
        <v>#N/A</v>
      </c>
      <c r="AY260" s="33" t="e">
        <f>MATCH('1'!H260,Dados!$D$89:$D$167,0)+1</f>
        <v>#N/A</v>
      </c>
      <c r="AZ260" s="33" t="e">
        <f>MATCH('1'!N260,'Dados - Solicitação de acesso'!$N$2:$N$8,0)</f>
        <v>#N/A</v>
      </c>
      <c r="BA260" s="33" t="e">
        <f>MATCH('1'!T260,'Dados - Solicitação de acesso'!$T$2:$T$20,0)</f>
        <v>#N/A</v>
      </c>
    </row>
    <row r="261" spans="1:53" x14ac:dyDescent="0.35">
      <c r="A261" s="33">
        <f>'Dados - Cliente'!A261</f>
        <v>0</v>
      </c>
      <c r="B261" s="33">
        <f>'Dados - Cliente'!B261</f>
        <v>0</v>
      </c>
      <c r="C261" s="33">
        <f>'Dados - Cliente'!C261</f>
        <v>0</v>
      </c>
      <c r="D261" s="33">
        <f>'Dados - Cliente'!D261</f>
        <v>0</v>
      </c>
      <c r="E261" s="33">
        <f>'Dados - Cliente'!E261</f>
        <v>0</v>
      </c>
      <c r="F261" s="33">
        <f>'Dados - Cliente'!F261</f>
        <v>0</v>
      </c>
      <c r="G261" s="33">
        <f>'Dados - Cliente'!G261</f>
        <v>0</v>
      </c>
      <c r="H261" s="33">
        <f>'Dados - Cliente'!H261</f>
        <v>0</v>
      </c>
      <c r="I261" s="75" t="s">
        <v>4313</v>
      </c>
      <c r="J261" s="52" t="s">
        <v>4314</v>
      </c>
      <c r="K261" s="52" t="s">
        <v>4314</v>
      </c>
      <c r="L261" s="33">
        <f>'Dados - Cliente'!I261</f>
        <v>0</v>
      </c>
      <c r="M261" s="33">
        <f>'Dados - Cliente'!K261</f>
        <v>0</v>
      </c>
      <c r="N261" s="33">
        <f>'Dados - Cliente'!L261</f>
        <v>0</v>
      </c>
      <c r="O261" s="33">
        <f>'Dados - Cliente'!M261</f>
        <v>0</v>
      </c>
      <c r="P261" s="33">
        <f>'Dados - Cliente'!N261</f>
        <v>0</v>
      </c>
      <c r="Q261" s="33">
        <f>'Dados - Cliente'!O261</f>
        <v>0</v>
      </c>
      <c r="R261" s="33">
        <f>'Dados - Cliente'!P261</f>
        <v>0</v>
      </c>
      <c r="S261" s="33">
        <f>'Dados - Cliente'!Q261</f>
        <v>0</v>
      </c>
      <c r="T261" s="33">
        <f>'Dados - Cliente'!R261</f>
        <v>0</v>
      </c>
      <c r="U261" s="34">
        <f>'Dados - Cliente'!S261</f>
        <v>0</v>
      </c>
      <c r="V261" s="34">
        <f>'Dados - Cliente'!T261</f>
        <v>0</v>
      </c>
      <c r="W261" s="34">
        <f>'Dados - Cliente'!U261</f>
        <v>0</v>
      </c>
      <c r="X261" s="34">
        <f>'Dados - Cliente'!V261</f>
        <v>0</v>
      </c>
      <c r="Y261" s="34">
        <f>'Dados - Cliente'!W261</f>
        <v>0</v>
      </c>
      <c r="Z261" s="34">
        <f>'Dados - Cliente'!X261</f>
        <v>0</v>
      </c>
      <c r="AA261" s="33" t="e">
        <f t="shared" si="23"/>
        <v>#N/A</v>
      </c>
      <c r="AB261" s="33">
        <f>'Dados - Cliente'!Y261</f>
        <v>0</v>
      </c>
      <c r="AC261" s="33">
        <f>'Dados - Cliente'!Z261</f>
        <v>0</v>
      </c>
      <c r="AD261" s="33">
        <f>'Dados - Cliente'!AA261</f>
        <v>0</v>
      </c>
      <c r="AE261" s="33">
        <f>'Dados - Cliente'!AB261</f>
        <v>0</v>
      </c>
      <c r="AF261" s="33">
        <f>'Dados - Cliente'!AC261</f>
        <v>0</v>
      </c>
      <c r="AG261" s="35">
        <f>'Dados - Cliente'!AD261</f>
        <v>0</v>
      </c>
      <c r="AH261" s="33" t="e">
        <f>INDEX('Dados - Placas'!$A:$A,MATCH('1'!AG261,'Dados - Placas'!$D:$D,0))</f>
        <v>#N/A</v>
      </c>
      <c r="AI261" s="35" t="e">
        <f>INDEX('Dados - Placas'!$E:$E,MATCH('1'!AG261,'Dados - Placas'!$D:$D,0))</f>
        <v>#N/A</v>
      </c>
      <c r="AJ261" s="34" t="e">
        <f>INDEX('Dados - Placas'!$F:$F,MATCH('1'!AG261,'Dados - Placas'!$D:$D,0))*AF261</f>
        <v>#N/A</v>
      </c>
      <c r="AK261" s="33">
        <f>'Dados - Cliente'!AE261</f>
        <v>0</v>
      </c>
      <c r="AL261" s="33">
        <f>'Dados - Cliente'!AF261</f>
        <v>0</v>
      </c>
      <c r="AM261" s="36" t="e">
        <f>INDEX('Dados - Inversores'!$A:$A,MATCH('1'!AL261,'Dados - Inversores'!$C:$C,0))</f>
        <v>#N/A</v>
      </c>
      <c r="AN261" s="33">
        <f>'Dados - Cliente'!AG261</f>
        <v>0</v>
      </c>
      <c r="AO261" s="33" t="e">
        <f>AA261*1.25/(0.22*SQRT(INDEX('Dados - Inversores'!AK:AK,MATCH('1'!AL261,'Dados - Inversores'!C:C,0))))</f>
        <v>#N/A</v>
      </c>
      <c r="AP261" s="34">
        <f>INDEX(Dados!$E$2:$E$33,COUNTIF(Dados!$E$2:$E$33,"&lt;="&amp;AN261*1.25/(INDEX('Dados - Inversores'!AL:AL,MATCH('1'!AL261,'Dados - Inversores'!C:C,0))*SQRT(INDEX('Dados - Inversores'!AK:AK,MATCH('1'!AL261,'Dados - Inversores'!C:C,0)))))+1)</f>
        <v>2</v>
      </c>
      <c r="AQ261" s="33" t="s">
        <v>59</v>
      </c>
      <c r="AR261" s="33" t="str">
        <f t="shared" si="24"/>
        <v>Micro</v>
      </c>
      <c r="AS261" s="33">
        <f>'Dados - Cliente'!AH261</f>
        <v>0</v>
      </c>
      <c r="AT261" s="33">
        <f>'Dados - Cliente'!AI261</f>
        <v>0</v>
      </c>
      <c r="AU261" s="33" t="e">
        <f>INDEX('Dados - Placas'!$N:$N,MATCH('1'!AG261,'Dados - Placas'!$D:$D,0))-1</f>
        <v>#N/A</v>
      </c>
      <c r="AV261" s="33" t="e">
        <f>INDEX('Dados - Placas'!$O:$O,MATCH('1'!AG261,'Dados - Placas'!$D:$D,0))</f>
        <v>#N/A</v>
      </c>
      <c r="AW261" s="33" t="e">
        <f>INDEX('Dados - Inversores'!AM:AM,MATCH('1'!AL261,'Dados - Inversores'!$C:$C,0))-1</f>
        <v>#N/A</v>
      </c>
      <c r="AX261" s="33" t="e">
        <f>INDEX('Dados - Inversores'!AN:AN,MATCH('1'!AL261,'Dados - Inversores'!$C:$C,0))-1</f>
        <v>#N/A</v>
      </c>
      <c r="AY261" s="33" t="e">
        <f>MATCH('1'!H261,Dados!$D$89:$D$167,0)+1</f>
        <v>#N/A</v>
      </c>
      <c r="AZ261" s="33" t="e">
        <f>MATCH('1'!N261,'Dados - Solicitação de acesso'!$N$2:$N$8,0)</f>
        <v>#N/A</v>
      </c>
      <c r="BA261" s="33" t="e">
        <f>MATCH('1'!T261,'Dados - Solicitação de acesso'!$T$2:$T$20,0)</f>
        <v>#N/A</v>
      </c>
    </row>
    <row r="262" spans="1:53" x14ac:dyDescent="0.35">
      <c r="A262" s="33">
        <f>'Dados - Cliente'!A262</f>
        <v>0</v>
      </c>
      <c r="B262" s="33">
        <f>'Dados - Cliente'!B262</f>
        <v>0</v>
      </c>
      <c r="C262" s="33">
        <f>'Dados - Cliente'!C262</f>
        <v>0</v>
      </c>
      <c r="D262" s="33">
        <f>'Dados - Cliente'!D262</f>
        <v>0</v>
      </c>
      <c r="E262" s="33">
        <f>'Dados - Cliente'!E262</f>
        <v>0</v>
      </c>
      <c r="F262" s="33">
        <f>'Dados - Cliente'!F262</f>
        <v>0</v>
      </c>
      <c r="G262" s="33">
        <f>'Dados - Cliente'!G262</f>
        <v>0</v>
      </c>
      <c r="H262" s="33">
        <f>'Dados - Cliente'!H262</f>
        <v>0</v>
      </c>
      <c r="I262" s="75" t="s">
        <v>4313</v>
      </c>
      <c r="J262" s="52" t="s">
        <v>4314</v>
      </c>
      <c r="K262" s="52" t="s">
        <v>4314</v>
      </c>
      <c r="L262" s="33">
        <f>'Dados - Cliente'!I262</f>
        <v>0</v>
      </c>
      <c r="M262" s="33">
        <f>'Dados - Cliente'!K262</f>
        <v>0</v>
      </c>
      <c r="N262" s="33">
        <f>'Dados - Cliente'!L262</f>
        <v>0</v>
      </c>
      <c r="O262" s="33">
        <f>'Dados - Cliente'!M262</f>
        <v>0</v>
      </c>
      <c r="P262" s="33">
        <f>'Dados - Cliente'!N262</f>
        <v>0</v>
      </c>
      <c r="Q262" s="33">
        <f>'Dados - Cliente'!O262</f>
        <v>0</v>
      </c>
      <c r="R262" s="33">
        <f>'Dados - Cliente'!P262</f>
        <v>0</v>
      </c>
      <c r="S262" s="33">
        <f>'Dados - Cliente'!Q262</f>
        <v>0</v>
      </c>
      <c r="T262" s="33">
        <f>'Dados - Cliente'!R262</f>
        <v>0</v>
      </c>
      <c r="U262" s="34">
        <f>'Dados - Cliente'!S262</f>
        <v>0</v>
      </c>
      <c r="V262" s="34">
        <f>'Dados - Cliente'!T262</f>
        <v>0</v>
      </c>
      <c r="W262" s="34">
        <f>'Dados - Cliente'!U262</f>
        <v>0</v>
      </c>
      <c r="X262" s="34">
        <f>'Dados - Cliente'!V262</f>
        <v>0</v>
      </c>
      <c r="Y262" s="34">
        <f>'Dados - Cliente'!W262</f>
        <v>0</v>
      </c>
      <c r="Z262" s="34">
        <f>'Dados - Cliente'!X262</f>
        <v>0</v>
      </c>
      <c r="AA262" s="33" t="e">
        <f t="shared" si="23"/>
        <v>#N/A</v>
      </c>
      <c r="AB262" s="33">
        <f>'Dados - Cliente'!Y262</f>
        <v>0</v>
      </c>
      <c r="AC262" s="33">
        <f>'Dados - Cliente'!Z262</f>
        <v>0</v>
      </c>
      <c r="AD262" s="33">
        <f>'Dados - Cliente'!AA262</f>
        <v>0</v>
      </c>
      <c r="AE262" s="33">
        <f>'Dados - Cliente'!AB262</f>
        <v>0</v>
      </c>
      <c r="AF262" s="33">
        <f>'Dados - Cliente'!AC262</f>
        <v>0</v>
      </c>
      <c r="AG262" s="35">
        <f>'Dados - Cliente'!AD262</f>
        <v>0</v>
      </c>
      <c r="AH262" s="33" t="e">
        <f>INDEX('Dados - Placas'!$A:$A,MATCH('1'!AG262,'Dados - Placas'!$D:$D,0))</f>
        <v>#N/A</v>
      </c>
      <c r="AI262" s="35" t="e">
        <f>INDEX('Dados - Placas'!$E:$E,MATCH('1'!AG262,'Dados - Placas'!$D:$D,0))</f>
        <v>#N/A</v>
      </c>
      <c r="AJ262" s="34" t="e">
        <f>INDEX('Dados - Placas'!$F:$F,MATCH('1'!AG262,'Dados - Placas'!$D:$D,0))*AF262</f>
        <v>#N/A</v>
      </c>
      <c r="AK262" s="33">
        <f>'Dados - Cliente'!AE262</f>
        <v>0</v>
      </c>
      <c r="AL262" s="33">
        <f>'Dados - Cliente'!AF262</f>
        <v>0</v>
      </c>
      <c r="AM262" s="36" t="e">
        <f>INDEX('Dados - Inversores'!$A:$A,MATCH('1'!AL262,'Dados - Inversores'!$C:$C,0))</f>
        <v>#N/A</v>
      </c>
      <c r="AN262" s="33">
        <f>'Dados - Cliente'!AG262</f>
        <v>0</v>
      </c>
      <c r="AO262" s="33" t="e">
        <f>AA262*1.25/(0.22*SQRT(INDEX('Dados - Inversores'!AK:AK,MATCH('1'!AL262,'Dados - Inversores'!C:C,0))))</f>
        <v>#N/A</v>
      </c>
      <c r="AP262" s="34">
        <f>INDEX(Dados!$E$2:$E$33,COUNTIF(Dados!$E$2:$E$33,"&lt;="&amp;AN262*1.25/(INDEX('Dados - Inversores'!AL:AL,MATCH('1'!AL262,'Dados - Inversores'!C:C,0))*SQRT(INDEX('Dados - Inversores'!AK:AK,MATCH('1'!AL262,'Dados - Inversores'!C:C,0)))))+1)</f>
        <v>2</v>
      </c>
      <c r="AQ262" s="33" t="s">
        <v>59</v>
      </c>
      <c r="AR262" s="33" t="str">
        <f t="shared" si="24"/>
        <v>Micro</v>
      </c>
      <c r="AS262" s="33">
        <f>'Dados - Cliente'!AH262</f>
        <v>0</v>
      </c>
      <c r="AT262" s="33">
        <f>'Dados - Cliente'!AI262</f>
        <v>0</v>
      </c>
      <c r="AU262" s="33" t="e">
        <f>INDEX('Dados - Placas'!$N:$N,MATCH('1'!AG262,'Dados - Placas'!$D:$D,0))-1</f>
        <v>#N/A</v>
      </c>
      <c r="AV262" s="33" t="e">
        <f>INDEX('Dados - Placas'!$O:$O,MATCH('1'!AG262,'Dados - Placas'!$D:$D,0))</f>
        <v>#N/A</v>
      </c>
      <c r="AW262" s="33" t="e">
        <f>INDEX('Dados - Inversores'!AM:AM,MATCH('1'!AL262,'Dados - Inversores'!$C:$C,0))-1</f>
        <v>#N/A</v>
      </c>
      <c r="AX262" s="33" t="e">
        <f>INDEX('Dados - Inversores'!AN:AN,MATCH('1'!AL262,'Dados - Inversores'!$C:$C,0))-1</f>
        <v>#N/A</v>
      </c>
      <c r="AY262" s="33" t="e">
        <f>MATCH('1'!H262,Dados!$D$89:$D$167,0)+1</f>
        <v>#N/A</v>
      </c>
      <c r="AZ262" s="33" t="e">
        <f>MATCH('1'!N262,'Dados - Solicitação de acesso'!$N$2:$N$8,0)</f>
        <v>#N/A</v>
      </c>
      <c r="BA262" s="33" t="e">
        <f>MATCH('1'!T262,'Dados - Solicitação de acesso'!$T$2:$T$20,0)</f>
        <v>#N/A</v>
      </c>
    </row>
    <row r="263" spans="1:53" x14ac:dyDescent="0.35">
      <c r="A263" s="33">
        <f>'Dados - Cliente'!A263</f>
        <v>0</v>
      </c>
      <c r="B263" s="33">
        <f>'Dados - Cliente'!B263</f>
        <v>0</v>
      </c>
      <c r="C263" s="33">
        <f>'Dados - Cliente'!C263</f>
        <v>0</v>
      </c>
      <c r="D263" s="33">
        <f>'Dados - Cliente'!D263</f>
        <v>0</v>
      </c>
      <c r="E263" s="33">
        <f>'Dados - Cliente'!E263</f>
        <v>0</v>
      </c>
      <c r="F263" s="33">
        <f>'Dados - Cliente'!F263</f>
        <v>0</v>
      </c>
      <c r="G263" s="33">
        <f>'Dados - Cliente'!G263</f>
        <v>0</v>
      </c>
      <c r="H263" s="33">
        <f>'Dados - Cliente'!H263</f>
        <v>0</v>
      </c>
      <c r="I263" s="75" t="s">
        <v>4313</v>
      </c>
      <c r="J263" s="52" t="s">
        <v>4314</v>
      </c>
      <c r="K263" s="52" t="s">
        <v>4314</v>
      </c>
      <c r="L263" s="33">
        <f>'Dados - Cliente'!I263</f>
        <v>0</v>
      </c>
      <c r="M263" s="33">
        <f>'Dados - Cliente'!K263</f>
        <v>0</v>
      </c>
      <c r="N263" s="33">
        <f>'Dados - Cliente'!L263</f>
        <v>0</v>
      </c>
      <c r="O263" s="33">
        <f>'Dados - Cliente'!M263</f>
        <v>0</v>
      </c>
      <c r="P263" s="33">
        <f>'Dados - Cliente'!N263</f>
        <v>0</v>
      </c>
      <c r="Q263" s="33">
        <f>'Dados - Cliente'!O263</f>
        <v>0</v>
      </c>
      <c r="R263" s="33">
        <f>'Dados - Cliente'!P263</f>
        <v>0</v>
      </c>
      <c r="S263" s="33">
        <f>'Dados - Cliente'!Q263</f>
        <v>0</v>
      </c>
      <c r="T263" s="33">
        <f>'Dados - Cliente'!R263</f>
        <v>0</v>
      </c>
      <c r="U263" s="34">
        <f>'Dados - Cliente'!S263</f>
        <v>0</v>
      </c>
      <c r="V263" s="34">
        <f>'Dados - Cliente'!T263</f>
        <v>0</v>
      </c>
      <c r="W263" s="34">
        <f>'Dados - Cliente'!U263</f>
        <v>0</v>
      </c>
      <c r="X263" s="34">
        <f>'Dados - Cliente'!V263</f>
        <v>0</v>
      </c>
      <c r="Y263" s="34">
        <f>'Dados - Cliente'!W263</f>
        <v>0</v>
      </c>
      <c r="Z263" s="34">
        <f>'Dados - Cliente'!X263</f>
        <v>0</v>
      </c>
      <c r="AA263" s="33" t="e">
        <f t="shared" si="23"/>
        <v>#N/A</v>
      </c>
      <c r="AB263" s="33">
        <f>'Dados - Cliente'!Y263</f>
        <v>0</v>
      </c>
      <c r="AC263" s="33">
        <f>'Dados - Cliente'!Z263</f>
        <v>0</v>
      </c>
      <c r="AD263" s="33">
        <f>'Dados - Cliente'!AA263</f>
        <v>0</v>
      </c>
      <c r="AE263" s="33">
        <f>'Dados - Cliente'!AB263</f>
        <v>0</v>
      </c>
      <c r="AF263" s="33">
        <f>'Dados - Cliente'!AC263</f>
        <v>0</v>
      </c>
      <c r="AG263" s="35">
        <f>'Dados - Cliente'!AD263</f>
        <v>0</v>
      </c>
      <c r="AH263" s="33" t="e">
        <f>INDEX('Dados - Placas'!$A:$A,MATCH('1'!AG263,'Dados - Placas'!$D:$D,0))</f>
        <v>#N/A</v>
      </c>
      <c r="AI263" s="35" t="e">
        <f>INDEX('Dados - Placas'!$E:$E,MATCH('1'!AG263,'Dados - Placas'!$D:$D,0))</f>
        <v>#N/A</v>
      </c>
      <c r="AJ263" s="34" t="e">
        <f>INDEX('Dados - Placas'!$F:$F,MATCH('1'!AG263,'Dados - Placas'!$D:$D,0))*AF263</f>
        <v>#N/A</v>
      </c>
      <c r="AK263" s="33">
        <f>'Dados - Cliente'!AE263</f>
        <v>0</v>
      </c>
      <c r="AL263" s="33">
        <f>'Dados - Cliente'!AF263</f>
        <v>0</v>
      </c>
      <c r="AM263" s="36" t="e">
        <f>INDEX('Dados - Inversores'!$A:$A,MATCH('1'!AL263,'Dados - Inversores'!$C:$C,0))</f>
        <v>#N/A</v>
      </c>
      <c r="AN263" s="33">
        <f>'Dados - Cliente'!AG263</f>
        <v>0</v>
      </c>
      <c r="AO263" s="33" t="e">
        <f>AA263*1.25/(0.22*SQRT(INDEX('Dados - Inversores'!AK:AK,MATCH('1'!AL263,'Dados - Inversores'!C:C,0))))</f>
        <v>#N/A</v>
      </c>
      <c r="AP263" s="34">
        <f>INDEX(Dados!$E$2:$E$33,COUNTIF(Dados!$E$2:$E$33,"&lt;="&amp;AN263*1.25/(INDEX('Dados - Inversores'!AL:AL,MATCH('1'!AL263,'Dados - Inversores'!C:C,0))*SQRT(INDEX('Dados - Inversores'!AK:AK,MATCH('1'!AL263,'Dados - Inversores'!C:C,0)))))+1)</f>
        <v>2</v>
      </c>
      <c r="AQ263" s="33" t="s">
        <v>59</v>
      </c>
      <c r="AR263" s="33" t="str">
        <f t="shared" si="24"/>
        <v>Micro</v>
      </c>
      <c r="AS263" s="33">
        <f>'Dados - Cliente'!AH263</f>
        <v>0</v>
      </c>
      <c r="AT263" s="33">
        <f>'Dados - Cliente'!AI263</f>
        <v>0</v>
      </c>
      <c r="AU263" s="33" t="e">
        <f>INDEX('Dados - Placas'!$N:$N,MATCH('1'!AG263,'Dados - Placas'!$D:$D,0))-1</f>
        <v>#N/A</v>
      </c>
      <c r="AV263" s="33" t="e">
        <f>INDEX('Dados - Placas'!$O:$O,MATCH('1'!AG263,'Dados - Placas'!$D:$D,0))</f>
        <v>#N/A</v>
      </c>
      <c r="AW263" s="33" t="e">
        <f>INDEX('Dados - Inversores'!AM:AM,MATCH('1'!AL263,'Dados - Inversores'!$C:$C,0))-1</f>
        <v>#N/A</v>
      </c>
      <c r="AX263" s="33" t="e">
        <f>INDEX('Dados - Inversores'!AN:AN,MATCH('1'!AL263,'Dados - Inversores'!$C:$C,0))-1</f>
        <v>#N/A</v>
      </c>
      <c r="AY263" s="33" t="e">
        <f>MATCH('1'!H263,Dados!$D$89:$D$167,0)+1</f>
        <v>#N/A</v>
      </c>
      <c r="AZ263" s="33" t="e">
        <f>MATCH('1'!N263,'Dados - Solicitação de acesso'!$N$2:$N$8,0)</f>
        <v>#N/A</v>
      </c>
      <c r="BA263" s="33" t="e">
        <f>MATCH('1'!T263,'Dados - Solicitação de acesso'!$T$2:$T$20,0)</f>
        <v>#N/A</v>
      </c>
    </row>
    <row r="264" spans="1:53" x14ac:dyDescent="0.35">
      <c r="A264" s="33">
        <f>'Dados - Cliente'!A264</f>
        <v>0</v>
      </c>
      <c r="B264" s="33">
        <f>'Dados - Cliente'!B264</f>
        <v>0</v>
      </c>
      <c r="C264" s="33">
        <f>'Dados - Cliente'!C264</f>
        <v>0</v>
      </c>
      <c r="D264" s="33">
        <f>'Dados - Cliente'!D264</f>
        <v>0</v>
      </c>
      <c r="E264" s="33">
        <f>'Dados - Cliente'!E264</f>
        <v>0</v>
      </c>
      <c r="F264" s="33">
        <f>'Dados - Cliente'!F264</f>
        <v>0</v>
      </c>
      <c r="G264" s="33">
        <f>'Dados - Cliente'!G264</f>
        <v>0</v>
      </c>
      <c r="H264" s="33">
        <f>'Dados - Cliente'!H264</f>
        <v>0</v>
      </c>
      <c r="I264" s="75" t="s">
        <v>4313</v>
      </c>
      <c r="J264" s="52" t="s">
        <v>4314</v>
      </c>
      <c r="K264" s="52" t="s">
        <v>4314</v>
      </c>
      <c r="L264" s="33">
        <f>'Dados - Cliente'!I264</f>
        <v>0</v>
      </c>
      <c r="M264" s="33">
        <f>'Dados - Cliente'!K264</f>
        <v>0</v>
      </c>
      <c r="N264" s="33">
        <f>'Dados - Cliente'!L264</f>
        <v>0</v>
      </c>
      <c r="O264" s="33">
        <f>'Dados - Cliente'!M264</f>
        <v>0</v>
      </c>
      <c r="P264" s="33">
        <f>'Dados - Cliente'!N264</f>
        <v>0</v>
      </c>
      <c r="Q264" s="33">
        <f>'Dados - Cliente'!O264</f>
        <v>0</v>
      </c>
      <c r="R264" s="33">
        <f>'Dados - Cliente'!P264</f>
        <v>0</v>
      </c>
      <c r="S264" s="33">
        <f>'Dados - Cliente'!Q264</f>
        <v>0</v>
      </c>
      <c r="T264" s="33">
        <f>'Dados - Cliente'!R264</f>
        <v>0</v>
      </c>
      <c r="U264" s="34">
        <f>'Dados - Cliente'!S264</f>
        <v>0</v>
      </c>
      <c r="V264" s="34">
        <f>'Dados - Cliente'!T264</f>
        <v>0</v>
      </c>
      <c r="W264" s="34">
        <f>'Dados - Cliente'!U264</f>
        <v>0</v>
      </c>
      <c r="X264" s="34">
        <f>'Dados - Cliente'!V264</f>
        <v>0</v>
      </c>
      <c r="Y264" s="34">
        <f>'Dados - Cliente'!W264</f>
        <v>0</v>
      </c>
      <c r="Z264" s="34">
        <f>'Dados - Cliente'!X264</f>
        <v>0</v>
      </c>
      <c r="AA264" s="33" t="e">
        <f t="shared" si="23"/>
        <v>#N/A</v>
      </c>
      <c r="AB264" s="33">
        <f>'Dados - Cliente'!Y264</f>
        <v>0</v>
      </c>
      <c r="AC264" s="33">
        <f>'Dados - Cliente'!Z264</f>
        <v>0</v>
      </c>
      <c r="AD264" s="33">
        <f>'Dados - Cliente'!AA264</f>
        <v>0</v>
      </c>
      <c r="AE264" s="33">
        <f>'Dados - Cliente'!AB264</f>
        <v>0</v>
      </c>
      <c r="AF264" s="33">
        <f>'Dados - Cliente'!AC264</f>
        <v>0</v>
      </c>
      <c r="AG264" s="35">
        <f>'Dados - Cliente'!AD264</f>
        <v>0</v>
      </c>
      <c r="AH264" s="33" t="e">
        <f>INDEX('Dados - Placas'!$A:$A,MATCH('1'!AG264,'Dados - Placas'!$D:$D,0))</f>
        <v>#N/A</v>
      </c>
      <c r="AI264" s="35" t="e">
        <f>INDEX('Dados - Placas'!$E:$E,MATCH('1'!AG264,'Dados - Placas'!$D:$D,0))</f>
        <v>#N/A</v>
      </c>
      <c r="AJ264" s="34" t="e">
        <f>INDEX('Dados - Placas'!$F:$F,MATCH('1'!AG264,'Dados - Placas'!$D:$D,0))*AF264</f>
        <v>#N/A</v>
      </c>
      <c r="AK264" s="33">
        <f>'Dados - Cliente'!AE264</f>
        <v>0</v>
      </c>
      <c r="AL264" s="33">
        <f>'Dados - Cliente'!AF264</f>
        <v>0</v>
      </c>
      <c r="AM264" s="36" t="e">
        <f>INDEX('Dados - Inversores'!$A:$A,MATCH('1'!AL264,'Dados - Inversores'!$C:$C,0))</f>
        <v>#N/A</v>
      </c>
      <c r="AN264" s="33">
        <f>'Dados - Cliente'!AG264</f>
        <v>0</v>
      </c>
      <c r="AO264" s="33" t="e">
        <f>AA264*1.25/(0.22*SQRT(INDEX('Dados - Inversores'!AK:AK,MATCH('1'!AL264,'Dados - Inversores'!C:C,0))))</f>
        <v>#N/A</v>
      </c>
      <c r="AP264" s="34">
        <f>INDEX(Dados!$E$2:$E$33,COUNTIF(Dados!$E$2:$E$33,"&lt;="&amp;AN264*1.25/(INDEX('Dados - Inversores'!AL:AL,MATCH('1'!AL264,'Dados - Inversores'!C:C,0))*SQRT(INDEX('Dados - Inversores'!AK:AK,MATCH('1'!AL264,'Dados - Inversores'!C:C,0)))))+1)</f>
        <v>2</v>
      </c>
      <c r="AQ264" s="33" t="s">
        <v>59</v>
      </c>
      <c r="AR264" s="33" t="str">
        <f t="shared" si="24"/>
        <v>Micro</v>
      </c>
      <c r="AS264" s="33">
        <f>'Dados - Cliente'!AH264</f>
        <v>0</v>
      </c>
      <c r="AT264" s="33">
        <f>'Dados - Cliente'!AI264</f>
        <v>0</v>
      </c>
      <c r="AU264" s="33" t="e">
        <f>INDEX('Dados - Placas'!$N:$N,MATCH('1'!AG264,'Dados - Placas'!$D:$D,0))-1</f>
        <v>#N/A</v>
      </c>
      <c r="AV264" s="33" t="e">
        <f>INDEX('Dados - Placas'!$O:$O,MATCH('1'!AG264,'Dados - Placas'!$D:$D,0))</f>
        <v>#N/A</v>
      </c>
      <c r="AW264" s="33" t="e">
        <f>INDEX('Dados - Inversores'!AM:AM,MATCH('1'!AL264,'Dados - Inversores'!$C:$C,0))-1</f>
        <v>#N/A</v>
      </c>
      <c r="AX264" s="33" t="e">
        <f>INDEX('Dados - Inversores'!AN:AN,MATCH('1'!AL264,'Dados - Inversores'!$C:$C,0))-1</f>
        <v>#N/A</v>
      </c>
      <c r="AY264" s="33" t="e">
        <f>MATCH('1'!H264,Dados!$D$89:$D$167,0)+1</f>
        <v>#N/A</v>
      </c>
      <c r="AZ264" s="33" t="e">
        <f>MATCH('1'!N264,'Dados - Solicitação de acesso'!$N$2:$N$8,0)</f>
        <v>#N/A</v>
      </c>
      <c r="BA264" s="33" t="e">
        <f>MATCH('1'!T264,'Dados - Solicitação de acesso'!$T$2:$T$20,0)</f>
        <v>#N/A</v>
      </c>
    </row>
    <row r="265" spans="1:53" x14ac:dyDescent="0.35">
      <c r="A265" s="33">
        <f>'Dados - Cliente'!A265</f>
        <v>0</v>
      </c>
      <c r="B265" s="33">
        <f>'Dados - Cliente'!B265</f>
        <v>0</v>
      </c>
      <c r="C265" s="33">
        <f>'Dados - Cliente'!C265</f>
        <v>0</v>
      </c>
      <c r="D265" s="33">
        <f>'Dados - Cliente'!D265</f>
        <v>0</v>
      </c>
      <c r="E265" s="33">
        <f>'Dados - Cliente'!E265</f>
        <v>0</v>
      </c>
      <c r="F265" s="33">
        <f>'Dados - Cliente'!F265</f>
        <v>0</v>
      </c>
      <c r="G265" s="33">
        <f>'Dados - Cliente'!G265</f>
        <v>0</v>
      </c>
      <c r="H265" s="33">
        <f>'Dados - Cliente'!H265</f>
        <v>0</v>
      </c>
      <c r="I265" s="75" t="s">
        <v>4313</v>
      </c>
      <c r="J265" s="52" t="s">
        <v>4314</v>
      </c>
      <c r="K265" s="52" t="s">
        <v>4314</v>
      </c>
      <c r="L265" s="33">
        <f>'Dados - Cliente'!I265</f>
        <v>0</v>
      </c>
      <c r="M265" s="33">
        <f>'Dados - Cliente'!K265</f>
        <v>0</v>
      </c>
      <c r="N265" s="33">
        <f>'Dados - Cliente'!L265</f>
        <v>0</v>
      </c>
      <c r="O265" s="33">
        <f>'Dados - Cliente'!M265</f>
        <v>0</v>
      </c>
      <c r="P265" s="33">
        <f>'Dados - Cliente'!N265</f>
        <v>0</v>
      </c>
      <c r="Q265" s="33">
        <f>'Dados - Cliente'!O265</f>
        <v>0</v>
      </c>
      <c r="R265" s="33">
        <f>'Dados - Cliente'!P265</f>
        <v>0</v>
      </c>
      <c r="S265" s="33">
        <f>'Dados - Cliente'!Q265</f>
        <v>0</v>
      </c>
      <c r="T265" s="33">
        <f>'Dados - Cliente'!R265</f>
        <v>0</v>
      </c>
      <c r="U265" s="34">
        <f>'Dados - Cliente'!S265</f>
        <v>0</v>
      </c>
      <c r="V265" s="34">
        <f>'Dados - Cliente'!T265</f>
        <v>0</v>
      </c>
      <c r="W265" s="34">
        <f>'Dados - Cliente'!U265</f>
        <v>0</v>
      </c>
      <c r="X265" s="34">
        <f>'Dados - Cliente'!V265</f>
        <v>0</v>
      </c>
      <c r="Y265" s="34">
        <f>'Dados - Cliente'!W265</f>
        <v>0</v>
      </c>
      <c r="Z265" s="34">
        <f>'Dados - Cliente'!X265</f>
        <v>0</v>
      </c>
      <c r="AA265" s="33" t="e">
        <f t="shared" si="23"/>
        <v>#N/A</v>
      </c>
      <c r="AB265" s="33">
        <f>'Dados - Cliente'!Y265</f>
        <v>0</v>
      </c>
      <c r="AC265" s="33">
        <f>'Dados - Cliente'!Z265</f>
        <v>0</v>
      </c>
      <c r="AD265" s="33">
        <f>'Dados - Cliente'!AA265</f>
        <v>0</v>
      </c>
      <c r="AE265" s="33">
        <f>'Dados - Cliente'!AB265</f>
        <v>0</v>
      </c>
      <c r="AF265" s="33">
        <f>'Dados - Cliente'!AC265</f>
        <v>0</v>
      </c>
      <c r="AG265" s="35">
        <f>'Dados - Cliente'!AD265</f>
        <v>0</v>
      </c>
      <c r="AH265" s="33" t="e">
        <f>INDEX('Dados - Placas'!$A:$A,MATCH('1'!AG265,'Dados - Placas'!$D:$D,0))</f>
        <v>#N/A</v>
      </c>
      <c r="AI265" s="35" t="e">
        <f>INDEX('Dados - Placas'!$E:$E,MATCH('1'!AG265,'Dados - Placas'!$D:$D,0))</f>
        <v>#N/A</v>
      </c>
      <c r="AJ265" s="34" t="e">
        <f>INDEX('Dados - Placas'!$F:$F,MATCH('1'!AG265,'Dados - Placas'!$D:$D,0))*AF265</f>
        <v>#N/A</v>
      </c>
      <c r="AK265" s="33">
        <f>'Dados - Cliente'!AE265</f>
        <v>0</v>
      </c>
      <c r="AL265" s="33">
        <f>'Dados - Cliente'!AF265</f>
        <v>0</v>
      </c>
      <c r="AM265" s="36" t="e">
        <f>INDEX('Dados - Inversores'!$A:$A,MATCH('1'!AL265,'Dados - Inversores'!$C:$C,0))</f>
        <v>#N/A</v>
      </c>
      <c r="AN265" s="33">
        <f>'Dados - Cliente'!AG265</f>
        <v>0</v>
      </c>
      <c r="AO265" s="33" t="e">
        <f>AA265*1.25/(0.22*SQRT(INDEX('Dados - Inversores'!AK:AK,MATCH('1'!AL265,'Dados - Inversores'!C:C,0))))</f>
        <v>#N/A</v>
      </c>
      <c r="AP265" s="34">
        <f>INDEX(Dados!$E$2:$E$33,COUNTIF(Dados!$E$2:$E$33,"&lt;="&amp;AN265*1.25/(INDEX('Dados - Inversores'!AL:AL,MATCH('1'!AL265,'Dados - Inversores'!C:C,0))*SQRT(INDEX('Dados - Inversores'!AK:AK,MATCH('1'!AL265,'Dados - Inversores'!C:C,0)))))+1)</f>
        <v>2</v>
      </c>
      <c r="AQ265" s="33" t="s">
        <v>59</v>
      </c>
      <c r="AR265" s="33" t="str">
        <f t="shared" si="24"/>
        <v>Micro</v>
      </c>
      <c r="AS265" s="33">
        <f>'Dados - Cliente'!AH265</f>
        <v>0</v>
      </c>
      <c r="AT265" s="33">
        <f>'Dados - Cliente'!AI265</f>
        <v>0</v>
      </c>
      <c r="AU265" s="33" t="e">
        <f>INDEX('Dados - Placas'!$N:$N,MATCH('1'!AG265,'Dados - Placas'!$D:$D,0))-1</f>
        <v>#N/A</v>
      </c>
      <c r="AV265" s="33" t="e">
        <f>INDEX('Dados - Placas'!$O:$O,MATCH('1'!AG265,'Dados - Placas'!$D:$D,0))</f>
        <v>#N/A</v>
      </c>
      <c r="AW265" s="33" t="e">
        <f>INDEX('Dados - Inversores'!AM:AM,MATCH('1'!AL265,'Dados - Inversores'!$C:$C,0))-1</f>
        <v>#N/A</v>
      </c>
      <c r="AX265" s="33" t="e">
        <f>INDEX('Dados - Inversores'!AN:AN,MATCH('1'!AL265,'Dados - Inversores'!$C:$C,0))-1</f>
        <v>#N/A</v>
      </c>
      <c r="AY265" s="33" t="e">
        <f>MATCH('1'!H265,Dados!$D$89:$D$167,0)+1</f>
        <v>#N/A</v>
      </c>
      <c r="AZ265" s="33" t="e">
        <f>MATCH('1'!N265,'Dados - Solicitação de acesso'!$N$2:$N$8,0)</f>
        <v>#N/A</v>
      </c>
      <c r="BA265" s="33" t="e">
        <f>MATCH('1'!T265,'Dados - Solicitação de acesso'!$T$2:$T$20,0)</f>
        <v>#N/A</v>
      </c>
    </row>
    <row r="266" spans="1:53" x14ac:dyDescent="0.35">
      <c r="A266" s="33">
        <f>'Dados - Cliente'!A266</f>
        <v>0</v>
      </c>
      <c r="B266" s="33">
        <f>'Dados - Cliente'!B266</f>
        <v>0</v>
      </c>
      <c r="C266" s="33">
        <f>'Dados - Cliente'!C266</f>
        <v>0</v>
      </c>
      <c r="D266" s="33">
        <f>'Dados - Cliente'!D266</f>
        <v>0</v>
      </c>
      <c r="E266" s="33">
        <f>'Dados - Cliente'!E266</f>
        <v>0</v>
      </c>
      <c r="F266" s="33">
        <f>'Dados - Cliente'!F266</f>
        <v>0</v>
      </c>
      <c r="G266" s="33">
        <f>'Dados - Cliente'!G266</f>
        <v>0</v>
      </c>
      <c r="H266" s="33">
        <f>'Dados - Cliente'!H266</f>
        <v>0</v>
      </c>
      <c r="I266" s="75" t="s">
        <v>4313</v>
      </c>
      <c r="J266" s="52" t="s">
        <v>4314</v>
      </c>
      <c r="K266" s="52" t="s">
        <v>4314</v>
      </c>
      <c r="L266" s="33">
        <f>'Dados - Cliente'!I266</f>
        <v>0</v>
      </c>
      <c r="M266" s="33">
        <f>'Dados - Cliente'!K266</f>
        <v>0</v>
      </c>
      <c r="N266" s="33">
        <f>'Dados - Cliente'!L266</f>
        <v>0</v>
      </c>
      <c r="O266" s="33">
        <f>'Dados - Cliente'!M266</f>
        <v>0</v>
      </c>
      <c r="P266" s="33">
        <f>'Dados - Cliente'!N266</f>
        <v>0</v>
      </c>
      <c r="Q266" s="33">
        <f>'Dados - Cliente'!O266</f>
        <v>0</v>
      </c>
      <c r="R266" s="33">
        <f>'Dados - Cliente'!P266</f>
        <v>0</v>
      </c>
      <c r="S266" s="33">
        <f>'Dados - Cliente'!Q266</f>
        <v>0</v>
      </c>
      <c r="T266" s="33">
        <f>'Dados - Cliente'!R266</f>
        <v>0</v>
      </c>
      <c r="U266" s="34">
        <f>'Dados - Cliente'!S266</f>
        <v>0</v>
      </c>
      <c r="V266" s="34">
        <f>'Dados - Cliente'!T266</f>
        <v>0</v>
      </c>
      <c r="W266" s="34">
        <f>'Dados - Cliente'!U266</f>
        <v>0</v>
      </c>
      <c r="X266" s="34">
        <f>'Dados - Cliente'!V266</f>
        <v>0</v>
      </c>
      <c r="Y266" s="34">
        <f>'Dados - Cliente'!W266</f>
        <v>0</v>
      </c>
      <c r="Z266" s="34">
        <f>'Dados - Cliente'!X266</f>
        <v>0</v>
      </c>
      <c r="AA266" s="33" t="e">
        <f t="shared" si="23"/>
        <v>#N/A</v>
      </c>
      <c r="AB266" s="33">
        <f>'Dados - Cliente'!Y266</f>
        <v>0</v>
      </c>
      <c r="AC266" s="33">
        <f>'Dados - Cliente'!Z266</f>
        <v>0</v>
      </c>
      <c r="AD266" s="33">
        <f>'Dados - Cliente'!AA266</f>
        <v>0</v>
      </c>
      <c r="AE266" s="33">
        <f>'Dados - Cliente'!AB266</f>
        <v>0</v>
      </c>
      <c r="AF266" s="33">
        <f>'Dados - Cliente'!AC266</f>
        <v>0</v>
      </c>
      <c r="AG266" s="35">
        <f>'Dados - Cliente'!AD266</f>
        <v>0</v>
      </c>
      <c r="AH266" s="33" t="e">
        <f>INDEX('Dados - Placas'!$A:$A,MATCH('1'!AG266,'Dados - Placas'!$D:$D,0))</f>
        <v>#N/A</v>
      </c>
      <c r="AI266" s="35" t="e">
        <f>INDEX('Dados - Placas'!$E:$E,MATCH('1'!AG266,'Dados - Placas'!$D:$D,0))</f>
        <v>#N/A</v>
      </c>
      <c r="AJ266" s="34" t="e">
        <f>INDEX('Dados - Placas'!$F:$F,MATCH('1'!AG266,'Dados - Placas'!$D:$D,0))*AF266</f>
        <v>#N/A</v>
      </c>
      <c r="AK266" s="33">
        <f>'Dados - Cliente'!AE266</f>
        <v>0</v>
      </c>
      <c r="AL266" s="33">
        <f>'Dados - Cliente'!AF266</f>
        <v>0</v>
      </c>
      <c r="AM266" s="36" t="e">
        <f>INDEX('Dados - Inversores'!$A:$A,MATCH('1'!AL266,'Dados - Inversores'!$C:$C,0))</f>
        <v>#N/A</v>
      </c>
      <c r="AN266" s="33">
        <f>'Dados - Cliente'!AG266</f>
        <v>0</v>
      </c>
      <c r="AO266" s="33" t="e">
        <f>AA266*1.25/(0.22*SQRT(INDEX('Dados - Inversores'!AK:AK,MATCH('1'!AL266,'Dados - Inversores'!C:C,0))))</f>
        <v>#N/A</v>
      </c>
      <c r="AP266" s="34">
        <f>INDEX(Dados!$E$2:$E$33,COUNTIF(Dados!$E$2:$E$33,"&lt;="&amp;AN266*1.25/(INDEX('Dados - Inversores'!AL:AL,MATCH('1'!AL266,'Dados - Inversores'!C:C,0))*SQRT(INDEX('Dados - Inversores'!AK:AK,MATCH('1'!AL266,'Dados - Inversores'!C:C,0)))))+1)</f>
        <v>2</v>
      </c>
      <c r="AQ266" s="33" t="s">
        <v>59</v>
      </c>
      <c r="AR266" s="33" t="str">
        <f t="shared" si="24"/>
        <v>Micro</v>
      </c>
      <c r="AS266" s="33">
        <f>'Dados - Cliente'!AH266</f>
        <v>0</v>
      </c>
      <c r="AT266" s="33">
        <f>'Dados - Cliente'!AI266</f>
        <v>0</v>
      </c>
      <c r="AU266" s="33" t="e">
        <f>INDEX('Dados - Placas'!$N:$N,MATCH('1'!AG266,'Dados - Placas'!$D:$D,0))-1</f>
        <v>#N/A</v>
      </c>
      <c r="AV266" s="33" t="e">
        <f>INDEX('Dados - Placas'!$O:$O,MATCH('1'!AG266,'Dados - Placas'!$D:$D,0))</f>
        <v>#N/A</v>
      </c>
      <c r="AW266" s="33" t="e">
        <f>INDEX('Dados - Inversores'!AM:AM,MATCH('1'!AL266,'Dados - Inversores'!$C:$C,0))-1</f>
        <v>#N/A</v>
      </c>
      <c r="AX266" s="33" t="e">
        <f>INDEX('Dados - Inversores'!AN:AN,MATCH('1'!AL266,'Dados - Inversores'!$C:$C,0))-1</f>
        <v>#N/A</v>
      </c>
      <c r="AY266" s="33" t="e">
        <f>MATCH('1'!H266,Dados!$D$89:$D$167,0)+1</f>
        <v>#N/A</v>
      </c>
      <c r="AZ266" s="33" t="e">
        <f>MATCH('1'!N266,'Dados - Solicitação de acesso'!$N$2:$N$8,0)</f>
        <v>#N/A</v>
      </c>
      <c r="BA266" s="33" t="e">
        <f>MATCH('1'!T266,'Dados - Solicitação de acesso'!$T$2:$T$20,0)</f>
        <v>#N/A</v>
      </c>
    </row>
    <row r="267" spans="1:53" x14ac:dyDescent="0.35">
      <c r="A267" s="33">
        <f>'Dados - Cliente'!A267</f>
        <v>0</v>
      </c>
      <c r="B267" s="33">
        <f>'Dados - Cliente'!B267</f>
        <v>0</v>
      </c>
      <c r="C267" s="33">
        <f>'Dados - Cliente'!C267</f>
        <v>0</v>
      </c>
      <c r="D267" s="33">
        <f>'Dados - Cliente'!D267</f>
        <v>0</v>
      </c>
      <c r="E267" s="33">
        <f>'Dados - Cliente'!E267</f>
        <v>0</v>
      </c>
      <c r="F267" s="33">
        <f>'Dados - Cliente'!F267</f>
        <v>0</v>
      </c>
      <c r="G267" s="33">
        <f>'Dados - Cliente'!G267</f>
        <v>0</v>
      </c>
      <c r="H267" s="33">
        <f>'Dados - Cliente'!H267</f>
        <v>0</v>
      </c>
      <c r="I267" s="75" t="s">
        <v>4313</v>
      </c>
      <c r="J267" s="52" t="s">
        <v>4314</v>
      </c>
      <c r="K267" s="52" t="s">
        <v>4314</v>
      </c>
      <c r="L267" s="33">
        <f>'Dados - Cliente'!I267</f>
        <v>0</v>
      </c>
      <c r="M267" s="33">
        <f>'Dados - Cliente'!K267</f>
        <v>0</v>
      </c>
      <c r="N267" s="33">
        <f>'Dados - Cliente'!L267</f>
        <v>0</v>
      </c>
      <c r="O267" s="33">
        <f>'Dados - Cliente'!M267</f>
        <v>0</v>
      </c>
      <c r="P267" s="33">
        <f>'Dados - Cliente'!N267</f>
        <v>0</v>
      </c>
      <c r="Q267" s="33">
        <f>'Dados - Cliente'!O267</f>
        <v>0</v>
      </c>
      <c r="R267" s="33">
        <f>'Dados - Cliente'!P267</f>
        <v>0</v>
      </c>
      <c r="S267" s="33">
        <f>'Dados - Cliente'!Q267</f>
        <v>0</v>
      </c>
      <c r="T267" s="33">
        <f>'Dados - Cliente'!R267</f>
        <v>0</v>
      </c>
      <c r="U267" s="34">
        <f>'Dados - Cliente'!S267</f>
        <v>0</v>
      </c>
      <c r="V267" s="34">
        <f>'Dados - Cliente'!T267</f>
        <v>0</v>
      </c>
      <c r="W267" s="34">
        <f>'Dados - Cliente'!U267</f>
        <v>0</v>
      </c>
      <c r="X267" s="34">
        <f>'Dados - Cliente'!V267</f>
        <v>0</v>
      </c>
      <c r="Y267" s="34">
        <f>'Dados - Cliente'!W267</f>
        <v>0</v>
      </c>
      <c r="Z267" s="34">
        <f>'Dados - Cliente'!X267</f>
        <v>0</v>
      </c>
      <c r="AA267" s="33" t="e">
        <f t="shared" si="23"/>
        <v>#N/A</v>
      </c>
      <c r="AB267" s="33">
        <f>'Dados - Cliente'!Y267</f>
        <v>0</v>
      </c>
      <c r="AC267" s="33">
        <f>'Dados - Cliente'!Z267</f>
        <v>0</v>
      </c>
      <c r="AD267" s="33">
        <f>'Dados - Cliente'!AA267</f>
        <v>0</v>
      </c>
      <c r="AE267" s="33">
        <f>'Dados - Cliente'!AB267</f>
        <v>0</v>
      </c>
      <c r="AF267" s="33">
        <f>'Dados - Cliente'!AC267</f>
        <v>0</v>
      </c>
      <c r="AG267" s="35">
        <f>'Dados - Cliente'!AD267</f>
        <v>0</v>
      </c>
      <c r="AH267" s="33" t="e">
        <f>INDEX('Dados - Placas'!$A:$A,MATCH('1'!AG267,'Dados - Placas'!$D:$D,0))</f>
        <v>#N/A</v>
      </c>
      <c r="AI267" s="35" t="e">
        <f>INDEX('Dados - Placas'!$E:$E,MATCH('1'!AG267,'Dados - Placas'!$D:$D,0))</f>
        <v>#N/A</v>
      </c>
      <c r="AJ267" s="34" t="e">
        <f>INDEX('Dados - Placas'!$F:$F,MATCH('1'!AG267,'Dados - Placas'!$D:$D,0))*AF267</f>
        <v>#N/A</v>
      </c>
      <c r="AK267" s="33">
        <f>'Dados - Cliente'!AE267</f>
        <v>0</v>
      </c>
      <c r="AL267" s="33">
        <f>'Dados - Cliente'!AF267</f>
        <v>0</v>
      </c>
      <c r="AM267" s="36" t="e">
        <f>INDEX('Dados - Inversores'!$A:$A,MATCH('1'!AL267,'Dados - Inversores'!$C:$C,0))</f>
        <v>#N/A</v>
      </c>
      <c r="AN267" s="33">
        <f>'Dados - Cliente'!AG267</f>
        <v>0</v>
      </c>
      <c r="AO267" s="33" t="e">
        <f>AA267*1.25/(0.22*SQRT(INDEX('Dados - Inversores'!AK:AK,MATCH('1'!AL267,'Dados - Inversores'!C:C,0))))</f>
        <v>#N/A</v>
      </c>
      <c r="AP267" s="34">
        <f>INDEX(Dados!$E$2:$E$33,COUNTIF(Dados!$E$2:$E$33,"&lt;="&amp;AN267*1.25/(INDEX('Dados - Inversores'!AL:AL,MATCH('1'!AL267,'Dados - Inversores'!C:C,0))*SQRT(INDEX('Dados - Inversores'!AK:AK,MATCH('1'!AL267,'Dados - Inversores'!C:C,0)))))+1)</f>
        <v>2</v>
      </c>
      <c r="AQ267" s="33" t="s">
        <v>59</v>
      </c>
      <c r="AR267" s="33" t="str">
        <f t="shared" si="24"/>
        <v>Micro</v>
      </c>
      <c r="AS267" s="33">
        <f>'Dados - Cliente'!AH267</f>
        <v>0</v>
      </c>
      <c r="AT267" s="33">
        <f>'Dados - Cliente'!AI267</f>
        <v>0</v>
      </c>
      <c r="AU267" s="33" t="e">
        <f>INDEX('Dados - Placas'!$N:$N,MATCH('1'!AG267,'Dados - Placas'!$D:$D,0))-1</f>
        <v>#N/A</v>
      </c>
      <c r="AV267" s="33" t="e">
        <f>INDEX('Dados - Placas'!$O:$O,MATCH('1'!AG267,'Dados - Placas'!$D:$D,0))</f>
        <v>#N/A</v>
      </c>
      <c r="AW267" s="33" t="e">
        <f>INDEX('Dados - Inversores'!AM:AM,MATCH('1'!AL267,'Dados - Inversores'!$C:$C,0))-1</f>
        <v>#N/A</v>
      </c>
      <c r="AX267" s="33" t="e">
        <f>INDEX('Dados - Inversores'!AN:AN,MATCH('1'!AL267,'Dados - Inversores'!$C:$C,0))-1</f>
        <v>#N/A</v>
      </c>
      <c r="AY267" s="33" t="e">
        <f>MATCH('1'!H267,Dados!$D$89:$D$167,0)+1</f>
        <v>#N/A</v>
      </c>
      <c r="AZ267" s="33" t="e">
        <f>MATCH('1'!N267,'Dados - Solicitação de acesso'!$N$2:$N$8,0)</f>
        <v>#N/A</v>
      </c>
      <c r="BA267" s="33" t="e">
        <f>MATCH('1'!T267,'Dados - Solicitação de acesso'!$T$2:$T$20,0)</f>
        <v>#N/A</v>
      </c>
    </row>
    <row r="268" spans="1:53" x14ac:dyDescent="0.35">
      <c r="A268" s="33">
        <f>'Dados - Cliente'!A268</f>
        <v>0</v>
      </c>
      <c r="B268" s="33">
        <f>'Dados - Cliente'!B268</f>
        <v>0</v>
      </c>
      <c r="C268" s="33">
        <f>'Dados - Cliente'!C268</f>
        <v>0</v>
      </c>
      <c r="D268" s="33">
        <f>'Dados - Cliente'!D268</f>
        <v>0</v>
      </c>
      <c r="E268" s="33">
        <f>'Dados - Cliente'!E268</f>
        <v>0</v>
      </c>
      <c r="F268" s="33">
        <f>'Dados - Cliente'!F268</f>
        <v>0</v>
      </c>
      <c r="G268" s="33">
        <f>'Dados - Cliente'!G268</f>
        <v>0</v>
      </c>
      <c r="H268" s="33">
        <f>'Dados - Cliente'!H268</f>
        <v>0</v>
      </c>
      <c r="I268" s="75" t="s">
        <v>4313</v>
      </c>
      <c r="J268" s="52" t="s">
        <v>4314</v>
      </c>
      <c r="K268" s="52" t="s">
        <v>4314</v>
      </c>
      <c r="L268" s="33">
        <f>'Dados - Cliente'!I268</f>
        <v>0</v>
      </c>
      <c r="M268" s="33">
        <f>'Dados - Cliente'!K268</f>
        <v>0</v>
      </c>
      <c r="N268" s="33">
        <f>'Dados - Cliente'!L268</f>
        <v>0</v>
      </c>
      <c r="O268" s="33">
        <f>'Dados - Cliente'!M268</f>
        <v>0</v>
      </c>
      <c r="P268" s="33">
        <f>'Dados - Cliente'!N268</f>
        <v>0</v>
      </c>
      <c r="Q268" s="33">
        <f>'Dados - Cliente'!O268</f>
        <v>0</v>
      </c>
      <c r="R268" s="33">
        <f>'Dados - Cliente'!P268</f>
        <v>0</v>
      </c>
      <c r="S268" s="33">
        <f>'Dados - Cliente'!Q268</f>
        <v>0</v>
      </c>
      <c r="T268" s="33">
        <f>'Dados - Cliente'!R268</f>
        <v>0</v>
      </c>
      <c r="U268" s="34">
        <f>'Dados - Cliente'!S268</f>
        <v>0</v>
      </c>
      <c r="V268" s="34">
        <f>'Dados - Cliente'!T268</f>
        <v>0</v>
      </c>
      <c r="W268" s="34">
        <f>'Dados - Cliente'!U268</f>
        <v>0</v>
      </c>
      <c r="X268" s="34">
        <f>'Dados - Cliente'!V268</f>
        <v>0</v>
      </c>
      <c r="Y268" s="34">
        <f>'Dados - Cliente'!W268</f>
        <v>0</v>
      </c>
      <c r="Z268" s="34">
        <f>'Dados - Cliente'!X268</f>
        <v>0</v>
      </c>
      <c r="AA268" s="33" t="e">
        <f t="shared" si="23"/>
        <v>#N/A</v>
      </c>
      <c r="AB268" s="33">
        <f>'Dados - Cliente'!Y268</f>
        <v>0</v>
      </c>
      <c r="AC268" s="33">
        <f>'Dados - Cliente'!Z268</f>
        <v>0</v>
      </c>
      <c r="AD268" s="33">
        <f>'Dados - Cliente'!AA268</f>
        <v>0</v>
      </c>
      <c r="AE268" s="33">
        <f>'Dados - Cliente'!AB268</f>
        <v>0</v>
      </c>
      <c r="AF268" s="33">
        <f>'Dados - Cliente'!AC268</f>
        <v>0</v>
      </c>
      <c r="AG268" s="35">
        <f>'Dados - Cliente'!AD268</f>
        <v>0</v>
      </c>
      <c r="AH268" s="33" t="e">
        <f>INDEX('Dados - Placas'!$A:$A,MATCH('1'!AG268,'Dados - Placas'!$D:$D,0))</f>
        <v>#N/A</v>
      </c>
      <c r="AI268" s="35" t="e">
        <f>INDEX('Dados - Placas'!$E:$E,MATCH('1'!AG268,'Dados - Placas'!$D:$D,0))</f>
        <v>#N/A</v>
      </c>
      <c r="AJ268" s="34" t="e">
        <f>INDEX('Dados - Placas'!$F:$F,MATCH('1'!AG268,'Dados - Placas'!$D:$D,0))*AF268</f>
        <v>#N/A</v>
      </c>
      <c r="AK268" s="33">
        <f>'Dados - Cliente'!AE268</f>
        <v>0</v>
      </c>
      <c r="AL268" s="33">
        <f>'Dados - Cliente'!AF268</f>
        <v>0</v>
      </c>
      <c r="AM268" s="36" t="e">
        <f>INDEX('Dados - Inversores'!$A:$A,MATCH('1'!AL268,'Dados - Inversores'!$C:$C,0))</f>
        <v>#N/A</v>
      </c>
      <c r="AN268" s="33">
        <f>'Dados - Cliente'!AG268</f>
        <v>0</v>
      </c>
      <c r="AO268" s="33" t="e">
        <f>AA268*1.25/(0.22*SQRT(INDEX('Dados - Inversores'!AK:AK,MATCH('1'!AL268,'Dados - Inversores'!C:C,0))))</f>
        <v>#N/A</v>
      </c>
      <c r="AP268" s="34">
        <f>INDEX(Dados!$E$2:$E$33,COUNTIF(Dados!$E$2:$E$33,"&lt;="&amp;AN268*1.25/(INDEX('Dados - Inversores'!AL:AL,MATCH('1'!AL268,'Dados - Inversores'!C:C,0))*SQRT(INDEX('Dados - Inversores'!AK:AK,MATCH('1'!AL268,'Dados - Inversores'!C:C,0)))))+1)</f>
        <v>2</v>
      </c>
      <c r="AQ268" s="33" t="s">
        <v>59</v>
      </c>
      <c r="AR268" s="33" t="str">
        <f t="shared" si="24"/>
        <v>Micro</v>
      </c>
      <c r="AS268" s="33">
        <f>'Dados - Cliente'!AH268</f>
        <v>0</v>
      </c>
      <c r="AT268" s="33">
        <f>'Dados - Cliente'!AI268</f>
        <v>0</v>
      </c>
      <c r="AU268" s="33" t="e">
        <f>INDEX('Dados - Placas'!$N:$N,MATCH('1'!AG268,'Dados - Placas'!$D:$D,0))-1</f>
        <v>#N/A</v>
      </c>
      <c r="AV268" s="33" t="e">
        <f>INDEX('Dados - Placas'!$O:$O,MATCH('1'!AG268,'Dados - Placas'!$D:$D,0))</f>
        <v>#N/A</v>
      </c>
      <c r="AW268" s="33" t="e">
        <f>INDEX('Dados - Inversores'!AM:AM,MATCH('1'!AL268,'Dados - Inversores'!$C:$C,0))-1</f>
        <v>#N/A</v>
      </c>
      <c r="AX268" s="33" t="e">
        <f>INDEX('Dados - Inversores'!AN:AN,MATCH('1'!AL268,'Dados - Inversores'!$C:$C,0))-1</f>
        <v>#N/A</v>
      </c>
      <c r="AY268" s="33" t="e">
        <f>MATCH('1'!H268,Dados!$D$89:$D$167,0)+1</f>
        <v>#N/A</v>
      </c>
      <c r="AZ268" s="33" t="e">
        <f>MATCH('1'!N268,'Dados - Solicitação de acesso'!$N$2:$N$8,0)</f>
        <v>#N/A</v>
      </c>
      <c r="BA268" s="33" t="e">
        <f>MATCH('1'!T268,'Dados - Solicitação de acesso'!$T$2:$T$20,0)</f>
        <v>#N/A</v>
      </c>
    </row>
    <row r="269" spans="1:53" x14ac:dyDescent="0.35">
      <c r="A269" s="33">
        <f>'Dados - Cliente'!A269</f>
        <v>0</v>
      </c>
      <c r="B269" s="33">
        <f>'Dados - Cliente'!B269</f>
        <v>0</v>
      </c>
      <c r="C269" s="33">
        <f>'Dados - Cliente'!C269</f>
        <v>0</v>
      </c>
      <c r="D269" s="33">
        <f>'Dados - Cliente'!D269</f>
        <v>0</v>
      </c>
      <c r="E269" s="33">
        <f>'Dados - Cliente'!E269</f>
        <v>0</v>
      </c>
      <c r="F269" s="33">
        <f>'Dados - Cliente'!F269</f>
        <v>0</v>
      </c>
      <c r="G269" s="33">
        <f>'Dados - Cliente'!G269</f>
        <v>0</v>
      </c>
      <c r="H269" s="33">
        <f>'Dados - Cliente'!H269</f>
        <v>0</v>
      </c>
      <c r="I269" s="75" t="s">
        <v>4313</v>
      </c>
      <c r="J269" s="52" t="s">
        <v>4314</v>
      </c>
      <c r="K269" s="52" t="s">
        <v>4314</v>
      </c>
      <c r="L269" s="33">
        <f>'Dados - Cliente'!I269</f>
        <v>0</v>
      </c>
      <c r="M269" s="33">
        <f>'Dados - Cliente'!K269</f>
        <v>0</v>
      </c>
      <c r="N269" s="33">
        <f>'Dados - Cliente'!L269</f>
        <v>0</v>
      </c>
      <c r="O269" s="33">
        <f>'Dados - Cliente'!M269</f>
        <v>0</v>
      </c>
      <c r="P269" s="33">
        <f>'Dados - Cliente'!N269</f>
        <v>0</v>
      </c>
      <c r="Q269" s="33">
        <f>'Dados - Cliente'!O269</f>
        <v>0</v>
      </c>
      <c r="R269" s="33">
        <f>'Dados - Cliente'!P269</f>
        <v>0</v>
      </c>
      <c r="S269" s="33">
        <f>'Dados - Cliente'!Q269</f>
        <v>0</v>
      </c>
      <c r="T269" s="33">
        <f>'Dados - Cliente'!R269</f>
        <v>0</v>
      </c>
      <c r="U269" s="34">
        <f>'Dados - Cliente'!S269</f>
        <v>0</v>
      </c>
      <c r="V269" s="34">
        <f>'Dados - Cliente'!T269</f>
        <v>0</v>
      </c>
      <c r="W269" s="34">
        <f>'Dados - Cliente'!U269</f>
        <v>0</v>
      </c>
      <c r="X269" s="34">
        <f>'Dados - Cliente'!V269</f>
        <v>0</v>
      </c>
      <c r="Y269" s="34">
        <f>'Dados - Cliente'!W269</f>
        <v>0</v>
      </c>
      <c r="Z269" s="34">
        <f>'Dados - Cliente'!X269</f>
        <v>0</v>
      </c>
      <c r="AA269" s="33" t="e">
        <f t="shared" si="23"/>
        <v>#N/A</v>
      </c>
      <c r="AB269" s="33">
        <f>'Dados - Cliente'!Y269</f>
        <v>0</v>
      </c>
      <c r="AC269" s="33">
        <f>'Dados - Cliente'!Z269</f>
        <v>0</v>
      </c>
      <c r="AD269" s="33">
        <f>'Dados - Cliente'!AA269</f>
        <v>0</v>
      </c>
      <c r="AE269" s="33">
        <f>'Dados - Cliente'!AB269</f>
        <v>0</v>
      </c>
      <c r="AF269" s="33">
        <f>'Dados - Cliente'!AC269</f>
        <v>0</v>
      </c>
      <c r="AG269" s="35">
        <f>'Dados - Cliente'!AD269</f>
        <v>0</v>
      </c>
      <c r="AH269" s="33" t="e">
        <f>INDEX('Dados - Placas'!$A:$A,MATCH('1'!AG269,'Dados - Placas'!$D:$D,0))</f>
        <v>#N/A</v>
      </c>
      <c r="AI269" s="35" t="e">
        <f>INDEX('Dados - Placas'!$E:$E,MATCH('1'!AG269,'Dados - Placas'!$D:$D,0))</f>
        <v>#N/A</v>
      </c>
      <c r="AJ269" s="34" t="e">
        <f>INDEX('Dados - Placas'!$F:$F,MATCH('1'!AG269,'Dados - Placas'!$D:$D,0))*AF269</f>
        <v>#N/A</v>
      </c>
      <c r="AK269" s="33">
        <f>'Dados - Cliente'!AE269</f>
        <v>0</v>
      </c>
      <c r="AL269" s="33">
        <f>'Dados - Cliente'!AF269</f>
        <v>0</v>
      </c>
      <c r="AM269" s="36" t="e">
        <f>INDEX('Dados - Inversores'!$A:$A,MATCH('1'!AL269,'Dados - Inversores'!$C:$C,0))</f>
        <v>#N/A</v>
      </c>
      <c r="AN269" s="33">
        <f>'Dados - Cliente'!AG269</f>
        <v>0</v>
      </c>
      <c r="AO269" s="33" t="e">
        <f>AA269*1.25/(0.22*SQRT(INDEX('Dados - Inversores'!AK:AK,MATCH('1'!AL269,'Dados - Inversores'!C:C,0))))</f>
        <v>#N/A</v>
      </c>
      <c r="AP269" s="34">
        <f>INDEX(Dados!$E$2:$E$33,COUNTIF(Dados!$E$2:$E$33,"&lt;="&amp;AN269*1.25/(INDEX('Dados - Inversores'!AL:AL,MATCH('1'!AL269,'Dados - Inversores'!C:C,0))*SQRT(INDEX('Dados - Inversores'!AK:AK,MATCH('1'!AL269,'Dados - Inversores'!C:C,0)))))+1)</f>
        <v>2</v>
      </c>
      <c r="AQ269" s="33" t="s">
        <v>59</v>
      </c>
      <c r="AR269" s="33" t="str">
        <f t="shared" si="24"/>
        <v>Micro</v>
      </c>
      <c r="AS269" s="33">
        <f>'Dados - Cliente'!AH269</f>
        <v>0</v>
      </c>
      <c r="AT269" s="33">
        <f>'Dados - Cliente'!AI269</f>
        <v>0</v>
      </c>
      <c r="AU269" s="33" t="e">
        <f>INDEX('Dados - Placas'!$N:$N,MATCH('1'!AG269,'Dados - Placas'!$D:$D,0))-1</f>
        <v>#N/A</v>
      </c>
      <c r="AV269" s="33" t="e">
        <f>INDEX('Dados - Placas'!$O:$O,MATCH('1'!AG269,'Dados - Placas'!$D:$D,0))</f>
        <v>#N/A</v>
      </c>
      <c r="AW269" s="33" t="e">
        <f>INDEX('Dados - Inversores'!AM:AM,MATCH('1'!AL269,'Dados - Inversores'!$C:$C,0))-1</f>
        <v>#N/A</v>
      </c>
      <c r="AX269" s="33" t="e">
        <f>INDEX('Dados - Inversores'!AN:AN,MATCH('1'!AL269,'Dados - Inversores'!$C:$C,0))-1</f>
        <v>#N/A</v>
      </c>
      <c r="AY269" s="33" t="e">
        <f>MATCH('1'!H269,Dados!$D$89:$D$167,0)+1</f>
        <v>#N/A</v>
      </c>
      <c r="AZ269" s="33" t="e">
        <f>MATCH('1'!N269,'Dados - Solicitação de acesso'!$N$2:$N$8,0)</f>
        <v>#N/A</v>
      </c>
      <c r="BA269" s="33" t="e">
        <f>MATCH('1'!T269,'Dados - Solicitação de acesso'!$T$2:$T$20,0)</f>
        <v>#N/A</v>
      </c>
    </row>
    <row r="270" spans="1:53" x14ac:dyDescent="0.35">
      <c r="A270" s="33">
        <f>'Dados - Cliente'!A270</f>
        <v>0</v>
      </c>
      <c r="B270" s="33">
        <f>'Dados - Cliente'!B270</f>
        <v>0</v>
      </c>
      <c r="C270" s="33">
        <f>'Dados - Cliente'!C270</f>
        <v>0</v>
      </c>
      <c r="D270" s="33">
        <f>'Dados - Cliente'!D270</f>
        <v>0</v>
      </c>
      <c r="E270" s="33">
        <f>'Dados - Cliente'!E270</f>
        <v>0</v>
      </c>
      <c r="F270" s="33">
        <f>'Dados - Cliente'!F270</f>
        <v>0</v>
      </c>
      <c r="G270" s="33">
        <f>'Dados - Cliente'!G270</f>
        <v>0</v>
      </c>
      <c r="H270" s="33">
        <f>'Dados - Cliente'!H270</f>
        <v>0</v>
      </c>
      <c r="I270" s="75" t="s">
        <v>4313</v>
      </c>
      <c r="J270" s="52" t="s">
        <v>4314</v>
      </c>
      <c r="K270" s="52" t="s">
        <v>4314</v>
      </c>
      <c r="L270" s="33">
        <f>'Dados - Cliente'!I270</f>
        <v>0</v>
      </c>
      <c r="M270" s="33">
        <f>'Dados - Cliente'!K270</f>
        <v>0</v>
      </c>
      <c r="N270" s="33">
        <f>'Dados - Cliente'!L270</f>
        <v>0</v>
      </c>
      <c r="O270" s="33">
        <f>'Dados - Cliente'!M270</f>
        <v>0</v>
      </c>
      <c r="P270" s="33">
        <f>'Dados - Cliente'!N270</f>
        <v>0</v>
      </c>
      <c r="Q270" s="33">
        <f>'Dados - Cliente'!O270</f>
        <v>0</v>
      </c>
      <c r="R270" s="33">
        <f>'Dados - Cliente'!P270</f>
        <v>0</v>
      </c>
      <c r="S270" s="33">
        <f>'Dados - Cliente'!Q270</f>
        <v>0</v>
      </c>
      <c r="T270" s="33">
        <f>'Dados - Cliente'!R270</f>
        <v>0</v>
      </c>
      <c r="U270" s="34">
        <f>'Dados - Cliente'!S270</f>
        <v>0</v>
      </c>
      <c r="V270" s="34">
        <f>'Dados - Cliente'!T270</f>
        <v>0</v>
      </c>
      <c r="W270" s="34">
        <f>'Dados - Cliente'!U270</f>
        <v>0</v>
      </c>
      <c r="X270" s="34">
        <f>'Dados - Cliente'!V270</f>
        <v>0</v>
      </c>
      <c r="Y270" s="34">
        <f>'Dados - Cliente'!W270</f>
        <v>0</v>
      </c>
      <c r="Z270" s="34">
        <f>'Dados - Cliente'!X270</f>
        <v>0</v>
      </c>
      <c r="AA270" s="33" t="e">
        <f t="shared" si="23"/>
        <v>#N/A</v>
      </c>
      <c r="AB270" s="33">
        <f>'Dados - Cliente'!Y270</f>
        <v>0</v>
      </c>
      <c r="AC270" s="33">
        <f>'Dados - Cliente'!Z270</f>
        <v>0</v>
      </c>
      <c r="AD270" s="33">
        <f>'Dados - Cliente'!AA270</f>
        <v>0</v>
      </c>
      <c r="AE270" s="33">
        <f>'Dados - Cliente'!AB270</f>
        <v>0</v>
      </c>
      <c r="AF270" s="33">
        <f>'Dados - Cliente'!AC270</f>
        <v>0</v>
      </c>
      <c r="AG270" s="35">
        <f>'Dados - Cliente'!AD270</f>
        <v>0</v>
      </c>
      <c r="AH270" s="33" t="e">
        <f>INDEX('Dados - Placas'!$A:$A,MATCH('1'!AG270,'Dados - Placas'!$D:$D,0))</f>
        <v>#N/A</v>
      </c>
      <c r="AI270" s="35" t="e">
        <f>INDEX('Dados - Placas'!$E:$E,MATCH('1'!AG270,'Dados - Placas'!$D:$D,0))</f>
        <v>#N/A</v>
      </c>
      <c r="AJ270" s="34" t="e">
        <f>INDEX('Dados - Placas'!$F:$F,MATCH('1'!AG270,'Dados - Placas'!$D:$D,0))*AF270</f>
        <v>#N/A</v>
      </c>
      <c r="AK270" s="33">
        <f>'Dados - Cliente'!AE270</f>
        <v>0</v>
      </c>
      <c r="AL270" s="33">
        <f>'Dados - Cliente'!AF270</f>
        <v>0</v>
      </c>
      <c r="AM270" s="36" t="e">
        <f>INDEX('Dados - Inversores'!$A:$A,MATCH('1'!AL270,'Dados - Inversores'!$C:$C,0))</f>
        <v>#N/A</v>
      </c>
      <c r="AN270" s="33">
        <f>'Dados - Cliente'!AG270</f>
        <v>0</v>
      </c>
      <c r="AO270" s="33" t="e">
        <f>AA270*1.25/(0.22*SQRT(INDEX('Dados - Inversores'!AK:AK,MATCH('1'!AL270,'Dados - Inversores'!C:C,0))))</f>
        <v>#N/A</v>
      </c>
      <c r="AP270" s="34">
        <f>INDEX(Dados!$E$2:$E$33,COUNTIF(Dados!$E$2:$E$33,"&lt;="&amp;AN270*1.25/(INDEX('Dados - Inversores'!AL:AL,MATCH('1'!AL270,'Dados - Inversores'!C:C,0))*SQRT(INDEX('Dados - Inversores'!AK:AK,MATCH('1'!AL270,'Dados - Inversores'!C:C,0)))))+1)</f>
        <v>2</v>
      </c>
      <c r="AQ270" s="33" t="s">
        <v>59</v>
      </c>
      <c r="AR270" s="33" t="str">
        <f t="shared" si="24"/>
        <v>Micro</v>
      </c>
      <c r="AS270" s="33">
        <f>'Dados - Cliente'!AH270</f>
        <v>0</v>
      </c>
      <c r="AT270" s="33">
        <f>'Dados - Cliente'!AI270</f>
        <v>0</v>
      </c>
      <c r="AU270" s="33" t="e">
        <f>INDEX('Dados - Placas'!$N:$N,MATCH('1'!AG270,'Dados - Placas'!$D:$D,0))-1</f>
        <v>#N/A</v>
      </c>
      <c r="AV270" s="33" t="e">
        <f>INDEX('Dados - Placas'!$O:$O,MATCH('1'!AG270,'Dados - Placas'!$D:$D,0))</f>
        <v>#N/A</v>
      </c>
      <c r="AW270" s="33" t="e">
        <f>INDEX('Dados - Inversores'!AM:AM,MATCH('1'!AL270,'Dados - Inversores'!$C:$C,0))-1</f>
        <v>#N/A</v>
      </c>
      <c r="AX270" s="33" t="e">
        <f>INDEX('Dados - Inversores'!AN:AN,MATCH('1'!AL270,'Dados - Inversores'!$C:$C,0))-1</f>
        <v>#N/A</v>
      </c>
      <c r="AY270" s="33" t="e">
        <f>MATCH('1'!H270,Dados!$D$89:$D$167,0)+1</f>
        <v>#N/A</v>
      </c>
      <c r="AZ270" s="33" t="e">
        <f>MATCH('1'!N270,'Dados - Solicitação de acesso'!$N$2:$N$8,0)</f>
        <v>#N/A</v>
      </c>
      <c r="BA270" s="33" t="e">
        <f>MATCH('1'!T270,'Dados - Solicitação de acesso'!$T$2:$T$20,0)</f>
        <v>#N/A</v>
      </c>
    </row>
    <row r="271" spans="1:53" x14ac:dyDescent="0.35">
      <c r="A271" s="33">
        <f>'Dados - Cliente'!A271</f>
        <v>0</v>
      </c>
      <c r="B271" s="33">
        <f>'Dados - Cliente'!B271</f>
        <v>0</v>
      </c>
      <c r="C271" s="33">
        <f>'Dados - Cliente'!C271</f>
        <v>0</v>
      </c>
      <c r="D271" s="33">
        <f>'Dados - Cliente'!D271</f>
        <v>0</v>
      </c>
      <c r="E271" s="33">
        <f>'Dados - Cliente'!E271</f>
        <v>0</v>
      </c>
      <c r="F271" s="33">
        <f>'Dados - Cliente'!F271</f>
        <v>0</v>
      </c>
      <c r="G271" s="33">
        <f>'Dados - Cliente'!G271</f>
        <v>0</v>
      </c>
      <c r="H271" s="33">
        <f>'Dados - Cliente'!H271</f>
        <v>0</v>
      </c>
      <c r="I271" s="75" t="s">
        <v>4313</v>
      </c>
      <c r="J271" s="52" t="s">
        <v>4314</v>
      </c>
      <c r="K271" s="52" t="s">
        <v>4314</v>
      </c>
      <c r="L271" s="33">
        <f>'Dados - Cliente'!I271</f>
        <v>0</v>
      </c>
      <c r="M271" s="33">
        <f>'Dados - Cliente'!K271</f>
        <v>0</v>
      </c>
      <c r="N271" s="33">
        <f>'Dados - Cliente'!L271</f>
        <v>0</v>
      </c>
      <c r="O271" s="33">
        <f>'Dados - Cliente'!M271</f>
        <v>0</v>
      </c>
      <c r="P271" s="33">
        <f>'Dados - Cliente'!N271</f>
        <v>0</v>
      </c>
      <c r="Q271" s="33">
        <f>'Dados - Cliente'!O271</f>
        <v>0</v>
      </c>
      <c r="R271" s="33">
        <f>'Dados - Cliente'!P271</f>
        <v>0</v>
      </c>
      <c r="S271" s="33">
        <f>'Dados - Cliente'!Q271</f>
        <v>0</v>
      </c>
      <c r="T271" s="33">
        <f>'Dados - Cliente'!R271</f>
        <v>0</v>
      </c>
      <c r="U271" s="34">
        <f>'Dados - Cliente'!S271</f>
        <v>0</v>
      </c>
      <c r="V271" s="34">
        <f>'Dados - Cliente'!T271</f>
        <v>0</v>
      </c>
      <c r="W271" s="34">
        <f>'Dados - Cliente'!U271</f>
        <v>0</v>
      </c>
      <c r="X271" s="34">
        <f>'Dados - Cliente'!V271</f>
        <v>0</v>
      </c>
      <c r="Y271" s="34">
        <f>'Dados - Cliente'!W271</f>
        <v>0</v>
      </c>
      <c r="Z271" s="34">
        <f>'Dados - Cliente'!X271</f>
        <v>0</v>
      </c>
      <c r="AA271" s="33" t="e">
        <f t="shared" si="23"/>
        <v>#N/A</v>
      </c>
      <c r="AB271" s="33">
        <f>'Dados - Cliente'!Y271</f>
        <v>0</v>
      </c>
      <c r="AC271" s="33">
        <f>'Dados - Cliente'!Z271</f>
        <v>0</v>
      </c>
      <c r="AD271" s="33">
        <f>'Dados - Cliente'!AA271</f>
        <v>0</v>
      </c>
      <c r="AE271" s="33">
        <f>'Dados - Cliente'!AB271</f>
        <v>0</v>
      </c>
      <c r="AF271" s="33">
        <f>'Dados - Cliente'!AC271</f>
        <v>0</v>
      </c>
      <c r="AG271" s="35">
        <f>'Dados - Cliente'!AD271</f>
        <v>0</v>
      </c>
      <c r="AH271" s="33" t="e">
        <f>INDEX('Dados - Placas'!$A:$A,MATCH('1'!AG271,'Dados - Placas'!$D:$D,0))</f>
        <v>#N/A</v>
      </c>
      <c r="AI271" s="35" t="e">
        <f>INDEX('Dados - Placas'!$E:$E,MATCH('1'!AG271,'Dados - Placas'!$D:$D,0))</f>
        <v>#N/A</v>
      </c>
      <c r="AJ271" s="34" t="e">
        <f>INDEX('Dados - Placas'!$F:$F,MATCH('1'!AG271,'Dados - Placas'!$D:$D,0))*AF271</f>
        <v>#N/A</v>
      </c>
      <c r="AK271" s="33">
        <f>'Dados - Cliente'!AE271</f>
        <v>0</v>
      </c>
      <c r="AL271" s="33">
        <f>'Dados - Cliente'!AF271</f>
        <v>0</v>
      </c>
      <c r="AM271" s="36" t="e">
        <f>INDEX('Dados - Inversores'!$A:$A,MATCH('1'!AL271,'Dados - Inversores'!$C:$C,0))</f>
        <v>#N/A</v>
      </c>
      <c r="AN271" s="33">
        <f>'Dados - Cliente'!AG271</f>
        <v>0</v>
      </c>
      <c r="AO271" s="33" t="e">
        <f>AA271*1.25/(0.22*SQRT(INDEX('Dados - Inversores'!AK:AK,MATCH('1'!AL271,'Dados - Inversores'!C:C,0))))</f>
        <v>#N/A</v>
      </c>
      <c r="AP271" s="34">
        <f>INDEX(Dados!$E$2:$E$33,COUNTIF(Dados!$E$2:$E$33,"&lt;="&amp;AN271*1.25/(INDEX('Dados - Inversores'!AL:AL,MATCH('1'!AL271,'Dados - Inversores'!C:C,0))*SQRT(INDEX('Dados - Inversores'!AK:AK,MATCH('1'!AL271,'Dados - Inversores'!C:C,0)))))+1)</f>
        <v>2</v>
      </c>
      <c r="AQ271" s="33" t="s">
        <v>59</v>
      </c>
      <c r="AR271" s="33" t="str">
        <f t="shared" si="24"/>
        <v>Micro</v>
      </c>
      <c r="AS271" s="33">
        <f>'Dados - Cliente'!AH271</f>
        <v>0</v>
      </c>
      <c r="AT271" s="33">
        <f>'Dados - Cliente'!AI271</f>
        <v>0</v>
      </c>
      <c r="AU271" s="33" t="e">
        <f>INDEX('Dados - Placas'!$N:$N,MATCH('1'!AG271,'Dados - Placas'!$D:$D,0))-1</f>
        <v>#N/A</v>
      </c>
      <c r="AV271" s="33" t="e">
        <f>INDEX('Dados - Placas'!$O:$O,MATCH('1'!AG271,'Dados - Placas'!$D:$D,0))</f>
        <v>#N/A</v>
      </c>
      <c r="AW271" s="33" t="e">
        <f>INDEX('Dados - Inversores'!AM:AM,MATCH('1'!AL271,'Dados - Inversores'!$C:$C,0))-1</f>
        <v>#N/A</v>
      </c>
      <c r="AX271" s="33" t="e">
        <f>INDEX('Dados - Inversores'!AN:AN,MATCH('1'!AL271,'Dados - Inversores'!$C:$C,0))-1</f>
        <v>#N/A</v>
      </c>
      <c r="AY271" s="33" t="e">
        <f>MATCH('1'!H271,Dados!$D$89:$D$167,0)+1</f>
        <v>#N/A</v>
      </c>
      <c r="AZ271" s="33" t="e">
        <f>MATCH('1'!N271,'Dados - Solicitação de acesso'!$N$2:$N$8,0)</f>
        <v>#N/A</v>
      </c>
      <c r="BA271" s="33" t="e">
        <f>MATCH('1'!T271,'Dados - Solicitação de acesso'!$T$2:$T$20,0)</f>
        <v>#N/A</v>
      </c>
    </row>
    <row r="272" spans="1:53" x14ac:dyDescent="0.35">
      <c r="A272" s="33">
        <f>'Dados - Cliente'!A272</f>
        <v>0</v>
      </c>
      <c r="B272" s="33">
        <f>'Dados - Cliente'!B272</f>
        <v>0</v>
      </c>
      <c r="C272" s="33">
        <f>'Dados - Cliente'!C272</f>
        <v>0</v>
      </c>
      <c r="D272" s="33">
        <f>'Dados - Cliente'!D272</f>
        <v>0</v>
      </c>
      <c r="E272" s="33">
        <f>'Dados - Cliente'!E272</f>
        <v>0</v>
      </c>
      <c r="F272" s="33">
        <f>'Dados - Cliente'!F272</f>
        <v>0</v>
      </c>
      <c r="G272" s="33">
        <f>'Dados - Cliente'!G272</f>
        <v>0</v>
      </c>
      <c r="H272" s="33">
        <f>'Dados - Cliente'!H272</f>
        <v>0</v>
      </c>
      <c r="I272" s="75" t="s">
        <v>4313</v>
      </c>
      <c r="J272" s="52" t="s">
        <v>4314</v>
      </c>
      <c r="K272" s="52" t="s">
        <v>4314</v>
      </c>
      <c r="L272" s="33">
        <f>'Dados - Cliente'!I272</f>
        <v>0</v>
      </c>
      <c r="M272" s="33">
        <f>'Dados - Cliente'!K272</f>
        <v>0</v>
      </c>
      <c r="N272" s="33">
        <f>'Dados - Cliente'!L272</f>
        <v>0</v>
      </c>
      <c r="O272" s="33">
        <f>'Dados - Cliente'!M272</f>
        <v>0</v>
      </c>
      <c r="P272" s="33">
        <f>'Dados - Cliente'!N272</f>
        <v>0</v>
      </c>
      <c r="Q272" s="33">
        <f>'Dados - Cliente'!O272</f>
        <v>0</v>
      </c>
      <c r="R272" s="33">
        <f>'Dados - Cliente'!P272</f>
        <v>0</v>
      </c>
      <c r="S272" s="33">
        <f>'Dados - Cliente'!Q272</f>
        <v>0</v>
      </c>
      <c r="T272" s="33">
        <f>'Dados - Cliente'!R272</f>
        <v>0</v>
      </c>
      <c r="U272" s="34">
        <f>'Dados - Cliente'!S272</f>
        <v>0</v>
      </c>
      <c r="V272" s="34">
        <f>'Dados - Cliente'!T272</f>
        <v>0</v>
      </c>
      <c r="W272" s="34">
        <f>'Dados - Cliente'!U272</f>
        <v>0</v>
      </c>
      <c r="X272" s="34">
        <f>'Dados - Cliente'!V272</f>
        <v>0</v>
      </c>
      <c r="Y272" s="34">
        <f>'Dados - Cliente'!W272</f>
        <v>0</v>
      </c>
      <c r="Z272" s="34">
        <f>'Dados - Cliente'!X272</f>
        <v>0</v>
      </c>
      <c r="AA272" s="33" t="e">
        <f t="shared" si="23"/>
        <v>#N/A</v>
      </c>
      <c r="AB272" s="33">
        <f>'Dados - Cliente'!Y272</f>
        <v>0</v>
      </c>
      <c r="AC272" s="33">
        <f>'Dados - Cliente'!Z272</f>
        <v>0</v>
      </c>
      <c r="AD272" s="33">
        <f>'Dados - Cliente'!AA272</f>
        <v>0</v>
      </c>
      <c r="AE272" s="33">
        <f>'Dados - Cliente'!AB272</f>
        <v>0</v>
      </c>
      <c r="AF272" s="33">
        <f>'Dados - Cliente'!AC272</f>
        <v>0</v>
      </c>
      <c r="AG272" s="35">
        <f>'Dados - Cliente'!AD272</f>
        <v>0</v>
      </c>
      <c r="AH272" s="33" t="e">
        <f>INDEX('Dados - Placas'!$A:$A,MATCH('1'!AG272,'Dados - Placas'!$D:$D,0))</f>
        <v>#N/A</v>
      </c>
      <c r="AI272" s="35" t="e">
        <f>INDEX('Dados - Placas'!$E:$E,MATCH('1'!AG272,'Dados - Placas'!$D:$D,0))</f>
        <v>#N/A</v>
      </c>
      <c r="AJ272" s="34" t="e">
        <f>INDEX('Dados - Placas'!$F:$F,MATCH('1'!AG272,'Dados - Placas'!$D:$D,0))*AF272</f>
        <v>#N/A</v>
      </c>
      <c r="AK272" s="33">
        <f>'Dados - Cliente'!AE272</f>
        <v>0</v>
      </c>
      <c r="AL272" s="33">
        <f>'Dados - Cliente'!AF272</f>
        <v>0</v>
      </c>
      <c r="AM272" s="36" t="e">
        <f>INDEX('Dados - Inversores'!$A:$A,MATCH('1'!AL272,'Dados - Inversores'!$C:$C,0))</f>
        <v>#N/A</v>
      </c>
      <c r="AN272" s="33">
        <f>'Dados - Cliente'!AG272</f>
        <v>0</v>
      </c>
      <c r="AO272" s="33" t="e">
        <f>AA272*1.25/(0.22*SQRT(INDEX('Dados - Inversores'!AK:AK,MATCH('1'!AL272,'Dados - Inversores'!C:C,0))))</f>
        <v>#N/A</v>
      </c>
      <c r="AP272" s="34">
        <f>INDEX(Dados!$E$2:$E$33,COUNTIF(Dados!$E$2:$E$33,"&lt;="&amp;AN272*1.25/(INDEX('Dados - Inversores'!AL:AL,MATCH('1'!AL272,'Dados - Inversores'!C:C,0))*SQRT(INDEX('Dados - Inversores'!AK:AK,MATCH('1'!AL272,'Dados - Inversores'!C:C,0)))))+1)</f>
        <v>2</v>
      </c>
      <c r="AQ272" s="33" t="s">
        <v>59</v>
      </c>
      <c r="AR272" s="33" t="str">
        <f t="shared" si="24"/>
        <v>Micro</v>
      </c>
      <c r="AS272" s="33">
        <f>'Dados - Cliente'!AH272</f>
        <v>0</v>
      </c>
      <c r="AT272" s="33">
        <f>'Dados - Cliente'!AI272</f>
        <v>0</v>
      </c>
      <c r="AU272" s="33" t="e">
        <f>INDEX('Dados - Placas'!$N:$N,MATCH('1'!AG272,'Dados - Placas'!$D:$D,0))-1</f>
        <v>#N/A</v>
      </c>
      <c r="AV272" s="33" t="e">
        <f>INDEX('Dados - Placas'!$O:$O,MATCH('1'!AG272,'Dados - Placas'!$D:$D,0))</f>
        <v>#N/A</v>
      </c>
      <c r="AW272" s="33" t="e">
        <f>INDEX('Dados - Inversores'!AM:AM,MATCH('1'!AL272,'Dados - Inversores'!$C:$C,0))-1</f>
        <v>#N/A</v>
      </c>
      <c r="AX272" s="33" t="e">
        <f>INDEX('Dados - Inversores'!AN:AN,MATCH('1'!AL272,'Dados - Inversores'!$C:$C,0))-1</f>
        <v>#N/A</v>
      </c>
      <c r="AY272" s="33" t="e">
        <f>MATCH('1'!H272,Dados!$D$89:$D$167,0)+1</f>
        <v>#N/A</v>
      </c>
      <c r="AZ272" s="33" t="e">
        <f>MATCH('1'!N272,'Dados - Solicitação de acesso'!$N$2:$N$8,0)</f>
        <v>#N/A</v>
      </c>
      <c r="BA272" s="33" t="e">
        <f>MATCH('1'!T272,'Dados - Solicitação de acesso'!$T$2:$T$20,0)</f>
        <v>#N/A</v>
      </c>
    </row>
    <row r="273" spans="1:53" x14ac:dyDescent="0.35">
      <c r="A273" s="33">
        <f>'Dados - Cliente'!A273</f>
        <v>0</v>
      </c>
      <c r="B273" s="33">
        <f>'Dados - Cliente'!B273</f>
        <v>0</v>
      </c>
      <c r="C273" s="33">
        <f>'Dados - Cliente'!C273</f>
        <v>0</v>
      </c>
      <c r="D273" s="33">
        <f>'Dados - Cliente'!D273</f>
        <v>0</v>
      </c>
      <c r="E273" s="33">
        <f>'Dados - Cliente'!E273</f>
        <v>0</v>
      </c>
      <c r="F273" s="33">
        <f>'Dados - Cliente'!F273</f>
        <v>0</v>
      </c>
      <c r="G273" s="33">
        <f>'Dados - Cliente'!G273</f>
        <v>0</v>
      </c>
      <c r="H273" s="33">
        <f>'Dados - Cliente'!H273</f>
        <v>0</v>
      </c>
      <c r="I273" s="75" t="s">
        <v>4313</v>
      </c>
      <c r="J273" s="52" t="s">
        <v>4314</v>
      </c>
      <c r="K273" s="52" t="s">
        <v>4314</v>
      </c>
      <c r="L273" s="33">
        <f>'Dados - Cliente'!I273</f>
        <v>0</v>
      </c>
      <c r="M273" s="33">
        <f>'Dados - Cliente'!K273</f>
        <v>0</v>
      </c>
      <c r="N273" s="33">
        <f>'Dados - Cliente'!L273</f>
        <v>0</v>
      </c>
      <c r="O273" s="33">
        <f>'Dados - Cliente'!M273</f>
        <v>0</v>
      </c>
      <c r="P273" s="33">
        <f>'Dados - Cliente'!N273</f>
        <v>0</v>
      </c>
      <c r="Q273" s="33">
        <f>'Dados - Cliente'!O273</f>
        <v>0</v>
      </c>
      <c r="R273" s="33">
        <f>'Dados - Cliente'!P273</f>
        <v>0</v>
      </c>
      <c r="S273" s="33">
        <f>'Dados - Cliente'!Q273</f>
        <v>0</v>
      </c>
      <c r="T273" s="33">
        <f>'Dados - Cliente'!R273</f>
        <v>0</v>
      </c>
      <c r="U273" s="34">
        <f>'Dados - Cliente'!S273</f>
        <v>0</v>
      </c>
      <c r="V273" s="34">
        <f>'Dados - Cliente'!T273</f>
        <v>0</v>
      </c>
      <c r="W273" s="34">
        <f>'Dados - Cliente'!U273</f>
        <v>0</v>
      </c>
      <c r="X273" s="34">
        <f>'Dados - Cliente'!V273</f>
        <v>0</v>
      </c>
      <c r="Y273" s="34">
        <f>'Dados - Cliente'!W273</f>
        <v>0</v>
      </c>
      <c r="Z273" s="34">
        <f>'Dados - Cliente'!X273</f>
        <v>0</v>
      </c>
      <c r="AA273" s="33" t="e">
        <f t="shared" si="23"/>
        <v>#N/A</v>
      </c>
      <c r="AB273" s="33">
        <f>'Dados - Cliente'!Y273</f>
        <v>0</v>
      </c>
      <c r="AC273" s="33">
        <f>'Dados - Cliente'!Z273</f>
        <v>0</v>
      </c>
      <c r="AD273" s="33">
        <f>'Dados - Cliente'!AA273</f>
        <v>0</v>
      </c>
      <c r="AE273" s="33">
        <f>'Dados - Cliente'!AB273</f>
        <v>0</v>
      </c>
      <c r="AF273" s="33">
        <f>'Dados - Cliente'!AC273</f>
        <v>0</v>
      </c>
      <c r="AG273" s="35">
        <f>'Dados - Cliente'!AD273</f>
        <v>0</v>
      </c>
      <c r="AH273" s="33" t="e">
        <f>INDEX('Dados - Placas'!$A:$A,MATCH('1'!AG273,'Dados - Placas'!$D:$D,0))</f>
        <v>#N/A</v>
      </c>
      <c r="AI273" s="35" t="e">
        <f>INDEX('Dados - Placas'!$E:$E,MATCH('1'!AG273,'Dados - Placas'!$D:$D,0))</f>
        <v>#N/A</v>
      </c>
      <c r="AJ273" s="34" t="e">
        <f>INDEX('Dados - Placas'!$F:$F,MATCH('1'!AG273,'Dados - Placas'!$D:$D,0))*AF273</f>
        <v>#N/A</v>
      </c>
      <c r="AK273" s="33">
        <f>'Dados - Cliente'!AE273</f>
        <v>0</v>
      </c>
      <c r="AL273" s="33">
        <f>'Dados - Cliente'!AF273</f>
        <v>0</v>
      </c>
      <c r="AM273" s="36" t="e">
        <f>INDEX('Dados - Inversores'!$A:$A,MATCH('1'!AL273,'Dados - Inversores'!$C:$C,0))</f>
        <v>#N/A</v>
      </c>
      <c r="AN273" s="33">
        <f>'Dados - Cliente'!AG273</f>
        <v>0</v>
      </c>
      <c r="AO273" s="33" t="e">
        <f>AA273*1.25/(0.22*SQRT(INDEX('Dados - Inversores'!AK:AK,MATCH('1'!AL273,'Dados - Inversores'!C:C,0))))</f>
        <v>#N/A</v>
      </c>
      <c r="AP273" s="34">
        <f>INDEX(Dados!$E$2:$E$33,COUNTIF(Dados!$E$2:$E$33,"&lt;="&amp;AN273*1.25/(INDEX('Dados - Inversores'!AL:AL,MATCH('1'!AL273,'Dados - Inversores'!C:C,0))*SQRT(INDEX('Dados - Inversores'!AK:AK,MATCH('1'!AL273,'Dados - Inversores'!C:C,0)))))+1)</f>
        <v>2</v>
      </c>
      <c r="AQ273" s="33" t="s">
        <v>59</v>
      </c>
      <c r="AR273" s="33" t="str">
        <f t="shared" si="24"/>
        <v>Micro</v>
      </c>
      <c r="AS273" s="33">
        <f>'Dados - Cliente'!AH273</f>
        <v>0</v>
      </c>
      <c r="AT273" s="33">
        <f>'Dados - Cliente'!AI273</f>
        <v>0</v>
      </c>
      <c r="AU273" s="33" t="e">
        <f>INDEX('Dados - Placas'!$N:$N,MATCH('1'!AG273,'Dados - Placas'!$D:$D,0))-1</f>
        <v>#N/A</v>
      </c>
      <c r="AV273" s="33" t="e">
        <f>INDEX('Dados - Placas'!$O:$O,MATCH('1'!AG273,'Dados - Placas'!$D:$D,0))</f>
        <v>#N/A</v>
      </c>
      <c r="AW273" s="33" t="e">
        <f>INDEX('Dados - Inversores'!AM:AM,MATCH('1'!AL273,'Dados - Inversores'!$C:$C,0))-1</f>
        <v>#N/A</v>
      </c>
      <c r="AX273" s="33" t="e">
        <f>INDEX('Dados - Inversores'!AN:AN,MATCH('1'!AL273,'Dados - Inversores'!$C:$C,0))-1</f>
        <v>#N/A</v>
      </c>
      <c r="AY273" s="33" t="e">
        <f>MATCH('1'!H273,Dados!$D$89:$D$167,0)+1</f>
        <v>#N/A</v>
      </c>
      <c r="AZ273" s="33" t="e">
        <f>MATCH('1'!N273,'Dados - Solicitação de acesso'!$N$2:$N$8,0)</f>
        <v>#N/A</v>
      </c>
      <c r="BA273" s="33" t="e">
        <f>MATCH('1'!T273,'Dados - Solicitação de acesso'!$T$2:$T$20,0)</f>
        <v>#N/A</v>
      </c>
    </row>
    <row r="274" spans="1:53" x14ac:dyDescent="0.35">
      <c r="A274" s="33">
        <f>'Dados - Cliente'!A274</f>
        <v>0</v>
      </c>
      <c r="B274" s="33">
        <f>'Dados - Cliente'!B274</f>
        <v>0</v>
      </c>
      <c r="C274" s="33">
        <f>'Dados - Cliente'!C274</f>
        <v>0</v>
      </c>
      <c r="D274" s="33">
        <f>'Dados - Cliente'!D274</f>
        <v>0</v>
      </c>
      <c r="E274" s="33">
        <f>'Dados - Cliente'!E274</f>
        <v>0</v>
      </c>
      <c r="F274" s="33">
        <f>'Dados - Cliente'!F274</f>
        <v>0</v>
      </c>
      <c r="G274" s="33">
        <f>'Dados - Cliente'!G274</f>
        <v>0</v>
      </c>
      <c r="H274" s="33">
        <f>'Dados - Cliente'!H274</f>
        <v>0</v>
      </c>
      <c r="I274" s="75" t="s">
        <v>4313</v>
      </c>
      <c r="J274" s="52" t="s">
        <v>4314</v>
      </c>
      <c r="K274" s="52" t="s">
        <v>4314</v>
      </c>
      <c r="L274" s="33">
        <f>'Dados - Cliente'!I274</f>
        <v>0</v>
      </c>
      <c r="M274" s="33">
        <f>'Dados - Cliente'!K274</f>
        <v>0</v>
      </c>
      <c r="N274" s="33">
        <f>'Dados - Cliente'!L274</f>
        <v>0</v>
      </c>
      <c r="O274" s="33">
        <f>'Dados - Cliente'!M274</f>
        <v>0</v>
      </c>
      <c r="P274" s="33">
        <f>'Dados - Cliente'!N274</f>
        <v>0</v>
      </c>
      <c r="Q274" s="33">
        <f>'Dados - Cliente'!O274</f>
        <v>0</v>
      </c>
      <c r="R274" s="33">
        <f>'Dados - Cliente'!P274</f>
        <v>0</v>
      </c>
      <c r="S274" s="33">
        <f>'Dados - Cliente'!Q274</f>
        <v>0</v>
      </c>
      <c r="T274" s="33">
        <f>'Dados - Cliente'!R274</f>
        <v>0</v>
      </c>
      <c r="U274" s="34">
        <f>'Dados - Cliente'!S274</f>
        <v>0</v>
      </c>
      <c r="V274" s="34">
        <f>'Dados - Cliente'!T274</f>
        <v>0</v>
      </c>
      <c r="W274" s="34">
        <f>'Dados - Cliente'!U274</f>
        <v>0</v>
      </c>
      <c r="X274" s="34">
        <f>'Dados - Cliente'!V274</f>
        <v>0</v>
      </c>
      <c r="Y274" s="34">
        <f>'Dados - Cliente'!W274</f>
        <v>0</v>
      </c>
      <c r="Z274" s="34">
        <f>'Dados - Cliente'!X274</f>
        <v>0</v>
      </c>
      <c r="AA274" s="33" t="e">
        <f t="shared" si="23"/>
        <v>#N/A</v>
      </c>
      <c r="AB274" s="33">
        <f>'Dados - Cliente'!Y274</f>
        <v>0</v>
      </c>
      <c r="AC274" s="33">
        <f>'Dados - Cliente'!Z274</f>
        <v>0</v>
      </c>
      <c r="AD274" s="33">
        <f>'Dados - Cliente'!AA274</f>
        <v>0</v>
      </c>
      <c r="AE274" s="33">
        <f>'Dados - Cliente'!AB274</f>
        <v>0</v>
      </c>
      <c r="AF274" s="33">
        <f>'Dados - Cliente'!AC274</f>
        <v>0</v>
      </c>
      <c r="AG274" s="35">
        <f>'Dados - Cliente'!AD274</f>
        <v>0</v>
      </c>
      <c r="AH274" s="33" t="e">
        <f>INDEX('Dados - Placas'!$A:$A,MATCH('1'!AG274,'Dados - Placas'!$D:$D,0))</f>
        <v>#N/A</v>
      </c>
      <c r="AI274" s="35" t="e">
        <f>INDEX('Dados - Placas'!$E:$E,MATCH('1'!AG274,'Dados - Placas'!$D:$D,0))</f>
        <v>#N/A</v>
      </c>
      <c r="AJ274" s="34" t="e">
        <f>INDEX('Dados - Placas'!$F:$F,MATCH('1'!AG274,'Dados - Placas'!$D:$D,0))*AF274</f>
        <v>#N/A</v>
      </c>
      <c r="AK274" s="33">
        <f>'Dados - Cliente'!AE274</f>
        <v>0</v>
      </c>
      <c r="AL274" s="33">
        <f>'Dados - Cliente'!AF274</f>
        <v>0</v>
      </c>
      <c r="AM274" s="36" t="e">
        <f>INDEX('Dados - Inversores'!$A:$A,MATCH('1'!AL274,'Dados - Inversores'!$C:$C,0))</f>
        <v>#N/A</v>
      </c>
      <c r="AN274" s="33">
        <f>'Dados - Cliente'!AG274</f>
        <v>0</v>
      </c>
      <c r="AO274" s="33" t="e">
        <f>AA274*1.25/(0.22*SQRT(INDEX('Dados - Inversores'!AK:AK,MATCH('1'!AL274,'Dados - Inversores'!C:C,0))))</f>
        <v>#N/A</v>
      </c>
      <c r="AP274" s="34">
        <f>INDEX(Dados!$E$2:$E$33,COUNTIF(Dados!$E$2:$E$33,"&lt;="&amp;AN274*1.25/(INDEX('Dados - Inversores'!AL:AL,MATCH('1'!AL274,'Dados - Inversores'!C:C,0))*SQRT(INDEX('Dados - Inversores'!AK:AK,MATCH('1'!AL274,'Dados - Inversores'!C:C,0)))))+1)</f>
        <v>2</v>
      </c>
      <c r="AQ274" s="33" t="s">
        <v>59</v>
      </c>
      <c r="AR274" s="33" t="str">
        <f t="shared" si="24"/>
        <v>Micro</v>
      </c>
      <c r="AS274" s="33">
        <f>'Dados - Cliente'!AH274</f>
        <v>0</v>
      </c>
      <c r="AT274" s="33">
        <f>'Dados - Cliente'!AI274</f>
        <v>0</v>
      </c>
      <c r="AU274" s="33" t="e">
        <f>INDEX('Dados - Placas'!$N:$N,MATCH('1'!AG274,'Dados - Placas'!$D:$D,0))-1</f>
        <v>#N/A</v>
      </c>
      <c r="AV274" s="33" t="e">
        <f>INDEX('Dados - Placas'!$O:$O,MATCH('1'!AG274,'Dados - Placas'!$D:$D,0))</f>
        <v>#N/A</v>
      </c>
      <c r="AW274" s="33" t="e">
        <f>INDEX('Dados - Inversores'!AM:AM,MATCH('1'!AL274,'Dados - Inversores'!$C:$C,0))-1</f>
        <v>#N/A</v>
      </c>
      <c r="AX274" s="33" t="e">
        <f>INDEX('Dados - Inversores'!AN:AN,MATCH('1'!AL274,'Dados - Inversores'!$C:$C,0))-1</f>
        <v>#N/A</v>
      </c>
      <c r="AY274" s="33" t="e">
        <f>MATCH('1'!H274,Dados!$D$89:$D$167,0)+1</f>
        <v>#N/A</v>
      </c>
      <c r="AZ274" s="33" t="e">
        <f>MATCH('1'!N274,'Dados - Solicitação de acesso'!$N$2:$N$8,0)</f>
        <v>#N/A</v>
      </c>
      <c r="BA274" s="33" t="e">
        <f>MATCH('1'!T274,'Dados - Solicitação de acesso'!$T$2:$T$20,0)</f>
        <v>#N/A</v>
      </c>
    </row>
    <row r="275" spans="1:53" x14ac:dyDescent="0.35">
      <c r="A275" s="33">
        <f>'Dados - Cliente'!A275</f>
        <v>0</v>
      </c>
      <c r="B275" s="33">
        <f>'Dados - Cliente'!B275</f>
        <v>0</v>
      </c>
      <c r="C275" s="33">
        <f>'Dados - Cliente'!C275</f>
        <v>0</v>
      </c>
      <c r="D275" s="33">
        <f>'Dados - Cliente'!D275</f>
        <v>0</v>
      </c>
      <c r="E275" s="33">
        <f>'Dados - Cliente'!E275</f>
        <v>0</v>
      </c>
      <c r="F275" s="33">
        <f>'Dados - Cliente'!F275</f>
        <v>0</v>
      </c>
      <c r="G275" s="33">
        <f>'Dados - Cliente'!G275</f>
        <v>0</v>
      </c>
      <c r="H275" s="33">
        <f>'Dados - Cliente'!H275</f>
        <v>0</v>
      </c>
      <c r="I275" s="75" t="s">
        <v>4313</v>
      </c>
      <c r="J275" s="52" t="s">
        <v>4314</v>
      </c>
      <c r="K275" s="52" t="s">
        <v>4314</v>
      </c>
      <c r="L275" s="33">
        <f>'Dados - Cliente'!I275</f>
        <v>0</v>
      </c>
      <c r="M275" s="33">
        <f>'Dados - Cliente'!K275</f>
        <v>0</v>
      </c>
      <c r="N275" s="33">
        <f>'Dados - Cliente'!L275</f>
        <v>0</v>
      </c>
      <c r="O275" s="33">
        <f>'Dados - Cliente'!M275</f>
        <v>0</v>
      </c>
      <c r="P275" s="33">
        <f>'Dados - Cliente'!N275</f>
        <v>0</v>
      </c>
      <c r="Q275" s="33">
        <f>'Dados - Cliente'!O275</f>
        <v>0</v>
      </c>
      <c r="R275" s="33">
        <f>'Dados - Cliente'!P275</f>
        <v>0</v>
      </c>
      <c r="S275" s="33">
        <f>'Dados - Cliente'!Q275</f>
        <v>0</v>
      </c>
      <c r="T275" s="33">
        <f>'Dados - Cliente'!R275</f>
        <v>0</v>
      </c>
      <c r="U275" s="34">
        <f>'Dados - Cliente'!S275</f>
        <v>0</v>
      </c>
      <c r="V275" s="34">
        <f>'Dados - Cliente'!T275</f>
        <v>0</v>
      </c>
      <c r="W275" s="34">
        <f>'Dados - Cliente'!U275</f>
        <v>0</v>
      </c>
      <c r="X275" s="34">
        <f>'Dados - Cliente'!V275</f>
        <v>0</v>
      </c>
      <c r="Y275" s="34">
        <f>'Dados - Cliente'!W275</f>
        <v>0</v>
      </c>
      <c r="Z275" s="34">
        <f>'Dados - Cliente'!X275</f>
        <v>0</v>
      </c>
      <c r="AA275" s="33" t="e">
        <f t="shared" si="23"/>
        <v>#N/A</v>
      </c>
      <c r="AB275" s="33">
        <f>'Dados - Cliente'!Y275</f>
        <v>0</v>
      </c>
      <c r="AC275" s="33">
        <f>'Dados - Cliente'!Z275</f>
        <v>0</v>
      </c>
      <c r="AD275" s="33">
        <f>'Dados - Cliente'!AA275</f>
        <v>0</v>
      </c>
      <c r="AE275" s="33">
        <f>'Dados - Cliente'!AB275</f>
        <v>0</v>
      </c>
      <c r="AF275" s="33">
        <f>'Dados - Cliente'!AC275</f>
        <v>0</v>
      </c>
      <c r="AG275" s="35">
        <f>'Dados - Cliente'!AD275</f>
        <v>0</v>
      </c>
      <c r="AH275" s="33" t="e">
        <f>INDEX('Dados - Placas'!$A:$A,MATCH('1'!AG275,'Dados - Placas'!$D:$D,0))</f>
        <v>#N/A</v>
      </c>
      <c r="AI275" s="35" t="e">
        <f>INDEX('Dados - Placas'!$E:$E,MATCH('1'!AG275,'Dados - Placas'!$D:$D,0))</f>
        <v>#N/A</v>
      </c>
      <c r="AJ275" s="34" t="e">
        <f>INDEX('Dados - Placas'!$F:$F,MATCH('1'!AG275,'Dados - Placas'!$D:$D,0))*AF275</f>
        <v>#N/A</v>
      </c>
      <c r="AK275" s="33">
        <f>'Dados - Cliente'!AE275</f>
        <v>0</v>
      </c>
      <c r="AL275" s="33">
        <f>'Dados - Cliente'!AF275</f>
        <v>0</v>
      </c>
      <c r="AM275" s="36" t="e">
        <f>INDEX('Dados - Inversores'!$A:$A,MATCH('1'!AL275,'Dados - Inversores'!$C:$C,0))</f>
        <v>#N/A</v>
      </c>
      <c r="AN275" s="33">
        <f>'Dados - Cliente'!AG275</f>
        <v>0</v>
      </c>
      <c r="AO275" s="33" t="e">
        <f>AA275*1.25/(0.22*SQRT(INDEX('Dados - Inversores'!AK:AK,MATCH('1'!AL275,'Dados - Inversores'!C:C,0))))</f>
        <v>#N/A</v>
      </c>
      <c r="AP275" s="34">
        <f>INDEX(Dados!$E$2:$E$33,COUNTIF(Dados!$E$2:$E$33,"&lt;="&amp;AN275*1.25/(INDEX('Dados - Inversores'!AL:AL,MATCH('1'!AL275,'Dados - Inversores'!C:C,0))*SQRT(INDEX('Dados - Inversores'!AK:AK,MATCH('1'!AL275,'Dados - Inversores'!C:C,0)))))+1)</f>
        <v>2</v>
      </c>
      <c r="AQ275" s="33" t="s">
        <v>59</v>
      </c>
      <c r="AR275" s="33" t="str">
        <f t="shared" si="24"/>
        <v>Micro</v>
      </c>
      <c r="AS275" s="33">
        <f>'Dados - Cliente'!AH275</f>
        <v>0</v>
      </c>
      <c r="AT275" s="33">
        <f>'Dados - Cliente'!AI275</f>
        <v>0</v>
      </c>
      <c r="AU275" s="33" t="e">
        <f>INDEX('Dados - Placas'!$N:$N,MATCH('1'!AG275,'Dados - Placas'!$D:$D,0))-1</f>
        <v>#N/A</v>
      </c>
      <c r="AV275" s="33" t="e">
        <f>INDEX('Dados - Placas'!$O:$O,MATCH('1'!AG275,'Dados - Placas'!$D:$D,0))</f>
        <v>#N/A</v>
      </c>
      <c r="AW275" s="33" t="e">
        <f>INDEX('Dados - Inversores'!AM:AM,MATCH('1'!AL275,'Dados - Inversores'!$C:$C,0))-1</f>
        <v>#N/A</v>
      </c>
      <c r="AX275" s="33" t="e">
        <f>INDEX('Dados - Inversores'!AN:AN,MATCH('1'!AL275,'Dados - Inversores'!$C:$C,0))-1</f>
        <v>#N/A</v>
      </c>
      <c r="AY275" s="33" t="e">
        <f>MATCH('1'!H275,Dados!$D$89:$D$167,0)+1</f>
        <v>#N/A</v>
      </c>
      <c r="AZ275" s="33" t="e">
        <f>MATCH('1'!N275,'Dados - Solicitação de acesso'!$N$2:$N$8,0)</f>
        <v>#N/A</v>
      </c>
      <c r="BA275" s="33" t="e">
        <f>MATCH('1'!T275,'Dados - Solicitação de acesso'!$T$2:$T$20,0)</f>
        <v>#N/A</v>
      </c>
    </row>
    <row r="276" spans="1:53" x14ac:dyDescent="0.35">
      <c r="A276" s="33">
        <f>'Dados - Cliente'!A276</f>
        <v>0</v>
      </c>
      <c r="B276" s="33">
        <f>'Dados - Cliente'!B276</f>
        <v>0</v>
      </c>
      <c r="C276" s="33">
        <f>'Dados - Cliente'!C276</f>
        <v>0</v>
      </c>
      <c r="D276" s="33">
        <f>'Dados - Cliente'!D276</f>
        <v>0</v>
      </c>
      <c r="E276" s="33">
        <f>'Dados - Cliente'!E276</f>
        <v>0</v>
      </c>
      <c r="F276" s="33">
        <f>'Dados - Cliente'!F276</f>
        <v>0</v>
      </c>
      <c r="G276" s="33">
        <f>'Dados - Cliente'!G276</f>
        <v>0</v>
      </c>
      <c r="H276" s="33">
        <f>'Dados - Cliente'!H276</f>
        <v>0</v>
      </c>
      <c r="I276" s="75" t="s">
        <v>4313</v>
      </c>
      <c r="J276" s="52" t="s">
        <v>4314</v>
      </c>
      <c r="K276" s="52" t="s">
        <v>4314</v>
      </c>
      <c r="L276" s="33">
        <f>'Dados - Cliente'!I276</f>
        <v>0</v>
      </c>
      <c r="M276" s="33">
        <f>'Dados - Cliente'!K276</f>
        <v>0</v>
      </c>
      <c r="N276" s="33">
        <f>'Dados - Cliente'!L276</f>
        <v>0</v>
      </c>
      <c r="O276" s="33">
        <f>'Dados - Cliente'!M276</f>
        <v>0</v>
      </c>
      <c r="P276" s="33">
        <f>'Dados - Cliente'!N276</f>
        <v>0</v>
      </c>
      <c r="Q276" s="33">
        <f>'Dados - Cliente'!O276</f>
        <v>0</v>
      </c>
      <c r="R276" s="33">
        <f>'Dados - Cliente'!P276</f>
        <v>0</v>
      </c>
      <c r="S276" s="33">
        <f>'Dados - Cliente'!Q276</f>
        <v>0</v>
      </c>
      <c r="T276" s="33">
        <f>'Dados - Cliente'!R276</f>
        <v>0</v>
      </c>
      <c r="U276" s="34">
        <f>'Dados - Cliente'!S276</f>
        <v>0</v>
      </c>
      <c r="V276" s="34">
        <f>'Dados - Cliente'!T276</f>
        <v>0</v>
      </c>
      <c r="W276" s="34">
        <f>'Dados - Cliente'!U276</f>
        <v>0</v>
      </c>
      <c r="X276" s="34">
        <f>'Dados - Cliente'!V276</f>
        <v>0</v>
      </c>
      <c r="Y276" s="34">
        <f>'Dados - Cliente'!W276</f>
        <v>0</v>
      </c>
      <c r="Z276" s="34">
        <f>'Dados - Cliente'!X276</f>
        <v>0</v>
      </c>
      <c r="AA276" s="33" t="e">
        <f t="shared" si="23"/>
        <v>#N/A</v>
      </c>
      <c r="AB276" s="33">
        <f>'Dados - Cliente'!Y276</f>
        <v>0</v>
      </c>
      <c r="AC276" s="33">
        <f>'Dados - Cliente'!Z276</f>
        <v>0</v>
      </c>
      <c r="AD276" s="33">
        <f>'Dados - Cliente'!AA276</f>
        <v>0</v>
      </c>
      <c r="AE276" s="33">
        <f>'Dados - Cliente'!AB276</f>
        <v>0</v>
      </c>
      <c r="AF276" s="33">
        <f>'Dados - Cliente'!AC276</f>
        <v>0</v>
      </c>
      <c r="AG276" s="35">
        <f>'Dados - Cliente'!AD276</f>
        <v>0</v>
      </c>
      <c r="AH276" s="33" t="e">
        <f>INDEX('Dados - Placas'!$A:$A,MATCH('1'!AG276,'Dados - Placas'!$D:$D,0))</f>
        <v>#N/A</v>
      </c>
      <c r="AI276" s="35" t="e">
        <f>INDEX('Dados - Placas'!$E:$E,MATCH('1'!AG276,'Dados - Placas'!$D:$D,0))</f>
        <v>#N/A</v>
      </c>
      <c r="AJ276" s="34" t="e">
        <f>INDEX('Dados - Placas'!$F:$F,MATCH('1'!AG276,'Dados - Placas'!$D:$D,0))*AF276</f>
        <v>#N/A</v>
      </c>
      <c r="AK276" s="33">
        <f>'Dados - Cliente'!AE276</f>
        <v>0</v>
      </c>
      <c r="AL276" s="33">
        <f>'Dados - Cliente'!AF276</f>
        <v>0</v>
      </c>
      <c r="AM276" s="36" t="e">
        <f>INDEX('Dados - Inversores'!$A:$A,MATCH('1'!AL276,'Dados - Inversores'!$C:$C,0))</f>
        <v>#N/A</v>
      </c>
      <c r="AN276" s="33">
        <f>'Dados - Cliente'!AG276</f>
        <v>0</v>
      </c>
      <c r="AO276" s="33" t="e">
        <f>AA276*1.25/(0.22*SQRT(INDEX('Dados - Inversores'!AK:AK,MATCH('1'!AL276,'Dados - Inversores'!C:C,0))))</f>
        <v>#N/A</v>
      </c>
      <c r="AP276" s="34">
        <f>INDEX(Dados!$E$2:$E$33,COUNTIF(Dados!$E$2:$E$33,"&lt;="&amp;AN276*1.25/(INDEX('Dados - Inversores'!AL:AL,MATCH('1'!AL276,'Dados - Inversores'!C:C,0))*SQRT(INDEX('Dados - Inversores'!AK:AK,MATCH('1'!AL276,'Dados - Inversores'!C:C,0)))))+1)</f>
        <v>2</v>
      </c>
      <c r="AQ276" s="33" t="s">
        <v>59</v>
      </c>
      <c r="AR276" s="33" t="str">
        <f t="shared" si="24"/>
        <v>Micro</v>
      </c>
      <c r="AS276" s="33">
        <f>'Dados - Cliente'!AH276</f>
        <v>0</v>
      </c>
      <c r="AT276" s="33">
        <f>'Dados - Cliente'!AI276</f>
        <v>0</v>
      </c>
      <c r="AU276" s="33" t="e">
        <f>INDEX('Dados - Placas'!$N:$N,MATCH('1'!AG276,'Dados - Placas'!$D:$D,0))-1</f>
        <v>#N/A</v>
      </c>
      <c r="AV276" s="33" t="e">
        <f>INDEX('Dados - Placas'!$O:$O,MATCH('1'!AG276,'Dados - Placas'!$D:$D,0))</f>
        <v>#N/A</v>
      </c>
      <c r="AW276" s="33" t="e">
        <f>INDEX('Dados - Inversores'!AM:AM,MATCH('1'!AL276,'Dados - Inversores'!$C:$C,0))-1</f>
        <v>#N/A</v>
      </c>
      <c r="AX276" s="33" t="e">
        <f>INDEX('Dados - Inversores'!AN:AN,MATCH('1'!AL276,'Dados - Inversores'!$C:$C,0))-1</f>
        <v>#N/A</v>
      </c>
      <c r="AY276" s="33" t="e">
        <f>MATCH('1'!H276,Dados!$D$89:$D$167,0)+1</f>
        <v>#N/A</v>
      </c>
      <c r="AZ276" s="33" t="e">
        <f>MATCH('1'!N276,'Dados - Solicitação de acesso'!$N$2:$N$8,0)</f>
        <v>#N/A</v>
      </c>
      <c r="BA276" s="33" t="e">
        <f>MATCH('1'!T276,'Dados - Solicitação de acesso'!$T$2:$T$20,0)</f>
        <v>#N/A</v>
      </c>
    </row>
    <row r="277" spans="1:53" x14ac:dyDescent="0.35">
      <c r="A277" s="33">
        <f>'Dados - Cliente'!A277</f>
        <v>0</v>
      </c>
      <c r="B277" s="33">
        <f>'Dados - Cliente'!B277</f>
        <v>0</v>
      </c>
      <c r="C277" s="33">
        <f>'Dados - Cliente'!C277</f>
        <v>0</v>
      </c>
      <c r="D277" s="33">
        <f>'Dados - Cliente'!D277</f>
        <v>0</v>
      </c>
      <c r="E277" s="33">
        <f>'Dados - Cliente'!E277</f>
        <v>0</v>
      </c>
      <c r="F277" s="33">
        <f>'Dados - Cliente'!F277</f>
        <v>0</v>
      </c>
      <c r="G277" s="33">
        <f>'Dados - Cliente'!G277</f>
        <v>0</v>
      </c>
      <c r="H277" s="33">
        <f>'Dados - Cliente'!H277</f>
        <v>0</v>
      </c>
      <c r="I277" s="75" t="s">
        <v>4313</v>
      </c>
      <c r="J277" s="52" t="s">
        <v>4314</v>
      </c>
      <c r="K277" s="52" t="s">
        <v>4314</v>
      </c>
      <c r="L277" s="33">
        <f>'Dados - Cliente'!I277</f>
        <v>0</v>
      </c>
      <c r="M277" s="33">
        <f>'Dados - Cliente'!K277</f>
        <v>0</v>
      </c>
      <c r="N277" s="33">
        <f>'Dados - Cliente'!L277</f>
        <v>0</v>
      </c>
      <c r="O277" s="33">
        <f>'Dados - Cliente'!M277</f>
        <v>0</v>
      </c>
      <c r="P277" s="33">
        <f>'Dados - Cliente'!N277</f>
        <v>0</v>
      </c>
      <c r="Q277" s="33">
        <f>'Dados - Cliente'!O277</f>
        <v>0</v>
      </c>
      <c r="R277" s="33">
        <f>'Dados - Cliente'!P277</f>
        <v>0</v>
      </c>
      <c r="S277" s="33">
        <f>'Dados - Cliente'!Q277</f>
        <v>0</v>
      </c>
      <c r="T277" s="33">
        <f>'Dados - Cliente'!R277</f>
        <v>0</v>
      </c>
      <c r="U277" s="34">
        <f>'Dados - Cliente'!S277</f>
        <v>0</v>
      </c>
      <c r="V277" s="34">
        <f>'Dados - Cliente'!T277</f>
        <v>0</v>
      </c>
      <c r="W277" s="34">
        <f>'Dados - Cliente'!U277</f>
        <v>0</v>
      </c>
      <c r="X277" s="34">
        <f>'Dados - Cliente'!V277</f>
        <v>0</v>
      </c>
      <c r="Y277" s="34">
        <f>'Dados - Cliente'!W277</f>
        <v>0</v>
      </c>
      <c r="Z277" s="34">
        <f>'Dados - Cliente'!X277</f>
        <v>0</v>
      </c>
      <c r="AA277" s="33" t="e">
        <f t="shared" si="23"/>
        <v>#N/A</v>
      </c>
      <c r="AB277" s="33">
        <f>'Dados - Cliente'!Y277</f>
        <v>0</v>
      </c>
      <c r="AC277" s="33">
        <f>'Dados - Cliente'!Z277</f>
        <v>0</v>
      </c>
      <c r="AD277" s="33">
        <f>'Dados - Cliente'!AA277</f>
        <v>0</v>
      </c>
      <c r="AE277" s="33">
        <f>'Dados - Cliente'!AB277</f>
        <v>0</v>
      </c>
      <c r="AF277" s="33">
        <f>'Dados - Cliente'!AC277</f>
        <v>0</v>
      </c>
      <c r="AG277" s="35">
        <f>'Dados - Cliente'!AD277</f>
        <v>0</v>
      </c>
      <c r="AH277" s="33" t="e">
        <f>INDEX('Dados - Placas'!$A:$A,MATCH('1'!AG277,'Dados - Placas'!$D:$D,0))</f>
        <v>#N/A</v>
      </c>
      <c r="AI277" s="35" t="e">
        <f>INDEX('Dados - Placas'!$E:$E,MATCH('1'!AG277,'Dados - Placas'!$D:$D,0))</f>
        <v>#N/A</v>
      </c>
      <c r="AJ277" s="34" t="e">
        <f>INDEX('Dados - Placas'!$F:$F,MATCH('1'!AG277,'Dados - Placas'!$D:$D,0))*AF277</f>
        <v>#N/A</v>
      </c>
      <c r="AK277" s="33">
        <f>'Dados - Cliente'!AE277</f>
        <v>0</v>
      </c>
      <c r="AL277" s="33">
        <f>'Dados - Cliente'!AF277</f>
        <v>0</v>
      </c>
      <c r="AM277" s="36" t="e">
        <f>INDEX('Dados - Inversores'!$A:$A,MATCH('1'!AL277,'Dados - Inversores'!$C:$C,0))</f>
        <v>#N/A</v>
      </c>
      <c r="AN277" s="33">
        <f>'Dados - Cliente'!AG277</f>
        <v>0</v>
      </c>
      <c r="AO277" s="33" t="e">
        <f>AA277*1.25/(0.22*SQRT(INDEX('Dados - Inversores'!AK:AK,MATCH('1'!AL277,'Dados - Inversores'!C:C,0))))</f>
        <v>#N/A</v>
      </c>
      <c r="AP277" s="34">
        <f>INDEX(Dados!$E$2:$E$33,COUNTIF(Dados!$E$2:$E$33,"&lt;="&amp;AN277*1.25/(INDEX('Dados - Inversores'!AL:AL,MATCH('1'!AL277,'Dados - Inversores'!C:C,0))*SQRT(INDEX('Dados - Inversores'!AK:AK,MATCH('1'!AL277,'Dados - Inversores'!C:C,0)))))+1)</f>
        <v>2</v>
      </c>
      <c r="AQ277" s="33" t="s">
        <v>59</v>
      </c>
      <c r="AR277" s="33" t="str">
        <f t="shared" si="24"/>
        <v>Micro</v>
      </c>
      <c r="AS277" s="33">
        <f>'Dados - Cliente'!AH277</f>
        <v>0</v>
      </c>
      <c r="AT277" s="33">
        <f>'Dados - Cliente'!AI277</f>
        <v>0</v>
      </c>
      <c r="AU277" s="33" t="e">
        <f>INDEX('Dados - Placas'!$N:$N,MATCH('1'!AG277,'Dados - Placas'!$D:$D,0))-1</f>
        <v>#N/A</v>
      </c>
      <c r="AV277" s="33" t="e">
        <f>INDEX('Dados - Placas'!$O:$O,MATCH('1'!AG277,'Dados - Placas'!$D:$D,0))</f>
        <v>#N/A</v>
      </c>
      <c r="AW277" s="33" t="e">
        <f>INDEX('Dados - Inversores'!AM:AM,MATCH('1'!AL277,'Dados - Inversores'!$C:$C,0))-1</f>
        <v>#N/A</v>
      </c>
      <c r="AX277" s="33" t="e">
        <f>INDEX('Dados - Inversores'!AN:AN,MATCH('1'!AL277,'Dados - Inversores'!$C:$C,0))-1</f>
        <v>#N/A</v>
      </c>
      <c r="AY277" s="33" t="e">
        <f>MATCH('1'!H277,Dados!$D$89:$D$167,0)+1</f>
        <v>#N/A</v>
      </c>
      <c r="AZ277" s="33" t="e">
        <f>MATCH('1'!N277,'Dados - Solicitação de acesso'!$N$2:$N$8,0)</f>
        <v>#N/A</v>
      </c>
      <c r="BA277" s="33" t="e">
        <f>MATCH('1'!T277,'Dados - Solicitação de acesso'!$T$2:$T$20,0)</f>
        <v>#N/A</v>
      </c>
    </row>
    <row r="278" spans="1:53" x14ac:dyDescent="0.35">
      <c r="A278" s="33">
        <f>'Dados - Cliente'!A278</f>
        <v>0</v>
      </c>
      <c r="B278" s="33">
        <f>'Dados - Cliente'!B278</f>
        <v>0</v>
      </c>
      <c r="C278" s="33">
        <f>'Dados - Cliente'!C278</f>
        <v>0</v>
      </c>
      <c r="D278" s="33">
        <f>'Dados - Cliente'!D278</f>
        <v>0</v>
      </c>
      <c r="E278" s="33">
        <f>'Dados - Cliente'!E278</f>
        <v>0</v>
      </c>
      <c r="F278" s="33">
        <f>'Dados - Cliente'!F278</f>
        <v>0</v>
      </c>
      <c r="G278" s="33">
        <f>'Dados - Cliente'!G278</f>
        <v>0</v>
      </c>
      <c r="H278" s="33">
        <f>'Dados - Cliente'!H278</f>
        <v>0</v>
      </c>
      <c r="I278" s="75" t="s">
        <v>4313</v>
      </c>
      <c r="J278" s="52" t="s">
        <v>4314</v>
      </c>
      <c r="K278" s="52" t="s">
        <v>4314</v>
      </c>
      <c r="L278" s="33">
        <f>'Dados - Cliente'!I278</f>
        <v>0</v>
      </c>
      <c r="M278" s="33">
        <f>'Dados - Cliente'!K278</f>
        <v>0</v>
      </c>
      <c r="N278" s="33">
        <f>'Dados - Cliente'!L278</f>
        <v>0</v>
      </c>
      <c r="O278" s="33">
        <f>'Dados - Cliente'!M278</f>
        <v>0</v>
      </c>
      <c r="P278" s="33">
        <f>'Dados - Cliente'!N278</f>
        <v>0</v>
      </c>
      <c r="Q278" s="33">
        <f>'Dados - Cliente'!O278</f>
        <v>0</v>
      </c>
      <c r="R278" s="33">
        <f>'Dados - Cliente'!P278</f>
        <v>0</v>
      </c>
      <c r="S278" s="33">
        <f>'Dados - Cliente'!Q278</f>
        <v>0</v>
      </c>
      <c r="T278" s="33">
        <f>'Dados - Cliente'!R278</f>
        <v>0</v>
      </c>
      <c r="U278" s="34">
        <f>'Dados - Cliente'!S278</f>
        <v>0</v>
      </c>
      <c r="V278" s="34">
        <f>'Dados - Cliente'!T278</f>
        <v>0</v>
      </c>
      <c r="W278" s="34">
        <f>'Dados - Cliente'!U278</f>
        <v>0</v>
      </c>
      <c r="X278" s="34">
        <f>'Dados - Cliente'!V278</f>
        <v>0</v>
      </c>
      <c r="Y278" s="34">
        <f>'Dados - Cliente'!W278</f>
        <v>0</v>
      </c>
      <c r="Z278" s="34">
        <f>'Dados - Cliente'!X278</f>
        <v>0</v>
      </c>
      <c r="AA278" s="33" t="e">
        <f t="shared" si="23"/>
        <v>#N/A</v>
      </c>
      <c r="AB278" s="33">
        <f>'Dados - Cliente'!Y278</f>
        <v>0</v>
      </c>
      <c r="AC278" s="33">
        <f>'Dados - Cliente'!Z278</f>
        <v>0</v>
      </c>
      <c r="AD278" s="33">
        <f>'Dados - Cliente'!AA278</f>
        <v>0</v>
      </c>
      <c r="AE278" s="33">
        <f>'Dados - Cliente'!AB278</f>
        <v>0</v>
      </c>
      <c r="AF278" s="33">
        <f>'Dados - Cliente'!AC278</f>
        <v>0</v>
      </c>
      <c r="AG278" s="35">
        <f>'Dados - Cliente'!AD278</f>
        <v>0</v>
      </c>
      <c r="AH278" s="33" t="e">
        <f>INDEX('Dados - Placas'!$A:$A,MATCH('1'!AG278,'Dados - Placas'!$D:$D,0))</f>
        <v>#N/A</v>
      </c>
      <c r="AI278" s="35" t="e">
        <f>INDEX('Dados - Placas'!$E:$E,MATCH('1'!AG278,'Dados - Placas'!$D:$D,0))</f>
        <v>#N/A</v>
      </c>
      <c r="AJ278" s="34" t="e">
        <f>INDEX('Dados - Placas'!$F:$F,MATCH('1'!AG278,'Dados - Placas'!$D:$D,0))*AF278</f>
        <v>#N/A</v>
      </c>
      <c r="AK278" s="33">
        <f>'Dados - Cliente'!AE278</f>
        <v>0</v>
      </c>
      <c r="AL278" s="33">
        <f>'Dados - Cliente'!AF278</f>
        <v>0</v>
      </c>
      <c r="AM278" s="36" t="e">
        <f>INDEX('Dados - Inversores'!$A:$A,MATCH('1'!AL278,'Dados - Inversores'!$C:$C,0))</f>
        <v>#N/A</v>
      </c>
      <c r="AN278" s="33">
        <f>'Dados - Cliente'!AG278</f>
        <v>0</v>
      </c>
      <c r="AO278" s="33" t="e">
        <f>AA278*1.25/(0.22*SQRT(INDEX('Dados - Inversores'!AK:AK,MATCH('1'!AL278,'Dados - Inversores'!C:C,0))))</f>
        <v>#N/A</v>
      </c>
      <c r="AP278" s="34">
        <f>INDEX(Dados!$E$2:$E$33,COUNTIF(Dados!$E$2:$E$33,"&lt;="&amp;AN278*1.25/(INDEX('Dados - Inversores'!AL:AL,MATCH('1'!AL278,'Dados - Inversores'!C:C,0))*SQRT(INDEX('Dados - Inversores'!AK:AK,MATCH('1'!AL278,'Dados - Inversores'!C:C,0)))))+1)</f>
        <v>2</v>
      </c>
      <c r="AQ278" s="33" t="s">
        <v>59</v>
      </c>
      <c r="AR278" s="33" t="str">
        <f t="shared" si="24"/>
        <v>Micro</v>
      </c>
      <c r="AS278" s="33">
        <f>'Dados - Cliente'!AH278</f>
        <v>0</v>
      </c>
      <c r="AT278" s="33">
        <f>'Dados - Cliente'!AI278</f>
        <v>0</v>
      </c>
      <c r="AU278" s="33" t="e">
        <f>INDEX('Dados - Placas'!$N:$N,MATCH('1'!AG278,'Dados - Placas'!$D:$D,0))-1</f>
        <v>#N/A</v>
      </c>
      <c r="AV278" s="33" t="e">
        <f>INDEX('Dados - Placas'!$O:$O,MATCH('1'!AG278,'Dados - Placas'!$D:$D,0))</f>
        <v>#N/A</v>
      </c>
      <c r="AW278" s="33" t="e">
        <f>INDEX('Dados - Inversores'!AM:AM,MATCH('1'!AL278,'Dados - Inversores'!$C:$C,0))-1</f>
        <v>#N/A</v>
      </c>
      <c r="AX278" s="33" t="e">
        <f>INDEX('Dados - Inversores'!AN:AN,MATCH('1'!AL278,'Dados - Inversores'!$C:$C,0))-1</f>
        <v>#N/A</v>
      </c>
      <c r="AY278" s="33" t="e">
        <f>MATCH('1'!H278,Dados!$D$89:$D$167,0)+1</f>
        <v>#N/A</v>
      </c>
      <c r="AZ278" s="33" t="e">
        <f>MATCH('1'!N278,'Dados - Solicitação de acesso'!$N$2:$N$8,0)</f>
        <v>#N/A</v>
      </c>
      <c r="BA278" s="33" t="e">
        <f>MATCH('1'!T278,'Dados - Solicitação de acesso'!$T$2:$T$20,0)</f>
        <v>#N/A</v>
      </c>
    </row>
    <row r="279" spans="1:53" x14ac:dyDescent="0.35">
      <c r="A279" s="33">
        <f>'Dados - Cliente'!A279</f>
        <v>0</v>
      </c>
      <c r="B279" s="33">
        <f>'Dados - Cliente'!B279</f>
        <v>0</v>
      </c>
      <c r="C279" s="33">
        <f>'Dados - Cliente'!C279</f>
        <v>0</v>
      </c>
      <c r="D279" s="33">
        <f>'Dados - Cliente'!D279</f>
        <v>0</v>
      </c>
      <c r="E279" s="33">
        <f>'Dados - Cliente'!E279</f>
        <v>0</v>
      </c>
      <c r="F279" s="33">
        <f>'Dados - Cliente'!F279</f>
        <v>0</v>
      </c>
      <c r="G279" s="33">
        <f>'Dados - Cliente'!G279</f>
        <v>0</v>
      </c>
      <c r="H279" s="33">
        <f>'Dados - Cliente'!H279</f>
        <v>0</v>
      </c>
      <c r="I279" s="75" t="s">
        <v>4313</v>
      </c>
      <c r="J279" s="52" t="s">
        <v>4314</v>
      </c>
      <c r="K279" s="52" t="s">
        <v>4314</v>
      </c>
      <c r="L279" s="33">
        <f>'Dados - Cliente'!I279</f>
        <v>0</v>
      </c>
      <c r="M279" s="33">
        <f>'Dados - Cliente'!K279</f>
        <v>0</v>
      </c>
      <c r="N279" s="33">
        <f>'Dados - Cliente'!L279</f>
        <v>0</v>
      </c>
      <c r="O279" s="33">
        <f>'Dados - Cliente'!M279</f>
        <v>0</v>
      </c>
      <c r="P279" s="33">
        <f>'Dados - Cliente'!N279</f>
        <v>0</v>
      </c>
      <c r="Q279" s="33">
        <f>'Dados - Cliente'!O279</f>
        <v>0</v>
      </c>
      <c r="R279" s="33">
        <f>'Dados - Cliente'!P279</f>
        <v>0</v>
      </c>
      <c r="S279" s="33">
        <f>'Dados - Cliente'!Q279</f>
        <v>0</v>
      </c>
      <c r="T279" s="33">
        <f>'Dados - Cliente'!R279</f>
        <v>0</v>
      </c>
      <c r="U279" s="34">
        <f>'Dados - Cliente'!S279</f>
        <v>0</v>
      </c>
      <c r="V279" s="34">
        <f>'Dados - Cliente'!T279</f>
        <v>0</v>
      </c>
      <c r="W279" s="34">
        <f>'Dados - Cliente'!U279</f>
        <v>0</v>
      </c>
      <c r="X279" s="34">
        <f>'Dados - Cliente'!V279</f>
        <v>0</v>
      </c>
      <c r="Y279" s="34">
        <f>'Dados - Cliente'!W279</f>
        <v>0</v>
      </c>
      <c r="Z279" s="34">
        <f>'Dados - Cliente'!X279</f>
        <v>0</v>
      </c>
      <c r="AA279" s="33" t="e">
        <f t="shared" si="23"/>
        <v>#N/A</v>
      </c>
      <c r="AB279" s="33">
        <f>'Dados - Cliente'!Y279</f>
        <v>0</v>
      </c>
      <c r="AC279" s="33">
        <f>'Dados - Cliente'!Z279</f>
        <v>0</v>
      </c>
      <c r="AD279" s="33">
        <f>'Dados - Cliente'!AA279</f>
        <v>0</v>
      </c>
      <c r="AE279" s="33">
        <f>'Dados - Cliente'!AB279</f>
        <v>0</v>
      </c>
      <c r="AF279" s="33">
        <f>'Dados - Cliente'!AC279</f>
        <v>0</v>
      </c>
      <c r="AG279" s="35">
        <f>'Dados - Cliente'!AD279</f>
        <v>0</v>
      </c>
      <c r="AH279" s="33" t="e">
        <f>INDEX('Dados - Placas'!$A:$A,MATCH('1'!AG279,'Dados - Placas'!$D:$D,0))</f>
        <v>#N/A</v>
      </c>
      <c r="AI279" s="35" t="e">
        <f>INDEX('Dados - Placas'!$E:$E,MATCH('1'!AG279,'Dados - Placas'!$D:$D,0))</f>
        <v>#N/A</v>
      </c>
      <c r="AJ279" s="34" t="e">
        <f>INDEX('Dados - Placas'!$F:$F,MATCH('1'!AG279,'Dados - Placas'!$D:$D,0))*AF279</f>
        <v>#N/A</v>
      </c>
      <c r="AK279" s="33">
        <f>'Dados - Cliente'!AE279</f>
        <v>0</v>
      </c>
      <c r="AL279" s="33">
        <f>'Dados - Cliente'!AF279</f>
        <v>0</v>
      </c>
      <c r="AM279" s="36" t="e">
        <f>INDEX('Dados - Inversores'!$A:$A,MATCH('1'!AL279,'Dados - Inversores'!$C:$C,0))</f>
        <v>#N/A</v>
      </c>
      <c r="AN279" s="33">
        <f>'Dados - Cliente'!AG279</f>
        <v>0</v>
      </c>
      <c r="AO279" s="33" t="e">
        <f>AA279*1.25/(0.22*SQRT(INDEX('Dados - Inversores'!AK:AK,MATCH('1'!AL279,'Dados - Inversores'!C:C,0))))</f>
        <v>#N/A</v>
      </c>
      <c r="AP279" s="34">
        <f>INDEX(Dados!$E$2:$E$33,COUNTIF(Dados!$E$2:$E$33,"&lt;="&amp;AN279*1.25/(INDEX('Dados - Inversores'!AL:AL,MATCH('1'!AL279,'Dados - Inversores'!C:C,0))*SQRT(INDEX('Dados - Inversores'!AK:AK,MATCH('1'!AL279,'Dados - Inversores'!C:C,0)))))+1)</f>
        <v>2</v>
      </c>
      <c r="AQ279" s="33" t="s">
        <v>59</v>
      </c>
      <c r="AR279" s="33" t="str">
        <f t="shared" si="24"/>
        <v>Micro</v>
      </c>
      <c r="AS279" s="33">
        <f>'Dados - Cliente'!AH279</f>
        <v>0</v>
      </c>
      <c r="AT279" s="33">
        <f>'Dados - Cliente'!AI279</f>
        <v>0</v>
      </c>
      <c r="AU279" s="33" t="e">
        <f>INDEX('Dados - Placas'!$N:$N,MATCH('1'!AG279,'Dados - Placas'!$D:$D,0))-1</f>
        <v>#N/A</v>
      </c>
      <c r="AV279" s="33" t="e">
        <f>INDEX('Dados - Placas'!$O:$O,MATCH('1'!AG279,'Dados - Placas'!$D:$D,0))</f>
        <v>#N/A</v>
      </c>
      <c r="AW279" s="33" t="e">
        <f>INDEX('Dados - Inversores'!AM:AM,MATCH('1'!AL279,'Dados - Inversores'!$C:$C,0))-1</f>
        <v>#N/A</v>
      </c>
      <c r="AX279" s="33" t="e">
        <f>INDEX('Dados - Inversores'!AN:AN,MATCH('1'!AL279,'Dados - Inversores'!$C:$C,0))-1</f>
        <v>#N/A</v>
      </c>
      <c r="AY279" s="33" t="e">
        <f>MATCH('1'!H279,Dados!$D$89:$D$167,0)+1</f>
        <v>#N/A</v>
      </c>
      <c r="AZ279" s="33" t="e">
        <f>MATCH('1'!N279,'Dados - Solicitação de acesso'!$N$2:$N$8,0)</f>
        <v>#N/A</v>
      </c>
      <c r="BA279" s="33" t="e">
        <f>MATCH('1'!T279,'Dados - Solicitação de acesso'!$T$2:$T$20,0)</f>
        <v>#N/A</v>
      </c>
    </row>
    <row r="280" spans="1:53" x14ac:dyDescent="0.35">
      <c r="A280" s="33">
        <f>'Dados - Cliente'!A280</f>
        <v>0</v>
      </c>
      <c r="B280" s="33">
        <f>'Dados - Cliente'!B280</f>
        <v>0</v>
      </c>
      <c r="C280" s="33">
        <f>'Dados - Cliente'!C280</f>
        <v>0</v>
      </c>
      <c r="D280" s="33">
        <f>'Dados - Cliente'!D280</f>
        <v>0</v>
      </c>
      <c r="E280" s="33">
        <f>'Dados - Cliente'!E280</f>
        <v>0</v>
      </c>
      <c r="F280" s="33">
        <f>'Dados - Cliente'!F280</f>
        <v>0</v>
      </c>
      <c r="G280" s="33">
        <f>'Dados - Cliente'!G280</f>
        <v>0</v>
      </c>
      <c r="H280" s="33">
        <f>'Dados - Cliente'!H280</f>
        <v>0</v>
      </c>
      <c r="I280" s="75" t="s">
        <v>4313</v>
      </c>
      <c r="J280" s="52" t="s">
        <v>4314</v>
      </c>
      <c r="K280" s="52" t="s">
        <v>4314</v>
      </c>
      <c r="L280" s="33">
        <f>'Dados - Cliente'!I280</f>
        <v>0</v>
      </c>
      <c r="M280" s="33">
        <f>'Dados - Cliente'!K280</f>
        <v>0</v>
      </c>
      <c r="N280" s="33">
        <f>'Dados - Cliente'!L280</f>
        <v>0</v>
      </c>
      <c r="O280" s="33">
        <f>'Dados - Cliente'!M280</f>
        <v>0</v>
      </c>
      <c r="P280" s="33">
        <f>'Dados - Cliente'!N280</f>
        <v>0</v>
      </c>
      <c r="Q280" s="33">
        <f>'Dados - Cliente'!O280</f>
        <v>0</v>
      </c>
      <c r="R280" s="33">
        <f>'Dados - Cliente'!P280</f>
        <v>0</v>
      </c>
      <c r="S280" s="33">
        <f>'Dados - Cliente'!Q280</f>
        <v>0</v>
      </c>
      <c r="T280" s="33">
        <f>'Dados - Cliente'!R280</f>
        <v>0</v>
      </c>
      <c r="U280" s="34">
        <f>'Dados - Cliente'!S280</f>
        <v>0</v>
      </c>
      <c r="V280" s="34">
        <f>'Dados - Cliente'!T280</f>
        <v>0</v>
      </c>
      <c r="W280" s="34">
        <f>'Dados - Cliente'!U280</f>
        <v>0</v>
      </c>
      <c r="X280" s="34">
        <f>'Dados - Cliente'!V280</f>
        <v>0</v>
      </c>
      <c r="Y280" s="34">
        <f>'Dados - Cliente'!W280</f>
        <v>0</v>
      </c>
      <c r="Z280" s="34">
        <f>'Dados - Cliente'!X280</f>
        <v>0</v>
      </c>
      <c r="AA280" s="33" t="e">
        <f t="shared" si="23"/>
        <v>#N/A</v>
      </c>
      <c r="AB280" s="33">
        <f>'Dados - Cliente'!Y280</f>
        <v>0</v>
      </c>
      <c r="AC280" s="33">
        <f>'Dados - Cliente'!Z280</f>
        <v>0</v>
      </c>
      <c r="AD280" s="33">
        <f>'Dados - Cliente'!AA280</f>
        <v>0</v>
      </c>
      <c r="AE280" s="33">
        <f>'Dados - Cliente'!AB280</f>
        <v>0</v>
      </c>
      <c r="AF280" s="33">
        <f>'Dados - Cliente'!AC280</f>
        <v>0</v>
      </c>
      <c r="AG280" s="35">
        <f>'Dados - Cliente'!AD280</f>
        <v>0</v>
      </c>
      <c r="AH280" s="33" t="e">
        <f>INDEX('Dados - Placas'!$A:$A,MATCH('1'!AG280,'Dados - Placas'!$D:$D,0))</f>
        <v>#N/A</v>
      </c>
      <c r="AI280" s="35" t="e">
        <f>INDEX('Dados - Placas'!$E:$E,MATCH('1'!AG280,'Dados - Placas'!$D:$D,0))</f>
        <v>#N/A</v>
      </c>
      <c r="AJ280" s="34" t="e">
        <f>INDEX('Dados - Placas'!$F:$F,MATCH('1'!AG280,'Dados - Placas'!$D:$D,0))*AF280</f>
        <v>#N/A</v>
      </c>
      <c r="AK280" s="33">
        <f>'Dados - Cliente'!AE280</f>
        <v>0</v>
      </c>
      <c r="AL280" s="33">
        <f>'Dados - Cliente'!AF280</f>
        <v>0</v>
      </c>
      <c r="AM280" s="36" t="e">
        <f>INDEX('Dados - Inversores'!$A:$A,MATCH('1'!AL280,'Dados - Inversores'!$C:$C,0))</f>
        <v>#N/A</v>
      </c>
      <c r="AN280" s="33">
        <f>'Dados - Cliente'!AG280</f>
        <v>0</v>
      </c>
      <c r="AO280" s="33" t="e">
        <f>AA280*1.25/(0.22*SQRT(INDEX('Dados - Inversores'!AK:AK,MATCH('1'!AL280,'Dados - Inversores'!C:C,0))))</f>
        <v>#N/A</v>
      </c>
      <c r="AP280" s="34">
        <f>INDEX(Dados!$E$2:$E$33,COUNTIF(Dados!$E$2:$E$33,"&lt;="&amp;AN280*1.25/(INDEX('Dados - Inversores'!AL:AL,MATCH('1'!AL280,'Dados - Inversores'!C:C,0))*SQRT(INDEX('Dados - Inversores'!AK:AK,MATCH('1'!AL280,'Dados - Inversores'!C:C,0)))))+1)</f>
        <v>2</v>
      </c>
      <c r="AQ280" s="33" t="s">
        <v>59</v>
      </c>
      <c r="AR280" s="33" t="str">
        <f t="shared" si="24"/>
        <v>Micro</v>
      </c>
      <c r="AS280" s="33">
        <f>'Dados - Cliente'!AH280</f>
        <v>0</v>
      </c>
      <c r="AT280" s="33">
        <f>'Dados - Cliente'!AI280</f>
        <v>0</v>
      </c>
      <c r="AU280" s="33" t="e">
        <f>INDEX('Dados - Placas'!$N:$N,MATCH('1'!AG280,'Dados - Placas'!$D:$D,0))-1</f>
        <v>#N/A</v>
      </c>
      <c r="AV280" s="33" t="e">
        <f>INDEX('Dados - Placas'!$O:$O,MATCH('1'!AG280,'Dados - Placas'!$D:$D,0))</f>
        <v>#N/A</v>
      </c>
      <c r="AW280" s="33" t="e">
        <f>INDEX('Dados - Inversores'!AM:AM,MATCH('1'!AL280,'Dados - Inversores'!$C:$C,0))-1</f>
        <v>#N/A</v>
      </c>
      <c r="AX280" s="33" t="e">
        <f>INDEX('Dados - Inversores'!AN:AN,MATCH('1'!AL280,'Dados - Inversores'!$C:$C,0))-1</f>
        <v>#N/A</v>
      </c>
      <c r="AY280" s="33" t="e">
        <f>MATCH('1'!H280,Dados!$D$89:$D$167,0)+1</f>
        <v>#N/A</v>
      </c>
      <c r="AZ280" s="33" t="e">
        <f>MATCH('1'!N280,'Dados - Solicitação de acesso'!$N$2:$N$8,0)</f>
        <v>#N/A</v>
      </c>
      <c r="BA280" s="33" t="e">
        <f>MATCH('1'!T280,'Dados - Solicitação de acesso'!$T$2:$T$20,0)</f>
        <v>#N/A</v>
      </c>
    </row>
    <row r="281" spans="1:53" x14ac:dyDescent="0.35">
      <c r="A281" s="33">
        <f>'Dados - Cliente'!A281</f>
        <v>0</v>
      </c>
      <c r="B281" s="33">
        <f>'Dados - Cliente'!B281</f>
        <v>0</v>
      </c>
      <c r="C281" s="33">
        <f>'Dados - Cliente'!C281</f>
        <v>0</v>
      </c>
      <c r="D281" s="33">
        <f>'Dados - Cliente'!D281</f>
        <v>0</v>
      </c>
      <c r="E281" s="33">
        <f>'Dados - Cliente'!E281</f>
        <v>0</v>
      </c>
      <c r="F281" s="33">
        <f>'Dados - Cliente'!F281</f>
        <v>0</v>
      </c>
      <c r="G281" s="33">
        <f>'Dados - Cliente'!G281</f>
        <v>0</v>
      </c>
      <c r="H281" s="33">
        <f>'Dados - Cliente'!H281</f>
        <v>0</v>
      </c>
      <c r="I281" s="75" t="s">
        <v>4313</v>
      </c>
      <c r="J281" s="52" t="s">
        <v>4314</v>
      </c>
      <c r="K281" s="52" t="s">
        <v>4314</v>
      </c>
      <c r="L281" s="33">
        <f>'Dados - Cliente'!I281</f>
        <v>0</v>
      </c>
      <c r="M281" s="33">
        <f>'Dados - Cliente'!K281</f>
        <v>0</v>
      </c>
      <c r="N281" s="33">
        <f>'Dados - Cliente'!L281</f>
        <v>0</v>
      </c>
      <c r="O281" s="33">
        <f>'Dados - Cliente'!M281</f>
        <v>0</v>
      </c>
      <c r="P281" s="33">
        <f>'Dados - Cliente'!N281</f>
        <v>0</v>
      </c>
      <c r="Q281" s="33">
        <f>'Dados - Cliente'!O281</f>
        <v>0</v>
      </c>
      <c r="R281" s="33">
        <f>'Dados - Cliente'!P281</f>
        <v>0</v>
      </c>
      <c r="S281" s="33">
        <f>'Dados - Cliente'!Q281</f>
        <v>0</v>
      </c>
      <c r="T281" s="33">
        <f>'Dados - Cliente'!R281</f>
        <v>0</v>
      </c>
      <c r="U281" s="34">
        <f>'Dados - Cliente'!S281</f>
        <v>0</v>
      </c>
      <c r="V281" s="34">
        <f>'Dados - Cliente'!T281</f>
        <v>0</v>
      </c>
      <c r="W281" s="34">
        <f>'Dados - Cliente'!U281</f>
        <v>0</v>
      </c>
      <c r="X281" s="34">
        <f>'Dados - Cliente'!V281</f>
        <v>0</v>
      </c>
      <c r="Y281" s="34">
        <f>'Dados - Cliente'!W281</f>
        <v>0</v>
      </c>
      <c r="Z281" s="34">
        <f>'Dados - Cliente'!X281</f>
        <v>0</v>
      </c>
      <c r="AA281" s="33" t="e">
        <f t="shared" si="23"/>
        <v>#N/A</v>
      </c>
      <c r="AB281" s="33">
        <f>'Dados - Cliente'!Y281</f>
        <v>0</v>
      </c>
      <c r="AC281" s="33">
        <f>'Dados - Cliente'!Z281</f>
        <v>0</v>
      </c>
      <c r="AD281" s="33">
        <f>'Dados - Cliente'!AA281</f>
        <v>0</v>
      </c>
      <c r="AE281" s="33">
        <f>'Dados - Cliente'!AB281</f>
        <v>0</v>
      </c>
      <c r="AF281" s="33">
        <f>'Dados - Cliente'!AC281</f>
        <v>0</v>
      </c>
      <c r="AG281" s="35">
        <f>'Dados - Cliente'!AD281</f>
        <v>0</v>
      </c>
      <c r="AH281" s="33" t="e">
        <f>INDEX('Dados - Placas'!$A:$A,MATCH('1'!AG281,'Dados - Placas'!$D:$D,0))</f>
        <v>#N/A</v>
      </c>
      <c r="AI281" s="35" t="e">
        <f>INDEX('Dados - Placas'!$E:$E,MATCH('1'!AG281,'Dados - Placas'!$D:$D,0))</f>
        <v>#N/A</v>
      </c>
      <c r="AJ281" s="34" t="e">
        <f>INDEX('Dados - Placas'!$F:$F,MATCH('1'!AG281,'Dados - Placas'!$D:$D,0))*AF281</f>
        <v>#N/A</v>
      </c>
      <c r="AK281" s="33">
        <f>'Dados - Cliente'!AE281</f>
        <v>0</v>
      </c>
      <c r="AL281" s="33">
        <f>'Dados - Cliente'!AF281</f>
        <v>0</v>
      </c>
      <c r="AM281" s="36" t="e">
        <f>INDEX('Dados - Inversores'!$A:$A,MATCH('1'!AL281,'Dados - Inversores'!$C:$C,0))</f>
        <v>#N/A</v>
      </c>
      <c r="AN281" s="33">
        <f>'Dados - Cliente'!AG281</f>
        <v>0</v>
      </c>
      <c r="AO281" s="33" t="e">
        <f>AA281*1.25/(0.22*SQRT(INDEX('Dados - Inversores'!AK:AK,MATCH('1'!AL281,'Dados - Inversores'!C:C,0))))</f>
        <v>#N/A</v>
      </c>
      <c r="AP281" s="34">
        <f>INDEX(Dados!$E$2:$E$33,COUNTIF(Dados!$E$2:$E$33,"&lt;="&amp;AN281*1.25/(INDEX('Dados - Inversores'!AL:AL,MATCH('1'!AL281,'Dados - Inversores'!C:C,0))*SQRT(INDEX('Dados - Inversores'!AK:AK,MATCH('1'!AL281,'Dados - Inversores'!C:C,0)))))+1)</f>
        <v>2</v>
      </c>
      <c r="AQ281" s="33" t="s">
        <v>59</v>
      </c>
      <c r="AR281" s="33" t="str">
        <f t="shared" si="24"/>
        <v>Micro</v>
      </c>
      <c r="AS281" s="33">
        <f>'Dados - Cliente'!AH281</f>
        <v>0</v>
      </c>
      <c r="AT281" s="33">
        <f>'Dados - Cliente'!AI281</f>
        <v>0</v>
      </c>
      <c r="AU281" s="33" t="e">
        <f>INDEX('Dados - Placas'!$N:$N,MATCH('1'!AG281,'Dados - Placas'!$D:$D,0))-1</f>
        <v>#N/A</v>
      </c>
      <c r="AV281" s="33" t="e">
        <f>INDEX('Dados - Placas'!$O:$O,MATCH('1'!AG281,'Dados - Placas'!$D:$D,0))</f>
        <v>#N/A</v>
      </c>
      <c r="AW281" s="33" t="e">
        <f>INDEX('Dados - Inversores'!AM:AM,MATCH('1'!AL281,'Dados - Inversores'!$C:$C,0))-1</f>
        <v>#N/A</v>
      </c>
      <c r="AX281" s="33" t="e">
        <f>INDEX('Dados - Inversores'!AN:AN,MATCH('1'!AL281,'Dados - Inversores'!$C:$C,0))-1</f>
        <v>#N/A</v>
      </c>
      <c r="AY281" s="33" t="e">
        <f>MATCH('1'!H281,Dados!$D$89:$D$167,0)+1</f>
        <v>#N/A</v>
      </c>
      <c r="AZ281" s="33" t="e">
        <f>MATCH('1'!N281,'Dados - Solicitação de acesso'!$N$2:$N$8,0)</f>
        <v>#N/A</v>
      </c>
      <c r="BA281" s="33" t="e">
        <f>MATCH('1'!T281,'Dados - Solicitação de acesso'!$T$2:$T$20,0)</f>
        <v>#N/A</v>
      </c>
    </row>
    <row r="282" spans="1:53" x14ac:dyDescent="0.35">
      <c r="A282" s="33">
        <f>'Dados - Cliente'!A282</f>
        <v>0</v>
      </c>
      <c r="B282" s="33">
        <f>'Dados - Cliente'!B282</f>
        <v>0</v>
      </c>
      <c r="C282" s="33">
        <f>'Dados - Cliente'!C282</f>
        <v>0</v>
      </c>
      <c r="D282" s="33">
        <f>'Dados - Cliente'!D282</f>
        <v>0</v>
      </c>
      <c r="E282" s="33">
        <f>'Dados - Cliente'!E282</f>
        <v>0</v>
      </c>
      <c r="F282" s="33">
        <f>'Dados - Cliente'!F282</f>
        <v>0</v>
      </c>
      <c r="G282" s="33">
        <f>'Dados - Cliente'!G282</f>
        <v>0</v>
      </c>
      <c r="H282" s="33">
        <f>'Dados - Cliente'!H282</f>
        <v>0</v>
      </c>
      <c r="I282" s="75" t="s">
        <v>4313</v>
      </c>
      <c r="J282" s="52" t="s">
        <v>4314</v>
      </c>
      <c r="K282" s="52" t="s">
        <v>4314</v>
      </c>
      <c r="L282" s="33">
        <f>'Dados - Cliente'!I282</f>
        <v>0</v>
      </c>
      <c r="M282" s="33">
        <f>'Dados - Cliente'!K282</f>
        <v>0</v>
      </c>
      <c r="N282" s="33">
        <f>'Dados - Cliente'!L282</f>
        <v>0</v>
      </c>
      <c r="O282" s="33">
        <f>'Dados - Cliente'!M282</f>
        <v>0</v>
      </c>
      <c r="P282" s="33">
        <f>'Dados - Cliente'!N282</f>
        <v>0</v>
      </c>
      <c r="Q282" s="33">
        <f>'Dados - Cliente'!O282</f>
        <v>0</v>
      </c>
      <c r="R282" s="33">
        <f>'Dados - Cliente'!P282</f>
        <v>0</v>
      </c>
      <c r="S282" s="33">
        <f>'Dados - Cliente'!Q282</f>
        <v>0</v>
      </c>
      <c r="T282" s="33">
        <f>'Dados - Cliente'!R282</f>
        <v>0</v>
      </c>
      <c r="U282" s="34">
        <f>'Dados - Cliente'!S282</f>
        <v>0</v>
      </c>
      <c r="V282" s="34">
        <f>'Dados - Cliente'!T282</f>
        <v>0</v>
      </c>
      <c r="W282" s="34">
        <f>'Dados - Cliente'!U282</f>
        <v>0</v>
      </c>
      <c r="X282" s="34">
        <f>'Dados - Cliente'!V282</f>
        <v>0</v>
      </c>
      <c r="Y282" s="34">
        <f>'Dados - Cliente'!W282</f>
        <v>0</v>
      </c>
      <c r="Z282" s="34">
        <f>'Dados - Cliente'!X282</f>
        <v>0</v>
      </c>
      <c r="AA282" s="33" t="e">
        <f t="shared" si="23"/>
        <v>#N/A</v>
      </c>
      <c r="AB282" s="33">
        <f>'Dados - Cliente'!Y282</f>
        <v>0</v>
      </c>
      <c r="AC282" s="33">
        <f>'Dados - Cliente'!Z282</f>
        <v>0</v>
      </c>
      <c r="AD282" s="33">
        <f>'Dados - Cliente'!AA282</f>
        <v>0</v>
      </c>
      <c r="AE282" s="33">
        <f>'Dados - Cliente'!AB282</f>
        <v>0</v>
      </c>
      <c r="AF282" s="33">
        <f>'Dados - Cliente'!AC282</f>
        <v>0</v>
      </c>
      <c r="AG282" s="35">
        <f>'Dados - Cliente'!AD282</f>
        <v>0</v>
      </c>
      <c r="AH282" s="33" t="e">
        <f>INDEX('Dados - Placas'!$A:$A,MATCH('1'!AG282,'Dados - Placas'!$D:$D,0))</f>
        <v>#N/A</v>
      </c>
      <c r="AI282" s="35" t="e">
        <f>INDEX('Dados - Placas'!$E:$E,MATCH('1'!AG282,'Dados - Placas'!$D:$D,0))</f>
        <v>#N/A</v>
      </c>
      <c r="AJ282" s="34" t="e">
        <f>INDEX('Dados - Placas'!$F:$F,MATCH('1'!AG282,'Dados - Placas'!$D:$D,0))*AF282</f>
        <v>#N/A</v>
      </c>
      <c r="AK282" s="33">
        <f>'Dados - Cliente'!AE282</f>
        <v>0</v>
      </c>
      <c r="AL282" s="33">
        <f>'Dados - Cliente'!AF282</f>
        <v>0</v>
      </c>
      <c r="AM282" s="36" t="e">
        <f>INDEX('Dados - Inversores'!$A:$A,MATCH('1'!AL282,'Dados - Inversores'!$C:$C,0))</f>
        <v>#N/A</v>
      </c>
      <c r="AN282" s="33">
        <f>'Dados - Cliente'!AG282</f>
        <v>0</v>
      </c>
      <c r="AO282" s="33" t="e">
        <f>AA282*1.25/(0.22*SQRT(INDEX('Dados - Inversores'!AK:AK,MATCH('1'!AL282,'Dados - Inversores'!C:C,0))))</f>
        <v>#N/A</v>
      </c>
      <c r="AP282" s="34">
        <f>INDEX(Dados!$E$2:$E$33,COUNTIF(Dados!$E$2:$E$33,"&lt;="&amp;AN282*1.25/(INDEX('Dados - Inversores'!AL:AL,MATCH('1'!AL282,'Dados - Inversores'!C:C,0))*SQRT(INDEX('Dados - Inversores'!AK:AK,MATCH('1'!AL282,'Dados - Inversores'!C:C,0)))))+1)</f>
        <v>2</v>
      </c>
      <c r="AQ282" s="33" t="s">
        <v>59</v>
      </c>
      <c r="AR282" s="33" t="str">
        <f t="shared" si="24"/>
        <v>Micro</v>
      </c>
      <c r="AS282" s="33">
        <f>'Dados - Cliente'!AH282</f>
        <v>0</v>
      </c>
      <c r="AT282" s="33">
        <f>'Dados - Cliente'!AI282</f>
        <v>0</v>
      </c>
      <c r="AU282" s="33" t="e">
        <f>INDEX('Dados - Placas'!$N:$N,MATCH('1'!AG282,'Dados - Placas'!$D:$D,0))-1</f>
        <v>#N/A</v>
      </c>
      <c r="AV282" s="33" t="e">
        <f>INDEX('Dados - Placas'!$O:$O,MATCH('1'!AG282,'Dados - Placas'!$D:$D,0))</f>
        <v>#N/A</v>
      </c>
      <c r="AW282" s="33" t="e">
        <f>INDEX('Dados - Inversores'!AM:AM,MATCH('1'!AL282,'Dados - Inversores'!$C:$C,0))-1</f>
        <v>#N/A</v>
      </c>
      <c r="AX282" s="33" t="e">
        <f>INDEX('Dados - Inversores'!AN:AN,MATCH('1'!AL282,'Dados - Inversores'!$C:$C,0))-1</f>
        <v>#N/A</v>
      </c>
      <c r="AY282" s="33" t="e">
        <f>MATCH('1'!H282,Dados!$D$89:$D$167,0)+1</f>
        <v>#N/A</v>
      </c>
      <c r="AZ282" s="33" t="e">
        <f>MATCH('1'!N282,'Dados - Solicitação de acesso'!$N$2:$N$8,0)</f>
        <v>#N/A</v>
      </c>
      <c r="BA282" s="33" t="e">
        <f>MATCH('1'!T282,'Dados - Solicitação de acesso'!$T$2:$T$20,0)</f>
        <v>#N/A</v>
      </c>
    </row>
    <row r="283" spans="1:53" x14ac:dyDescent="0.35">
      <c r="A283" s="33">
        <f>'Dados - Cliente'!A283</f>
        <v>0</v>
      </c>
      <c r="B283" s="33">
        <f>'Dados - Cliente'!B283</f>
        <v>0</v>
      </c>
      <c r="C283" s="33">
        <f>'Dados - Cliente'!C283</f>
        <v>0</v>
      </c>
      <c r="D283" s="33">
        <f>'Dados - Cliente'!D283</f>
        <v>0</v>
      </c>
      <c r="E283" s="33">
        <f>'Dados - Cliente'!E283</f>
        <v>0</v>
      </c>
      <c r="F283" s="33">
        <f>'Dados - Cliente'!F283</f>
        <v>0</v>
      </c>
      <c r="G283" s="33">
        <f>'Dados - Cliente'!G283</f>
        <v>0</v>
      </c>
      <c r="H283" s="33">
        <f>'Dados - Cliente'!H283</f>
        <v>0</v>
      </c>
      <c r="I283" s="75" t="s">
        <v>4313</v>
      </c>
      <c r="J283" s="52" t="s">
        <v>4314</v>
      </c>
      <c r="K283" s="52" t="s">
        <v>4314</v>
      </c>
      <c r="L283" s="33">
        <f>'Dados - Cliente'!I283</f>
        <v>0</v>
      </c>
      <c r="M283" s="33">
        <f>'Dados - Cliente'!K283</f>
        <v>0</v>
      </c>
      <c r="N283" s="33">
        <f>'Dados - Cliente'!L283</f>
        <v>0</v>
      </c>
      <c r="O283" s="33">
        <f>'Dados - Cliente'!M283</f>
        <v>0</v>
      </c>
      <c r="P283" s="33">
        <f>'Dados - Cliente'!N283</f>
        <v>0</v>
      </c>
      <c r="Q283" s="33">
        <f>'Dados - Cliente'!O283</f>
        <v>0</v>
      </c>
      <c r="R283" s="33">
        <f>'Dados - Cliente'!P283</f>
        <v>0</v>
      </c>
      <c r="S283" s="33">
        <f>'Dados - Cliente'!Q283</f>
        <v>0</v>
      </c>
      <c r="T283" s="33">
        <f>'Dados - Cliente'!R283</f>
        <v>0</v>
      </c>
      <c r="U283" s="34">
        <f>'Dados - Cliente'!S283</f>
        <v>0</v>
      </c>
      <c r="V283" s="34">
        <f>'Dados - Cliente'!T283</f>
        <v>0</v>
      </c>
      <c r="W283" s="34">
        <f>'Dados - Cliente'!U283</f>
        <v>0</v>
      </c>
      <c r="X283" s="34">
        <f>'Dados - Cliente'!V283</f>
        <v>0</v>
      </c>
      <c r="Y283" s="34">
        <f>'Dados - Cliente'!W283</f>
        <v>0</v>
      </c>
      <c r="Z283" s="34">
        <f>'Dados - Cliente'!X283</f>
        <v>0</v>
      </c>
      <c r="AA283" s="33" t="e">
        <f t="shared" si="23"/>
        <v>#N/A</v>
      </c>
      <c r="AB283" s="33">
        <f>'Dados - Cliente'!Y283</f>
        <v>0</v>
      </c>
      <c r="AC283" s="33">
        <f>'Dados - Cliente'!Z283</f>
        <v>0</v>
      </c>
      <c r="AD283" s="33">
        <f>'Dados - Cliente'!AA283</f>
        <v>0</v>
      </c>
      <c r="AE283" s="33">
        <f>'Dados - Cliente'!AB283</f>
        <v>0</v>
      </c>
      <c r="AF283" s="33">
        <f>'Dados - Cliente'!AC283</f>
        <v>0</v>
      </c>
      <c r="AG283" s="35">
        <f>'Dados - Cliente'!AD283</f>
        <v>0</v>
      </c>
      <c r="AH283" s="33" t="e">
        <f>INDEX('Dados - Placas'!$A:$A,MATCH('1'!AG283,'Dados - Placas'!$D:$D,0))</f>
        <v>#N/A</v>
      </c>
      <c r="AI283" s="35" t="e">
        <f>INDEX('Dados - Placas'!$E:$E,MATCH('1'!AG283,'Dados - Placas'!$D:$D,0))</f>
        <v>#N/A</v>
      </c>
      <c r="AJ283" s="34" t="e">
        <f>INDEX('Dados - Placas'!$F:$F,MATCH('1'!AG283,'Dados - Placas'!$D:$D,0))*AF283</f>
        <v>#N/A</v>
      </c>
      <c r="AK283" s="33">
        <f>'Dados - Cliente'!AE283</f>
        <v>0</v>
      </c>
      <c r="AL283" s="33">
        <f>'Dados - Cliente'!AF283</f>
        <v>0</v>
      </c>
      <c r="AM283" s="36" t="e">
        <f>INDEX('Dados - Inversores'!$A:$A,MATCH('1'!AL283,'Dados - Inversores'!$C:$C,0))</f>
        <v>#N/A</v>
      </c>
      <c r="AN283" s="33">
        <f>'Dados - Cliente'!AG283</f>
        <v>0</v>
      </c>
      <c r="AO283" s="33" t="e">
        <f>AA283*1.25/(0.22*SQRT(INDEX('Dados - Inversores'!AK:AK,MATCH('1'!AL283,'Dados - Inversores'!C:C,0))))</f>
        <v>#N/A</v>
      </c>
      <c r="AP283" s="34">
        <f>INDEX(Dados!$E$2:$E$33,COUNTIF(Dados!$E$2:$E$33,"&lt;="&amp;AN283*1.25/(INDEX('Dados - Inversores'!AL:AL,MATCH('1'!AL283,'Dados - Inversores'!C:C,0))*SQRT(INDEX('Dados - Inversores'!AK:AK,MATCH('1'!AL283,'Dados - Inversores'!C:C,0)))))+1)</f>
        <v>2</v>
      </c>
      <c r="AQ283" s="33" t="s">
        <v>59</v>
      </c>
      <c r="AR283" s="33" t="str">
        <f t="shared" si="24"/>
        <v>Micro</v>
      </c>
      <c r="AS283" s="33">
        <f>'Dados - Cliente'!AH283</f>
        <v>0</v>
      </c>
      <c r="AT283" s="33">
        <f>'Dados - Cliente'!AI283</f>
        <v>0</v>
      </c>
      <c r="AU283" s="33" t="e">
        <f>INDEX('Dados - Placas'!$N:$N,MATCH('1'!AG283,'Dados - Placas'!$D:$D,0))-1</f>
        <v>#N/A</v>
      </c>
      <c r="AV283" s="33" t="e">
        <f>INDEX('Dados - Placas'!$O:$O,MATCH('1'!AG283,'Dados - Placas'!$D:$D,0))</f>
        <v>#N/A</v>
      </c>
      <c r="AW283" s="33" t="e">
        <f>INDEX('Dados - Inversores'!AM:AM,MATCH('1'!AL283,'Dados - Inversores'!$C:$C,0))-1</f>
        <v>#N/A</v>
      </c>
      <c r="AX283" s="33" t="e">
        <f>INDEX('Dados - Inversores'!AN:AN,MATCH('1'!AL283,'Dados - Inversores'!$C:$C,0))-1</f>
        <v>#N/A</v>
      </c>
      <c r="AY283" s="33" t="e">
        <f>MATCH('1'!H283,Dados!$D$89:$D$167,0)+1</f>
        <v>#N/A</v>
      </c>
      <c r="AZ283" s="33" t="e">
        <f>MATCH('1'!N283,'Dados - Solicitação de acesso'!$N$2:$N$8,0)</f>
        <v>#N/A</v>
      </c>
      <c r="BA283" s="33" t="e">
        <f>MATCH('1'!T283,'Dados - Solicitação de acesso'!$T$2:$T$20,0)</f>
        <v>#N/A</v>
      </c>
    </row>
    <row r="284" spans="1:53" x14ac:dyDescent="0.35">
      <c r="A284" s="33">
        <f>'Dados - Cliente'!A284</f>
        <v>0</v>
      </c>
      <c r="B284" s="33">
        <f>'Dados - Cliente'!B284</f>
        <v>0</v>
      </c>
      <c r="C284" s="33">
        <f>'Dados - Cliente'!C284</f>
        <v>0</v>
      </c>
      <c r="D284" s="33">
        <f>'Dados - Cliente'!D284</f>
        <v>0</v>
      </c>
      <c r="E284" s="33">
        <f>'Dados - Cliente'!E284</f>
        <v>0</v>
      </c>
      <c r="F284" s="33">
        <f>'Dados - Cliente'!F284</f>
        <v>0</v>
      </c>
      <c r="G284" s="33">
        <f>'Dados - Cliente'!G284</f>
        <v>0</v>
      </c>
      <c r="H284" s="33">
        <f>'Dados - Cliente'!H284</f>
        <v>0</v>
      </c>
      <c r="I284" s="75" t="s">
        <v>4313</v>
      </c>
      <c r="J284" s="52" t="s">
        <v>4314</v>
      </c>
      <c r="K284" s="52" t="s">
        <v>4314</v>
      </c>
      <c r="L284" s="33">
        <f>'Dados - Cliente'!I284</f>
        <v>0</v>
      </c>
      <c r="M284" s="33">
        <f>'Dados - Cliente'!K284</f>
        <v>0</v>
      </c>
      <c r="N284" s="33">
        <f>'Dados - Cliente'!L284</f>
        <v>0</v>
      </c>
      <c r="O284" s="33">
        <f>'Dados - Cliente'!M284</f>
        <v>0</v>
      </c>
      <c r="P284" s="33">
        <f>'Dados - Cliente'!N284</f>
        <v>0</v>
      </c>
      <c r="Q284" s="33">
        <f>'Dados - Cliente'!O284</f>
        <v>0</v>
      </c>
      <c r="R284" s="33">
        <f>'Dados - Cliente'!P284</f>
        <v>0</v>
      </c>
      <c r="S284" s="33">
        <f>'Dados - Cliente'!Q284</f>
        <v>0</v>
      </c>
      <c r="T284" s="33">
        <f>'Dados - Cliente'!R284</f>
        <v>0</v>
      </c>
      <c r="U284" s="34">
        <f>'Dados - Cliente'!S284</f>
        <v>0</v>
      </c>
      <c r="V284" s="34">
        <f>'Dados - Cliente'!T284</f>
        <v>0</v>
      </c>
      <c r="W284" s="34">
        <f>'Dados - Cliente'!U284</f>
        <v>0</v>
      </c>
      <c r="X284" s="34">
        <f>'Dados - Cliente'!V284</f>
        <v>0</v>
      </c>
      <c r="Y284" s="34">
        <f>'Dados - Cliente'!W284</f>
        <v>0</v>
      </c>
      <c r="Z284" s="34">
        <f>'Dados - Cliente'!X284</f>
        <v>0</v>
      </c>
      <c r="AA284" s="33" t="e">
        <f t="shared" si="23"/>
        <v>#N/A</v>
      </c>
      <c r="AB284" s="33">
        <f>'Dados - Cliente'!Y284</f>
        <v>0</v>
      </c>
      <c r="AC284" s="33">
        <f>'Dados - Cliente'!Z284</f>
        <v>0</v>
      </c>
      <c r="AD284" s="33">
        <f>'Dados - Cliente'!AA284</f>
        <v>0</v>
      </c>
      <c r="AE284" s="33">
        <f>'Dados - Cliente'!AB284</f>
        <v>0</v>
      </c>
      <c r="AF284" s="33">
        <f>'Dados - Cliente'!AC284</f>
        <v>0</v>
      </c>
      <c r="AG284" s="35">
        <f>'Dados - Cliente'!AD284</f>
        <v>0</v>
      </c>
      <c r="AH284" s="33" t="e">
        <f>INDEX('Dados - Placas'!$A:$A,MATCH('1'!AG284,'Dados - Placas'!$D:$D,0))</f>
        <v>#N/A</v>
      </c>
      <c r="AI284" s="35" t="e">
        <f>INDEX('Dados - Placas'!$E:$E,MATCH('1'!AG284,'Dados - Placas'!$D:$D,0))</f>
        <v>#N/A</v>
      </c>
      <c r="AJ284" s="34" t="e">
        <f>INDEX('Dados - Placas'!$F:$F,MATCH('1'!AG284,'Dados - Placas'!$D:$D,0))*AF284</f>
        <v>#N/A</v>
      </c>
      <c r="AK284" s="33">
        <f>'Dados - Cliente'!AE284</f>
        <v>0</v>
      </c>
      <c r="AL284" s="33">
        <f>'Dados - Cliente'!AF284</f>
        <v>0</v>
      </c>
      <c r="AM284" s="36" t="e">
        <f>INDEX('Dados - Inversores'!$A:$A,MATCH('1'!AL284,'Dados - Inversores'!$C:$C,0))</f>
        <v>#N/A</v>
      </c>
      <c r="AN284" s="33">
        <f>'Dados - Cliente'!AG284</f>
        <v>0</v>
      </c>
      <c r="AO284" s="33" t="e">
        <f>AA284*1.25/(0.22*SQRT(INDEX('Dados - Inversores'!AK:AK,MATCH('1'!AL284,'Dados - Inversores'!C:C,0))))</f>
        <v>#N/A</v>
      </c>
      <c r="AP284" s="34">
        <f>INDEX(Dados!$E$2:$E$33,COUNTIF(Dados!$E$2:$E$33,"&lt;="&amp;AN284*1.25/(INDEX('Dados - Inversores'!AL:AL,MATCH('1'!AL284,'Dados - Inversores'!C:C,0))*SQRT(INDEX('Dados - Inversores'!AK:AK,MATCH('1'!AL284,'Dados - Inversores'!C:C,0)))))+1)</f>
        <v>2</v>
      </c>
      <c r="AQ284" s="33" t="s">
        <v>59</v>
      </c>
      <c r="AR284" s="33" t="str">
        <f t="shared" si="24"/>
        <v>Micro</v>
      </c>
      <c r="AS284" s="33">
        <f>'Dados - Cliente'!AH284</f>
        <v>0</v>
      </c>
      <c r="AT284" s="33">
        <f>'Dados - Cliente'!AI284</f>
        <v>0</v>
      </c>
      <c r="AU284" s="33" t="e">
        <f>INDEX('Dados - Placas'!$N:$N,MATCH('1'!AG284,'Dados - Placas'!$D:$D,0))-1</f>
        <v>#N/A</v>
      </c>
      <c r="AV284" s="33" t="e">
        <f>INDEX('Dados - Placas'!$O:$O,MATCH('1'!AG284,'Dados - Placas'!$D:$D,0))</f>
        <v>#N/A</v>
      </c>
      <c r="AW284" s="33" t="e">
        <f>INDEX('Dados - Inversores'!AM:AM,MATCH('1'!AL284,'Dados - Inversores'!$C:$C,0))-1</f>
        <v>#N/A</v>
      </c>
      <c r="AX284" s="33" t="e">
        <f>INDEX('Dados - Inversores'!AN:AN,MATCH('1'!AL284,'Dados - Inversores'!$C:$C,0))-1</f>
        <v>#N/A</v>
      </c>
      <c r="AY284" s="33" t="e">
        <f>MATCH('1'!H284,Dados!$D$89:$D$167,0)+1</f>
        <v>#N/A</v>
      </c>
      <c r="AZ284" s="33" t="e">
        <f>MATCH('1'!N284,'Dados - Solicitação de acesso'!$N$2:$N$8,0)</f>
        <v>#N/A</v>
      </c>
      <c r="BA284" s="33" t="e">
        <f>MATCH('1'!T284,'Dados - Solicitação de acesso'!$T$2:$T$20,0)</f>
        <v>#N/A</v>
      </c>
    </row>
    <row r="285" spans="1:53" x14ac:dyDescent="0.35">
      <c r="A285" s="33">
        <f>'Dados - Cliente'!A285</f>
        <v>0</v>
      </c>
      <c r="B285" s="33">
        <f>'Dados - Cliente'!B285</f>
        <v>0</v>
      </c>
      <c r="C285" s="33">
        <f>'Dados - Cliente'!C285</f>
        <v>0</v>
      </c>
      <c r="D285" s="33">
        <f>'Dados - Cliente'!D285</f>
        <v>0</v>
      </c>
      <c r="E285" s="33">
        <f>'Dados - Cliente'!E285</f>
        <v>0</v>
      </c>
      <c r="F285" s="33">
        <f>'Dados - Cliente'!F285</f>
        <v>0</v>
      </c>
      <c r="G285" s="33">
        <f>'Dados - Cliente'!G285</f>
        <v>0</v>
      </c>
      <c r="H285" s="33">
        <f>'Dados - Cliente'!H285</f>
        <v>0</v>
      </c>
      <c r="I285" s="75" t="s">
        <v>4313</v>
      </c>
      <c r="J285" s="52" t="s">
        <v>4314</v>
      </c>
      <c r="K285" s="52" t="s">
        <v>4314</v>
      </c>
      <c r="L285" s="33">
        <f>'Dados - Cliente'!I285</f>
        <v>0</v>
      </c>
      <c r="M285" s="33">
        <f>'Dados - Cliente'!K285</f>
        <v>0</v>
      </c>
      <c r="N285" s="33">
        <f>'Dados - Cliente'!L285</f>
        <v>0</v>
      </c>
      <c r="O285" s="33">
        <f>'Dados - Cliente'!M285</f>
        <v>0</v>
      </c>
      <c r="P285" s="33">
        <f>'Dados - Cliente'!N285</f>
        <v>0</v>
      </c>
      <c r="Q285" s="33">
        <f>'Dados - Cliente'!O285</f>
        <v>0</v>
      </c>
      <c r="R285" s="33">
        <f>'Dados - Cliente'!P285</f>
        <v>0</v>
      </c>
      <c r="S285" s="33">
        <f>'Dados - Cliente'!Q285</f>
        <v>0</v>
      </c>
      <c r="T285" s="33">
        <f>'Dados - Cliente'!R285</f>
        <v>0</v>
      </c>
      <c r="U285" s="34">
        <f>'Dados - Cliente'!S285</f>
        <v>0</v>
      </c>
      <c r="V285" s="34">
        <f>'Dados - Cliente'!T285</f>
        <v>0</v>
      </c>
      <c r="W285" s="34">
        <f>'Dados - Cliente'!U285</f>
        <v>0</v>
      </c>
      <c r="X285" s="34">
        <f>'Dados - Cliente'!V285</f>
        <v>0</v>
      </c>
      <c r="Y285" s="34">
        <f>'Dados - Cliente'!W285</f>
        <v>0</v>
      </c>
      <c r="Z285" s="34">
        <f>'Dados - Cliente'!X285</f>
        <v>0</v>
      </c>
      <c r="AA285" s="33" t="e">
        <f t="shared" si="23"/>
        <v>#N/A</v>
      </c>
      <c r="AB285" s="33">
        <f>'Dados - Cliente'!Y285</f>
        <v>0</v>
      </c>
      <c r="AC285" s="33">
        <f>'Dados - Cliente'!Z285</f>
        <v>0</v>
      </c>
      <c r="AD285" s="33">
        <f>'Dados - Cliente'!AA285</f>
        <v>0</v>
      </c>
      <c r="AE285" s="33">
        <f>'Dados - Cliente'!AB285</f>
        <v>0</v>
      </c>
      <c r="AF285" s="33">
        <f>'Dados - Cliente'!AC285</f>
        <v>0</v>
      </c>
      <c r="AG285" s="35">
        <f>'Dados - Cliente'!AD285</f>
        <v>0</v>
      </c>
      <c r="AH285" s="33" t="e">
        <f>INDEX('Dados - Placas'!$A:$A,MATCH('1'!AG285,'Dados - Placas'!$D:$D,0))</f>
        <v>#N/A</v>
      </c>
      <c r="AI285" s="35" t="e">
        <f>INDEX('Dados - Placas'!$E:$E,MATCH('1'!AG285,'Dados - Placas'!$D:$D,0))</f>
        <v>#N/A</v>
      </c>
      <c r="AJ285" s="34" t="e">
        <f>INDEX('Dados - Placas'!$F:$F,MATCH('1'!AG285,'Dados - Placas'!$D:$D,0))*AF285</f>
        <v>#N/A</v>
      </c>
      <c r="AK285" s="33">
        <f>'Dados - Cliente'!AE285</f>
        <v>0</v>
      </c>
      <c r="AL285" s="33">
        <f>'Dados - Cliente'!AF285</f>
        <v>0</v>
      </c>
      <c r="AM285" s="36" t="e">
        <f>INDEX('Dados - Inversores'!$A:$A,MATCH('1'!AL285,'Dados - Inversores'!$C:$C,0))</f>
        <v>#N/A</v>
      </c>
      <c r="AN285" s="33">
        <f>'Dados - Cliente'!AG285</f>
        <v>0</v>
      </c>
      <c r="AO285" s="33" t="e">
        <f>AA285*1.25/(0.22*SQRT(INDEX('Dados - Inversores'!AK:AK,MATCH('1'!AL285,'Dados - Inversores'!C:C,0))))</f>
        <v>#N/A</v>
      </c>
      <c r="AP285" s="34">
        <f>INDEX(Dados!$E$2:$E$33,COUNTIF(Dados!$E$2:$E$33,"&lt;="&amp;AN285*1.25/(INDEX('Dados - Inversores'!AL:AL,MATCH('1'!AL285,'Dados - Inversores'!C:C,0))*SQRT(INDEX('Dados - Inversores'!AK:AK,MATCH('1'!AL285,'Dados - Inversores'!C:C,0)))))+1)</f>
        <v>2</v>
      </c>
      <c r="AQ285" s="33" t="s">
        <v>59</v>
      </c>
      <c r="AR285" s="33" t="str">
        <f t="shared" si="24"/>
        <v>Micro</v>
      </c>
      <c r="AS285" s="33">
        <f>'Dados - Cliente'!AH285</f>
        <v>0</v>
      </c>
      <c r="AT285" s="33">
        <f>'Dados - Cliente'!AI285</f>
        <v>0</v>
      </c>
      <c r="AU285" s="33" t="e">
        <f>INDEX('Dados - Placas'!$N:$N,MATCH('1'!AG285,'Dados - Placas'!$D:$D,0))-1</f>
        <v>#N/A</v>
      </c>
      <c r="AV285" s="33" t="e">
        <f>INDEX('Dados - Placas'!$O:$O,MATCH('1'!AG285,'Dados - Placas'!$D:$D,0))</f>
        <v>#N/A</v>
      </c>
      <c r="AW285" s="33" t="e">
        <f>INDEX('Dados - Inversores'!AM:AM,MATCH('1'!AL285,'Dados - Inversores'!$C:$C,0))-1</f>
        <v>#N/A</v>
      </c>
      <c r="AX285" s="33" t="e">
        <f>INDEX('Dados - Inversores'!AN:AN,MATCH('1'!AL285,'Dados - Inversores'!$C:$C,0))-1</f>
        <v>#N/A</v>
      </c>
      <c r="AY285" s="33" t="e">
        <f>MATCH('1'!H285,Dados!$D$89:$D$167,0)+1</f>
        <v>#N/A</v>
      </c>
      <c r="AZ285" s="33" t="e">
        <f>MATCH('1'!N285,'Dados - Solicitação de acesso'!$N$2:$N$8,0)</f>
        <v>#N/A</v>
      </c>
      <c r="BA285" s="33" t="e">
        <f>MATCH('1'!T285,'Dados - Solicitação de acesso'!$T$2:$T$20,0)</f>
        <v>#N/A</v>
      </c>
    </row>
    <row r="286" spans="1:53" x14ac:dyDescent="0.35">
      <c r="A286" s="33">
        <f>'Dados - Cliente'!A286</f>
        <v>0</v>
      </c>
      <c r="B286" s="33">
        <f>'Dados - Cliente'!B286</f>
        <v>0</v>
      </c>
      <c r="C286" s="33">
        <f>'Dados - Cliente'!C286</f>
        <v>0</v>
      </c>
      <c r="D286" s="33">
        <f>'Dados - Cliente'!D286</f>
        <v>0</v>
      </c>
      <c r="E286" s="33">
        <f>'Dados - Cliente'!E286</f>
        <v>0</v>
      </c>
      <c r="F286" s="33">
        <f>'Dados - Cliente'!F286</f>
        <v>0</v>
      </c>
      <c r="G286" s="33">
        <f>'Dados - Cliente'!G286</f>
        <v>0</v>
      </c>
      <c r="H286" s="33">
        <f>'Dados - Cliente'!H286</f>
        <v>0</v>
      </c>
      <c r="I286" s="75" t="s">
        <v>4313</v>
      </c>
      <c r="J286" s="52" t="s">
        <v>4314</v>
      </c>
      <c r="K286" s="52" t="s">
        <v>4314</v>
      </c>
      <c r="L286" s="33">
        <f>'Dados - Cliente'!I286</f>
        <v>0</v>
      </c>
      <c r="M286" s="33">
        <f>'Dados - Cliente'!K286</f>
        <v>0</v>
      </c>
      <c r="N286" s="33">
        <f>'Dados - Cliente'!L286</f>
        <v>0</v>
      </c>
      <c r="O286" s="33">
        <f>'Dados - Cliente'!M286</f>
        <v>0</v>
      </c>
      <c r="P286" s="33">
        <f>'Dados - Cliente'!N286</f>
        <v>0</v>
      </c>
      <c r="Q286" s="33">
        <f>'Dados - Cliente'!O286</f>
        <v>0</v>
      </c>
      <c r="R286" s="33">
        <f>'Dados - Cliente'!P286</f>
        <v>0</v>
      </c>
      <c r="S286" s="33">
        <f>'Dados - Cliente'!Q286</f>
        <v>0</v>
      </c>
      <c r="T286" s="33">
        <f>'Dados - Cliente'!R286</f>
        <v>0</v>
      </c>
      <c r="U286" s="34">
        <f>'Dados - Cliente'!S286</f>
        <v>0</v>
      </c>
      <c r="V286" s="34">
        <f>'Dados - Cliente'!T286</f>
        <v>0</v>
      </c>
      <c r="W286" s="34">
        <f>'Dados - Cliente'!U286</f>
        <v>0</v>
      </c>
      <c r="X286" s="34">
        <f>'Dados - Cliente'!V286</f>
        <v>0</v>
      </c>
      <c r="Y286" s="34">
        <f>'Dados - Cliente'!W286</f>
        <v>0</v>
      </c>
      <c r="Z286" s="34">
        <f>'Dados - Cliente'!X286</f>
        <v>0</v>
      </c>
      <c r="AA286" s="33" t="e">
        <f t="shared" si="23"/>
        <v>#N/A</v>
      </c>
      <c r="AB286" s="33">
        <f>'Dados - Cliente'!Y286</f>
        <v>0</v>
      </c>
      <c r="AC286" s="33">
        <f>'Dados - Cliente'!Z286</f>
        <v>0</v>
      </c>
      <c r="AD286" s="33">
        <f>'Dados - Cliente'!AA286</f>
        <v>0</v>
      </c>
      <c r="AE286" s="33">
        <f>'Dados - Cliente'!AB286</f>
        <v>0</v>
      </c>
      <c r="AF286" s="33">
        <f>'Dados - Cliente'!AC286</f>
        <v>0</v>
      </c>
      <c r="AG286" s="35">
        <f>'Dados - Cliente'!AD286</f>
        <v>0</v>
      </c>
      <c r="AH286" s="33" t="e">
        <f>INDEX('Dados - Placas'!$A:$A,MATCH('1'!AG286,'Dados - Placas'!$D:$D,0))</f>
        <v>#N/A</v>
      </c>
      <c r="AI286" s="35" t="e">
        <f>INDEX('Dados - Placas'!$E:$E,MATCH('1'!AG286,'Dados - Placas'!$D:$D,0))</f>
        <v>#N/A</v>
      </c>
      <c r="AJ286" s="34" t="e">
        <f>INDEX('Dados - Placas'!$F:$F,MATCH('1'!AG286,'Dados - Placas'!$D:$D,0))*AF286</f>
        <v>#N/A</v>
      </c>
      <c r="AK286" s="33">
        <f>'Dados - Cliente'!AE286</f>
        <v>0</v>
      </c>
      <c r="AL286" s="33">
        <f>'Dados - Cliente'!AF286</f>
        <v>0</v>
      </c>
      <c r="AM286" s="36" t="e">
        <f>INDEX('Dados - Inversores'!$A:$A,MATCH('1'!AL286,'Dados - Inversores'!$C:$C,0))</f>
        <v>#N/A</v>
      </c>
      <c r="AN286" s="33">
        <f>'Dados - Cliente'!AG286</f>
        <v>0</v>
      </c>
      <c r="AO286" s="33" t="e">
        <f>AA286*1.25/(0.22*SQRT(INDEX('Dados - Inversores'!AK:AK,MATCH('1'!AL286,'Dados - Inversores'!C:C,0))))</f>
        <v>#N/A</v>
      </c>
      <c r="AP286" s="34">
        <f>INDEX(Dados!$E$2:$E$33,COUNTIF(Dados!$E$2:$E$33,"&lt;="&amp;AN286*1.25/(INDEX('Dados - Inversores'!AL:AL,MATCH('1'!AL286,'Dados - Inversores'!C:C,0))*SQRT(INDEX('Dados - Inversores'!AK:AK,MATCH('1'!AL286,'Dados - Inversores'!C:C,0)))))+1)</f>
        <v>2</v>
      </c>
      <c r="AQ286" s="33" t="s">
        <v>59</v>
      </c>
      <c r="AR286" s="33" t="str">
        <f t="shared" si="24"/>
        <v>Micro</v>
      </c>
      <c r="AS286" s="33">
        <f>'Dados - Cliente'!AH286</f>
        <v>0</v>
      </c>
      <c r="AT286" s="33">
        <f>'Dados - Cliente'!AI286</f>
        <v>0</v>
      </c>
      <c r="AU286" s="33" t="e">
        <f>INDEX('Dados - Placas'!$N:$N,MATCH('1'!AG286,'Dados - Placas'!$D:$D,0))-1</f>
        <v>#N/A</v>
      </c>
      <c r="AV286" s="33" t="e">
        <f>INDEX('Dados - Placas'!$O:$O,MATCH('1'!AG286,'Dados - Placas'!$D:$D,0))</f>
        <v>#N/A</v>
      </c>
      <c r="AW286" s="33" t="e">
        <f>INDEX('Dados - Inversores'!AM:AM,MATCH('1'!AL286,'Dados - Inversores'!$C:$C,0))-1</f>
        <v>#N/A</v>
      </c>
      <c r="AX286" s="33" t="e">
        <f>INDEX('Dados - Inversores'!AN:AN,MATCH('1'!AL286,'Dados - Inversores'!$C:$C,0))-1</f>
        <v>#N/A</v>
      </c>
      <c r="AY286" s="33" t="e">
        <f>MATCH('1'!H286,Dados!$D$89:$D$167,0)+1</f>
        <v>#N/A</v>
      </c>
      <c r="AZ286" s="33" t="e">
        <f>MATCH('1'!N286,'Dados - Solicitação de acesso'!$N$2:$N$8,0)</f>
        <v>#N/A</v>
      </c>
      <c r="BA286" s="33" t="e">
        <f>MATCH('1'!T286,'Dados - Solicitação de acesso'!$T$2:$T$20,0)</f>
        <v>#N/A</v>
      </c>
    </row>
    <row r="287" spans="1:53" x14ac:dyDescent="0.35">
      <c r="A287" s="33">
        <f>'Dados - Cliente'!A287</f>
        <v>0</v>
      </c>
      <c r="B287" s="33">
        <f>'Dados - Cliente'!B287</f>
        <v>0</v>
      </c>
      <c r="C287" s="33">
        <f>'Dados - Cliente'!C287</f>
        <v>0</v>
      </c>
      <c r="D287" s="33">
        <f>'Dados - Cliente'!D287</f>
        <v>0</v>
      </c>
      <c r="E287" s="33">
        <f>'Dados - Cliente'!E287</f>
        <v>0</v>
      </c>
      <c r="F287" s="33">
        <f>'Dados - Cliente'!F287</f>
        <v>0</v>
      </c>
      <c r="G287" s="33">
        <f>'Dados - Cliente'!G287</f>
        <v>0</v>
      </c>
      <c r="H287" s="33">
        <f>'Dados - Cliente'!H287</f>
        <v>0</v>
      </c>
      <c r="I287" s="75" t="s">
        <v>4313</v>
      </c>
      <c r="J287" s="52" t="s">
        <v>4314</v>
      </c>
      <c r="K287" s="52" t="s">
        <v>4314</v>
      </c>
      <c r="L287" s="33">
        <f>'Dados - Cliente'!I287</f>
        <v>0</v>
      </c>
      <c r="M287" s="33">
        <f>'Dados - Cliente'!K287</f>
        <v>0</v>
      </c>
      <c r="N287" s="33">
        <f>'Dados - Cliente'!L287</f>
        <v>0</v>
      </c>
      <c r="O287" s="33">
        <f>'Dados - Cliente'!M287</f>
        <v>0</v>
      </c>
      <c r="P287" s="33">
        <f>'Dados - Cliente'!N287</f>
        <v>0</v>
      </c>
      <c r="Q287" s="33">
        <f>'Dados - Cliente'!O287</f>
        <v>0</v>
      </c>
      <c r="R287" s="33">
        <f>'Dados - Cliente'!P287</f>
        <v>0</v>
      </c>
      <c r="S287" s="33">
        <f>'Dados - Cliente'!Q287</f>
        <v>0</v>
      </c>
      <c r="T287" s="33">
        <f>'Dados - Cliente'!R287</f>
        <v>0</v>
      </c>
      <c r="U287" s="34">
        <f>'Dados - Cliente'!S287</f>
        <v>0</v>
      </c>
      <c r="V287" s="34">
        <f>'Dados - Cliente'!T287</f>
        <v>0</v>
      </c>
      <c r="W287" s="34">
        <f>'Dados - Cliente'!U287</f>
        <v>0</v>
      </c>
      <c r="X287" s="34">
        <f>'Dados - Cliente'!V287</f>
        <v>0</v>
      </c>
      <c r="Y287" s="34">
        <f>'Dados - Cliente'!W287</f>
        <v>0</v>
      </c>
      <c r="Z287" s="34">
        <f>'Dados - Cliente'!X287</f>
        <v>0</v>
      </c>
      <c r="AA287" s="33" t="e">
        <f t="shared" si="23"/>
        <v>#N/A</v>
      </c>
      <c r="AB287" s="33">
        <f>'Dados - Cliente'!Y287</f>
        <v>0</v>
      </c>
      <c r="AC287" s="33">
        <f>'Dados - Cliente'!Z287</f>
        <v>0</v>
      </c>
      <c r="AD287" s="33">
        <f>'Dados - Cliente'!AA287</f>
        <v>0</v>
      </c>
      <c r="AE287" s="33">
        <f>'Dados - Cliente'!AB287</f>
        <v>0</v>
      </c>
      <c r="AF287" s="33">
        <f>'Dados - Cliente'!AC287</f>
        <v>0</v>
      </c>
      <c r="AG287" s="35">
        <f>'Dados - Cliente'!AD287</f>
        <v>0</v>
      </c>
      <c r="AH287" s="33" t="e">
        <f>INDEX('Dados - Placas'!$A:$A,MATCH('1'!AG287,'Dados - Placas'!$D:$D,0))</f>
        <v>#N/A</v>
      </c>
      <c r="AI287" s="35" t="e">
        <f>INDEX('Dados - Placas'!$E:$E,MATCH('1'!AG287,'Dados - Placas'!$D:$D,0))</f>
        <v>#N/A</v>
      </c>
      <c r="AJ287" s="34" t="e">
        <f>INDEX('Dados - Placas'!$F:$F,MATCH('1'!AG287,'Dados - Placas'!$D:$D,0))*AF287</f>
        <v>#N/A</v>
      </c>
      <c r="AK287" s="33">
        <f>'Dados - Cliente'!AE287</f>
        <v>0</v>
      </c>
      <c r="AL287" s="33">
        <f>'Dados - Cliente'!AF287</f>
        <v>0</v>
      </c>
      <c r="AM287" s="36" t="e">
        <f>INDEX('Dados - Inversores'!$A:$A,MATCH('1'!AL287,'Dados - Inversores'!$C:$C,0))</f>
        <v>#N/A</v>
      </c>
      <c r="AN287" s="33">
        <f>'Dados - Cliente'!AG287</f>
        <v>0</v>
      </c>
      <c r="AO287" s="33" t="e">
        <f>AA287*1.25/(0.22*SQRT(INDEX('Dados - Inversores'!AK:AK,MATCH('1'!AL287,'Dados - Inversores'!C:C,0))))</f>
        <v>#N/A</v>
      </c>
      <c r="AP287" s="34">
        <f>INDEX(Dados!$E$2:$E$33,COUNTIF(Dados!$E$2:$E$33,"&lt;="&amp;AN287*1.25/(INDEX('Dados - Inversores'!AL:AL,MATCH('1'!AL287,'Dados - Inversores'!C:C,0))*SQRT(INDEX('Dados - Inversores'!AK:AK,MATCH('1'!AL287,'Dados - Inversores'!C:C,0)))))+1)</f>
        <v>2</v>
      </c>
      <c r="AQ287" s="33" t="s">
        <v>59</v>
      </c>
      <c r="AR287" s="33" t="str">
        <f t="shared" si="24"/>
        <v>Micro</v>
      </c>
      <c r="AS287" s="33">
        <f>'Dados - Cliente'!AH287</f>
        <v>0</v>
      </c>
      <c r="AT287" s="33">
        <f>'Dados - Cliente'!AI287</f>
        <v>0</v>
      </c>
      <c r="AU287" s="33" t="e">
        <f>INDEX('Dados - Placas'!$N:$N,MATCH('1'!AG287,'Dados - Placas'!$D:$D,0))-1</f>
        <v>#N/A</v>
      </c>
      <c r="AV287" s="33" t="e">
        <f>INDEX('Dados - Placas'!$O:$O,MATCH('1'!AG287,'Dados - Placas'!$D:$D,0))</f>
        <v>#N/A</v>
      </c>
      <c r="AW287" s="33" t="e">
        <f>INDEX('Dados - Inversores'!AM:AM,MATCH('1'!AL287,'Dados - Inversores'!$C:$C,0))-1</f>
        <v>#N/A</v>
      </c>
      <c r="AX287" s="33" t="e">
        <f>INDEX('Dados - Inversores'!AN:AN,MATCH('1'!AL287,'Dados - Inversores'!$C:$C,0))-1</f>
        <v>#N/A</v>
      </c>
      <c r="AY287" s="33" t="e">
        <f>MATCH('1'!H287,Dados!$D$89:$D$167,0)+1</f>
        <v>#N/A</v>
      </c>
      <c r="AZ287" s="33" t="e">
        <f>MATCH('1'!N287,'Dados - Solicitação de acesso'!$N$2:$N$8,0)</f>
        <v>#N/A</v>
      </c>
      <c r="BA287" s="33" t="e">
        <f>MATCH('1'!T287,'Dados - Solicitação de acesso'!$T$2:$T$20,0)</f>
        <v>#N/A</v>
      </c>
    </row>
    <row r="288" spans="1:53" x14ac:dyDescent="0.35">
      <c r="A288" s="33">
        <f>'Dados - Cliente'!A288</f>
        <v>0</v>
      </c>
      <c r="B288" s="33">
        <f>'Dados - Cliente'!B288</f>
        <v>0</v>
      </c>
      <c r="C288" s="33">
        <f>'Dados - Cliente'!C288</f>
        <v>0</v>
      </c>
      <c r="D288" s="33">
        <f>'Dados - Cliente'!D288</f>
        <v>0</v>
      </c>
      <c r="E288" s="33">
        <f>'Dados - Cliente'!E288</f>
        <v>0</v>
      </c>
      <c r="F288" s="33">
        <f>'Dados - Cliente'!F288</f>
        <v>0</v>
      </c>
      <c r="G288" s="33">
        <f>'Dados - Cliente'!G288</f>
        <v>0</v>
      </c>
      <c r="H288" s="33">
        <f>'Dados - Cliente'!H288</f>
        <v>0</v>
      </c>
      <c r="I288" s="75" t="s">
        <v>4313</v>
      </c>
      <c r="J288" s="52" t="s">
        <v>4314</v>
      </c>
      <c r="K288" s="52" t="s">
        <v>4314</v>
      </c>
      <c r="L288" s="33">
        <f>'Dados - Cliente'!I288</f>
        <v>0</v>
      </c>
      <c r="M288" s="33">
        <f>'Dados - Cliente'!K288</f>
        <v>0</v>
      </c>
      <c r="N288" s="33">
        <f>'Dados - Cliente'!L288</f>
        <v>0</v>
      </c>
      <c r="O288" s="33">
        <f>'Dados - Cliente'!M288</f>
        <v>0</v>
      </c>
      <c r="P288" s="33">
        <f>'Dados - Cliente'!N288</f>
        <v>0</v>
      </c>
      <c r="Q288" s="33">
        <f>'Dados - Cliente'!O288</f>
        <v>0</v>
      </c>
      <c r="R288" s="33">
        <f>'Dados - Cliente'!P288</f>
        <v>0</v>
      </c>
      <c r="S288" s="33">
        <f>'Dados - Cliente'!Q288</f>
        <v>0</v>
      </c>
      <c r="T288" s="33">
        <f>'Dados - Cliente'!R288</f>
        <v>0</v>
      </c>
      <c r="U288" s="34">
        <f>'Dados - Cliente'!S288</f>
        <v>0</v>
      </c>
      <c r="V288" s="34">
        <f>'Dados - Cliente'!T288</f>
        <v>0</v>
      </c>
      <c r="W288" s="34">
        <f>'Dados - Cliente'!U288</f>
        <v>0</v>
      </c>
      <c r="X288" s="34">
        <f>'Dados - Cliente'!V288</f>
        <v>0</v>
      </c>
      <c r="Y288" s="34">
        <f>'Dados - Cliente'!W288</f>
        <v>0</v>
      </c>
      <c r="Z288" s="34">
        <f>'Dados - Cliente'!X288</f>
        <v>0</v>
      </c>
      <c r="AA288" s="33" t="e">
        <f t="shared" si="23"/>
        <v>#N/A</v>
      </c>
      <c r="AB288" s="33">
        <f>'Dados - Cliente'!Y288</f>
        <v>0</v>
      </c>
      <c r="AC288" s="33">
        <f>'Dados - Cliente'!Z288</f>
        <v>0</v>
      </c>
      <c r="AD288" s="33">
        <f>'Dados - Cliente'!AA288</f>
        <v>0</v>
      </c>
      <c r="AE288" s="33">
        <f>'Dados - Cliente'!AB288</f>
        <v>0</v>
      </c>
      <c r="AF288" s="33">
        <f>'Dados - Cliente'!AC288</f>
        <v>0</v>
      </c>
      <c r="AG288" s="35">
        <f>'Dados - Cliente'!AD288</f>
        <v>0</v>
      </c>
      <c r="AH288" s="33" t="e">
        <f>INDEX('Dados - Placas'!$A:$A,MATCH('1'!AG288,'Dados - Placas'!$D:$D,0))</f>
        <v>#N/A</v>
      </c>
      <c r="AI288" s="35" t="e">
        <f>INDEX('Dados - Placas'!$E:$E,MATCH('1'!AG288,'Dados - Placas'!$D:$D,0))</f>
        <v>#N/A</v>
      </c>
      <c r="AJ288" s="34" t="e">
        <f>INDEX('Dados - Placas'!$F:$F,MATCH('1'!AG288,'Dados - Placas'!$D:$D,0))*AF288</f>
        <v>#N/A</v>
      </c>
      <c r="AK288" s="33">
        <f>'Dados - Cliente'!AE288</f>
        <v>0</v>
      </c>
      <c r="AL288" s="33">
        <f>'Dados - Cliente'!AF288</f>
        <v>0</v>
      </c>
      <c r="AM288" s="36" t="e">
        <f>INDEX('Dados - Inversores'!$A:$A,MATCH('1'!AL288,'Dados - Inversores'!$C:$C,0))</f>
        <v>#N/A</v>
      </c>
      <c r="AN288" s="33">
        <f>'Dados - Cliente'!AG288</f>
        <v>0</v>
      </c>
      <c r="AO288" s="33" t="e">
        <f>AA288*1.25/(0.22*SQRT(INDEX('Dados - Inversores'!AK:AK,MATCH('1'!AL288,'Dados - Inversores'!C:C,0))))</f>
        <v>#N/A</v>
      </c>
      <c r="AP288" s="34">
        <f>INDEX(Dados!$E$2:$E$33,COUNTIF(Dados!$E$2:$E$33,"&lt;="&amp;AN288*1.25/(INDEX('Dados - Inversores'!AL:AL,MATCH('1'!AL288,'Dados - Inversores'!C:C,0))*SQRT(INDEX('Dados - Inversores'!AK:AK,MATCH('1'!AL288,'Dados - Inversores'!C:C,0)))))+1)</f>
        <v>2</v>
      </c>
      <c r="AQ288" s="33" t="s">
        <v>59</v>
      </c>
      <c r="AR288" s="33" t="str">
        <f t="shared" si="24"/>
        <v>Micro</v>
      </c>
      <c r="AS288" s="33">
        <f>'Dados - Cliente'!AH288</f>
        <v>0</v>
      </c>
      <c r="AT288" s="33">
        <f>'Dados - Cliente'!AI288</f>
        <v>0</v>
      </c>
      <c r="AU288" s="33" t="e">
        <f>INDEX('Dados - Placas'!$N:$N,MATCH('1'!AG288,'Dados - Placas'!$D:$D,0))-1</f>
        <v>#N/A</v>
      </c>
      <c r="AV288" s="33" t="e">
        <f>INDEX('Dados - Placas'!$O:$O,MATCH('1'!AG288,'Dados - Placas'!$D:$D,0))</f>
        <v>#N/A</v>
      </c>
      <c r="AW288" s="33" t="e">
        <f>INDEX('Dados - Inversores'!AM:AM,MATCH('1'!AL288,'Dados - Inversores'!$C:$C,0))-1</f>
        <v>#N/A</v>
      </c>
      <c r="AX288" s="33" t="e">
        <f>INDEX('Dados - Inversores'!AN:AN,MATCH('1'!AL288,'Dados - Inversores'!$C:$C,0))-1</f>
        <v>#N/A</v>
      </c>
      <c r="AY288" s="33" t="e">
        <f>MATCH('1'!H288,Dados!$D$89:$D$167,0)+1</f>
        <v>#N/A</v>
      </c>
      <c r="AZ288" s="33" t="e">
        <f>MATCH('1'!N288,'Dados - Solicitação de acesso'!$N$2:$N$8,0)</f>
        <v>#N/A</v>
      </c>
      <c r="BA288" s="33" t="e">
        <f>MATCH('1'!T288,'Dados - Solicitação de acesso'!$T$2:$T$20,0)</f>
        <v>#N/A</v>
      </c>
    </row>
    <row r="289" spans="1:53" x14ac:dyDescent="0.35">
      <c r="A289" s="33">
        <f>'Dados - Cliente'!A289</f>
        <v>0</v>
      </c>
      <c r="B289" s="33">
        <f>'Dados - Cliente'!B289</f>
        <v>0</v>
      </c>
      <c r="C289" s="33">
        <f>'Dados - Cliente'!C289</f>
        <v>0</v>
      </c>
      <c r="D289" s="33">
        <f>'Dados - Cliente'!D289</f>
        <v>0</v>
      </c>
      <c r="E289" s="33">
        <f>'Dados - Cliente'!E289</f>
        <v>0</v>
      </c>
      <c r="F289" s="33">
        <f>'Dados - Cliente'!F289</f>
        <v>0</v>
      </c>
      <c r="G289" s="33">
        <f>'Dados - Cliente'!G289</f>
        <v>0</v>
      </c>
      <c r="H289" s="33">
        <f>'Dados - Cliente'!H289</f>
        <v>0</v>
      </c>
      <c r="I289" s="75" t="s">
        <v>4313</v>
      </c>
      <c r="J289" s="52" t="s">
        <v>4314</v>
      </c>
      <c r="K289" s="52" t="s">
        <v>4314</v>
      </c>
      <c r="L289" s="33">
        <f>'Dados - Cliente'!I289</f>
        <v>0</v>
      </c>
      <c r="M289" s="33">
        <f>'Dados - Cliente'!K289</f>
        <v>0</v>
      </c>
      <c r="N289" s="33">
        <f>'Dados - Cliente'!L289</f>
        <v>0</v>
      </c>
      <c r="O289" s="33">
        <f>'Dados - Cliente'!M289</f>
        <v>0</v>
      </c>
      <c r="P289" s="33">
        <f>'Dados - Cliente'!N289</f>
        <v>0</v>
      </c>
      <c r="Q289" s="33">
        <f>'Dados - Cliente'!O289</f>
        <v>0</v>
      </c>
      <c r="R289" s="33">
        <f>'Dados - Cliente'!P289</f>
        <v>0</v>
      </c>
      <c r="S289" s="33">
        <f>'Dados - Cliente'!Q289</f>
        <v>0</v>
      </c>
      <c r="T289" s="33">
        <f>'Dados - Cliente'!R289</f>
        <v>0</v>
      </c>
      <c r="U289" s="34">
        <f>'Dados - Cliente'!S289</f>
        <v>0</v>
      </c>
      <c r="V289" s="34">
        <f>'Dados - Cliente'!T289</f>
        <v>0</v>
      </c>
      <c r="W289" s="34">
        <f>'Dados - Cliente'!U289</f>
        <v>0</v>
      </c>
      <c r="X289" s="34">
        <f>'Dados - Cliente'!V289</f>
        <v>0</v>
      </c>
      <c r="Y289" s="34">
        <f>'Dados - Cliente'!W289</f>
        <v>0</v>
      </c>
      <c r="Z289" s="34">
        <f>'Dados - Cliente'!X289</f>
        <v>0</v>
      </c>
      <c r="AA289" s="33" t="e">
        <f t="shared" si="23"/>
        <v>#N/A</v>
      </c>
      <c r="AB289" s="33">
        <f>'Dados - Cliente'!Y289</f>
        <v>0</v>
      </c>
      <c r="AC289" s="33">
        <f>'Dados - Cliente'!Z289</f>
        <v>0</v>
      </c>
      <c r="AD289" s="33">
        <f>'Dados - Cliente'!AA289</f>
        <v>0</v>
      </c>
      <c r="AE289" s="33">
        <f>'Dados - Cliente'!AB289</f>
        <v>0</v>
      </c>
      <c r="AF289" s="33">
        <f>'Dados - Cliente'!AC289</f>
        <v>0</v>
      </c>
      <c r="AG289" s="35">
        <f>'Dados - Cliente'!AD289</f>
        <v>0</v>
      </c>
      <c r="AH289" s="33" t="e">
        <f>INDEX('Dados - Placas'!$A:$A,MATCH('1'!AG289,'Dados - Placas'!$D:$D,0))</f>
        <v>#N/A</v>
      </c>
      <c r="AI289" s="35" t="e">
        <f>INDEX('Dados - Placas'!$E:$E,MATCH('1'!AG289,'Dados - Placas'!$D:$D,0))</f>
        <v>#N/A</v>
      </c>
      <c r="AJ289" s="34" t="e">
        <f>INDEX('Dados - Placas'!$F:$F,MATCH('1'!AG289,'Dados - Placas'!$D:$D,0))*AF289</f>
        <v>#N/A</v>
      </c>
      <c r="AK289" s="33">
        <f>'Dados - Cliente'!AE289</f>
        <v>0</v>
      </c>
      <c r="AL289" s="33">
        <f>'Dados - Cliente'!AF289</f>
        <v>0</v>
      </c>
      <c r="AM289" s="36" t="e">
        <f>INDEX('Dados - Inversores'!$A:$A,MATCH('1'!AL289,'Dados - Inversores'!$C:$C,0))</f>
        <v>#N/A</v>
      </c>
      <c r="AN289" s="33">
        <f>'Dados - Cliente'!AG289</f>
        <v>0</v>
      </c>
      <c r="AO289" s="33" t="e">
        <f>AA289*1.25/(0.22*SQRT(INDEX('Dados - Inversores'!AK:AK,MATCH('1'!AL289,'Dados - Inversores'!C:C,0))))</f>
        <v>#N/A</v>
      </c>
      <c r="AP289" s="34">
        <f>INDEX(Dados!$E$2:$E$33,COUNTIF(Dados!$E$2:$E$33,"&lt;="&amp;AN289*1.25/(INDEX('Dados - Inversores'!AL:AL,MATCH('1'!AL289,'Dados - Inversores'!C:C,0))*SQRT(INDEX('Dados - Inversores'!AK:AK,MATCH('1'!AL289,'Dados - Inversores'!C:C,0)))))+1)</f>
        <v>2</v>
      </c>
      <c r="AQ289" s="33" t="s">
        <v>59</v>
      </c>
      <c r="AR289" s="33" t="str">
        <f t="shared" si="24"/>
        <v>Micro</v>
      </c>
      <c r="AS289" s="33">
        <f>'Dados - Cliente'!AH289</f>
        <v>0</v>
      </c>
      <c r="AT289" s="33">
        <f>'Dados - Cliente'!AI289</f>
        <v>0</v>
      </c>
      <c r="AU289" s="33" t="e">
        <f>INDEX('Dados - Placas'!$N:$N,MATCH('1'!AG289,'Dados - Placas'!$D:$D,0))-1</f>
        <v>#N/A</v>
      </c>
      <c r="AV289" s="33" t="e">
        <f>INDEX('Dados - Placas'!$O:$O,MATCH('1'!AG289,'Dados - Placas'!$D:$D,0))</f>
        <v>#N/A</v>
      </c>
      <c r="AW289" s="33" t="e">
        <f>INDEX('Dados - Inversores'!AM:AM,MATCH('1'!AL289,'Dados - Inversores'!$C:$C,0))-1</f>
        <v>#N/A</v>
      </c>
      <c r="AX289" s="33" t="e">
        <f>INDEX('Dados - Inversores'!AN:AN,MATCH('1'!AL289,'Dados - Inversores'!$C:$C,0))-1</f>
        <v>#N/A</v>
      </c>
      <c r="AY289" s="33" t="e">
        <f>MATCH('1'!H289,Dados!$D$89:$D$167,0)+1</f>
        <v>#N/A</v>
      </c>
      <c r="AZ289" s="33" t="e">
        <f>MATCH('1'!N289,'Dados - Solicitação de acesso'!$N$2:$N$8,0)</f>
        <v>#N/A</v>
      </c>
      <c r="BA289" s="33" t="e">
        <f>MATCH('1'!T289,'Dados - Solicitação de acesso'!$T$2:$T$20,0)</f>
        <v>#N/A</v>
      </c>
    </row>
    <row r="290" spans="1:53" x14ac:dyDescent="0.35">
      <c r="A290" s="33">
        <f>'Dados - Cliente'!A290</f>
        <v>0</v>
      </c>
      <c r="B290" s="33">
        <f>'Dados - Cliente'!B290</f>
        <v>0</v>
      </c>
      <c r="C290" s="33">
        <f>'Dados - Cliente'!C290</f>
        <v>0</v>
      </c>
      <c r="D290" s="33">
        <f>'Dados - Cliente'!D290</f>
        <v>0</v>
      </c>
      <c r="E290" s="33">
        <f>'Dados - Cliente'!E290</f>
        <v>0</v>
      </c>
      <c r="F290" s="33">
        <f>'Dados - Cliente'!F290</f>
        <v>0</v>
      </c>
      <c r="G290" s="33">
        <f>'Dados - Cliente'!G290</f>
        <v>0</v>
      </c>
      <c r="H290" s="33">
        <f>'Dados - Cliente'!H290</f>
        <v>0</v>
      </c>
      <c r="I290" s="75" t="s">
        <v>4313</v>
      </c>
      <c r="J290" s="52" t="s">
        <v>4314</v>
      </c>
      <c r="K290" s="52" t="s">
        <v>4314</v>
      </c>
      <c r="L290" s="33">
        <f>'Dados - Cliente'!I290</f>
        <v>0</v>
      </c>
      <c r="M290" s="33">
        <f>'Dados - Cliente'!K290</f>
        <v>0</v>
      </c>
      <c r="N290" s="33">
        <f>'Dados - Cliente'!L290</f>
        <v>0</v>
      </c>
      <c r="O290" s="33">
        <f>'Dados - Cliente'!M290</f>
        <v>0</v>
      </c>
      <c r="P290" s="33">
        <f>'Dados - Cliente'!N290</f>
        <v>0</v>
      </c>
      <c r="Q290" s="33">
        <f>'Dados - Cliente'!O290</f>
        <v>0</v>
      </c>
      <c r="R290" s="33">
        <f>'Dados - Cliente'!P290</f>
        <v>0</v>
      </c>
      <c r="S290" s="33">
        <f>'Dados - Cliente'!Q290</f>
        <v>0</v>
      </c>
      <c r="T290" s="33">
        <f>'Dados - Cliente'!R290</f>
        <v>0</v>
      </c>
      <c r="U290" s="34">
        <f>'Dados - Cliente'!S290</f>
        <v>0</v>
      </c>
      <c r="V290" s="34">
        <f>'Dados - Cliente'!T290</f>
        <v>0</v>
      </c>
      <c r="W290" s="34">
        <f>'Dados - Cliente'!U290</f>
        <v>0</v>
      </c>
      <c r="X290" s="34">
        <f>'Dados - Cliente'!V290</f>
        <v>0</v>
      </c>
      <c r="Y290" s="34">
        <f>'Dados - Cliente'!W290</f>
        <v>0</v>
      </c>
      <c r="Z290" s="34">
        <f>'Dados - Cliente'!X290</f>
        <v>0</v>
      </c>
      <c r="AA290" s="33" t="e">
        <f t="shared" si="23"/>
        <v>#N/A</v>
      </c>
      <c r="AB290" s="33">
        <f>'Dados - Cliente'!Y290</f>
        <v>0</v>
      </c>
      <c r="AC290" s="33">
        <f>'Dados - Cliente'!Z290</f>
        <v>0</v>
      </c>
      <c r="AD290" s="33">
        <f>'Dados - Cliente'!AA290</f>
        <v>0</v>
      </c>
      <c r="AE290" s="33">
        <f>'Dados - Cliente'!AB290</f>
        <v>0</v>
      </c>
      <c r="AF290" s="33">
        <f>'Dados - Cliente'!AC290</f>
        <v>0</v>
      </c>
      <c r="AG290" s="35">
        <f>'Dados - Cliente'!AD290</f>
        <v>0</v>
      </c>
      <c r="AH290" s="33" t="e">
        <f>INDEX('Dados - Placas'!$A:$A,MATCH('1'!AG290,'Dados - Placas'!$D:$D,0))</f>
        <v>#N/A</v>
      </c>
      <c r="AI290" s="35" t="e">
        <f>INDEX('Dados - Placas'!$E:$E,MATCH('1'!AG290,'Dados - Placas'!$D:$D,0))</f>
        <v>#N/A</v>
      </c>
      <c r="AJ290" s="34" t="e">
        <f>INDEX('Dados - Placas'!$F:$F,MATCH('1'!AG290,'Dados - Placas'!$D:$D,0))*AF290</f>
        <v>#N/A</v>
      </c>
      <c r="AK290" s="33">
        <f>'Dados - Cliente'!AE290</f>
        <v>0</v>
      </c>
      <c r="AL290" s="33">
        <f>'Dados - Cliente'!AF290</f>
        <v>0</v>
      </c>
      <c r="AM290" s="36" t="e">
        <f>INDEX('Dados - Inversores'!$A:$A,MATCH('1'!AL290,'Dados - Inversores'!$C:$C,0))</f>
        <v>#N/A</v>
      </c>
      <c r="AN290" s="33">
        <f>'Dados - Cliente'!AG290</f>
        <v>0</v>
      </c>
      <c r="AO290" s="33" t="e">
        <f>AA290*1.25/(0.22*SQRT(INDEX('Dados - Inversores'!AK:AK,MATCH('1'!AL290,'Dados - Inversores'!C:C,0))))</f>
        <v>#N/A</v>
      </c>
      <c r="AP290" s="34">
        <f>INDEX(Dados!$E$2:$E$33,COUNTIF(Dados!$E$2:$E$33,"&lt;="&amp;AN290*1.25/(INDEX('Dados - Inversores'!AL:AL,MATCH('1'!AL290,'Dados - Inversores'!C:C,0))*SQRT(INDEX('Dados - Inversores'!AK:AK,MATCH('1'!AL290,'Dados - Inversores'!C:C,0)))))+1)</f>
        <v>2</v>
      </c>
      <c r="AQ290" s="33" t="s">
        <v>59</v>
      </c>
      <c r="AR290" s="33" t="str">
        <f t="shared" si="24"/>
        <v>Micro</v>
      </c>
      <c r="AS290" s="33">
        <f>'Dados - Cliente'!AH290</f>
        <v>0</v>
      </c>
      <c r="AT290" s="33">
        <f>'Dados - Cliente'!AI290</f>
        <v>0</v>
      </c>
      <c r="AU290" s="33" t="e">
        <f>INDEX('Dados - Placas'!$N:$N,MATCH('1'!AG290,'Dados - Placas'!$D:$D,0))-1</f>
        <v>#N/A</v>
      </c>
      <c r="AV290" s="33" t="e">
        <f>INDEX('Dados - Placas'!$O:$O,MATCH('1'!AG290,'Dados - Placas'!$D:$D,0))</f>
        <v>#N/A</v>
      </c>
      <c r="AW290" s="33" t="e">
        <f>INDEX('Dados - Inversores'!AM:AM,MATCH('1'!AL290,'Dados - Inversores'!$C:$C,0))-1</f>
        <v>#N/A</v>
      </c>
      <c r="AX290" s="33" t="e">
        <f>INDEX('Dados - Inversores'!AN:AN,MATCH('1'!AL290,'Dados - Inversores'!$C:$C,0))-1</f>
        <v>#N/A</v>
      </c>
      <c r="AY290" s="33" t="e">
        <f>MATCH('1'!H290,Dados!$D$89:$D$167,0)+1</f>
        <v>#N/A</v>
      </c>
      <c r="AZ290" s="33" t="e">
        <f>MATCH('1'!N290,'Dados - Solicitação de acesso'!$N$2:$N$8,0)</f>
        <v>#N/A</v>
      </c>
      <c r="BA290" s="33" t="e">
        <f>MATCH('1'!T290,'Dados - Solicitação de acesso'!$T$2:$T$20,0)</f>
        <v>#N/A</v>
      </c>
    </row>
    <row r="291" spans="1:53" x14ac:dyDescent="0.35">
      <c r="A291" s="33">
        <f>'Dados - Cliente'!A291</f>
        <v>0</v>
      </c>
      <c r="B291" s="33">
        <f>'Dados - Cliente'!B291</f>
        <v>0</v>
      </c>
      <c r="C291" s="33">
        <f>'Dados - Cliente'!C291</f>
        <v>0</v>
      </c>
      <c r="D291" s="33">
        <f>'Dados - Cliente'!D291</f>
        <v>0</v>
      </c>
      <c r="E291" s="33">
        <f>'Dados - Cliente'!E291</f>
        <v>0</v>
      </c>
      <c r="F291" s="33">
        <f>'Dados - Cliente'!F291</f>
        <v>0</v>
      </c>
      <c r="G291" s="33">
        <f>'Dados - Cliente'!G291</f>
        <v>0</v>
      </c>
      <c r="H291" s="33">
        <f>'Dados - Cliente'!H291</f>
        <v>0</v>
      </c>
      <c r="I291" s="75" t="s">
        <v>4313</v>
      </c>
      <c r="J291" s="52" t="s">
        <v>4314</v>
      </c>
      <c r="K291" s="52" t="s">
        <v>4314</v>
      </c>
      <c r="L291" s="33">
        <f>'Dados - Cliente'!I291</f>
        <v>0</v>
      </c>
      <c r="M291" s="33">
        <f>'Dados - Cliente'!K291</f>
        <v>0</v>
      </c>
      <c r="N291" s="33">
        <f>'Dados - Cliente'!L291</f>
        <v>0</v>
      </c>
      <c r="O291" s="33">
        <f>'Dados - Cliente'!M291</f>
        <v>0</v>
      </c>
      <c r="P291" s="33">
        <f>'Dados - Cliente'!N291</f>
        <v>0</v>
      </c>
      <c r="Q291" s="33">
        <f>'Dados - Cliente'!O291</f>
        <v>0</v>
      </c>
      <c r="R291" s="33">
        <f>'Dados - Cliente'!P291</f>
        <v>0</v>
      </c>
      <c r="S291" s="33">
        <f>'Dados - Cliente'!Q291</f>
        <v>0</v>
      </c>
      <c r="T291" s="33">
        <f>'Dados - Cliente'!R291</f>
        <v>0</v>
      </c>
      <c r="U291" s="34">
        <f>'Dados - Cliente'!S291</f>
        <v>0</v>
      </c>
      <c r="V291" s="34">
        <f>'Dados - Cliente'!T291</f>
        <v>0</v>
      </c>
      <c r="W291" s="34">
        <f>'Dados - Cliente'!U291</f>
        <v>0</v>
      </c>
      <c r="X291" s="34">
        <f>'Dados - Cliente'!V291</f>
        <v>0</v>
      </c>
      <c r="Y291" s="34">
        <f>'Dados - Cliente'!W291</f>
        <v>0</v>
      </c>
      <c r="Z291" s="34">
        <f>'Dados - Cliente'!X291</f>
        <v>0</v>
      </c>
      <c r="AA291" s="33" t="e">
        <f t="shared" si="23"/>
        <v>#N/A</v>
      </c>
      <c r="AB291" s="33">
        <f>'Dados - Cliente'!Y291</f>
        <v>0</v>
      </c>
      <c r="AC291" s="33">
        <f>'Dados - Cliente'!Z291</f>
        <v>0</v>
      </c>
      <c r="AD291" s="33">
        <f>'Dados - Cliente'!AA291</f>
        <v>0</v>
      </c>
      <c r="AE291" s="33">
        <f>'Dados - Cliente'!AB291</f>
        <v>0</v>
      </c>
      <c r="AF291" s="33">
        <f>'Dados - Cliente'!AC291</f>
        <v>0</v>
      </c>
      <c r="AG291" s="35">
        <f>'Dados - Cliente'!AD291</f>
        <v>0</v>
      </c>
      <c r="AH291" s="33" t="e">
        <f>INDEX('Dados - Placas'!$A:$A,MATCH('1'!AG291,'Dados - Placas'!$D:$D,0))</f>
        <v>#N/A</v>
      </c>
      <c r="AI291" s="35" t="e">
        <f>INDEX('Dados - Placas'!$E:$E,MATCH('1'!AG291,'Dados - Placas'!$D:$D,0))</f>
        <v>#N/A</v>
      </c>
      <c r="AJ291" s="34" t="e">
        <f>INDEX('Dados - Placas'!$F:$F,MATCH('1'!AG291,'Dados - Placas'!$D:$D,0))*AF291</f>
        <v>#N/A</v>
      </c>
      <c r="AK291" s="33">
        <f>'Dados - Cliente'!AE291</f>
        <v>0</v>
      </c>
      <c r="AL291" s="33">
        <f>'Dados - Cliente'!AF291</f>
        <v>0</v>
      </c>
      <c r="AM291" s="36" t="e">
        <f>INDEX('Dados - Inversores'!$A:$A,MATCH('1'!AL291,'Dados - Inversores'!$C:$C,0))</f>
        <v>#N/A</v>
      </c>
      <c r="AN291" s="33">
        <f>'Dados - Cliente'!AG291</f>
        <v>0</v>
      </c>
      <c r="AO291" s="33" t="e">
        <f>AA291*1.25/(0.22*SQRT(INDEX('Dados - Inversores'!AK:AK,MATCH('1'!AL291,'Dados - Inversores'!C:C,0))))</f>
        <v>#N/A</v>
      </c>
      <c r="AP291" s="34">
        <f>INDEX(Dados!$E$2:$E$33,COUNTIF(Dados!$E$2:$E$33,"&lt;="&amp;AN291*1.25/(INDEX('Dados - Inversores'!AL:AL,MATCH('1'!AL291,'Dados - Inversores'!C:C,0))*SQRT(INDEX('Dados - Inversores'!AK:AK,MATCH('1'!AL291,'Dados - Inversores'!C:C,0)))))+1)</f>
        <v>2</v>
      </c>
      <c r="AQ291" s="33" t="s">
        <v>59</v>
      </c>
      <c r="AR291" s="33" t="str">
        <f t="shared" si="24"/>
        <v>Micro</v>
      </c>
      <c r="AS291" s="33">
        <f>'Dados - Cliente'!AH291</f>
        <v>0</v>
      </c>
      <c r="AT291" s="33">
        <f>'Dados - Cliente'!AI291</f>
        <v>0</v>
      </c>
      <c r="AU291" s="33" t="e">
        <f>INDEX('Dados - Placas'!$N:$N,MATCH('1'!AG291,'Dados - Placas'!$D:$D,0))-1</f>
        <v>#N/A</v>
      </c>
      <c r="AV291" s="33" t="e">
        <f>INDEX('Dados - Placas'!$O:$O,MATCH('1'!AG291,'Dados - Placas'!$D:$D,0))</f>
        <v>#N/A</v>
      </c>
      <c r="AW291" s="33" t="e">
        <f>INDEX('Dados - Inversores'!AM:AM,MATCH('1'!AL291,'Dados - Inversores'!$C:$C,0))-1</f>
        <v>#N/A</v>
      </c>
      <c r="AX291" s="33" t="e">
        <f>INDEX('Dados - Inversores'!AN:AN,MATCH('1'!AL291,'Dados - Inversores'!$C:$C,0))-1</f>
        <v>#N/A</v>
      </c>
      <c r="AY291" s="33" t="e">
        <f>MATCH('1'!H291,Dados!$D$89:$D$167,0)+1</f>
        <v>#N/A</v>
      </c>
      <c r="AZ291" s="33" t="e">
        <f>MATCH('1'!N291,'Dados - Solicitação de acesso'!$N$2:$N$8,0)</f>
        <v>#N/A</v>
      </c>
      <c r="BA291" s="33" t="e">
        <f>MATCH('1'!T291,'Dados - Solicitação de acesso'!$T$2:$T$20,0)</f>
        <v>#N/A</v>
      </c>
    </row>
    <row r="292" spans="1:53" x14ac:dyDescent="0.35">
      <c r="A292" s="33">
        <f>'Dados - Cliente'!A292</f>
        <v>0</v>
      </c>
      <c r="B292" s="33">
        <f>'Dados - Cliente'!B292</f>
        <v>0</v>
      </c>
      <c r="C292" s="33">
        <f>'Dados - Cliente'!C292</f>
        <v>0</v>
      </c>
      <c r="D292" s="33">
        <f>'Dados - Cliente'!D292</f>
        <v>0</v>
      </c>
      <c r="E292" s="33">
        <f>'Dados - Cliente'!E292</f>
        <v>0</v>
      </c>
      <c r="F292" s="33">
        <f>'Dados - Cliente'!F292</f>
        <v>0</v>
      </c>
      <c r="G292" s="33">
        <f>'Dados - Cliente'!G292</f>
        <v>0</v>
      </c>
      <c r="H292" s="33">
        <f>'Dados - Cliente'!H292</f>
        <v>0</v>
      </c>
      <c r="I292" s="75" t="s">
        <v>4313</v>
      </c>
      <c r="J292" s="52" t="s">
        <v>4314</v>
      </c>
      <c r="K292" s="52" t="s">
        <v>4314</v>
      </c>
      <c r="L292" s="33">
        <f>'Dados - Cliente'!I292</f>
        <v>0</v>
      </c>
      <c r="M292" s="33">
        <f>'Dados - Cliente'!K292</f>
        <v>0</v>
      </c>
      <c r="N292" s="33">
        <f>'Dados - Cliente'!L292</f>
        <v>0</v>
      </c>
      <c r="O292" s="33">
        <f>'Dados - Cliente'!M292</f>
        <v>0</v>
      </c>
      <c r="P292" s="33">
        <f>'Dados - Cliente'!N292</f>
        <v>0</v>
      </c>
      <c r="Q292" s="33">
        <f>'Dados - Cliente'!O292</f>
        <v>0</v>
      </c>
      <c r="R292" s="33">
        <f>'Dados - Cliente'!P292</f>
        <v>0</v>
      </c>
      <c r="S292" s="33">
        <f>'Dados - Cliente'!Q292</f>
        <v>0</v>
      </c>
      <c r="T292" s="33">
        <f>'Dados - Cliente'!R292</f>
        <v>0</v>
      </c>
      <c r="U292" s="34">
        <f>'Dados - Cliente'!S292</f>
        <v>0</v>
      </c>
      <c r="V292" s="34">
        <f>'Dados - Cliente'!T292</f>
        <v>0</v>
      </c>
      <c r="W292" s="34">
        <f>'Dados - Cliente'!U292</f>
        <v>0</v>
      </c>
      <c r="X292" s="34">
        <f>'Dados - Cliente'!V292</f>
        <v>0</v>
      </c>
      <c r="Y292" s="34">
        <f>'Dados - Cliente'!W292</f>
        <v>0</v>
      </c>
      <c r="Z292" s="34">
        <f>'Dados - Cliente'!X292</f>
        <v>0</v>
      </c>
      <c r="AA292" s="33" t="e">
        <f t="shared" si="23"/>
        <v>#N/A</v>
      </c>
      <c r="AB292" s="33">
        <f>'Dados - Cliente'!Y292</f>
        <v>0</v>
      </c>
      <c r="AC292" s="33">
        <f>'Dados - Cliente'!Z292</f>
        <v>0</v>
      </c>
      <c r="AD292" s="33">
        <f>'Dados - Cliente'!AA292</f>
        <v>0</v>
      </c>
      <c r="AE292" s="33">
        <f>'Dados - Cliente'!AB292</f>
        <v>0</v>
      </c>
      <c r="AF292" s="33">
        <f>'Dados - Cliente'!AC292</f>
        <v>0</v>
      </c>
      <c r="AG292" s="35">
        <f>'Dados - Cliente'!AD292</f>
        <v>0</v>
      </c>
      <c r="AH292" s="33" t="e">
        <f>INDEX('Dados - Placas'!$A:$A,MATCH('1'!AG292,'Dados - Placas'!$D:$D,0))</f>
        <v>#N/A</v>
      </c>
      <c r="AI292" s="35" t="e">
        <f>INDEX('Dados - Placas'!$E:$E,MATCH('1'!AG292,'Dados - Placas'!$D:$D,0))</f>
        <v>#N/A</v>
      </c>
      <c r="AJ292" s="34" t="e">
        <f>INDEX('Dados - Placas'!$F:$F,MATCH('1'!AG292,'Dados - Placas'!$D:$D,0))*AF292</f>
        <v>#N/A</v>
      </c>
      <c r="AK292" s="33">
        <f>'Dados - Cliente'!AE292</f>
        <v>0</v>
      </c>
      <c r="AL292" s="33">
        <f>'Dados - Cliente'!AF292</f>
        <v>0</v>
      </c>
      <c r="AM292" s="36" t="e">
        <f>INDEX('Dados - Inversores'!$A:$A,MATCH('1'!AL292,'Dados - Inversores'!$C:$C,0))</f>
        <v>#N/A</v>
      </c>
      <c r="AN292" s="33">
        <f>'Dados - Cliente'!AG292</f>
        <v>0</v>
      </c>
      <c r="AO292" s="33" t="e">
        <f>AA292*1.25/(0.22*SQRT(INDEX('Dados - Inversores'!AK:AK,MATCH('1'!AL292,'Dados - Inversores'!C:C,0))))</f>
        <v>#N/A</v>
      </c>
      <c r="AP292" s="34">
        <f>INDEX(Dados!$E$2:$E$33,COUNTIF(Dados!$E$2:$E$33,"&lt;="&amp;AN292*1.25/(INDEX('Dados - Inversores'!AL:AL,MATCH('1'!AL292,'Dados - Inversores'!C:C,0))*SQRT(INDEX('Dados - Inversores'!AK:AK,MATCH('1'!AL292,'Dados - Inversores'!C:C,0)))))+1)</f>
        <v>2</v>
      </c>
      <c r="AQ292" s="33" t="s">
        <v>59</v>
      </c>
      <c r="AR292" s="33" t="str">
        <f t="shared" si="24"/>
        <v>Micro</v>
      </c>
      <c r="AS292" s="33">
        <f>'Dados - Cliente'!AH292</f>
        <v>0</v>
      </c>
      <c r="AT292" s="33">
        <f>'Dados - Cliente'!AI292</f>
        <v>0</v>
      </c>
      <c r="AU292" s="33" t="e">
        <f>INDEX('Dados - Placas'!$N:$N,MATCH('1'!AG292,'Dados - Placas'!$D:$D,0))-1</f>
        <v>#N/A</v>
      </c>
      <c r="AV292" s="33" t="e">
        <f>INDEX('Dados - Placas'!$O:$O,MATCH('1'!AG292,'Dados - Placas'!$D:$D,0))</f>
        <v>#N/A</v>
      </c>
      <c r="AW292" s="33" t="e">
        <f>INDEX('Dados - Inversores'!AM:AM,MATCH('1'!AL292,'Dados - Inversores'!$C:$C,0))-1</f>
        <v>#N/A</v>
      </c>
      <c r="AX292" s="33" t="e">
        <f>INDEX('Dados - Inversores'!AN:AN,MATCH('1'!AL292,'Dados - Inversores'!$C:$C,0))-1</f>
        <v>#N/A</v>
      </c>
      <c r="AY292" s="33" t="e">
        <f>MATCH('1'!H292,Dados!$D$89:$D$167,0)+1</f>
        <v>#N/A</v>
      </c>
      <c r="AZ292" s="33" t="e">
        <f>MATCH('1'!N292,'Dados - Solicitação de acesso'!$N$2:$N$8,0)</f>
        <v>#N/A</v>
      </c>
      <c r="BA292" s="33" t="e">
        <f>MATCH('1'!T292,'Dados - Solicitação de acesso'!$T$2:$T$20,0)</f>
        <v>#N/A</v>
      </c>
    </row>
    <row r="293" spans="1:53" x14ac:dyDescent="0.35">
      <c r="A293" s="33">
        <f>'Dados - Cliente'!A293</f>
        <v>0</v>
      </c>
      <c r="B293" s="33">
        <f>'Dados - Cliente'!B293</f>
        <v>0</v>
      </c>
      <c r="C293" s="33">
        <f>'Dados - Cliente'!C293</f>
        <v>0</v>
      </c>
      <c r="D293" s="33">
        <f>'Dados - Cliente'!D293</f>
        <v>0</v>
      </c>
      <c r="E293" s="33">
        <f>'Dados - Cliente'!E293</f>
        <v>0</v>
      </c>
      <c r="F293" s="33">
        <f>'Dados - Cliente'!F293</f>
        <v>0</v>
      </c>
      <c r="G293" s="33">
        <f>'Dados - Cliente'!G293</f>
        <v>0</v>
      </c>
      <c r="H293" s="33">
        <f>'Dados - Cliente'!H293</f>
        <v>0</v>
      </c>
      <c r="I293" s="75" t="s">
        <v>4313</v>
      </c>
      <c r="J293" s="52" t="s">
        <v>4314</v>
      </c>
      <c r="K293" s="52" t="s">
        <v>4314</v>
      </c>
      <c r="L293" s="33">
        <f>'Dados - Cliente'!I293</f>
        <v>0</v>
      </c>
      <c r="M293" s="33">
        <f>'Dados - Cliente'!K293</f>
        <v>0</v>
      </c>
      <c r="N293" s="33">
        <f>'Dados - Cliente'!L293</f>
        <v>0</v>
      </c>
      <c r="O293" s="33">
        <f>'Dados - Cliente'!M293</f>
        <v>0</v>
      </c>
      <c r="P293" s="33">
        <f>'Dados - Cliente'!N293</f>
        <v>0</v>
      </c>
      <c r="Q293" s="33">
        <f>'Dados - Cliente'!O293</f>
        <v>0</v>
      </c>
      <c r="R293" s="33">
        <f>'Dados - Cliente'!P293</f>
        <v>0</v>
      </c>
      <c r="S293" s="33">
        <f>'Dados - Cliente'!Q293</f>
        <v>0</v>
      </c>
      <c r="T293" s="33">
        <f>'Dados - Cliente'!R293</f>
        <v>0</v>
      </c>
      <c r="U293" s="34">
        <f>'Dados - Cliente'!S293</f>
        <v>0</v>
      </c>
      <c r="V293" s="34">
        <f>'Dados - Cliente'!T293</f>
        <v>0</v>
      </c>
      <c r="W293" s="34">
        <f>'Dados - Cliente'!U293</f>
        <v>0</v>
      </c>
      <c r="X293" s="34">
        <f>'Dados - Cliente'!V293</f>
        <v>0</v>
      </c>
      <c r="Y293" s="34">
        <f>'Dados - Cliente'!W293</f>
        <v>0</v>
      </c>
      <c r="Z293" s="34">
        <f>'Dados - Cliente'!X293</f>
        <v>0</v>
      </c>
      <c r="AA293" s="33" t="e">
        <f t="shared" si="23"/>
        <v>#N/A</v>
      </c>
      <c r="AB293" s="33">
        <f>'Dados - Cliente'!Y293</f>
        <v>0</v>
      </c>
      <c r="AC293" s="33">
        <f>'Dados - Cliente'!Z293</f>
        <v>0</v>
      </c>
      <c r="AD293" s="33">
        <f>'Dados - Cliente'!AA293</f>
        <v>0</v>
      </c>
      <c r="AE293" s="33">
        <f>'Dados - Cliente'!AB293</f>
        <v>0</v>
      </c>
      <c r="AF293" s="33">
        <f>'Dados - Cliente'!AC293</f>
        <v>0</v>
      </c>
      <c r="AG293" s="35">
        <f>'Dados - Cliente'!AD293</f>
        <v>0</v>
      </c>
      <c r="AH293" s="33" t="e">
        <f>INDEX('Dados - Placas'!$A:$A,MATCH('1'!AG293,'Dados - Placas'!$D:$D,0))</f>
        <v>#N/A</v>
      </c>
      <c r="AI293" s="35" t="e">
        <f>INDEX('Dados - Placas'!$E:$E,MATCH('1'!AG293,'Dados - Placas'!$D:$D,0))</f>
        <v>#N/A</v>
      </c>
      <c r="AJ293" s="34" t="e">
        <f>INDEX('Dados - Placas'!$F:$F,MATCH('1'!AG293,'Dados - Placas'!$D:$D,0))*AF293</f>
        <v>#N/A</v>
      </c>
      <c r="AK293" s="33">
        <f>'Dados - Cliente'!AE293</f>
        <v>0</v>
      </c>
      <c r="AL293" s="33">
        <f>'Dados - Cliente'!AF293</f>
        <v>0</v>
      </c>
      <c r="AM293" s="36" t="e">
        <f>INDEX('Dados - Inversores'!$A:$A,MATCH('1'!AL293,'Dados - Inversores'!$C:$C,0))</f>
        <v>#N/A</v>
      </c>
      <c r="AN293" s="33">
        <f>'Dados - Cliente'!AG293</f>
        <v>0</v>
      </c>
      <c r="AO293" s="33" t="e">
        <f>AA293*1.25/(0.22*SQRT(INDEX('Dados - Inversores'!AK:AK,MATCH('1'!AL293,'Dados - Inversores'!C:C,0))))</f>
        <v>#N/A</v>
      </c>
      <c r="AP293" s="34">
        <f>INDEX(Dados!$E$2:$E$33,COUNTIF(Dados!$E$2:$E$33,"&lt;="&amp;AN293*1.25/(INDEX('Dados - Inversores'!AL:AL,MATCH('1'!AL293,'Dados - Inversores'!C:C,0))*SQRT(INDEX('Dados - Inversores'!AK:AK,MATCH('1'!AL293,'Dados - Inversores'!C:C,0)))))+1)</f>
        <v>2</v>
      </c>
      <c r="AQ293" s="33" t="s">
        <v>59</v>
      </c>
      <c r="AR293" s="33" t="str">
        <f t="shared" si="24"/>
        <v>Micro</v>
      </c>
      <c r="AS293" s="33">
        <f>'Dados - Cliente'!AH293</f>
        <v>0</v>
      </c>
      <c r="AT293" s="33">
        <f>'Dados - Cliente'!AI293</f>
        <v>0</v>
      </c>
      <c r="AU293" s="33" t="e">
        <f>INDEX('Dados - Placas'!$N:$N,MATCH('1'!AG293,'Dados - Placas'!$D:$D,0))-1</f>
        <v>#N/A</v>
      </c>
      <c r="AV293" s="33" t="e">
        <f>INDEX('Dados - Placas'!$O:$O,MATCH('1'!AG293,'Dados - Placas'!$D:$D,0))</f>
        <v>#N/A</v>
      </c>
      <c r="AW293" s="33" t="e">
        <f>INDEX('Dados - Inversores'!AM:AM,MATCH('1'!AL293,'Dados - Inversores'!$C:$C,0))-1</f>
        <v>#N/A</v>
      </c>
      <c r="AX293" s="33" t="e">
        <f>INDEX('Dados - Inversores'!AN:AN,MATCH('1'!AL293,'Dados - Inversores'!$C:$C,0))-1</f>
        <v>#N/A</v>
      </c>
      <c r="AY293" s="33" t="e">
        <f>MATCH('1'!H293,Dados!$D$89:$D$167,0)+1</f>
        <v>#N/A</v>
      </c>
      <c r="AZ293" s="33" t="e">
        <f>MATCH('1'!N293,'Dados - Solicitação de acesso'!$N$2:$N$8,0)</f>
        <v>#N/A</v>
      </c>
      <c r="BA293" s="33" t="e">
        <f>MATCH('1'!T293,'Dados - Solicitação de acesso'!$T$2:$T$20,0)</f>
        <v>#N/A</v>
      </c>
    </row>
    <row r="294" spans="1:53" x14ac:dyDescent="0.35">
      <c r="A294" s="33">
        <f>'Dados - Cliente'!A294</f>
        <v>0</v>
      </c>
      <c r="B294" s="33">
        <f>'Dados - Cliente'!B294</f>
        <v>0</v>
      </c>
      <c r="C294" s="33">
        <f>'Dados - Cliente'!C294</f>
        <v>0</v>
      </c>
      <c r="D294" s="33">
        <f>'Dados - Cliente'!D294</f>
        <v>0</v>
      </c>
      <c r="E294" s="33">
        <f>'Dados - Cliente'!E294</f>
        <v>0</v>
      </c>
      <c r="F294" s="33">
        <f>'Dados - Cliente'!F294</f>
        <v>0</v>
      </c>
      <c r="G294" s="33">
        <f>'Dados - Cliente'!G294</f>
        <v>0</v>
      </c>
      <c r="H294" s="33">
        <f>'Dados - Cliente'!H294</f>
        <v>0</v>
      </c>
      <c r="I294" s="75" t="s">
        <v>4313</v>
      </c>
      <c r="J294" s="52" t="s">
        <v>4314</v>
      </c>
      <c r="K294" s="52" t="s">
        <v>4314</v>
      </c>
      <c r="L294" s="33">
        <f>'Dados - Cliente'!I294</f>
        <v>0</v>
      </c>
      <c r="M294" s="33">
        <f>'Dados - Cliente'!K294</f>
        <v>0</v>
      </c>
      <c r="N294" s="33">
        <f>'Dados - Cliente'!L294</f>
        <v>0</v>
      </c>
      <c r="O294" s="33">
        <f>'Dados - Cliente'!M294</f>
        <v>0</v>
      </c>
      <c r="P294" s="33">
        <f>'Dados - Cliente'!N294</f>
        <v>0</v>
      </c>
      <c r="Q294" s="33">
        <f>'Dados - Cliente'!O294</f>
        <v>0</v>
      </c>
      <c r="R294" s="33">
        <f>'Dados - Cliente'!P294</f>
        <v>0</v>
      </c>
      <c r="S294" s="33">
        <f>'Dados - Cliente'!Q294</f>
        <v>0</v>
      </c>
      <c r="T294" s="33">
        <f>'Dados - Cliente'!R294</f>
        <v>0</v>
      </c>
      <c r="U294" s="34">
        <f>'Dados - Cliente'!S294</f>
        <v>0</v>
      </c>
      <c r="V294" s="34">
        <f>'Dados - Cliente'!T294</f>
        <v>0</v>
      </c>
      <c r="W294" s="34">
        <f>'Dados - Cliente'!U294</f>
        <v>0</v>
      </c>
      <c r="X294" s="34">
        <f>'Dados - Cliente'!V294</f>
        <v>0</v>
      </c>
      <c r="Y294" s="34">
        <f>'Dados - Cliente'!W294</f>
        <v>0</v>
      </c>
      <c r="Z294" s="34">
        <f>'Dados - Cliente'!X294</f>
        <v>0</v>
      </c>
      <c r="AA294" s="33" t="e">
        <f t="shared" si="23"/>
        <v>#N/A</v>
      </c>
      <c r="AB294" s="33">
        <f>'Dados - Cliente'!Y294</f>
        <v>0</v>
      </c>
      <c r="AC294" s="33">
        <f>'Dados - Cliente'!Z294</f>
        <v>0</v>
      </c>
      <c r="AD294" s="33">
        <f>'Dados - Cliente'!AA294</f>
        <v>0</v>
      </c>
      <c r="AE294" s="33">
        <f>'Dados - Cliente'!AB294</f>
        <v>0</v>
      </c>
      <c r="AF294" s="33">
        <f>'Dados - Cliente'!AC294</f>
        <v>0</v>
      </c>
      <c r="AG294" s="35">
        <f>'Dados - Cliente'!AD294</f>
        <v>0</v>
      </c>
      <c r="AH294" s="33" t="e">
        <f>INDEX('Dados - Placas'!$A:$A,MATCH('1'!AG294,'Dados - Placas'!$D:$D,0))</f>
        <v>#N/A</v>
      </c>
      <c r="AI294" s="35" t="e">
        <f>INDEX('Dados - Placas'!$E:$E,MATCH('1'!AG294,'Dados - Placas'!$D:$D,0))</f>
        <v>#N/A</v>
      </c>
      <c r="AJ294" s="34" t="e">
        <f>INDEX('Dados - Placas'!$F:$F,MATCH('1'!AG294,'Dados - Placas'!$D:$D,0))*AF294</f>
        <v>#N/A</v>
      </c>
      <c r="AK294" s="33">
        <f>'Dados - Cliente'!AE294</f>
        <v>0</v>
      </c>
      <c r="AL294" s="33">
        <f>'Dados - Cliente'!AF294</f>
        <v>0</v>
      </c>
      <c r="AM294" s="36" t="e">
        <f>INDEX('Dados - Inversores'!$A:$A,MATCH('1'!AL294,'Dados - Inversores'!$C:$C,0))</f>
        <v>#N/A</v>
      </c>
      <c r="AN294" s="33">
        <f>'Dados - Cliente'!AG294</f>
        <v>0</v>
      </c>
      <c r="AO294" s="33" t="e">
        <f>AA294*1.25/(0.22*SQRT(INDEX('Dados - Inversores'!AK:AK,MATCH('1'!AL294,'Dados - Inversores'!C:C,0))))</f>
        <v>#N/A</v>
      </c>
      <c r="AP294" s="34">
        <f>INDEX(Dados!$E$2:$E$33,COUNTIF(Dados!$E$2:$E$33,"&lt;="&amp;AN294*1.25/(INDEX('Dados - Inversores'!AL:AL,MATCH('1'!AL294,'Dados - Inversores'!C:C,0))*SQRT(INDEX('Dados - Inversores'!AK:AK,MATCH('1'!AL294,'Dados - Inversores'!C:C,0)))))+1)</f>
        <v>2</v>
      </c>
      <c r="AQ294" s="33" t="s">
        <v>59</v>
      </c>
      <c r="AR294" s="33" t="str">
        <f t="shared" si="24"/>
        <v>Micro</v>
      </c>
      <c r="AS294" s="33">
        <f>'Dados - Cliente'!AH294</f>
        <v>0</v>
      </c>
      <c r="AT294" s="33">
        <f>'Dados - Cliente'!AI294</f>
        <v>0</v>
      </c>
      <c r="AU294" s="33" t="e">
        <f>INDEX('Dados - Placas'!$N:$N,MATCH('1'!AG294,'Dados - Placas'!$D:$D,0))-1</f>
        <v>#N/A</v>
      </c>
      <c r="AV294" s="33" t="e">
        <f>INDEX('Dados - Placas'!$O:$O,MATCH('1'!AG294,'Dados - Placas'!$D:$D,0))</f>
        <v>#N/A</v>
      </c>
      <c r="AW294" s="33" t="e">
        <f>INDEX('Dados - Inversores'!AM:AM,MATCH('1'!AL294,'Dados - Inversores'!$C:$C,0))-1</f>
        <v>#N/A</v>
      </c>
      <c r="AX294" s="33" t="e">
        <f>INDEX('Dados - Inversores'!AN:AN,MATCH('1'!AL294,'Dados - Inversores'!$C:$C,0))-1</f>
        <v>#N/A</v>
      </c>
      <c r="AY294" s="33" t="e">
        <f>MATCH('1'!H294,Dados!$D$89:$D$167,0)+1</f>
        <v>#N/A</v>
      </c>
      <c r="AZ294" s="33" t="e">
        <f>MATCH('1'!N294,'Dados - Solicitação de acesso'!$N$2:$N$8,0)</f>
        <v>#N/A</v>
      </c>
      <c r="BA294" s="33" t="e">
        <f>MATCH('1'!T294,'Dados - Solicitação de acesso'!$T$2:$T$20,0)</f>
        <v>#N/A</v>
      </c>
    </row>
    <row r="295" spans="1:53" x14ac:dyDescent="0.35">
      <c r="A295" s="33">
        <f>'Dados - Cliente'!A295</f>
        <v>0</v>
      </c>
      <c r="B295" s="33">
        <f>'Dados - Cliente'!B295</f>
        <v>0</v>
      </c>
      <c r="C295" s="33">
        <f>'Dados - Cliente'!C295</f>
        <v>0</v>
      </c>
      <c r="D295" s="33">
        <f>'Dados - Cliente'!D295</f>
        <v>0</v>
      </c>
      <c r="E295" s="33">
        <f>'Dados - Cliente'!E295</f>
        <v>0</v>
      </c>
      <c r="F295" s="33">
        <f>'Dados - Cliente'!F295</f>
        <v>0</v>
      </c>
      <c r="G295" s="33">
        <f>'Dados - Cliente'!G295</f>
        <v>0</v>
      </c>
      <c r="H295" s="33">
        <f>'Dados - Cliente'!H295</f>
        <v>0</v>
      </c>
      <c r="I295" s="75" t="s">
        <v>4313</v>
      </c>
      <c r="J295" s="52" t="s">
        <v>4314</v>
      </c>
      <c r="K295" s="52" t="s">
        <v>4314</v>
      </c>
      <c r="L295" s="33">
        <f>'Dados - Cliente'!I295</f>
        <v>0</v>
      </c>
      <c r="M295" s="33">
        <f>'Dados - Cliente'!K295</f>
        <v>0</v>
      </c>
      <c r="N295" s="33">
        <f>'Dados - Cliente'!L295</f>
        <v>0</v>
      </c>
      <c r="O295" s="33">
        <f>'Dados - Cliente'!M295</f>
        <v>0</v>
      </c>
      <c r="P295" s="33">
        <f>'Dados - Cliente'!N295</f>
        <v>0</v>
      </c>
      <c r="Q295" s="33">
        <f>'Dados - Cliente'!O295</f>
        <v>0</v>
      </c>
      <c r="R295" s="33">
        <f>'Dados - Cliente'!P295</f>
        <v>0</v>
      </c>
      <c r="S295" s="33">
        <f>'Dados - Cliente'!Q295</f>
        <v>0</v>
      </c>
      <c r="T295" s="33">
        <f>'Dados - Cliente'!R295</f>
        <v>0</v>
      </c>
      <c r="U295" s="34">
        <f>'Dados - Cliente'!S295</f>
        <v>0</v>
      </c>
      <c r="V295" s="34">
        <f>'Dados - Cliente'!T295</f>
        <v>0</v>
      </c>
      <c r="W295" s="34">
        <f>'Dados - Cliente'!U295</f>
        <v>0</v>
      </c>
      <c r="X295" s="34">
        <f>'Dados - Cliente'!V295</f>
        <v>0</v>
      </c>
      <c r="Y295" s="34">
        <f>'Dados - Cliente'!W295</f>
        <v>0</v>
      </c>
      <c r="Z295" s="34">
        <f>'Dados - Cliente'!X295</f>
        <v>0</v>
      </c>
      <c r="AA295" s="33" t="e">
        <f t="shared" si="23"/>
        <v>#N/A</v>
      </c>
      <c r="AB295" s="33">
        <f>'Dados - Cliente'!Y295</f>
        <v>0</v>
      </c>
      <c r="AC295" s="33">
        <f>'Dados - Cliente'!Z295</f>
        <v>0</v>
      </c>
      <c r="AD295" s="33">
        <f>'Dados - Cliente'!AA295</f>
        <v>0</v>
      </c>
      <c r="AE295" s="33">
        <f>'Dados - Cliente'!AB295</f>
        <v>0</v>
      </c>
      <c r="AF295" s="33">
        <f>'Dados - Cliente'!AC295</f>
        <v>0</v>
      </c>
      <c r="AG295" s="35">
        <f>'Dados - Cliente'!AD295</f>
        <v>0</v>
      </c>
      <c r="AH295" s="33" t="e">
        <f>INDEX('Dados - Placas'!$A:$A,MATCH('1'!AG295,'Dados - Placas'!$D:$D,0))</f>
        <v>#N/A</v>
      </c>
      <c r="AI295" s="35" t="e">
        <f>INDEX('Dados - Placas'!$E:$E,MATCH('1'!AG295,'Dados - Placas'!$D:$D,0))</f>
        <v>#N/A</v>
      </c>
      <c r="AJ295" s="34" t="e">
        <f>INDEX('Dados - Placas'!$F:$F,MATCH('1'!AG295,'Dados - Placas'!$D:$D,0))*AF295</f>
        <v>#N/A</v>
      </c>
      <c r="AK295" s="33">
        <f>'Dados - Cliente'!AE295</f>
        <v>0</v>
      </c>
      <c r="AL295" s="33">
        <f>'Dados - Cliente'!AF295</f>
        <v>0</v>
      </c>
      <c r="AM295" s="36" t="e">
        <f>INDEX('Dados - Inversores'!$A:$A,MATCH('1'!AL295,'Dados - Inversores'!$C:$C,0))</f>
        <v>#N/A</v>
      </c>
      <c r="AN295" s="33">
        <f>'Dados - Cliente'!AG295</f>
        <v>0</v>
      </c>
      <c r="AO295" s="33" t="e">
        <f>AA295*1.25/(0.22*SQRT(INDEX('Dados - Inversores'!AK:AK,MATCH('1'!AL295,'Dados - Inversores'!C:C,0))))</f>
        <v>#N/A</v>
      </c>
      <c r="AP295" s="34">
        <f>INDEX(Dados!$E$2:$E$33,COUNTIF(Dados!$E$2:$E$33,"&lt;="&amp;AN295*1.25/(INDEX('Dados - Inversores'!AL:AL,MATCH('1'!AL295,'Dados - Inversores'!C:C,0))*SQRT(INDEX('Dados - Inversores'!AK:AK,MATCH('1'!AL295,'Dados - Inversores'!C:C,0)))))+1)</f>
        <v>2</v>
      </c>
      <c r="AQ295" s="33" t="s">
        <v>59</v>
      </c>
      <c r="AR295" s="33" t="str">
        <f t="shared" si="24"/>
        <v>Micro</v>
      </c>
      <c r="AS295" s="33">
        <f>'Dados - Cliente'!AH295</f>
        <v>0</v>
      </c>
      <c r="AT295" s="33">
        <f>'Dados - Cliente'!AI295</f>
        <v>0</v>
      </c>
      <c r="AU295" s="33" t="e">
        <f>INDEX('Dados - Placas'!$N:$N,MATCH('1'!AG295,'Dados - Placas'!$D:$D,0))-1</f>
        <v>#N/A</v>
      </c>
      <c r="AV295" s="33" t="e">
        <f>INDEX('Dados - Placas'!$O:$O,MATCH('1'!AG295,'Dados - Placas'!$D:$D,0))</f>
        <v>#N/A</v>
      </c>
      <c r="AW295" s="33" t="e">
        <f>INDEX('Dados - Inversores'!AM:AM,MATCH('1'!AL295,'Dados - Inversores'!$C:$C,0))-1</f>
        <v>#N/A</v>
      </c>
      <c r="AX295" s="33" t="e">
        <f>INDEX('Dados - Inversores'!AN:AN,MATCH('1'!AL295,'Dados - Inversores'!$C:$C,0))-1</f>
        <v>#N/A</v>
      </c>
      <c r="AY295" s="33" t="e">
        <f>MATCH('1'!H295,Dados!$D$89:$D$167,0)+1</f>
        <v>#N/A</v>
      </c>
      <c r="AZ295" s="33" t="e">
        <f>MATCH('1'!N295,'Dados - Solicitação de acesso'!$N$2:$N$8,0)</f>
        <v>#N/A</v>
      </c>
      <c r="BA295" s="33" t="e">
        <f>MATCH('1'!T295,'Dados - Solicitação de acesso'!$T$2:$T$20,0)</f>
        <v>#N/A</v>
      </c>
    </row>
    <row r="296" spans="1:53" x14ac:dyDescent="0.35">
      <c r="A296" s="33">
        <f>'Dados - Cliente'!A296</f>
        <v>0</v>
      </c>
      <c r="B296" s="33">
        <f>'Dados - Cliente'!B296</f>
        <v>0</v>
      </c>
      <c r="C296" s="33">
        <f>'Dados - Cliente'!C296</f>
        <v>0</v>
      </c>
      <c r="D296" s="33">
        <f>'Dados - Cliente'!D296</f>
        <v>0</v>
      </c>
      <c r="E296" s="33">
        <f>'Dados - Cliente'!E296</f>
        <v>0</v>
      </c>
      <c r="F296" s="33">
        <f>'Dados - Cliente'!F296</f>
        <v>0</v>
      </c>
      <c r="G296" s="33">
        <f>'Dados - Cliente'!G296</f>
        <v>0</v>
      </c>
      <c r="H296" s="33">
        <f>'Dados - Cliente'!H296</f>
        <v>0</v>
      </c>
      <c r="I296" s="75" t="s">
        <v>4313</v>
      </c>
      <c r="J296" s="52" t="s">
        <v>4314</v>
      </c>
      <c r="K296" s="52" t="s">
        <v>4314</v>
      </c>
      <c r="L296" s="33">
        <f>'Dados - Cliente'!I296</f>
        <v>0</v>
      </c>
      <c r="M296" s="33">
        <f>'Dados - Cliente'!K296</f>
        <v>0</v>
      </c>
      <c r="N296" s="33">
        <f>'Dados - Cliente'!L296</f>
        <v>0</v>
      </c>
      <c r="O296" s="33">
        <f>'Dados - Cliente'!M296</f>
        <v>0</v>
      </c>
      <c r="P296" s="33">
        <f>'Dados - Cliente'!N296</f>
        <v>0</v>
      </c>
      <c r="Q296" s="33">
        <f>'Dados - Cliente'!O296</f>
        <v>0</v>
      </c>
      <c r="R296" s="33">
        <f>'Dados - Cliente'!P296</f>
        <v>0</v>
      </c>
      <c r="S296" s="33">
        <f>'Dados - Cliente'!Q296</f>
        <v>0</v>
      </c>
      <c r="T296" s="33">
        <f>'Dados - Cliente'!R296</f>
        <v>0</v>
      </c>
      <c r="U296" s="34">
        <f>'Dados - Cliente'!S296</f>
        <v>0</v>
      </c>
      <c r="V296" s="34">
        <f>'Dados - Cliente'!T296</f>
        <v>0</v>
      </c>
      <c r="W296" s="34">
        <f>'Dados - Cliente'!U296</f>
        <v>0</v>
      </c>
      <c r="X296" s="34">
        <f>'Dados - Cliente'!V296</f>
        <v>0</v>
      </c>
      <c r="Y296" s="34">
        <f>'Dados - Cliente'!W296</f>
        <v>0</v>
      </c>
      <c r="Z296" s="34">
        <f>'Dados - Cliente'!X296</f>
        <v>0</v>
      </c>
      <c r="AA296" s="33" t="e">
        <f t="shared" si="23"/>
        <v>#N/A</v>
      </c>
      <c r="AB296" s="33">
        <f>'Dados - Cliente'!Y296</f>
        <v>0</v>
      </c>
      <c r="AC296" s="33">
        <f>'Dados - Cliente'!Z296</f>
        <v>0</v>
      </c>
      <c r="AD296" s="33">
        <f>'Dados - Cliente'!AA296</f>
        <v>0</v>
      </c>
      <c r="AE296" s="33">
        <f>'Dados - Cliente'!AB296</f>
        <v>0</v>
      </c>
      <c r="AF296" s="33">
        <f>'Dados - Cliente'!AC296</f>
        <v>0</v>
      </c>
      <c r="AG296" s="35">
        <f>'Dados - Cliente'!AD296</f>
        <v>0</v>
      </c>
      <c r="AH296" s="33" t="e">
        <f>INDEX('Dados - Placas'!$A:$A,MATCH('1'!AG296,'Dados - Placas'!$D:$D,0))</f>
        <v>#N/A</v>
      </c>
      <c r="AI296" s="35" t="e">
        <f>INDEX('Dados - Placas'!$E:$E,MATCH('1'!AG296,'Dados - Placas'!$D:$D,0))</f>
        <v>#N/A</v>
      </c>
      <c r="AJ296" s="34" t="e">
        <f>INDEX('Dados - Placas'!$F:$F,MATCH('1'!AG296,'Dados - Placas'!$D:$D,0))*AF296</f>
        <v>#N/A</v>
      </c>
      <c r="AK296" s="33">
        <f>'Dados - Cliente'!AE296</f>
        <v>0</v>
      </c>
      <c r="AL296" s="33">
        <f>'Dados - Cliente'!AF296</f>
        <v>0</v>
      </c>
      <c r="AM296" s="36" t="e">
        <f>INDEX('Dados - Inversores'!$A:$A,MATCH('1'!AL296,'Dados - Inversores'!$C:$C,0))</f>
        <v>#N/A</v>
      </c>
      <c r="AN296" s="33">
        <f>'Dados - Cliente'!AG296</f>
        <v>0</v>
      </c>
      <c r="AO296" s="33" t="e">
        <f>AA296*1.25/(0.22*SQRT(INDEX('Dados - Inversores'!AK:AK,MATCH('1'!AL296,'Dados - Inversores'!C:C,0))))</f>
        <v>#N/A</v>
      </c>
      <c r="AP296" s="34">
        <f>INDEX(Dados!$E$2:$E$33,COUNTIF(Dados!$E$2:$E$33,"&lt;="&amp;AN296*1.25/(INDEX('Dados - Inversores'!AL:AL,MATCH('1'!AL296,'Dados - Inversores'!C:C,0))*SQRT(INDEX('Dados - Inversores'!AK:AK,MATCH('1'!AL296,'Dados - Inversores'!C:C,0)))))+1)</f>
        <v>2</v>
      </c>
      <c r="AQ296" s="33" t="s">
        <v>59</v>
      </c>
      <c r="AR296" s="33" t="str">
        <f t="shared" si="24"/>
        <v>Micro</v>
      </c>
      <c r="AS296" s="33">
        <f>'Dados - Cliente'!AH296</f>
        <v>0</v>
      </c>
      <c r="AT296" s="33">
        <f>'Dados - Cliente'!AI296</f>
        <v>0</v>
      </c>
      <c r="AU296" s="33" t="e">
        <f>INDEX('Dados - Placas'!$N:$N,MATCH('1'!AG296,'Dados - Placas'!$D:$D,0))-1</f>
        <v>#N/A</v>
      </c>
      <c r="AV296" s="33" t="e">
        <f>INDEX('Dados - Placas'!$O:$O,MATCH('1'!AG296,'Dados - Placas'!$D:$D,0))</f>
        <v>#N/A</v>
      </c>
      <c r="AW296" s="33" t="e">
        <f>INDEX('Dados - Inversores'!AM:AM,MATCH('1'!AL296,'Dados - Inversores'!$C:$C,0))-1</f>
        <v>#N/A</v>
      </c>
      <c r="AX296" s="33" t="e">
        <f>INDEX('Dados - Inversores'!AN:AN,MATCH('1'!AL296,'Dados - Inversores'!$C:$C,0))-1</f>
        <v>#N/A</v>
      </c>
      <c r="AY296" s="33" t="e">
        <f>MATCH('1'!H296,Dados!$D$89:$D$167,0)+1</f>
        <v>#N/A</v>
      </c>
      <c r="AZ296" s="33" t="e">
        <f>MATCH('1'!N296,'Dados - Solicitação de acesso'!$N$2:$N$8,0)</f>
        <v>#N/A</v>
      </c>
      <c r="BA296" s="33" t="e">
        <f>MATCH('1'!T296,'Dados - Solicitação de acesso'!$T$2:$T$20,0)</f>
        <v>#N/A</v>
      </c>
    </row>
    <row r="297" spans="1:53" x14ac:dyDescent="0.35">
      <c r="A297" s="33">
        <f>'Dados - Cliente'!A297</f>
        <v>0</v>
      </c>
      <c r="B297" s="33">
        <f>'Dados - Cliente'!B297</f>
        <v>0</v>
      </c>
      <c r="C297" s="33">
        <f>'Dados - Cliente'!C297</f>
        <v>0</v>
      </c>
      <c r="D297" s="33">
        <f>'Dados - Cliente'!D297</f>
        <v>0</v>
      </c>
      <c r="E297" s="33">
        <f>'Dados - Cliente'!E297</f>
        <v>0</v>
      </c>
      <c r="F297" s="33">
        <f>'Dados - Cliente'!F297</f>
        <v>0</v>
      </c>
      <c r="G297" s="33">
        <f>'Dados - Cliente'!G297</f>
        <v>0</v>
      </c>
      <c r="H297" s="33">
        <f>'Dados - Cliente'!H297</f>
        <v>0</v>
      </c>
      <c r="I297" s="75" t="s">
        <v>4313</v>
      </c>
      <c r="J297" s="52" t="s">
        <v>4314</v>
      </c>
      <c r="K297" s="52" t="s">
        <v>4314</v>
      </c>
      <c r="L297" s="33">
        <f>'Dados - Cliente'!I297</f>
        <v>0</v>
      </c>
      <c r="M297" s="33">
        <f>'Dados - Cliente'!K297</f>
        <v>0</v>
      </c>
      <c r="N297" s="33">
        <f>'Dados - Cliente'!L297</f>
        <v>0</v>
      </c>
      <c r="O297" s="33">
        <f>'Dados - Cliente'!M297</f>
        <v>0</v>
      </c>
      <c r="P297" s="33">
        <f>'Dados - Cliente'!N297</f>
        <v>0</v>
      </c>
      <c r="Q297" s="33">
        <f>'Dados - Cliente'!O297</f>
        <v>0</v>
      </c>
      <c r="R297" s="33">
        <f>'Dados - Cliente'!P297</f>
        <v>0</v>
      </c>
      <c r="S297" s="33">
        <f>'Dados - Cliente'!Q297</f>
        <v>0</v>
      </c>
      <c r="T297" s="33">
        <f>'Dados - Cliente'!R297</f>
        <v>0</v>
      </c>
      <c r="U297" s="34">
        <f>'Dados - Cliente'!S297</f>
        <v>0</v>
      </c>
      <c r="V297" s="34">
        <f>'Dados - Cliente'!T297</f>
        <v>0</v>
      </c>
      <c r="W297" s="34">
        <f>'Dados - Cliente'!U297</f>
        <v>0</v>
      </c>
      <c r="X297" s="34">
        <f>'Dados - Cliente'!V297</f>
        <v>0</v>
      </c>
      <c r="Y297" s="34">
        <f>'Dados - Cliente'!W297</f>
        <v>0</v>
      </c>
      <c r="Z297" s="34">
        <f>'Dados - Cliente'!X297</f>
        <v>0</v>
      </c>
      <c r="AA297" s="33" t="e">
        <f t="shared" si="23"/>
        <v>#N/A</v>
      </c>
      <c r="AB297" s="33">
        <f>'Dados - Cliente'!Y297</f>
        <v>0</v>
      </c>
      <c r="AC297" s="33">
        <f>'Dados - Cliente'!Z297</f>
        <v>0</v>
      </c>
      <c r="AD297" s="33">
        <f>'Dados - Cliente'!AA297</f>
        <v>0</v>
      </c>
      <c r="AE297" s="33">
        <f>'Dados - Cliente'!AB297</f>
        <v>0</v>
      </c>
      <c r="AF297" s="33">
        <f>'Dados - Cliente'!AC297</f>
        <v>0</v>
      </c>
      <c r="AG297" s="35">
        <f>'Dados - Cliente'!AD297</f>
        <v>0</v>
      </c>
      <c r="AH297" s="33" t="e">
        <f>INDEX('Dados - Placas'!$A:$A,MATCH('1'!AG297,'Dados - Placas'!$D:$D,0))</f>
        <v>#N/A</v>
      </c>
      <c r="AI297" s="35" t="e">
        <f>INDEX('Dados - Placas'!$E:$E,MATCH('1'!AG297,'Dados - Placas'!$D:$D,0))</f>
        <v>#N/A</v>
      </c>
      <c r="AJ297" s="34" t="e">
        <f>INDEX('Dados - Placas'!$F:$F,MATCH('1'!AG297,'Dados - Placas'!$D:$D,0))*AF297</f>
        <v>#N/A</v>
      </c>
      <c r="AK297" s="33">
        <f>'Dados - Cliente'!AE297</f>
        <v>0</v>
      </c>
      <c r="AL297" s="33">
        <f>'Dados - Cliente'!AF297</f>
        <v>0</v>
      </c>
      <c r="AM297" s="36" t="e">
        <f>INDEX('Dados - Inversores'!$A:$A,MATCH('1'!AL297,'Dados - Inversores'!$C:$C,0))</f>
        <v>#N/A</v>
      </c>
      <c r="AN297" s="33">
        <f>'Dados - Cliente'!AG297</f>
        <v>0</v>
      </c>
      <c r="AO297" s="33" t="e">
        <f>AA297*1.25/(0.22*SQRT(INDEX('Dados - Inversores'!AK:AK,MATCH('1'!AL297,'Dados - Inversores'!C:C,0))))</f>
        <v>#N/A</v>
      </c>
      <c r="AP297" s="34">
        <f>INDEX(Dados!$E$2:$E$33,COUNTIF(Dados!$E$2:$E$33,"&lt;="&amp;AN297*1.25/(INDEX('Dados - Inversores'!AL:AL,MATCH('1'!AL297,'Dados - Inversores'!C:C,0))*SQRT(INDEX('Dados - Inversores'!AK:AK,MATCH('1'!AL297,'Dados - Inversores'!C:C,0)))))+1)</f>
        <v>2</v>
      </c>
      <c r="AQ297" s="33" t="s">
        <v>59</v>
      </c>
      <c r="AR297" s="33" t="str">
        <f t="shared" si="24"/>
        <v>Micro</v>
      </c>
      <c r="AS297" s="33">
        <f>'Dados - Cliente'!AH297</f>
        <v>0</v>
      </c>
      <c r="AT297" s="33">
        <f>'Dados - Cliente'!AI297</f>
        <v>0</v>
      </c>
      <c r="AU297" s="33" t="e">
        <f>INDEX('Dados - Placas'!$N:$N,MATCH('1'!AG297,'Dados - Placas'!$D:$D,0))-1</f>
        <v>#N/A</v>
      </c>
      <c r="AV297" s="33" t="e">
        <f>INDEX('Dados - Placas'!$O:$O,MATCH('1'!AG297,'Dados - Placas'!$D:$D,0))</f>
        <v>#N/A</v>
      </c>
      <c r="AW297" s="33" t="e">
        <f>INDEX('Dados - Inversores'!AM:AM,MATCH('1'!AL297,'Dados - Inversores'!$C:$C,0))-1</f>
        <v>#N/A</v>
      </c>
      <c r="AX297" s="33" t="e">
        <f>INDEX('Dados - Inversores'!AN:AN,MATCH('1'!AL297,'Dados - Inversores'!$C:$C,0))-1</f>
        <v>#N/A</v>
      </c>
      <c r="AY297" s="33" t="e">
        <f>MATCH('1'!H297,Dados!$D$89:$D$167,0)+1</f>
        <v>#N/A</v>
      </c>
      <c r="AZ297" s="33" t="e">
        <f>MATCH('1'!N297,'Dados - Solicitação de acesso'!$N$2:$N$8,0)</f>
        <v>#N/A</v>
      </c>
      <c r="BA297" s="33" t="e">
        <f>MATCH('1'!T297,'Dados - Solicitação de acesso'!$T$2:$T$20,0)</f>
        <v>#N/A</v>
      </c>
    </row>
    <row r="298" spans="1:53" x14ac:dyDescent="0.35">
      <c r="A298" s="33">
        <f>'Dados - Cliente'!A298</f>
        <v>0</v>
      </c>
      <c r="B298" s="33">
        <f>'Dados - Cliente'!B298</f>
        <v>0</v>
      </c>
      <c r="C298" s="33">
        <f>'Dados - Cliente'!C298</f>
        <v>0</v>
      </c>
      <c r="D298" s="33">
        <f>'Dados - Cliente'!D298</f>
        <v>0</v>
      </c>
      <c r="E298" s="33">
        <f>'Dados - Cliente'!E298</f>
        <v>0</v>
      </c>
      <c r="F298" s="33">
        <f>'Dados - Cliente'!F298</f>
        <v>0</v>
      </c>
      <c r="G298" s="33">
        <f>'Dados - Cliente'!G298</f>
        <v>0</v>
      </c>
      <c r="H298" s="33">
        <f>'Dados - Cliente'!H298</f>
        <v>0</v>
      </c>
      <c r="I298" s="75" t="s">
        <v>4313</v>
      </c>
      <c r="J298" s="52" t="s">
        <v>4314</v>
      </c>
      <c r="K298" s="52" t="s">
        <v>4314</v>
      </c>
      <c r="L298" s="33">
        <f>'Dados - Cliente'!I298</f>
        <v>0</v>
      </c>
      <c r="M298" s="33">
        <f>'Dados - Cliente'!K298</f>
        <v>0</v>
      </c>
      <c r="N298" s="33">
        <f>'Dados - Cliente'!L298</f>
        <v>0</v>
      </c>
      <c r="O298" s="33">
        <f>'Dados - Cliente'!M298</f>
        <v>0</v>
      </c>
      <c r="P298" s="33">
        <f>'Dados - Cliente'!N298</f>
        <v>0</v>
      </c>
      <c r="Q298" s="33">
        <f>'Dados - Cliente'!O298</f>
        <v>0</v>
      </c>
      <c r="R298" s="33">
        <f>'Dados - Cliente'!P298</f>
        <v>0</v>
      </c>
      <c r="S298" s="33">
        <f>'Dados - Cliente'!Q298</f>
        <v>0</v>
      </c>
      <c r="T298" s="33">
        <f>'Dados - Cliente'!R298</f>
        <v>0</v>
      </c>
      <c r="U298" s="34">
        <f>'Dados - Cliente'!S298</f>
        <v>0</v>
      </c>
      <c r="V298" s="34">
        <f>'Dados - Cliente'!T298</f>
        <v>0</v>
      </c>
      <c r="W298" s="34">
        <f>'Dados - Cliente'!U298</f>
        <v>0</v>
      </c>
      <c r="X298" s="34">
        <f>'Dados - Cliente'!V298</f>
        <v>0</v>
      </c>
      <c r="Y298" s="34">
        <f>'Dados - Cliente'!W298</f>
        <v>0</v>
      </c>
      <c r="Z298" s="34">
        <f>'Dados - Cliente'!X298</f>
        <v>0</v>
      </c>
      <c r="AA298" s="33" t="e">
        <f t="shared" si="23"/>
        <v>#N/A</v>
      </c>
      <c r="AB298" s="33">
        <f>'Dados - Cliente'!Y298</f>
        <v>0</v>
      </c>
      <c r="AC298" s="33">
        <f>'Dados - Cliente'!Z298</f>
        <v>0</v>
      </c>
      <c r="AD298" s="33">
        <f>'Dados - Cliente'!AA298</f>
        <v>0</v>
      </c>
      <c r="AE298" s="33">
        <f>'Dados - Cliente'!AB298</f>
        <v>0</v>
      </c>
      <c r="AF298" s="33">
        <f>'Dados - Cliente'!AC298</f>
        <v>0</v>
      </c>
      <c r="AG298" s="35">
        <f>'Dados - Cliente'!AD298</f>
        <v>0</v>
      </c>
      <c r="AH298" s="33" t="e">
        <f>INDEX('Dados - Placas'!$A:$A,MATCH('1'!AG298,'Dados - Placas'!$D:$D,0))</f>
        <v>#N/A</v>
      </c>
      <c r="AI298" s="35" t="e">
        <f>INDEX('Dados - Placas'!$E:$E,MATCH('1'!AG298,'Dados - Placas'!$D:$D,0))</f>
        <v>#N/A</v>
      </c>
      <c r="AJ298" s="34" t="e">
        <f>INDEX('Dados - Placas'!$F:$F,MATCH('1'!AG298,'Dados - Placas'!$D:$D,0))*AF298</f>
        <v>#N/A</v>
      </c>
      <c r="AK298" s="33">
        <f>'Dados - Cliente'!AE298</f>
        <v>0</v>
      </c>
      <c r="AL298" s="33">
        <f>'Dados - Cliente'!AF298</f>
        <v>0</v>
      </c>
      <c r="AM298" s="36" t="e">
        <f>INDEX('Dados - Inversores'!$A:$A,MATCH('1'!AL298,'Dados - Inversores'!$C:$C,0))</f>
        <v>#N/A</v>
      </c>
      <c r="AN298" s="33">
        <f>'Dados - Cliente'!AG298</f>
        <v>0</v>
      </c>
      <c r="AO298" s="33" t="e">
        <f>AA298*1.25/(0.22*SQRT(INDEX('Dados - Inversores'!AK:AK,MATCH('1'!AL298,'Dados - Inversores'!C:C,0))))</f>
        <v>#N/A</v>
      </c>
      <c r="AP298" s="34">
        <f>INDEX(Dados!$E$2:$E$33,COUNTIF(Dados!$E$2:$E$33,"&lt;="&amp;AN298*1.25/(INDEX('Dados - Inversores'!AL:AL,MATCH('1'!AL298,'Dados - Inversores'!C:C,0))*SQRT(INDEX('Dados - Inversores'!AK:AK,MATCH('1'!AL298,'Dados - Inversores'!C:C,0)))))+1)</f>
        <v>2</v>
      </c>
      <c r="AQ298" s="33" t="s">
        <v>59</v>
      </c>
      <c r="AR298" s="33" t="str">
        <f t="shared" si="24"/>
        <v>Micro</v>
      </c>
      <c r="AS298" s="33">
        <f>'Dados - Cliente'!AH298</f>
        <v>0</v>
      </c>
      <c r="AT298" s="33">
        <f>'Dados - Cliente'!AI298</f>
        <v>0</v>
      </c>
      <c r="AU298" s="33" t="e">
        <f>INDEX('Dados - Placas'!$N:$N,MATCH('1'!AG298,'Dados - Placas'!$D:$D,0))-1</f>
        <v>#N/A</v>
      </c>
      <c r="AV298" s="33" t="e">
        <f>INDEX('Dados - Placas'!$O:$O,MATCH('1'!AG298,'Dados - Placas'!$D:$D,0))</f>
        <v>#N/A</v>
      </c>
      <c r="AW298" s="33" t="e">
        <f>INDEX('Dados - Inversores'!AM:AM,MATCH('1'!AL298,'Dados - Inversores'!$C:$C,0))-1</f>
        <v>#N/A</v>
      </c>
      <c r="AX298" s="33" t="e">
        <f>INDEX('Dados - Inversores'!AN:AN,MATCH('1'!AL298,'Dados - Inversores'!$C:$C,0))-1</f>
        <v>#N/A</v>
      </c>
      <c r="AY298" s="33" t="e">
        <f>MATCH('1'!H298,Dados!$D$89:$D$167,0)+1</f>
        <v>#N/A</v>
      </c>
      <c r="AZ298" s="33" t="e">
        <f>MATCH('1'!N298,'Dados - Solicitação de acesso'!$N$2:$N$8,0)</f>
        <v>#N/A</v>
      </c>
      <c r="BA298" s="33" t="e">
        <f>MATCH('1'!T298,'Dados - Solicitação de acesso'!$T$2:$T$20,0)</f>
        <v>#N/A</v>
      </c>
    </row>
    <row r="299" spans="1:53" x14ac:dyDescent="0.35">
      <c r="A299" s="33">
        <f>'Dados - Cliente'!A299</f>
        <v>0</v>
      </c>
      <c r="B299" s="33">
        <f>'Dados - Cliente'!B299</f>
        <v>0</v>
      </c>
      <c r="C299" s="33">
        <f>'Dados - Cliente'!C299</f>
        <v>0</v>
      </c>
      <c r="D299" s="33">
        <f>'Dados - Cliente'!D299</f>
        <v>0</v>
      </c>
      <c r="E299" s="33">
        <f>'Dados - Cliente'!E299</f>
        <v>0</v>
      </c>
      <c r="F299" s="33">
        <f>'Dados - Cliente'!F299</f>
        <v>0</v>
      </c>
      <c r="G299" s="33">
        <f>'Dados - Cliente'!G299</f>
        <v>0</v>
      </c>
      <c r="H299" s="33">
        <f>'Dados - Cliente'!H299</f>
        <v>0</v>
      </c>
      <c r="I299" s="75" t="s">
        <v>4313</v>
      </c>
      <c r="J299" s="52" t="s">
        <v>4314</v>
      </c>
      <c r="K299" s="52" t="s">
        <v>4314</v>
      </c>
      <c r="L299" s="33">
        <f>'Dados - Cliente'!I299</f>
        <v>0</v>
      </c>
      <c r="M299" s="33">
        <f>'Dados - Cliente'!K299</f>
        <v>0</v>
      </c>
      <c r="N299" s="33">
        <f>'Dados - Cliente'!L299</f>
        <v>0</v>
      </c>
      <c r="O299" s="33">
        <f>'Dados - Cliente'!M299</f>
        <v>0</v>
      </c>
      <c r="P299" s="33">
        <f>'Dados - Cliente'!N299</f>
        <v>0</v>
      </c>
      <c r="Q299" s="33">
        <f>'Dados - Cliente'!O299</f>
        <v>0</v>
      </c>
      <c r="R299" s="33">
        <f>'Dados - Cliente'!P299</f>
        <v>0</v>
      </c>
      <c r="S299" s="33">
        <f>'Dados - Cliente'!Q299</f>
        <v>0</v>
      </c>
      <c r="T299" s="33">
        <f>'Dados - Cliente'!R299</f>
        <v>0</v>
      </c>
      <c r="U299" s="34">
        <f>'Dados - Cliente'!S299</f>
        <v>0</v>
      </c>
      <c r="V299" s="34">
        <f>'Dados - Cliente'!T299</f>
        <v>0</v>
      </c>
      <c r="W299" s="34">
        <f>'Dados - Cliente'!U299</f>
        <v>0</v>
      </c>
      <c r="X299" s="34">
        <f>'Dados - Cliente'!V299</f>
        <v>0</v>
      </c>
      <c r="Y299" s="34">
        <f>'Dados - Cliente'!W299</f>
        <v>0</v>
      </c>
      <c r="Z299" s="34">
        <f>'Dados - Cliente'!X299</f>
        <v>0</v>
      </c>
      <c r="AA299" s="33" t="e">
        <f t="shared" si="23"/>
        <v>#N/A</v>
      </c>
      <c r="AB299" s="33">
        <f>'Dados - Cliente'!Y299</f>
        <v>0</v>
      </c>
      <c r="AC299" s="33">
        <f>'Dados - Cliente'!Z299</f>
        <v>0</v>
      </c>
      <c r="AD299" s="33">
        <f>'Dados - Cliente'!AA299</f>
        <v>0</v>
      </c>
      <c r="AE299" s="33">
        <f>'Dados - Cliente'!AB299</f>
        <v>0</v>
      </c>
      <c r="AF299" s="33">
        <f>'Dados - Cliente'!AC299</f>
        <v>0</v>
      </c>
      <c r="AG299" s="35">
        <f>'Dados - Cliente'!AD299</f>
        <v>0</v>
      </c>
      <c r="AH299" s="33" t="e">
        <f>INDEX('Dados - Placas'!$A:$A,MATCH('1'!AG299,'Dados - Placas'!$D:$D,0))</f>
        <v>#N/A</v>
      </c>
      <c r="AI299" s="35" t="e">
        <f>INDEX('Dados - Placas'!$E:$E,MATCH('1'!AG299,'Dados - Placas'!$D:$D,0))</f>
        <v>#N/A</v>
      </c>
      <c r="AJ299" s="34" t="e">
        <f>INDEX('Dados - Placas'!$F:$F,MATCH('1'!AG299,'Dados - Placas'!$D:$D,0))*AF299</f>
        <v>#N/A</v>
      </c>
      <c r="AK299" s="33">
        <f>'Dados - Cliente'!AE299</f>
        <v>0</v>
      </c>
      <c r="AL299" s="33">
        <f>'Dados - Cliente'!AF299</f>
        <v>0</v>
      </c>
      <c r="AM299" s="36" t="e">
        <f>INDEX('Dados - Inversores'!$A:$A,MATCH('1'!AL299,'Dados - Inversores'!$C:$C,0))</f>
        <v>#N/A</v>
      </c>
      <c r="AN299" s="33">
        <f>'Dados - Cliente'!AG299</f>
        <v>0</v>
      </c>
      <c r="AO299" s="33" t="e">
        <f>AA299*1.25/(0.22*SQRT(INDEX('Dados - Inversores'!AK:AK,MATCH('1'!AL299,'Dados - Inversores'!C:C,0))))</f>
        <v>#N/A</v>
      </c>
      <c r="AP299" s="34">
        <f>INDEX(Dados!$E$2:$E$33,COUNTIF(Dados!$E$2:$E$33,"&lt;="&amp;AN299*1.25/(INDEX('Dados - Inversores'!AL:AL,MATCH('1'!AL299,'Dados - Inversores'!C:C,0))*SQRT(INDEX('Dados - Inversores'!AK:AK,MATCH('1'!AL299,'Dados - Inversores'!C:C,0)))))+1)</f>
        <v>2</v>
      </c>
      <c r="AQ299" s="33" t="s">
        <v>59</v>
      </c>
      <c r="AR299" s="33" t="str">
        <f t="shared" si="24"/>
        <v>Micro</v>
      </c>
      <c r="AS299" s="33">
        <f>'Dados - Cliente'!AH299</f>
        <v>0</v>
      </c>
      <c r="AT299" s="33">
        <f>'Dados - Cliente'!AI299</f>
        <v>0</v>
      </c>
      <c r="AU299" s="33" t="e">
        <f>INDEX('Dados - Placas'!$N:$N,MATCH('1'!AG299,'Dados - Placas'!$D:$D,0))-1</f>
        <v>#N/A</v>
      </c>
      <c r="AV299" s="33" t="e">
        <f>INDEX('Dados - Placas'!$O:$O,MATCH('1'!AG299,'Dados - Placas'!$D:$D,0))</f>
        <v>#N/A</v>
      </c>
      <c r="AW299" s="33" t="e">
        <f>INDEX('Dados - Inversores'!AM:AM,MATCH('1'!AL299,'Dados - Inversores'!$C:$C,0))-1</f>
        <v>#N/A</v>
      </c>
      <c r="AX299" s="33" t="e">
        <f>INDEX('Dados - Inversores'!AN:AN,MATCH('1'!AL299,'Dados - Inversores'!$C:$C,0))-1</f>
        <v>#N/A</v>
      </c>
      <c r="AY299" s="33" t="e">
        <f>MATCH('1'!H299,Dados!$D$89:$D$167,0)+1</f>
        <v>#N/A</v>
      </c>
      <c r="AZ299" s="33" t="e">
        <f>MATCH('1'!N299,'Dados - Solicitação de acesso'!$N$2:$N$8,0)</f>
        <v>#N/A</v>
      </c>
      <c r="BA299" s="33" t="e">
        <f>MATCH('1'!T299,'Dados - Solicitação de acesso'!$T$2:$T$20,0)</f>
        <v>#N/A</v>
      </c>
    </row>
    <row r="300" spans="1:53" x14ac:dyDescent="0.35">
      <c r="A300" s="33">
        <f>'Dados - Cliente'!A300</f>
        <v>0</v>
      </c>
      <c r="B300" s="33">
        <f>'Dados - Cliente'!B300</f>
        <v>0</v>
      </c>
      <c r="C300" s="33">
        <f>'Dados - Cliente'!C300</f>
        <v>0</v>
      </c>
      <c r="D300" s="33">
        <f>'Dados - Cliente'!D300</f>
        <v>0</v>
      </c>
      <c r="E300" s="33">
        <f>'Dados - Cliente'!E300</f>
        <v>0</v>
      </c>
      <c r="F300" s="33">
        <f>'Dados - Cliente'!F300</f>
        <v>0</v>
      </c>
      <c r="G300" s="33">
        <f>'Dados - Cliente'!G300</f>
        <v>0</v>
      </c>
      <c r="H300" s="33">
        <f>'Dados - Cliente'!H300</f>
        <v>0</v>
      </c>
      <c r="I300" s="75" t="s">
        <v>4313</v>
      </c>
      <c r="J300" s="52" t="s">
        <v>4314</v>
      </c>
      <c r="K300" s="52" t="s">
        <v>4314</v>
      </c>
      <c r="L300" s="33">
        <f>'Dados - Cliente'!I300</f>
        <v>0</v>
      </c>
      <c r="M300" s="33">
        <f>'Dados - Cliente'!K300</f>
        <v>0</v>
      </c>
      <c r="N300" s="33">
        <f>'Dados - Cliente'!L300</f>
        <v>0</v>
      </c>
      <c r="O300" s="33">
        <f>'Dados - Cliente'!M300</f>
        <v>0</v>
      </c>
      <c r="P300" s="33">
        <f>'Dados - Cliente'!N300</f>
        <v>0</v>
      </c>
      <c r="Q300" s="33">
        <f>'Dados - Cliente'!O300</f>
        <v>0</v>
      </c>
      <c r="R300" s="33">
        <f>'Dados - Cliente'!P300</f>
        <v>0</v>
      </c>
      <c r="S300" s="33">
        <f>'Dados - Cliente'!Q300</f>
        <v>0</v>
      </c>
      <c r="T300" s="33">
        <f>'Dados - Cliente'!R300</f>
        <v>0</v>
      </c>
      <c r="U300" s="34">
        <f>'Dados - Cliente'!S300</f>
        <v>0</v>
      </c>
      <c r="V300" s="34">
        <f>'Dados - Cliente'!T300</f>
        <v>0</v>
      </c>
      <c r="W300" s="34">
        <f>'Dados - Cliente'!U300</f>
        <v>0</v>
      </c>
      <c r="X300" s="34">
        <f>'Dados - Cliente'!V300</f>
        <v>0</v>
      </c>
      <c r="Y300" s="34">
        <f>'Dados - Cliente'!W300</f>
        <v>0</v>
      </c>
      <c r="Z300" s="34">
        <f>'Dados - Cliente'!X300</f>
        <v>0</v>
      </c>
      <c r="AA300" s="33" t="e">
        <f t="shared" si="23"/>
        <v>#N/A</v>
      </c>
      <c r="AB300" s="33">
        <f>'Dados - Cliente'!Y300</f>
        <v>0</v>
      </c>
      <c r="AC300" s="33">
        <f>'Dados - Cliente'!Z300</f>
        <v>0</v>
      </c>
      <c r="AD300" s="33">
        <f>'Dados - Cliente'!AA300</f>
        <v>0</v>
      </c>
      <c r="AE300" s="33">
        <f>'Dados - Cliente'!AB300</f>
        <v>0</v>
      </c>
      <c r="AF300" s="33">
        <f>'Dados - Cliente'!AC300</f>
        <v>0</v>
      </c>
      <c r="AG300" s="35">
        <f>'Dados - Cliente'!AD300</f>
        <v>0</v>
      </c>
      <c r="AH300" s="33" t="e">
        <f>INDEX('Dados - Placas'!$A:$A,MATCH('1'!AG300,'Dados - Placas'!$D:$D,0))</f>
        <v>#N/A</v>
      </c>
      <c r="AI300" s="35" t="e">
        <f>INDEX('Dados - Placas'!$E:$E,MATCH('1'!AG300,'Dados - Placas'!$D:$D,0))</f>
        <v>#N/A</v>
      </c>
      <c r="AJ300" s="34" t="e">
        <f>INDEX('Dados - Placas'!$F:$F,MATCH('1'!AG300,'Dados - Placas'!$D:$D,0))*AF300</f>
        <v>#N/A</v>
      </c>
      <c r="AK300" s="33">
        <f>'Dados - Cliente'!AE300</f>
        <v>0</v>
      </c>
      <c r="AL300" s="33">
        <f>'Dados - Cliente'!AF300</f>
        <v>0</v>
      </c>
      <c r="AM300" s="36" t="e">
        <f>INDEX('Dados - Inversores'!$A:$A,MATCH('1'!AL300,'Dados - Inversores'!$C:$C,0))</f>
        <v>#N/A</v>
      </c>
      <c r="AN300" s="33">
        <f>'Dados - Cliente'!AG300</f>
        <v>0</v>
      </c>
      <c r="AO300" s="33" t="e">
        <f>AA300*1.25/(0.22*SQRT(INDEX('Dados - Inversores'!AK:AK,MATCH('1'!AL300,'Dados - Inversores'!C:C,0))))</f>
        <v>#N/A</v>
      </c>
      <c r="AP300" s="34">
        <f>INDEX(Dados!$E$2:$E$33,COUNTIF(Dados!$E$2:$E$33,"&lt;="&amp;AN300*1.25/(INDEX('Dados - Inversores'!AL:AL,MATCH('1'!AL300,'Dados - Inversores'!C:C,0))*SQRT(INDEX('Dados - Inversores'!AK:AK,MATCH('1'!AL300,'Dados - Inversores'!C:C,0)))))+1)</f>
        <v>2</v>
      </c>
      <c r="AQ300" s="33" t="s">
        <v>59</v>
      </c>
      <c r="AR300" s="33" t="str">
        <f t="shared" si="24"/>
        <v>Micro</v>
      </c>
      <c r="AS300" s="33">
        <f>'Dados - Cliente'!AH300</f>
        <v>0</v>
      </c>
      <c r="AT300" s="33">
        <f>'Dados - Cliente'!AI300</f>
        <v>0</v>
      </c>
      <c r="AU300" s="33" t="e">
        <f>INDEX('Dados - Placas'!$N:$N,MATCH('1'!AG300,'Dados - Placas'!$D:$D,0))-1</f>
        <v>#N/A</v>
      </c>
      <c r="AV300" s="33" t="e">
        <f>INDEX('Dados - Placas'!$O:$O,MATCH('1'!AG300,'Dados - Placas'!$D:$D,0))</f>
        <v>#N/A</v>
      </c>
      <c r="AW300" s="33" t="e">
        <f>INDEX('Dados - Inversores'!AM:AM,MATCH('1'!AL300,'Dados - Inversores'!$C:$C,0))-1</f>
        <v>#N/A</v>
      </c>
      <c r="AX300" s="33" t="e">
        <f>INDEX('Dados - Inversores'!AN:AN,MATCH('1'!AL300,'Dados - Inversores'!$C:$C,0))-1</f>
        <v>#N/A</v>
      </c>
      <c r="AY300" s="33" t="e">
        <f>MATCH('1'!H300,Dados!$D$89:$D$167,0)+1</f>
        <v>#N/A</v>
      </c>
      <c r="AZ300" s="33" t="e">
        <f>MATCH('1'!N300,'Dados - Solicitação de acesso'!$N$2:$N$8,0)</f>
        <v>#N/A</v>
      </c>
      <c r="BA300" s="33" t="e">
        <f>MATCH('1'!T300,'Dados - Solicitação de acesso'!$T$2:$T$20,0)</f>
        <v>#N/A</v>
      </c>
    </row>
    <row r="301" spans="1:53" x14ac:dyDescent="0.35">
      <c r="A301" s="33">
        <f>'Dados - Cliente'!A301</f>
        <v>0</v>
      </c>
      <c r="B301" s="33">
        <f>'Dados - Cliente'!B301</f>
        <v>0</v>
      </c>
      <c r="C301" s="33">
        <f>'Dados - Cliente'!C301</f>
        <v>0</v>
      </c>
      <c r="D301" s="33">
        <f>'Dados - Cliente'!D301</f>
        <v>0</v>
      </c>
      <c r="E301" s="33">
        <f>'Dados - Cliente'!E301</f>
        <v>0</v>
      </c>
      <c r="F301" s="33">
        <f>'Dados - Cliente'!F301</f>
        <v>0</v>
      </c>
      <c r="G301" s="33">
        <f>'Dados - Cliente'!G301</f>
        <v>0</v>
      </c>
      <c r="H301" s="33">
        <f>'Dados - Cliente'!H301</f>
        <v>0</v>
      </c>
      <c r="I301" s="75" t="s">
        <v>4313</v>
      </c>
      <c r="J301" s="52" t="s">
        <v>4314</v>
      </c>
      <c r="K301" s="52" t="s">
        <v>4314</v>
      </c>
      <c r="L301" s="33">
        <f>'Dados - Cliente'!I301</f>
        <v>0</v>
      </c>
      <c r="M301" s="33">
        <f>'Dados - Cliente'!K301</f>
        <v>0</v>
      </c>
      <c r="N301" s="33">
        <f>'Dados - Cliente'!L301</f>
        <v>0</v>
      </c>
      <c r="O301" s="33">
        <f>'Dados - Cliente'!M301</f>
        <v>0</v>
      </c>
      <c r="P301" s="33">
        <f>'Dados - Cliente'!N301</f>
        <v>0</v>
      </c>
      <c r="Q301" s="33">
        <f>'Dados - Cliente'!O301</f>
        <v>0</v>
      </c>
      <c r="R301" s="33">
        <f>'Dados - Cliente'!P301</f>
        <v>0</v>
      </c>
      <c r="S301" s="33">
        <f>'Dados - Cliente'!Q301</f>
        <v>0</v>
      </c>
      <c r="T301" s="33">
        <f>'Dados - Cliente'!R301</f>
        <v>0</v>
      </c>
      <c r="U301" s="34">
        <f>'Dados - Cliente'!S301</f>
        <v>0</v>
      </c>
      <c r="V301" s="34">
        <f>'Dados - Cliente'!T301</f>
        <v>0</v>
      </c>
      <c r="W301" s="34">
        <f>'Dados - Cliente'!U301</f>
        <v>0</v>
      </c>
      <c r="X301" s="34">
        <f>'Dados - Cliente'!V301</f>
        <v>0</v>
      </c>
      <c r="Y301" s="34">
        <f>'Dados - Cliente'!W301</f>
        <v>0</v>
      </c>
      <c r="Z301" s="34">
        <f>'Dados - Cliente'!X301</f>
        <v>0</v>
      </c>
      <c r="AA301" s="33" t="e">
        <f t="shared" si="23"/>
        <v>#N/A</v>
      </c>
      <c r="AB301" s="33">
        <f>'Dados - Cliente'!Y301</f>
        <v>0</v>
      </c>
      <c r="AC301" s="33">
        <f>'Dados - Cliente'!Z301</f>
        <v>0</v>
      </c>
      <c r="AD301" s="33">
        <f>'Dados - Cliente'!AA301</f>
        <v>0</v>
      </c>
      <c r="AE301" s="33">
        <f>'Dados - Cliente'!AB301</f>
        <v>0</v>
      </c>
      <c r="AF301" s="33">
        <f>'Dados - Cliente'!AC301</f>
        <v>0</v>
      </c>
      <c r="AG301" s="35">
        <f>'Dados - Cliente'!AD301</f>
        <v>0</v>
      </c>
      <c r="AH301" s="33" t="e">
        <f>INDEX('Dados - Placas'!$A:$A,MATCH('1'!AG301,'Dados - Placas'!$D:$D,0))</f>
        <v>#N/A</v>
      </c>
      <c r="AI301" s="35" t="e">
        <f>INDEX('Dados - Placas'!$E:$E,MATCH('1'!AG301,'Dados - Placas'!$D:$D,0))</f>
        <v>#N/A</v>
      </c>
      <c r="AJ301" s="34" t="e">
        <f>INDEX('Dados - Placas'!$F:$F,MATCH('1'!AG301,'Dados - Placas'!$D:$D,0))*AF301</f>
        <v>#N/A</v>
      </c>
      <c r="AK301" s="33">
        <f>'Dados - Cliente'!AE301</f>
        <v>0</v>
      </c>
      <c r="AL301" s="33">
        <f>'Dados - Cliente'!AF301</f>
        <v>0</v>
      </c>
      <c r="AM301" s="36" t="e">
        <f>INDEX('Dados - Inversores'!$A:$A,MATCH('1'!AL301,'Dados - Inversores'!$C:$C,0))</f>
        <v>#N/A</v>
      </c>
      <c r="AN301" s="33">
        <f>'Dados - Cliente'!AG301</f>
        <v>0</v>
      </c>
      <c r="AO301" s="33" t="e">
        <f>AA301*1.25/(0.22*SQRT(INDEX('Dados - Inversores'!AK:AK,MATCH('1'!AL301,'Dados - Inversores'!C:C,0))))</f>
        <v>#N/A</v>
      </c>
      <c r="AP301" s="34">
        <f>INDEX(Dados!$E$2:$E$33,COUNTIF(Dados!$E$2:$E$33,"&lt;="&amp;AN301*1.25/(INDEX('Dados - Inversores'!AL:AL,MATCH('1'!AL301,'Dados - Inversores'!C:C,0))*SQRT(INDEX('Dados - Inversores'!AK:AK,MATCH('1'!AL301,'Dados - Inversores'!C:C,0)))))+1)</f>
        <v>2</v>
      </c>
      <c r="AQ301" s="33" t="s">
        <v>59</v>
      </c>
      <c r="AR301" s="33" t="str">
        <f t="shared" si="24"/>
        <v>Micro</v>
      </c>
      <c r="AS301" s="33">
        <f>'Dados - Cliente'!AH301</f>
        <v>0</v>
      </c>
      <c r="AT301" s="33">
        <f>'Dados - Cliente'!AI301</f>
        <v>0</v>
      </c>
      <c r="AU301" s="33" t="e">
        <f>INDEX('Dados - Placas'!$N:$N,MATCH('1'!AG301,'Dados - Placas'!$D:$D,0))-1</f>
        <v>#N/A</v>
      </c>
      <c r="AV301" s="33" t="e">
        <f>INDEX('Dados - Placas'!$O:$O,MATCH('1'!AG301,'Dados - Placas'!$D:$D,0))</f>
        <v>#N/A</v>
      </c>
      <c r="AW301" s="33" t="e">
        <f>INDEX('Dados - Inversores'!AM:AM,MATCH('1'!AL301,'Dados - Inversores'!$C:$C,0))-1</f>
        <v>#N/A</v>
      </c>
      <c r="AX301" s="33" t="e">
        <f>INDEX('Dados - Inversores'!AN:AN,MATCH('1'!AL301,'Dados - Inversores'!$C:$C,0))-1</f>
        <v>#N/A</v>
      </c>
      <c r="AY301" s="33" t="e">
        <f>MATCH('1'!H301,Dados!$D$89:$D$167,0)+1</f>
        <v>#N/A</v>
      </c>
      <c r="AZ301" s="33" t="e">
        <f>MATCH('1'!N301,'Dados - Solicitação de acesso'!$N$2:$N$8,0)</f>
        <v>#N/A</v>
      </c>
      <c r="BA301" s="33" t="e">
        <f>MATCH('1'!T301,'Dados - Solicitação de acesso'!$T$2:$T$20,0)</f>
        <v>#N/A</v>
      </c>
    </row>
    <row r="302" spans="1:53" x14ac:dyDescent="0.35">
      <c r="A302" s="33">
        <f>'Dados - Cliente'!A302</f>
        <v>0</v>
      </c>
      <c r="B302" s="33">
        <f>'Dados - Cliente'!B302</f>
        <v>0</v>
      </c>
      <c r="C302" s="33">
        <f>'Dados - Cliente'!C302</f>
        <v>0</v>
      </c>
      <c r="D302" s="33">
        <f>'Dados - Cliente'!D302</f>
        <v>0</v>
      </c>
      <c r="E302" s="33">
        <f>'Dados - Cliente'!E302</f>
        <v>0</v>
      </c>
      <c r="F302" s="33">
        <f>'Dados - Cliente'!F302</f>
        <v>0</v>
      </c>
      <c r="G302" s="33">
        <f>'Dados - Cliente'!G302</f>
        <v>0</v>
      </c>
      <c r="H302" s="33">
        <f>'Dados - Cliente'!H302</f>
        <v>0</v>
      </c>
      <c r="I302" s="75" t="s">
        <v>4313</v>
      </c>
      <c r="J302" s="52" t="s">
        <v>4314</v>
      </c>
      <c r="K302" s="52" t="s">
        <v>4314</v>
      </c>
      <c r="L302" s="33">
        <f>'Dados - Cliente'!I302</f>
        <v>0</v>
      </c>
      <c r="M302" s="33">
        <f>'Dados - Cliente'!K302</f>
        <v>0</v>
      </c>
      <c r="N302" s="33">
        <f>'Dados - Cliente'!L302</f>
        <v>0</v>
      </c>
      <c r="O302" s="33">
        <f>'Dados - Cliente'!M302</f>
        <v>0</v>
      </c>
      <c r="P302" s="33">
        <f>'Dados - Cliente'!N302</f>
        <v>0</v>
      </c>
      <c r="Q302" s="33">
        <f>'Dados - Cliente'!O302</f>
        <v>0</v>
      </c>
      <c r="R302" s="33">
        <f>'Dados - Cliente'!P302</f>
        <v>0</v>
      </c>
      <c r="S302" s="33">
        <f>'Dados - Cliente'!Q302</f>
        <v>0</v>
      </c>
      <c r="T302" s="33">
        <f>'Dados - Cliente'!R302</f>
        <v>0</v>
      </c>
      <c r="U302" s="34">
        <f>'Dados - Cliente'!S302</f>
        <v>0</v>
      </c>
      <c r="V302" s="34">
        <f>'Dados - Cliente'!T302</f>
        <v>0</v>
      </c>
      <c r="W302" s="34">
        <f>'Dados - Cliente'!U302</f>
        <v>0</v>
      </c>
      <c r="X302" s="34">
        <f>'Dados - Cliente'!V302</f>
        <v>0</v>
      </c>
      <c r="Y302" s="34">
        <f>'Dados - Cliente'!W302</f>
        <v>0</v>
      </c>
      <c r="Z302" s="34">
        <f>'Dados - Cliente'!X302</f>
        <v>0</v>
      </c>
      <c r="AA302" s="33" t="e">
        <f t="shared" si="23"/>
        <v>#N/A</v>
      </c>
      <c r="AB302" s="33">
        <f>'Dados - Cliente'!Y302</f>
        <v>0</v>
      </c>
      <c r="AC302" s="33">
        <f>'Dados - Cliente'!Z302</f>
        <v>0</v>
      </c>
      <c r="AD302" s="33">
        <f>'Dados - Cliente'!AA302</f>
        <v>0</v>
      </c>
      <c r="AE302" s="33">
        <f>'Dados - Cliente'!AB302</f>
        <v>0</v>
      </c>
      <c r="AF302" s="33">
        <f>'Dados - Cliente'!AC302</f>
        <v>0</v>
      </c>
      <c r="AG302" s="35">
        <f>'Dados - Cliente'!AD302</f>
        <v>0</v>
      </c>
      <c r="AH302" s="33" t="e">
        <f>INDEX('Dados - Placas'!$A:$A,MATCH('1'!AG302,'Dados - Placas'!$D:$D,0))</f>
        <v>#N/A</v>
      </c>
      <c r="AI302" s="35" t="e">
        <f>INDEX('Dados - Placas'!$E:$E,MATCH('1'!AG302,'Dados - Placas'!$D:$D,0))</f>
        <v>#N/A</v>
      </c>
      <c r="AJ302" s="34" t="e">
        <f>INDEX('Dados - Placas'!$F:$F,MATCH('1'!AG302,'Dados - Placas'!$D:$D,0))*AF302</f>
        <v>#N/A</v>
      </c>
      <c r="AK302" s="33">
        <f>'Dados - Cliente'!AE302</f>
        <v>0</v>
      </c>
      <c r="AL302" s="33">
        <f>'Dados - Cliente'!AF302</f>
        <v>0</v>
      </c>
      <c r="AM302" s="36" t="e">
        <f>INDEX('Dados - Inversores'!$A:$A,MATCH('1'!AL302,'Dados - Inversores'!$C:$C,0))</f>
        <v>#N/A</v>
      </c>
      <c r="AN302" s="33">
        <f>'Dados - Cliente'!AG302</f>
        <v>0</v>
      </c>
      <c r="AO302" s="33" t="e">
        <f>AA302*1.25/(0.22*SQRT(INDEX('Dados - Inversores'!AK:AK,MATCH('1'!AL302,'Dados - Inversores'!C:C,0))))</f>
        <v>#N/A</v>
      </c>
      <c r="AP302" s="34">
        <f>INDEX(Dados!$E$2:$E$33,COUNTIF(Dados!$E$2:$E$33,"&lt;="&amp;AN302*1.25/(INDEX('Dados - Inversores'!AL:AL,MATCH('1'!AL302,'Dados - Inversores'!C:C,0))*SQRT(INDEX('Dados - Inversores'!AK:AK,MATCH('1'!AL302,'Dados - Inversores'!C:C,0)))))+1)</f>
        <v>2</v>
      </c>
      <c r="AQ302" s="33" t="s">
        <v>59</v>
      </c>
      <c r="AR302" s="33" t="str">
        <f t="shared" si="24"/>
        <v>Micro</v>
      </c>
      <c r="AS302" s="33">
        <f>'Dados - Cliente'!AH302</f>
        <v>0</v>
      </c>
      <c r="AT302" s="33">
        <f>'Dados - Cliente'!AI302</f>
        <v>0</v>
      </c>
      <c r="AU302" s="33" t="e">
        <f>INDEX('Dados - Placas'!$N:$N,MATCH('1'!AG302,'Dados - Placas'!$D:$D,0))-1</f>
        <v>#N/A</v>
      </c>
      <c r="AV302" s="33" t="e">
        <f>INDEX('Dados - Placas'!$O:$O,MATCH('1'!AG302,'Dados - Placas'!$D:$D,0))</f>
        <v>#N/A</v>
      </c>
      <c r="AW302" s="33" t="e">
        <f>INDEX('Dados - Inversores'!AM:AM,MATCH('1'!AL302,'Dados - Inversores'!$C:$C,0))-1</f>
        <v>#N/A</v>
      </c>
      <c r="AX302" s="33" t="e">
        <f>INDEX('Dados - Inversores'!AN:AN,MATCH('1'!AL302,'Dados - Inversores'!$C:$C,0))-1</f>
        <v>#N/A</v>
      </c>
      <c r="AY302" s="33" t="e">
        <f>MATCH('1'!H302,Dados!$D$89:$D$167,0)+1</f>
        <v>#N/A</v>
      </c>
      <c r="AZ302" s="33" t="e">
        <f>MATCH('1'!N302,'Dados - Solicitação de acesso'!$N$2:$N$8,0)</f>
        <v>#N/A</v>
      </c>
      <c r="BA302" s="33" t="e">
        <f>MATCH('1'!T302,'Dados - Solicitação de acesso'!$T$2:$T$20,0)</f>
        <v>#N/A</v>
      </c>
    </row>
    <row r="303" spans="1:53" x14ac:dyDescent="0.35">
      <c r="A303" s="33">
        <f>'Dados - Cliente'!A303</f>
        <v>0</v>
      </c>
      <c r="B303" s="33">
        <f>'Dados - Cliente'!B303</f>
        <v>0</v>
      </c>
      <c r="C303" s="33">
        <f>'Dados - Cliente'!C303</f>
        <v>0</v>
      </c>
      <c r="D303" s="33">
        <f>'Dados - Cliente'!D303</f>
        <v>0</v>
      </c>
      <c r="E303" s="33">
        <f>'Dados - Cliente'!E303</f>
        <v>0</v>
      </c>
      <c r="F303" s="33">
        <f>'Dados - Cliente'!F303</f>
        <v>0</v>
      </c>
      <c r="G303" s="33">
        <f>'Dados - Cliente'!G303</f>
        <v>0</v>
      </c>
      <c r="H303" s="33">
        <f>'Dados - Cliente'!H303</f>
        <v>0</v>
      </c>
      <c r="I303" s="75" t="s">
        <v>4313</v>
      </c>
      <c r="J303" s="52" t="s">
        <v>4314</v>
      </c>
      <c r="K303" s="52" t="s">
        <v>4314</v>
      </c>
      <c r="L303" s="33">
        <f>'Dados - Cliente'!I303</f>
        <v>0</v>
      </c>
      <c r="M303" s="33">
        <f>'Dados - Cliente'!K303</f>
        <v>0</v>
      </c>
      <c r="N303" s="33">
        <f>'Dados - Cliente'!L303</f>
        <v>0</v>
      </c>
      <c r="O303" s="33">
        <f>'Dados - Cliente'!M303</f>
        <v>0</v>
      </c>
      <c r="P303" s="33">
        <f>'Dados - Cliente'!N303</f>
        <v>0</v>
      </c>
      <c r="Q303" s="33">
        <f>'Dados - Cliente'!O303</f>
        <v>0</v>
      </c>
      <c r="R303" s="33">
        <f>'Dados - Cliente'!P303</f>
        <v>0</v>
      </c>
      <c r="S303" s="33">
        <f>'Dados - Cliente'!Q303</f>
        <v>0</v>
      </c>
      <c r="T303" s="33">
        <f>'Dados - Cliente'!R303</f>
        <v>0</v>
      </c>
      <c r="U303" s="34">
        <f>'Dados - Cliente'!S303</f>
        <v>0</v>
      </c>
      <c r="V303" s="34">
        <f>'Dados - Cliente'!T303</f>
        <v>0</v>
      </c>
      <c r="W303" s="34">
        <f>'Dados - Cliente'!U303</f>
        <v>0</v>
      </c>
      <c r="X303" s="34">
        <f>'Dados - Cliente'!V303</f>
        <v>0</v>
      </c>
      <c r="Y303" s="34">
        <f>'Dados - Cliente'!W303</f>
        <v>0</v>
      </c>
      <c r="Z303" s="34">
        <f>'Dados - Cliente'!X303</f>
        <v>0</v>
      </c>
      <c r="AA303" s="33" t="e">
        <f t="shared" si="23"/>
        <v>#N/A</v>
      </c>
      <c r="AB303" s="33">
        <f>'Dados - Cliente'!Y303</f>
        <v>0</v>
      </c>
      <c r="AC303" s="33">
        <f>'Dados - Cliente'!Z303</f>
        <v>0</v>
      </c>
      <c r="AD303" s="33">
        <f>'Dados - Cliente'!AA303</f>
        <v>0</v>
      </c>
      <c r="AE303" s="33">
        <f>'Dados - Cliente'!AB303</f>
        <v>0</v>
      </c>
      <c r="AF303" s="33">
        <f>'Dados - Cliente'!AC303</f>
        <v>0</v>
      </c>
      <c r="AG303" s="35">
        <f>'Dados - Cliente'!AD303</f>
        <v>0</v>
      </c>
      <c r="AH303" s="33" t="e">
        <f>INDEX('Dados - Placas'!$A:$A,MATCH('1'!AG303,'Dados - Placas'!$D:$D,0))</f>
        <v>#N/A</v>
      </c>
      <c r="AI303" s="35" t="e">
        <f>INDEX('Dados - Placas'!$E:$E,MATCH('1'!AG303,'Dados - Placas'!$D:$D,0))</f>
        <v>#N/A</v>
      </c>
      <c r="AJ303" s="34" t="e">
        <f>INDEX('Dados - Placas'!$F:$F,MATCH('1'!AG303,'Dados - Placas'!$D:$D,0))*AF303</f>
        <v>#N/A</v>
      </c>
      <c r="AK303" s="33">
        <f>'Dados - Cliente'!AE303</f>
        <v>0</v>
      </c>
      <c r="AL303" s="33">
        <f>'Dados - Cliente'!AF303</f>
        <v>0</v>
      </c>
      <c r="AM303" s="36" t="e">
        <f>INDEX('Dados - Inversores'!$A:$A,MATCH('1'!AL303,'Dados - Inversores'!$C:$C,0))</f>
        <v>#N/A</v>
      </c>
      <c r="AN303" s="33">
        <f>'Dados - Cliente'!AG303</f>
        <v>0</v>
      </c>
      <c r="AO303" s="33" t="e">
        <f>AA303*1.25/(0.22*SQRT(INDEX('Dados - Inversores'!AK:AK,MATCH('1'!AL303,'Dados - Inversores'!C:C,0))))</f>
        <v>#N/A</v>
      </c>
      <c r="AP303" s="34">
        <f>INDEX(Dados!$E$2:$E$33,COUNTIF(Dados!$E$2:$E$33,"&lt;="&amp;AN303*1.25/(INDEX('Dados - Inversores'!AL:AL,MATCH('1'!AL303,'Dados - Inversores'!C:C,0))*SQRT(INDEX('Dados - Inversores'!AK:AK,MATCH('1'!AL303,'Dados - Inversores'!C:C,0)))))+1)</f>
        <v>2</v>
      </c>
      <c r="AQ303" s="33" t="s">
        <v>59</v>
      </c>
      <c r="AR303" s="33" t="str">
        <f t="shared" si="24"/>
        <v>Micro</v>
      </c>
      <c r="AS303" s="33">
        <f>'Dados - Cliente'!AH303</f>
        <v>0</v>
      </c>
      <c r="AT303" s="33">
        <f>'Dados - Cliente'!AI303</f>
        <v>0</v>
      </c>
      <c r="AU303" s="33" t="e">
        <f>INDEX('Dados - Placas'!$N:$N,MATCH('1'!AG303,'Dados - Placas'!$D:$D,0))-1</f>
        <v>#N/A</v>
      </c>
      <c r="AV303" s="33" t="e">
        <f>INDEX('Dados - Placas'!$O:$O,MATCH('1'!AG303,'Dados - Placas'!$D:$D,0))</f>
        <v>#N/A</v>
      </c>
      <c r="AW303" s="33" t="e">
        <f>INDEX('Dados - Inversores'!AM:AM,MATCH('1'!AL303,'Dados - Inversores'!$C:$C,0))-1</f>
        <v>#N/A</v>
      </c>
      <c r="AX303" s="33" t="e">
        <f>INDEX('Dados - Inversores'!AN:AN,MATCH('1'!AL303,'Dados - Inversores'!$C:$C,0))-1</f>
        <v>#N/A</v>
      </c>
      <c r="AY303" s="33" t="e">
        <f>MATCH('1'!H303,Dados!$D$89:$D$167,0)+1</f>
        <v>#N/A</v>
      </c>
      <c r="AZ303" s="33" t="e">
        <f>MATCH('1'!N303,'Dados - Solicitação de acesso'!$N$2:$N$8,0)</f>
        <v>#N/A</v>
      </c>
      <c r="BA303" s="33" t="e">
        <f>MATCH('1'!T303,'Dados - Solicitação de acesso'!$T$2:$T$20,0)</f>
        <v>#N/A</v>
      </c>
    </row>
    <row r="304" spans="1:53" x14ac:dyDescent="0.35">
      <c r="A304" s="33">
        <f>'Dados - Cliente'!A304</f>
        <v>0</v>
      </c>
      <c r="B304" s="33">
        <f>'Dados - Cliente'!B304</f>
        <v>0</v>
      </c>
      <c r="C304" s="33">
        <f>'Dados - Cliente'!C304</f>
        <v>0</v>
      </c>
      <c r="D304" s="33">
        <f>'Dados - Cliente'!D304</f>
        <v>0</v>
      </c>
      <c r="E304" s="33">
        <f>'Dados - Cliente'!E304</f>
        <v>0</v>
      </c>
      <c r="F304" s="33">
        <f>'Dados - Cliente'!F304</f>
        <v>0</v>
      </c>
      <c r="G304" s="33">
        <f>'Dados - Cliente'!G304</f>
        <v>0</v>
      </c>
      <c r="H304" s="33">
        <f>'Dados - Cliente'!H304</f>
        <v>0</v>
      </c>
      <c r="I304" s="75" t="s">
        <v>4313</v>
      </c>
      <c r="J304" s="52" t="s">
        <v>4314</v>
      </c>
      <c r="K304" s="52" t="s">
        <v>4314</v>
      </c>
      <c r="L304" s="33">
        <f>'Dados - Cliente'!I304</f>
        <v>0</v>
      </c>
      <c r="M304" s="33">
        <f>'Dados - Cliente'!K304</f>
        <v>0</v>
      </c>
      <c r="N304" s="33">
        <f>'Dados - Cliente'!L304</f>
        <v>0</v>
      </c>
      <c r="O304" s="33">
        <f>'Dados - Cliente'!M304</f>
        <v>0</v>
      </c>
      <c r="P304" s="33">
        <f>'Dados - Cliente'!N304</f>
        <v>0</v>
      </c>
      <c r="Q304" s="33">
        <f>'Dados - Cliente'!O304</f>
        <v>0</v>
      </c>
      <c r="R304" s="33">
        <f>'Dados - Cliente'!P304</f>
        <v>0</v>
      </c>
      <c r="S304" s="33">
        <f>'Dados - Cliente'!Q304</f>
        <v>0</v>
      </c>
      <c r="T304" s="33">
        <f>'Dados - Cliente'!R304</f>
        <v>0</v>
      </c>
      <c r="U304" s="34">
        <f>'Dados - Cliente'!S304</f>
        <v>0</v>
      </c>
      <c r="V304" s="34">
        <f>'Dados - Cliente'!T304</f>
        <v>0</v>
      </c>
      <c r="W304" s="34">
        <f>'Dados - Cliente'!U304</f>
        <v>0</v>
      </c>
      <c r="X304" s="34">
        <f>'Dados - Cliente'!V304</f>
        <v>0</v>
      </c>
      <c r="Y304" s="34">
        <f>'Dados - Cliente'!W304</f>
        <v>0</v>
      </c>
      <c r="Z304" s="34">
        <f>'Dados - Cliente'!X304</f>
        <v>0</v>
      </c>
      <c r="AA304" s="33" t="e">
        <f t="shared" si="23"/>
        <v>#N/A</v>
      </c>
      <c r="AB304" s="33">
        <f>'Dados - Cliente'!Y304</f>
        <v>0</v>
      </c>
      <c r="AC304" s="33">
        <f>'Dados - Cliente'!Z304</f>
        <v>0</v>
      </c>
      <c r="AD304" s="33">
        <f>'Dados - Cliente'!AA304</f>
        <v>0</v>
      </c>
      <c r="AE304" s="33">
        <f>'Dados - Cliente'!AB304</f>
        <v>0</v>
      </c>
      <c r="AF304" s="33">
        <f>'Dados - Cliente'!AC304</f>
        <v>0</v>
      </c>
      <c r="AG304" s="35">
        <f>'Dados - Cliente'!AD304</f>
        <v>0</v>
      </c>
      <c r="AH304" s="33" t="e">
        <f>INDEX('Dados - Placas'!$A:$A,MATCH('1'!AG304,'Dados - Placas'!$D:$D,0))</f>
        <v>#N/A</v>
      </c>
      <c r="AI304" s="35" t="e">
        <f>INDEX('Dados - Placas'!$E:$E,MATCH('1'!AG304,'Dados - Placas'!$D:$D,0))</f>
        <v>#N/A</v>
      </c>
      <c r="AJ304" s="34" t="e">
        <f>INDEX('Dados - Placas'!$F:$F,MATCH('1'!AG304,'Dados - Placas'!$D:$D,0))*AF304</f>
        <v>#N/A</v>
      </c>
      <c r="AK304" s="33">
        <f>'Dados - Cliente'!AE304</f>
        <v>0</v>
      </c>
      <c r="AL304" s="33">
        <f>'Dados - Cliente'!AF304</f>
        <v>0</v>
      </c>
      <c r="AM304" s="36" t="e">
        <f>INDEX('Dados - Inversores'!$A:$A,MATCH('1'!AL304,'Dados - Inversores'!$C:$C,0))</f>
        <v>#N/A</v>
      </c>
      <c r="AN304" s="33">
        <f>'Dados - Cliente'!AG304</f>
        <v>0</v>
      </c>
      <c r="AO304" s="33" t="e">
        <f>AA304*1.25/(0.22*SQRT(INDEX('Dados - Inversores'!AK:AK,MATCH('1'!AL304,'Dados - Inversores'!C:C,0))))</f>
        <v>#N/A</v>
      </c>
      <c r="AP304" s="34">
        <f>INDEX(Dados!$E$2:$E$33,COUNTIF(Dados!$E$2:$E$33,"&lt;="&amp;AN304*1.25/(INDEX('Dados - Inversores'!AL:AL,MATCH('1'!AL304,'Dados - Inversores'!C:C,0))*SQRT(INDEX('Dados - Inversores'!AK:AK,MATCH('1'!AL304,'Dados - Inversores'!C:C,0)))))+1)</f>
        <v>2</v>
      </c>
      <c r="AQ304" s="33" t="s">
        <v>59</v>
      </c>
      <c r="AR304" s="33" t="str">
        <f t="shared" si="24"/>
        <v>Micro</v>
      </c>
      <c r="AS304" s="33">
        <f>'Dados - Cliente'!AH304</f>
        <v>0</v>
      </c>
      <c r="AT304" s="33">
        <f>'Dados - Cliente'!AI304</f>
        <v>0</v>
      </c>
      <c r="AU304" s="33" t="e">
        <f>INDEX('Dados - Placas'!$N:$N,MATCH('1'!AG304,'Dados - Placas'!$D:$D,0))-1</f>
        <v>#N/A</v>
      </c>
      <c r="AV304" s="33" t="e">
        <f>INDEX('Dados - Placas'!$O:$O,MATCH('1'!AG304,'Dados - Placas'!$D:$D,0))</f>
        <v>#N/A</v>
      </c>
      <c r="AW304" s="33" t="e">
        <f>INDEX('Dados - Inversores'!AM:AM,MATCH('1'!AL304,'Dados - Inversores'!$C:$C,0))-1</f>
        <v>#N/A</v>
      </c>
      <c r="AX304" s="33" t="e">
        <f>INDEX('Dados - Inversores'!AN:AN,MATCH('1'!AL304,'Dados - Inversores'!$C:$C,0))-1</f>
        <v>#N/A</v>
      </c>
      <c r="AY304" s="33" t="e">
        <f>MATCH('1'!H304,Dados!$D$89:$D$167,0)+1</f>
        <v>#N/A</v>
      </c>
      <c r="AZ304" s="33" t="e">
        <f>MATCH('1'!N304,'Dados - Solicitação de acesso'!$N$2:$N$8,0)</f>
        <v>#N/A</v>
      </c>
      <c r="BA304" s="33" t="e">
        <f>MATCH('1'!T304,'Dados - Solicitação de acesso'!$T$2:$T$20,0)</f>
        <v>#N/A</v>
      </c>
    </row>
    <row r="305" spans="1:53" x14ac:dyDescent="0.35">
      <c r="A305" s="33">
        <f>'Dados - Cliente'!A305</f>
        <v>0</v>
      </c>
      <c r="B305" s="33">
        <f>'Dados - Cliente'!B305</f>
        <v>0</v>
      </c>
      <c r="C305" s="33">
        <f>'Dados - Cliente'!C305</f>
        <v>0</v>
      </c>
      <c r="D305" s="33">
        <f>'Dados - Cliente'!D305</f>
        <v>0</v>
      </c>
      <c r="E305" s="33">
        <f>'Dados - Cliente'!E305</f>
        <v>0</v>
      </c>
      <c r="F305" s="33">
        <f>'Dados - Cliente'!F305</f>
        <v>0</v>
      </c>
      <c r="G305" s="33">
        <f>'Dados - Cliente'!G305</f>
        <v>0</v>
      </c>
      <c r="H305" s="33">
        <f>'Dados - Cliente'!H305</f>
        <v>0</v>
      </c>
      <c r="I305" s="75" t="s">
        <v>4313</v>
      </c>
      <c r="J305" s="52" t="s">
        <v>4314</v>
      </c>
      <c r="K305" s="52" t="s">
        <v>4314</v>
      </c>
      <c r="L305" s="33">
        <f>'Dados - Cliente'!I305</f>
        <v>0</v>
      </c>
      <c r="M305" s="33">
        <f>'Dados - Cliente'!K305</f>
        <v>0</v>
      </c>
      <c r="N305" s="33">
        <f>'Dados - Cliente'!L305</f>
        <v>0</v>
      </c>
      <c r="O305" s="33">
        <f>'Dados - Cliente'!M305</f>
        <v>0</v>
      </c>
      <c r="P305" s="33">
        <f>'Dados - Cliente'!N305</f>
        <v>0</v>
      </c>
      <c r="Q305" s="33">
        <f>'Dados - Cliente'!O305</f>
        <v>0</v>
      </c>
      <c r="R305" s="33">
        <f>'Dados - Cliente'!P305</f>
        <v>0</v>
      </c>
      <c r="S305" s="33">
        <f>'Dados - Cliente'!Q305</f>
        <v>0</v>
      </c>
      <c r="T305" s="33">
        <f>'Dados - Cliente'!R305</f>
        <v>0</v>
      </c>
      <c r="U305" s="34">
        <f>'Dados - Cliente'!S305</f>
        <v>0</v>
      </c>
      <c r="V305" s="34">
        <f>'Dados - Cliente'!T305</f>
        <v>0</v>
      </c>
      <c r="W305" s="34">
        <f>'Dados - Cliente'!U305</f>
        <v>0</v>
      </c>
      <c r="X305" s="34">
        <f>'Dados - Cliente'!V305</f>
        <v>0</v>
      </c>
      <c r="Y305" s="34">
        <f>'Dados - Cliente'!W305</f>
        <v>0</v>
      </c>
      <c r="Z305" s="34">
        <f>'Dados - Cliente'!X305</f>
        <v>0</v>
      </c>
      <c r="AA305" s="33" t="e">
        <f t="shared" si="23"/>
        <v>#N/A</v>
      </c>
      <c r="AB305" s="33">
        <f>'Dados - Cliente'!Y305</f>
        <v>0</v>
      </c>
      <c r="AC305" s="33">
        <f>'Dados - Cliente'!Z305</f>
        <v>0</v>
      </c>
      <c r="AD305" s="33">
        <f>'Dados - Cliente'!AA305</f>
        <v>0</v>
      </c>
      <c r="AE305" s="33">
        <f>'Dados - Cliente'!AB305</f>
        <v>0</v>
      </c>
      <c r="AF305" s="33">
        <f>'Dados - Cliente'!AC305</f>
        <v>0</v>
      </c>
      <c r="AG305" s="35">
        <f>'Dados - Cliente'!AD305</f>
        <v>0</v>
      </c>
      <c r="AH305" s="33" t="e">
        <f>INDEX('Dados - Placas'!$A:$A,MATCH('1'!AG305,'Dados - Placas'!$D:$D,0))</f>
        <v>#N/A</v>
      </c>
      <c r="AI305" s="35" t="e">
        <f>INDEX('Dados - Placas'!$E:$E,MATCH('1'!AG305,'Dados - Placas'!$D:$D,0))</f>
        <v>#N/A</v>
      </c>
      <c r="AJ305" s="34" t="e">
        <f>INDEX('Dados - Placas'!$F:$F,MATCH('1'!AG305,'Dados - Placas'!$D:$D,0))*AF305</f>
        <v>#N/A</v>
      </c>
      <c r="AK305" s="33">
        <f>'Dados - Cliente'!AE305</f>
        <v>0</v>
      </c>
      <c r="AL305" s="33">
        <f>'Dados - Cliente'!AF305</f>
        <v>0</v>
      </c>
      <c r="AM305" s="36" t="e">
        <f>INDEX('Dados - Inversores'!$A:$A,MATCH('1'!AL305,'Dados - Inversores'!$C:$C,0))</f>
        <v>#N/A</v>
      </c>
      <c r="AN305" s="33">
        <f>'Dados - Cliente'!AG305</f>
        <v>0</v>
      </c>
      <c r="AO305" s="33" t="e">
        <f>AA305*1.25/(0.22*SQRT(INDEX('Dados - Inversores'!AK:AK,MATCH('1'!AL305,'Dados - Inversores'!C:C,0))))</f>
        <v>#N/A</v>
      </c>
      <c r="AP305" s="34">
        <f>INDEX(Dados!$E$2:$E$33,COUNTIF(Dados!$E$2:$E$33,"&lt;="&amp;AN305*1.25/(INDEX('Dados - Inversores'!AL:AL,MATCH('1'!AL305,'Dados - Inversores'!C:C,0))*SQRT(INDEX('Dados - Inversores'!AK:AK,MATCH('1'!AL305,'Dados - Inversores'!C:C,0)))))+1)</f>
        <v>2</v>
      </c>
      <c r="AQ305" s="33" t="s">
        <v>59</v>
      </c>
      <c r="AR305" s="33" t="str">
        <f t="shared" si="24"/>
        <v>Micro</v>
      </c>
      <c r="AS305" s="33">
        <f>'Dados - Cliente'!AH305</f>
        <v>0</v>
      </c>
      <c r="AT305" s="33">
        <f>'Dados - Cliente'!AI305</f>
        <v>0</v>
      </c>
      <c r="AU305" s="33" t="e">
        <f>INDEX('Dados - Placas'!$N:$N,MATCH('1'!AG305,'Dados - Placas'!$D:$D,0))-1</f>
        <v>#N/A</v>
      </c>
      <c r="AV305" s="33" t="e">
        <f>INDEX('Dados - Placas'!$O:$O,MATCH('1'!AG305,'Dados - Placas'!$D:$D,0))</f>
        <v>#N/A</v>
      </c>
      <c r="AW305" s="33" t="e">
        <f>INDEX('Dados - Inversores'!AM:AM,MATCH('1'!AL305,'Dados - Inversores'!$C:$C,0))-1</f>
        <v>#N/A</v>
      </c>
      <c r="AX305" s="33" t="e">
        <f>INDEX('Dados - Inversores'!AN:AN,MATCH('1'!AL305,'Dados - Inversores'!$C:$C,0))-1</f>
        <v>#N/A</v>
      </c>
      <c r="AY305" s="33" t="e">
        <f>MATCH('1'!H305,Dados!$D$89:$D$167,0)+1</f>
        <v>#N/A</v>
      </c>
      <c r="AZ305" s="33" t="e">
        <f>MATCH('1'!N305,'Dados - Solicitação de acesso'!$N$2:$N$8,0)</f>
        <v>#N/A</v>
      </c>
      <c r="BA305" s="33" t="e">
        <f>MATCH('1'!T305,'Dados - Solicitação de acesso'!$T$2:$T$20,0)</f>
        <v>#N/A</v>
      </c>
    </row>
    <row r="306" spans="1:53" x14ac:dyDescent="0.35">
      <c r="A306" s="33">
        <f>'Dados - Cliente'!A306</f>
        <v>0</v>
      </c>
      <c r="B306" s="33">
        <f>'Dados - Cliente'!B306</f>
        <v>0</v>
      </c>
      <c r="C306" s="33">
        <f>'Dados - Cliente'!C306</f>
        <v>0</v>
      </c>
      <c r="D306" s="33">
        <f>'Dados - Cliente'!D306</f>
        <v>0</v>
      </c>
      <c r="E306" s="33">
        <f>'Dados - Cliente'!E306</f>
        <v>0</v>
      </c>
      <c r="F306" s="33">
        <f>'Dados - Cliente'!F306</f>
        <v>0</v>
      </c>
      <c r="G306" s="33">
        <f>'Dados - Cliente'!G306</f>
        <v>0</v>
      </c>
      <c r="H306" s="33">
        <f>'Dados - Cliente'!H306</f>
        <v>0</v>
      </c>
      <c r="I306" s="75" t="s">
        <v>4313</v>
      </c>
      <c r="J306" s="52" t="s">
        <v>4314</v>
      </c>
      <c r="K306" s="52" t="s">
        <v>4314</v>
      </c>
      <c r="L306" s="33">
        <f>'Dados - Cliente'!I306</f>
        <v>0</v>
      </c>
      <c r="M306" s="33">
        <f>'Dados - Cliente'!K306</f>
        <v>0</v>
      </c>
      <c r="N306" s="33">
        <f>'Dados - Cliente'!L306</f>
        <v>0</v>
      </c>
      <c r="O306" s="33">
        <f>'Dados - Cliente'!M306</f>
        <v>0</v>
      </c>
      <c r="P306" s="33">
        <f>'Dados - Cliente'!N306</f>
        <v>0</v>
      </c>
      <c r="Q306" s="33">
        <f>'Dados - Cliente'!O306</f>
        <v>0</v>
      </c>
      <c r="R306" s="33">
        <f>'Dados - Cliente'!P306</f>
        <v>0</v>
      </c>
      <c r="S306" s="33">
        <f>'Dados - Cliente'!Q306</f>
        <v>0</v>
      </c>
      <c r="T306" s="33">
        <f>'Dados - Cliente'!R306</f>
        <v>0</v>
      </c>
      <c r="U306" s="34">
        <f>'Dados - Cliente'!S306</f>
        <v>0</v>
      </c>
      <c r="V306" s="34">
        <f>'Dados - Cliente'!T306</f>
        <v>0</v>
      </c>
      <c r="W306" s="34">
        <f>'Dados - Cliente'!U306</f>
        <v>0</v>
      </c>
      <c r="X306" s="34">
        <f>'Dados - Cliente'!V306</f>
        <v>0</v>
      </c>
      <c r="Y306" s="34">
        <f>'Dados - Cliente'!W306</f>
        <v>0</v>
      </c>
      <c r="Z306" s="34">
        <f>'Dados - Cliente'!X306</f>
        <v>0</v>
      </c>
      <c r="AA306" s="33" t="e">
        <f t="shared" si="23"/>
        <v>#N/A</v>
      </c>
      <c r="AB306" s="33">
        <f>'Dados - Cliente'!Y306</f>
        <v>0</v>
      </c>
      <c r="AC306" s="33">
        <f>'Dados - Cliente'!Z306</f>
        <v>0</v>
      </c>
      <c r="AD306" s="33">
        <f>'Dados - Cliente'!AA306</f>
        <v>0</v>
      </c>
      <c r="AE306" s="33">
        <f>'Dados - Cliente'!AB306</f>
        <v>0</v>
      </c>
      <c r="AF306" s="33">
        <f>'Dados - Cliente'!AC306</f>
        <v>0</v>
      </c>
      <c r="AG306" s="35">
        <f>'Dados - Cliente'!AD306</f>
        <v>0</v>
      </c>
      <c r="AH306" s="33" t="e">
        <f>INDEX('Dados - Placas'!$A:$A,MATCH('1'!AG306,'Dados - Placas'!$D:$D,0))</f>
        <v>#N/A</v>
      </c>
      <c r="AI306" s="35" t="e">
        <f>INDEX('Dados - Placas'!$E:$E,MATCH('1'!AG306,'Dados - Placas'!$D:$D,0))</f>
        <v>#N/A</v>
      </c>
      <c r="AJ306" s="34" t="e">
        <f>INDEX('Dados - Placas'!$F:$F,MATCH('1'!AG306,'Dados - Placas'!$D:$D,0))*AF306</f>
        <v>#N/A</v>
      </c>
      <c r="AK306" s="33">
        <f>'Dados - Cliente'!AE306</f>
        <v>0</v>
      </c>
      <c r="AL306" s="33">
        <f>'Dados - Cliente'!AF306</f>
        <v>0</v>
      </c>
      <c r="AM306" s="36" t="e">
        <f>INDEX('Dados - Inversores'!$A:$A,MATCH('1'!AL306,'Dados - Inversores'!$C:$C,0))</f>
        <v>#N/A</v>
      </c>
      <c r="AN306" s="33">
        <f>'Dados - Cliente'!AG306</f>
        <v>0</v>
      </c>
      <c r="AO306" s="33" t="e">
        <f>AA306*1.25/(0.22*SQRT(INDEX('Dados - Inversores'!AK:AK,MATCH('1'!AL306,'Dados - Inversores'!C:C,0))))</f>
        <v>#N/A</v>
      </c>
      <c r="AP306" s="34">
        <f>INDEX(Dados!$E$2:$E$33,COUNTIF(Dados!$E$2:$E$33,"&lt;="&amp;AN306*1.25/(INDEX('Dados - Inversores'!AL:AL,MATCH('1'!AL306,'Dados - Inversores'!C:C,0))*SQRT(INDEX('Dados - Inversores'!AK:AK,MATCH('1'!AL306,'Dados - Inversores'!C:C,0)))))+1)</f>
        <v>2</v>
      </c>
      <c r="AQ306" s="33" t="s">
        <v>59</v>
      </c>
      <c r="AR306" s="33" t="str">
        <f t="shared" si="24"/>
        <v>Micro</v>
      </c>
      <c r="AS306" s="33">
        <f>'Dados - Cliente'!AH306</f>
        <v>0</v>
      </c>
      <c r="AT306" s="33">
        <f>'Dados - Cliente'!AI306</f>
        <v>0</v>
      </c>
      <c r="AU306" s="33" t="e">
        <f>INDEX('Dados - Placas'!$N:$N,MATCH('1'!AG306,'Dados - Placas'!$D:$D,0))-1</f>
        <v>#N/A</v>
      </c>
      <c r="AV306" s="33" t="e">
        <f>INDEX('Dados - Placas'!$O:$O,MATCH('1'!AG306,'Dados - Placas'!$D:$D,0))</f>
        <v>#N/A</v>
      </c>
      <c r="AW306" s="33" t="e">
        <f>INDEX('Dados - Inversores'!AM:AM,MATCH('1'!AL306,'Dados - Inversores'!$C:$C,0))-1</f>
        <v>#N/A</v>
      </c>
      <c r="AX306" s="33" t="e">
        <f>INDEX('Dados - Inversores'!AN:AN,MATCH('1'!AL306,'Dados - Inversores'!$C:$C,0))-1</f>
        <v>#N/A</v>
      </c>
      <c r="AY306" s="33" t="e">
        <f>MATCH('1'!H306,Dados!$D$89:$D$167,0)+1</f>
        <v>#N/A</v>
      </c>
      <c r="AZ306" s="33" t="e">
        <f>MATCH('1'!N306,'Dados - Solicitação de acesso'!$N$2:$N$8,0)</f>
        <v>#N/A</v>
      </c>
      <c r="BA306" s="33" t="e">
        <f>MATCH('1'!T306,'Dados - Solicitação de acesso'!$T$2:$T$20,0)</f>
        <v>#N/A</v>
      </c>
    </row>
    <row r="307" spans="1:53" x14ac:dyDescent="0.35">
      <c r="A307" s="33">
        <f>'Dados - Cliente'!A307</f>
        <v>0</v>
      </c>
      <c r="B307" s="33">
        <f>'Dados - Cliente'!B307</f>
        <v>0</v>
      </c>
      <c r="C307" s="33">
        <f>'Dados - Cliente'!C307</f>
        <v>0</v>
      </c>
      <c r="D307" s="33">
        <f>'Dados - Cliente'!D307</f>
        <v>0</v>
      </c>
      <c r="E307" s="33">
        <f>'Dados - Cliente'!E307</f>
        <v>0</v>
      </c>
      <c r="F307" s="33">
        <f>'Dados - Cliente'!F307</f>
        <v>0</v>
      </c>
      <c r="G307" s="33">
        <f>'Dados - Cliente'!G307</f>
        <v>0</v>
      </c>
      <c r="H307" s="33">
        <f>'Dados - Cliente'!H307</f>
        <v>0</v>
      </c>
      <c r="I307" s="75" t="s">
        <v>4313</v>
      </c>
      <c r="J307" s="52" t="s">
        <v>4314</v>
      </c>
      <c r="K307" s="52" t="s">
        <v>4314</v>
      </c>
      <c r="L307" s="33">
        <f>'Dados - Cliente'!I307</f>
        <v>0</v>
      </c>
      <c r="M307" s="33">
        <f>'Dados - Cliente'!K307</f>
        <v>0</v>
      </c>
      <c r="N307" s="33">
        <f>'Dados - Cliente'!L307</f>
        <v>0</v>
      </c>
      <c r="O307" s="33">
        <f>'Dados - Cliente'!M307</f>
        <v>0</v>
      </c>
      <c r="P307" s="33">
        <f>'Dados - Cliente'!N307</f>
        <v>0</v>
      </c>
      <c r="Q307" s="33">
        <f>'Dados - Cliente'!O307</f>
        <v>0</v>
      </c>
      <c r="R307" s="33">
        <f>'Dados - Cliente'!P307</f>
        <v>0</v>
      </c>
      <c r="S307" s="33">
        <f>'Dados - Cliente'!Q307</f>
        <v>0</v>
      </c>
      <c r="T307" s="33">
        <f>'Dados - Cliente'!R307</f>
        <v>0</v>
      </c>
      <c r="U307" s="34">
        <f>'Dados - Cliente'!S307</f>
        <v>0</v>
      </c>
      <c r="V307" s="34">
        <f>'Dados - Cliente'!T307</f>
        <v>0</v>
      </c>
      <c r="W307" s="34">
        <f>'Dados - Cliente'!U307</f>
        <v>0</v>
      </c>
      <c r="X307" s="34">
        <f>'Dados - Cliente'!V307</f>
        <v>0</v>
      </c>
      <c r="Y307" s="34">
        <f>'Dados - Cliente'!W307</f>
        <v>0</v>
      </c>
      <c r="Z307" s="34">
        <f>'Dados - Cliente'!X307</f>
        <v>0</v>
      </c>
      <c r="AA307" s="33" t="e">
        <f t="shared" ref="AA307:AA370" si="25">AI307*AF307</f>
        <v>#N/A</v>
      </c>
      <c r="AB307" s="33">
        <f>'Dados - Cliente'!Y307</f>
        <v>0</v>
      </c>
      <c r="AC307" s="33">
        <f>'Dados - Cliente'!Z307</f>
        <v>0</v>
      </c>
      <c r="AD307" s="33">
        <f>'Dados - Cliente'!AA307</f>
        <v>0</v>
      </c>
      <c r="AE307" s="33">
        <f>'Dados - Cliente'!AB307</f>
        <v>0</v>
      </c>
      <c r="AF307" s="33">
        <f>'Dados - Cliente'!AC307</f>
        <v>0</v>
      </c>
      <c r="AG307" s="35">
        <f>'Dados - Cliente'!AD307</f>
        <v>0</v>
      </c>
      <c r="AH307" s="33" t="e">
        <f>INDEX('Dados - Placas'!$A:$A,MATCH('1'!AG307,'Dados - Placas'!$D:$D,0))</f>
        <v>#N/A</v>
      </c>
      <c r="AI307" s="35" t="e">
        <f>INDEX('Dados - Placas'!$E:$E,MATCH('1'!AG307,'Dados - Placas'!$D:$D,0))</f>
        <v>#N/A</v>
      </c>
      <c r="AJ307" s="34" t="e">
        <f>INDEX('Dados - Placas'!$F:$F,MATCH('1'!AG307,'Dados - Placas'!$D:$D,0))*AF307</f>
        <v>#N/A</v>
      </c>
      <c r="AK307" s="33">
        <f>'Dados - Cliente'!AE307</f>
        <v>0</v>
      </c>
      <c r="AL307" s="33">
        <f>'Dados - Cliente'!AF307</f>
        <v>0</v>
      </c>
      <c r="AM307" s="36" t="e">
        <f>INDEX('Dados - Inversores'!$A:$A,MATCH('1'!AL307,'Dados - Inversores'!$C:$C,0))</f>
        <v>#N/A</v>
      </c>
      <c r="AN307" s="33">
        <f>'Dados - Cliente'!AG307</f>
        <v>0</v>
      </c>
      <c r="AO307" s="33" t="e">
        <f>AA307*1.25/(0.22*SQRT(INDEX('Dados - Inversores'!AK:AK,MATCH('1'!AL307,'Dados - Inversores'!C:C,0))))</f>
        <v>#N/A</v>
      </c>
      <c r="AP307" s="34">
        <f>INDEX(Dados!$E$2:$E$33,COUNTIF(Dados!$E$2:$E$33,"&lt;="&amp;AN307*1.25/(INDEX('Dados - Inversores'!AL:AL,MATCH('1'!AL307,'Dados - Inversores'!C:C,0))*SQRT(INDEX('Dados - Inversores'!AK:AK,MATCH('1'!AL307,'Dados - Inversores'!C:C,0)))))+1)</f>
        <v>2</v>
      </c>
      <c r="AQ307" s="33" t="s">
        <v>59</v>
      </c>
      <c r="AR307" s="33" t="str">
        <f t="shared" ref="AR307:AR370" si="26">IF((AN307*AK307)&gt;10,"Mini","Micro")</f>
        <v>Micro</v>
      </c>
      <c r="AS307" s="33">
        <f>'Dados - Cliente'!AH307</f>
        <v>0</v>
      </c>
      <c r="AT307" s="33">
        <f>'Dados - Cliente'!AI307</f>
        <v>0</v>
      </c>
      <c r="AU307" s="33" t="e">
        <f>INDEX('Dados - Placas'!$N:$N,MATCH('1'!AG307,'Dados - Placas'!$D:$D,0))-1</f>
        <v>#N/A</v>
      </c>
      <c r="AV307" s="33" t="e">
        <f>INDEX('Dados - Placas'!$O:$O,MATCH('1'!AG307,'Dados - Placas'!$D:$D,0))</f>
        <v>#N/A</v>
      </c>
      <c r="AW307" s="33" t="e">
        <f>INDEX('Dados - Inversores'!AM:AM,MATCH('1'!AL307,'Dados - Inversores'!$C:$C,0))-1</f>
        <v>#N/A</v>
      </c>
      <c r="AX307" s="33" t="e">
        <f>INDEX('Dados - Inversores'!AN:AN,MATCH('1'!AL307,'Dados - Inversores'!$C:$C,0))-1</f>
        <v>#N/A</v>
      </c>
      <c r="AY307" s="33" t="e">
        <f>MATCH('1'!H307,Dados!$D$89:$D$167,0)+1</f>
        <v>#N/A</v>
      </c>
      <c r="AZ307" s="33" t="e">
        <f>MATCH('1'!N307,'Dados - Solicitação de acesso'!$N$2:$N$8,0)</f>
        <v>#N/A</v>
      </c>
      <c r="BA307" s="33" t="e">
        <f>MATCH('1'!T307,'Dados - Solicitação de acesso'!$T$2:$T$20,0)</f>
        <v>#N/A</v>
      </c>
    </row>
    <row r="308" spans="1:53" x14ac:dyDescent="0.35">
      <c r="A308" s="33">
        <f>'Dados - Cliente'!A308</f>
        <v>0</v>
      </c>
      <c r="B308" s="33">
        <f>'Dados - Cliente'!B308</f>
        <v>0</v>
      </c>
      <c r="C308" s="33">
        <f>'Dados - Cliente'!C308</f>
        <v>0</v>
      </c>
      <c r="D308" s="33">
        <f>'Dados - Cliente'!D308</f>
        <v>0</v>
      </c>
      <c r="E308" s="33">
        <f>'Dados - Cliente'!E308</f>
        <v>0</v>
      </c>
      <c r="F308" s="33">
        <f>'Dados - Cliente'!F308</f>
        <v>0</v>
      </c>
      <c r="G308" s="33">
        <f>'Dados - Cliente'!G308</f>
        <v>0</v>
      </c>
      <c r="H308" s="33">
        <f>'Dados - Cliente'!H308</f>
        <v>0</v>
      </c>
      <c r="I308" s="75" t="s">
        <v>4313</v>
      </c>
      <c r="J308" s="52" t="s">
        <v>4314</v>
      </c>
      <c r="K308" s="52" t="s">
        <v>4314</v>
      </c>
      <c r="L308" s="33">
        <f>'Dados - Cliente'!I308</f>
        <v>0</v>
      </c>
      <c r="M308" s="33">
        <f>'Dados - Cliente'!K308</f>
        <v>0</v>
      </c>
      <c r="N308" s="33">
        <f>'Dados - Cliente'!L308</f>
        <v>0</v>
      </c>
      <c r="O308" s="33">
        <f>'Dados - Cliente'!M308</f>
        <v>0</v>
      </c>
      <c r="P308" s="33">
        <f>'Dados - Cliente'!N308</f>
        <v>0</v>
      </c>
      <c r="Q308" s="33">
        <f>'Dados - Cliente'!O308</f>
        <v>0</v>
      </c>
      <c r="R308" s="33">
        <f>'Dados - Cliente'!P308</f>
        <v>0</v>
      </c>
      <c r="S308" s="33">
        <f>'Dados - Cliente'!Q308</f>
        <v>0</v>
      </c>
      <c r="T308" s="33">
        <f>'Dados - Cliente'!R308</f>
        <v>0</v>
      </c>
      <c r="U308" s="34">
        <f>'Dados - Cliente'!S308</f>
        <v>0</v>
      </c>
      <c r="V308" s="34">
        <f>'Dados - Cliente'!T308</f>
        <v>0</v>
      </c>
      <c r="W308" s="34">
        <f>'Dados - Cliente'!U308</f>
        <v>0</v>
      </c>
      <c r="X308" s="34">
        <f>'Dados - Cliente'!V308</f>
        <v>0</v>
      </c>
      <c r="Y308" s="34">
        <f>'Dados - Cliente'!W308</f>
        <v>0</v>
      </c>
      <c r="Z308" s="34">
        <f>'Dados - Cliente'!X308</f>
        <v>0</v>
      </c>
      <c r="AA308" s="33" t="e">
        <f t="shared" si="25"/>
        <v>#N/A</v>
      </c>
      <c r="AB308" s="33">
        <f>'Dados - Cliente'!Y308</f>
        <v>0</v>
      </c>
      <c r="AC308" s="33">
        <f>'Dados - Cliente'!Z308</f>
        <v>0</v>
      </c>
      <c r="AD308" s="33">
        <f>'Dados - Cliente'!AA308</f>
        <v>0</v>
      </c>
      <c r="AE308" s="33">
        <f>'Dados - Cliente'!AB308</f>
        <v>0</v>
      </c>
      <c r="AF308" s="33">
        <f>'Dados - Cliente'!AC308</f>
        <v>0</v>
      </c>
      <c r="AG308" s="35">
        <f>'Dados - Cliente'!AD308</f>
        <v>0</v>
      </c>
      <c r="AH308" s="33" t="e">
        <f>INDEX('Dados - Placas'!$A:$A,MATCH('1'!AG308,'Dados - Placas'!$D:$D,0))</f>
        <v>#N/A</v>
      </c>
      <c r="AI308" s="35" t="e">
        <f>INDEX('Dados - Placas'!$E:$E,MATCH('1'!AG308,'Dados - Placas'!$D:$D,0))</f>
        <v>#N/A</v>
      </c>
      <c r="AJ308" s="34" t="e">
        <f>INDEX('Dados - Placas'!$F:$F,MATCH('1'!AG308,'Dados - Placas'!$D:$D,0))*AF308</f>
        <v>#N/A</v>
      </c>
      <c r="AK308" s="33">
        <f>'Dados - Cliente'!AE308</f>
        <v>0</v>
      </c>
      <c r="AL308" s="33">
        <f>'Dados - Cliente'!AF308</f>
        <v>0</v>
      </c>
      <c r="AM308" s="36" t="e">
        <f>INDEX('Dados - Inversores'!$A:$A,MATCH('1'!AL308,'Dados - Inversores'!$C:$C,0))</f>
        <v>#N/A</v>
      </c>
      <c r="AN308" s="33">
        <f>'Dados - Cliente'!AG308</f>
        <v>0</v>
      </c>
      <c r="AO308" s="33" t="e">
        <f>AA308*1.25/(0.22*SQRT(INDEX('Dados - Inversores'!AK:AK,MATCH('1'!AL308,'Dados - Inversores'!C:C,0))))</f>
        <v>#N/A</v>
      </c>
      <c r="AP308" s="34">
        <f>INDEX(Dados!$E$2:$E$33,COUNTIF(Dados!$E$2:$E$33,"&lt;="&amp;AN308*1.25/(INDEX('Dados - Inversores'!AL:AL,MATCH('1'!AL308,'Dados - Inversores'!C:C,0))*SQRT(INDEX('Dados - Inversores'!AK:AK,MATCH('1'!AL308,'Dados - Inversores'!C:C,0)))))+1)</f>
        <v>2</v>
      </c>
      <c r="AQ308" s="33" t="s">
        <v>59</v>
      </c>
      <c r="AR308" s="33" t="str">
        <f t="shared" si="26"/>
        <v>Micro</v>
      </c>
      <c r="AS308" s="33">
        <f>'Dados - Cliente'!AH308</f>
        <v>0</v>
      </c>
      <c r="AT308" s="33">
        <f>'Dados - Cliente'!AI308</f>
        <v>0</v>
      </c>
      <c r="AU308" s="33" t="e">
        <f>INDEX('Dados - Placas'!$N:$N,MATCH('1'!AG308,'Dados - Placas'!$D:$D,0))-1</f>
        <v>#N/A</v>
      </c>
      <c r="AV308" s="33" t="e">
        <f>INDEX('Dados - Placas'!$O:$O,MATCH('1'!AG308,'Dados - Placas'!$D:$D,0))</f>
        <v>#N/A</v>
      </c>
      <c r="AW308" s="33" t="e">
        <f>INDEX('Dados - Inversores'!AM:AM,MATCH('1'!AL308,'Dados - Inversores'!$C:$C,0))-1</f>
        <v>#N/A</v>
      </c>
      <c r="AX308" s="33" t="e">
        <f>INDEX('Dados - Inversores'!AN:AN,MATCH('1'!AL308,'Dados - Inversores'!$C:$C,0))-1</f>
        <v>#N/A</v>
      </c>
      <c r="AY308" s="33" t="e">
        <f>MATCH('1'!H308,Dados!$D$89:$D$167,0)+1</f>
        <v>#N/A</v>
      </c>
      <c r="AZ308" s="33" t="e">
        <f>MATCH('1'!N308,'Dados - Solicitação de acesso'!$N$2:$N$8,0)</f>
        <v>#N/A</v>
      </c>
      <c r="BA308" s="33" t="e">
        <f>MATCH('1'!T308,'Dados - Solicitação de acesso'!$T$2:$T$20,0)</f>
        <v>#N/A</v>
      </c>
    </row>
    <row r="309" spans="1:53" x14ac:dyDescent="0.35">
      <c r="A309" s="33">
        <f>'Dados - Cliente'!A309</f>
        <v>0</v>
      </c>
      <c r="B309" s="33">
        <f>'Dados - Cliente'!B309</f>
        <v>0</v>
      </c>
      <c r="C309" s="33">
        <f>'Dados - Cliente'!C309</f>
        <v>0</v>
      </c>
      <c r="D309" s="33">
        <f>'Dados - Cliente'!D309</f>
        <v>0</v>
      </c>
      <c r="E309" s="33">
        <f>'Dados - Cliente'!E309</f>
        <v>0</v>
      </c>
      <c r="F309" s="33">
        <f>'Dados - Cliente'!F309</f>
        <v>0</v>
      </c>
      <c r="G309" s="33">
        <f>'Dados - Cliente'!G309</f>
        <v>0</v>
      </c>
      <c r="H309" s="33">
        <f>'Dados - Cliente'!H309</f>
        <v>0</v>
      </c>
      <c r="I309" s="75" t="s">
        <v>4313</v>
      </c>
      <c r="J309" s="52" t="s">
        <v>4314</v>
      </c>
      <c r="K309" s="52" t="s">
        <v>4314</v>
      </c>
      <c r="L309" s="33">
        <f>'Dados - Cliente'!I309</f>
        <v>0</v>
      </c>
      <c r="M309" s="33">
        <f>'Dados - Cliente'!K309</f>
        <v>0</v>
      </c>
      <c r="N309" s="33">
        <f>'Dados - Cliente'!L309</f>
        <v>0</v>
      </c>
      <c r="O309" s="33">
        <f>'Dados - Cliente'!M309</f>
        <v>0</v>
      </c>
      <c r="P309" s="33">
        <f>'Dados - Cliente'!N309</f>
        <v>0</v>
      </c>
      <c r="Q309" s="33">
        <f>'Dados - Cliente'!O309</f>
        <v>0</v>
      </c>
      <c r="R309" s="33">
        <f>'Dados - Cliente'!P309</f>
        <v>0</v>
      </c>
      <c r="S309" s="33">
        <f>'Dados - Cliente'!Q309</f>
        <v>0</v>
      </c>
      <c r="T309" s="33">
        <f>'Dados - Cliente'!R309</f>
        <v>0</v>
      </c>
      <c r="U309" s="34">
        <f>'Dados - Cliente'!S309</f>
        <v>0</v>
      </c>
      <c r="V309" s="34">
        <f>'Dados - Cliente'!T309</f>
        <v>0</v>
      </c>
      <c r="W309" s="34">
        <f>'Dados - Cliente'!U309</f>
        <v>0</v>
      </c>
      <c r="X309" s="34">
        <f>'Dados - Cliente'!V309</f>
        <v>0</v>
      </c>
      <c r="Y309" s="34">
        <f>'Dados - Cliente'!W309</f>
        <v>0</v>
      </c>
      <c r="Z309" s="34">
        <f>'Dados - Cliente'!X309</f>
        <v>0</v>
      </c>
      <c r="AA309" s="33" t="e">
        <f t="shared" si="25"/>
        <v>#N/A</v>
      </c>
      <c r="AB309" s="33">
        <f>'Dados - Cliente'!Y309</f>
        <v>0</v>
      </c>
      <c r="AC309" s="33">
        <f>'Dados - Cliente'!Z309</f>
        <v>0</v>
      </c>
      <c r="AD309" s="33">
        <f>'Dados - Cliente'!AA309</f>
        <v>0</v>
      </c>
      <c r="AE309" s="33">
        <f>'Dados - Cliente'!AB309</f>
        <v>0</v>
      </c>
      <c r="AF309" s="33">
        <f>'Dados - Cliente'!AC309</f>
        <v>0</v>
      </c>
      <c r="AG309" s="35">
        <f>'Dados - Cliente'!AD309</f>
        <v>0</v>
      </c>
      <c r="AH309" s="33" t="e">
        <f>INDEX('Dados - Placas'!$A:$A,MATCH('1'!AG309,'Dados - Placas'!$D:$D,0))</f>
        <v>#N/A</v>
      </c>
      <c r="AI309" s="35" t="e">
        <f>INDEX('Dados - Placas'!$E:$E,MATCH('1'!AG309,'Dados - Placas'!$D:$D,0))</f>
        <v>#N/A</v>
      </c>
      <c r="AJ309" s="34" t="e">
        <f>INDEX('Dados - Placas'!$F:$F,MATCH('1'!AG309,'Dados - Placas'!$D:$D,0))*AF309</f>
        <v>#N/A</v>
      </c>
      <c r="AK309" s="33">
        <f>'Dados - Cliente'!AE309</f>
        <v>0</v>
      </c>
      <c r="AL309" s="33">
        <f>'Dados - Cliente'!AF309</f>
        <v>0</v>
      </c>
      <c r="AM309" s="36" t="e">
        <f>INDEX('Dados - Inversores'!$A:$A,MATCH('1'!AL309,'Dados - Inversores'!$C:$C,0))</f>
        <v>#N/A</v>
      </c>
      <c r="AN309" s="33">
        <f>'Dados - Cliente'!AG309</f>
        <v>0</v>
      </c>
      <c r="AO309" s="33" t="e">
        <f>AA309*1.25/(0.22*SQRT(INDEX('Dados - Inversores'!AK:AK,MATCH('1'!AL309,'Dados - Inversores'!C:C,0))))</f>
        <v>#N/A</v>
      </c>
      <c r="AP309" s="34">
        <f>INDEX(Dados!$E$2:$E$33,COUNTIF(Dados!$E$2:$E$33,"&lt;="&amp;AN309*1.25/(INDEX('Dados - Inversores'!AL:AL,MATCH('1'!AL309,'Dados - Inversores'!C:C,0))*SQRT(INDEX('Dados - Inversores'!AK:AK,MATCH('1'!AL309,'Dados - Inversores'!C:C,0)))))+1)</f>
        <v>2</v>
      </c>
      <c r="AQ309" s="33" t="s">
        <v>59</v>
      </c>
      <c r="AR309" s="33" t="str">
        <f t="shared" si="26"/>
        <v>Micro</v>
      </c>
      <c r="AS309" s="33">
        <f>'Dados - Cliente'!AH309</f>
        <v>0</v>
      </c>
      <c r="AT309" s="33">
        <f>'Dados - Cliente'!AI309</f>
        <v>0</v>
      </c>
      <c r="AU309" s="33" t="e">
        <f>INDEX('Dados - Placas'!$N:$N,MATCH('1'!AG309,'Dados - Placas'!$D:$D,0))-1</f>
        <v>#N/A</v>
      </c>
      <c r="AV309" s="33" t="e">
        <f>INDEX('Dados - Placas'!$O:$O,MATCH('1'!AG309,'Dados - Placas'!$D:$D,0))</f>
        <v>#N/A</v>
      </c>
      <c r="AW309" s="33" t="e">
        <f>INDEX('Dados - Inversores'!AM:AM,MATCH('1'!AL309,'Dados - Inversores'!$C:$C,0))-1</f>
        <v>#N/A</v>
      </c>
      <c r="AX309" s="33" t="e">
        <f>INDEX('Dados - Inversores'!AN:AN,MATCH('1'!AL309,'Dados - Inversores'!$C:$C,0))-1</f>
        <v>#N/A</v>
      </c>
      <c r="AY309" s="33" t="e">
        <f>MATCH('1'!H309,Dados!$D$89:$D$167,0)+1</f>
        <v>#N/A</v>
      </c>
      <c r="AZ309" s="33" t="e">
        <f>MATCH('1'!N309,'Dados - Solicitação de acesso'!$N$2:$N$8,0)</f>
        <v>#N/A</v>
      </c>
      <c r="BA309" s="33" t="e">
        <f>MATCH('1'!T309,'Dados - Solicitação de acesso'!$T$2:$T$20,0)</f>
        <v>#N/A</v>
      </c>
    </row>
    <row r="310" spans="1:53" x14ac:dyDescent="0.35">
      <c r="A310" s="33">
        <f>'Dados - Cliente'!A310</f>
        <v>0</v>
      </c>
      <c r="B310" s="33">
        <f>'Dados - Cliente'!B310</f>
        <v>0</v>
      </c>
      <c r="C310" s="33">
        <f>'Dados - Cliente'!C310</f>
        <v>0</v>
      </c>
      <c r="D310" s="33">
        <f>'Dados - Cliente'!D310</f>
        <v>0</v>
      </c>
      <c r="E310" s="33">
        <f>'Dados - Cliente'!E310</f>
        <v>0</v>
      </c>
      <c r="F310" s="33">
        <f>'Dados - Cliente'!F310</f>
        <v>0</v>
      </c>
      <c r="G310" s="33">
        <f>'Dados - Cliente'!G310</f>
        <v>0</v>
      </c>
      <c r="H310" s="33">
        <f>'Dados - Cliente'!H310</f>
        <v>0</v>
      </c>
      <c r="I310" s="75" t="s">
        <v>4313</v>
      </c>
      <c r="J310" s="52" t="s">
        <v>4314</v>
      </c>
      <c r="K310" s="52" t="s">
        <v>4314</v>
      </c>
      <c r="L310" s="33">
        <f>'Dados - Cliente'!I310</f>
        <v>0</v>
      </c>
      <c r="M310" s="33">
        <f>'Dados - Cliente'!K310</f>
        <v>0</v>
      </c>
      <c r="N310" s="33">
        <f>'Dados - Cliente'!L310</f>
        <v>0</v>
      </c>
      <c r="O310" s="33">
        <f>'Dados - Cliente'!M310</f>
        <v>0</v>
      </c>
      <c r="P310" s="33">
        <f>'Dados - Cliente'!N310</f>
        <v>0</v>
      </c>
      <c r="Q310" s="33">
        <f>'Dados - Cliente'!O310</f>
        <v>0</v>
      </c>
      <c r="R310" s="33">
        <f>'Dados - Cliente'!P310</f>
        <v>0</v>
      </c>
      <c r="S310" s="33">
        <f>'Dados - Cliente'!Q310</f>
        <v>0</v>
      </c>
      <c r="T310" s="33">
        <f>'Dados - Cliente'!R310</f>
        <v>0</v>
      </c>
      <c r="U310" s="34">
        <f>'Dados - Cliente'!S310</f>
        <v>0</v>
      </c>
      <c r="V310" s="34">
        <f>'Dados - Cliente'!T310</f>
        <v>0</v>
      </c>
      <c r="W310" s="34">
        <f>'Dados - Cliente'!U310</f>
        <v>0</v>
      </c>
      <c r="X310" s="34">
        <f>'Dados - Cliente'!V310</f>
        <v>0</v>
      </c>
      <c r="Y310" s="34">
        <f>'Dados - Cliente'!W310</f>
        <v>0</v>
      </c>
      <c r="Z310" s="34">
        <f>'Dados - Cliente'!X310</f>
        <v>0</v>
      </c>
      <c r="AA310" s="33" t="e">
        <f t="shared" si="25"/>
        <v>#N/A</v>
      </c>
      <c r="AB310" s="33">
        <f>'Dados - Cliente'!Y310</f>
        <v>0</v>
      </c>
      <c r="AC310" s="33">
        <f>'Dados - Cliente'!Z310</f>
        <v>0</v>
      </c>
      <c r="AD310" s="33">
        <f>'Dados - Cliente'!AA310</f>
        <v>0</v>
      </c>
      <c r="AE310" s="33">
        <f>'Dados - Cliente'!AB310</f>
        <v>0</v>
      </c>
      <c r="AF310" s="33">
        <f>'Dados - Cliente'!AC310</f>
        <v>0</v>
      </c>
      <c r="AG310" s="35">
        <f>'Dados - Cliente'!AD310</f>
        <v>0</v>
      </c>
      <c r="AH310" s="33" t="e">
        <f>INDEX('Dados - Placas'!$A:$A,MATCH('1'!AG310,'Dados - Placas'!$D:$D,0))</f>
        <v>#N/A</v>
      </c>
      <c r="AI310" s="35" t="e">
        <f>INDEX('Dados - Placas'!$E:$E,MATCH('1'!AG310,'Dados - Placas'!$D:$D,0))</f>
        <v>#N/A</v>
      </c>
      <c r="AJ310" s="34" t="e">
        <f>INDEX('Dados - Placas'!$F:$F,MATCH('1'!AG310,'Dados - Placas'!$D:$D,0))*AF310</f>
        <v>#N/A</v>
      </c>
      <c r="AK310" s="33">
        <f>'Dados - Cliente'!AE310</f>
        <v>0</v>
      </c>
      <c r="AL310" s="33">
        <f>'Dados - Cliente'!AF310</f>
        <v>0</v>
      </c>
      <c r="AM310" s="36" t="e">
        <f>INDEX('Dados - Inversores'!$A:$A,MATCH('1'!AL310,'Dados - Inversores'!$C:$C,0))</f>
        <v>#N/A</v>
      </c>
      <c r="AN310" s="33">
        <f>'Dados - Cliente'!AG310</f>
        <v>0</v>
      </c>
      <c r="AO310" s="33" t="e">
        <f>AA310*1.25/(0.22*SQRT(INDEX('Dados - Inversores'!AK:AK,MATCH('1'!AL310,'Dados - Inversores'!C:C,0))))</f>
        <v>#N/A</v>
      </c>
      <c r="AP310" s="34">
        <f>INDEX(Dados!$E$2:$E$33,COUNTIF(Dados!$E$2:$E$33,"&lt;="&amp;AN310*1.25/(INDEX('Dados - Inversores'!AL:AL,MATCH('1'!AL310,'Dados - Inversores'!C:C,0))*SQRT(INDEX('Dados - Inversores'!AK:AK,MATCH('1'!AL310,'Dados - Inversores'!C:C,0)))))+1)</f>
        <v>2</v>
      </c>
      <c r="AQ310" s="33" t="s">
        <v>59</v>
      </c>
      <c r="AR310" s="33" t="str">
        <f t="shared" si="26"/>
        <v>Micro</v>
      </c>
      <c r="AS310" s="33">
        <f>'Dados - Cliente'!AH310</f>
        <v>0</v>
      </c>
      <c r="AT310" s="33">
        <f>'Dados - Cliente'!AI310</f>
        <v>0</v>
      </c>
      <c r="AU310" s="33" t="e">
        <f>INDEX('Dados - Placas'!$N:$N,MATCH('1'!AG310,'Dados - Placas'!$D:$D,0))-1</f>
        <v>#N/A</v>
      </c>
      <c r="AV310" s="33" t="e">
        <f>INDEX('Dados - Placas'!$O:$O,MATCH('1'!AG310,'Dados - Placas'!$D:$D,0))</f>
        <v>#N/A</v>
      </c>
      <c r="AW310" s="33" t="e">
        <f>INDEX('Dados - Inversores'!AM:AM,MATCH('1'!AL310,'Dados - Inversores'!$C:$C,0))-1</f>
        <v>#N/A</v>
      </c>
      <c r="AX310" s="33" t="e">
        <f>INDEX('Dados - Inversores'!AN:AN,MATCH('1'!AL310,'Dados - Inversores'!$C:$C,0))-1</f>
        <v>#N/A</v>
      </c>
      <c r="AY310" s="33" t="e">
        <f>MATCH('1'!H310,Dados!$D$89:$D$167,0)+1</f>
        <v>#N/A</v>
      </c>
      <c r="AZ310" s="33" t="e">
        <f>MATCH('1'!N310,'Dados - Solicitação de acesso'!$N$2:$N$8,0)</f>
        <v>#N/A</v>
      </c>
      <c r="BA310" s="33" t="e">
        <f>MATCH('1'!T310,'Dados - Solicitação de acesso'!$T$2:$T$20,0)</f>
        <v>#N/A</v>
      </c>
    </row>
    <row r="311" spans="1:53" x14ac:dyDescent="0.35">
      <c r="A311" s="33">
        <f>'Dados - Cliente'!A311</f>
        <v>0</v>
      </c>
      <c r="B311" s="33">
        <f>'Dados - Cliente'!B311</f>
        <v>0</v>
      </c>
      <c r="C311" s="33">
        <f>'Dados - Cliente'!C311</f>
        <v>0</v>
      </c>
      <c r="D311" s="33">
        <f>'Dados - Cliente'!D311</f>
        <v>0</v>
      </c>
      <c r="E311" s="33">
        <f>'Dados - Cliente'!E311</f>
        <v>0</v>
      </c>
      <c r="F311" s="33">
        <f>'Dados - Cliente'!F311</f>
        <v>0</v>
      </c>
      <c r="G311" s="33">
        <f>'Dados - Cliente'!G311</f>
        <v>0</v>
      </c>
      <c r="H311" s="33">
        <f>'Dados - Cliente'!H311</f>
        <v>0</v>
      </c>
      <c r="I311" s="75" t="s">
        <v>4313</v>
      </c>
      <c r="J311" s="52" t="s">
        <v>4314</v>
      </c>
      <c r="K311" s="52" t="s">
        <v>4314</v>
      </c>
      <c r="L311" s="33">
        <f>'Dados - Cliente'!I311</f>
        <v>0</v>
      </c>
      <c r="M311" s="33">
        <f>'Dados - Cliente'!K311</f>
        <v>0</v>
      </c>
      <c r="N311" s="33">
        <f>'Dados - Cliente'!L311</f>
        <v>0</v>
      </c>
      <c r="O311" s="33">
        <f>'Dados - Cliente'!M311</f>
        <v>0</v>
      </c>
      <c r="P311" s="33">
        <f>'Dados - Cliente'!N311</f>
        <v>0</v>
      </c>
      <c r="Q311" s="33">
        <f>'Dados - Cliente'!O311</f>
        <v>0</v>
      </c>
      <c r="R311" s="33">
        <f>'Dados - Cliente'!P311</f>
        <v>0</v>
      </c>
      <c r="S311" s="33">
        <f>'Dados - Cliente'!Q311</f>
        <v>0</v>
      </c>
      <c r="T311" s="33">
        <f>'Dados - Cliente'!R311</f>
        <v>0</v>
      </c>
      <c r="U311" s="34">
        <f>'Dados - Cliente'!S311</f>
        <v>0</v>
      </c>
      <c r="V311" s="34">
        <f>'Dados - Cliente'!T311</f>
        <v>0</v>
      </c>
      <c r="W311" s="34">
        <f>'Dados - Cliente'!U311</f>
        <v>0</v>
      </c>
      <c r="X311" s="34">
        <f>'Dados - Cliente'!V311</f>
        <v>0</v>
      </c>
      <c r="Y311" s="34">
        <f>'Dados - Cliente'!W311</f>
        <v>0</v>
      </c>
      <c r="Z311" s="34">
        <f>'Dados - Cliente'!X311</f>
        <v>0</v>
      </c>
      <c r="AA311" s="33" t="e">
        <f t="shared" si="25"/>
        <v>#N/A</v>
      </c>
      <c r="AB311" s="33">
        <f>'Dados - Cliente'!Y311</f>
        <v>0</v>
      </c>
      <c r="AC311" s="33">
        <f>'Dados - Cliente'!Z311</f>
        <v>0</v>
      </c>
      <c r="AD311" s="33">
        <f>'Dados - Cliente'!AA311</f>
        <v>0</v>
      </c>
      <c r="AE311" s="33">
        <f>'Dados - Cliente'!AB311</f>
        <v>0</v>
      </c>
      <c r="AF311" s="33">
        <f>'Dados - Cliente'!AC311</f>
        <v>0</v>
      </c>
      <c r="AG311" s="35">
        <f>'Dados - Cliente'!AD311</f>
        <v>0</v>
      </c>
      <c r="AH311" s="33" t="e">
        <f>INDEX('Dados - Placas'!$A:$A,MATCH('1'!AG311,'Dados - Placas'!$D:$D,0))</f>
        <v>#N/A</v>
      </c>
      <c r="AI311" s="35" t="e">
        <f>INDEX('Dados - Placas'!$E:$E,MATCH('1'!AG311,'Dados - Placas'!$D:$D,0))</f>
        <v>#N/A</v>
      </c>
      <c r="AJ311" s="34" t="e">
        <f>INDEX('Dados - Placas'!$F:$F,MATCH('1'!AG311,'Dados - Placas'!$D:$D,0))*AF311</f>
        <v>#N/A</v>
      </c>
      <c r="AK311" s="33">
        <f>'Dados - Cliente'!AE311</f>
        <v>0</v>
      </c>
      <c r="AL311" s="33">
        <f>'Dados - Cliente'!AF311</f>
        <v>0</v>
      </c>
      <c r="AM311" s="36" t="e">
        <f>INDEX('Dados - Inversores'!$A:$A,MATCH('1'!AL311,'Dados - Inversores'!$C:$C,0))</f>
        <v>#N/A</v>
      </c>
      <c r="AN311" s="33">
        <f>'Dados - Cliente'!AG311</f>
        <v>0</v>
      </c>
      <c r="AO311" s="33" t="e">
        <f>AA311*1.25/(0.22*SQRT(INDEX('Dados - Inversores'!AK:AK,MATCH('1'!AL311,'Dados - Inversores'!C:C,0))))</f>
        <v>#N/A</v>
      </c>
      <c r="AP311" s="34">
        <f>INDEX(Dados!$E$2:$E$33,COUNTIF(Dados!$E$2:$E$33,"&lt;="&amp;AN311*1.25/(INDEX('Dados - Inversores'!AL:AL,MATCH('1'!AL311,'Dados - Inversores'!C:C,0))*SQRT(INDEX('Dados - Inversores'!AK:AK,MATCH('1'!AL311,'Dados - Inversores'!C:C,0)))))+1)</f>
        <v>2</v>
      </c>
      <c r="AQ311" s="33" t="s">
        <v>59</v>
      </c>
      <c r="AR311" s="33" t="str">
        <f t="shared" si="26"/>
        <v>Micro</v>
      </c>
      <c r="AS311" s="33">
        <f>'Dados - Cliente'!AH311</f>
        <v>0</v>
      </c>
      <c r="AT311" s="33">
        <f>'Dados - Cliente'!AI311</f>
        <v>0</v>
      </c>
      <c r="AU311" s="33" t="e">
        <f>INDEX('Dados - Placas'!$N:$N,MATCH('1'!AG311,'Dados - Placas'!$D:$D,0))-1</f>
        <v>#N/A</v>
      </c>
      <c r="AV311" s="33" t="e">
        <f>INDEX('Dados - Placas'!$O:$O,MATCH('1'!AG311,'Dados - Placas'!$D:$D,0))</f>
        <v>#N/A</v>
      </c>
      <c r="AW311" s="33" t="e">
        <f>INDEX('Dados - Inversores'!AM:AM,MATCH('1'!AL311,'Dados - Inversores'!$C:$C,0))-1</f>
        <v>#N/A</v>
      </c>
      <c r="AX311" s="33" t="e">
        <f>INDEX('Dados - Inversores'!AN:AN,MATCH('1'!AL311,'Dados - Inversores'!$C:$C,0))-1</f>
        <v>#N/A</v>
      </c>
      <c r="AY311" s="33" t="e">
        <f>MATCH('1'!H311,Dados!$D$89:$D$167,0)+1</f>
        <v>#N/A</v>
      </c>
      <c r="AZ311" s="33" t="e">
        <f>MATCH('1'!N311,'Dados - Solicitação de acesso'!$N$2:$N$8,0)</f>
        <v>#N/A</v>
      </c>
      <c r="BA311" s="33" t="e">
        <f>MATCH('1'!T311,'Dados - Solicitação de acesso'!$T$2:$T$20,0)</f>
        <v>#N/A</v>
      </c>
    </row>
    <row r="312" spans="1:53" x14ac:dyDescent="0.35">
      <c r="A312" s="33">
        <f>'Dados - Cliente'!A312</f>
        <v>0</v>
      </c>
      <c r="B312" s="33">
        <f>'Dados - Cliente'!B312</f>
        <v>0</v>
      </c>
      <c r="C312" s="33">
        <f>'Dados - Cliente'!C312</f>
        <v>0</v>
      </c>
      <c r="D312" s="33">
        <f>'Dados - Cliente'!D312</f>
        <v>0</v>
      </c>
      <c r="E312" s="33">
        <f>'Dados - Cliente'!E312</f>
        <v>0</v>
      </c>
      <c r="F312" s="33">
        <f>'Dados - Cliente'!F312</f>
        <v>0</v>
      </c>
      <c r="G312" s="33">
        <f>'Dados - Cliente'!G312</f>
        <v>0</v>
      </c>
      <c r="H312" s="33">
        <f>'Dados - Cliente'!H312</f>
        <v>0</v>
      </c>
      <c r="I312" s="75" t="s">
        <v>4313</v>
      </c>
      <c r="J312" s="52" t="s">
        <v>4314</v>
      </c>
      <c r="K312" s="52" t="s">
        <v>4314</v>
      </c>
      <c r="L312" s="33">
        <f>'Dados - Cliente'!I312</f>
        <v>0</v>
      </c>
      <c r="M312" s="33">
        <f>'Dados - Cliente'!K312</f>
        <v>0</v>
      </c>
      <c r="N312" s="33">
        <f>'Dados - Cliente'!L312</f>
        <v>0</v>
      </c>
      <c r="O312" s="33">
        <f>'Dados - Cliente'!M312</f>
        <v>0</v>
      </c>
      <c r="P312" s="33">
        <f>'Dados - Cliente'!N312</f>
        <v>0</v>
      </c>
      <c r="Q312" s="33">
        <f>'Dados - Cliente'!O312</f>
        <v>0</v>
      </c>
      <c r="R312" s="33">
        <f>'Dados - Cliente'!P312</f>
        <v>0</v>
      </c>
      <c r="S312" s="33">
        <f>'Dados - Cliente'!Q312</f>
        <v>0</v>
      </c>
      <c r="T312" s="33">
        <f>'Dados - Cliente'!R312</f>
        <v>0</v>
      </c>
      <c r="U312" s="34">
        <f>'Dados - Cliente'!S312</f>
        <v>0</v>
      </c>
      <c r="V312" s="34">
        <f>'Dados - Cliente'!T312</f>
        <v>0</v>
      </c>
      <c r="W312" s="34">
        <f>'Dados - Cliente'!U312</f>
        <v>0</v>
      </c>
      <c r="X312" s="34">
        <f>'Dados - Cliente'!V312</f>
        <v>0</v>
      </c>
      <c r="Y312" s="34">
        <f>'Dados - Cliente'!W312</f>
        <v>0</v>
      </c>
      <c r="Z312" s="34">
        <f>'Dados - Cliente'!X312</f>
        <v>0</v>
      </c>
      <c r="AA312" s="33" t="e">
        <f t="shared" si="25"/>
        <v>#N/A</v>
      </c>
      <c r="AB312" s="33">
        <f>'Dados - Cliente'!Y312</f>
        <v>0</v>
      </c>
      <c r="AC312" s="33">
        <f>'Dados - Cliente'!Z312</f>
        <v>0</v>
      </c>
      <c r="AD312" s="33">
        <f>'Dados - Cliente'!AA312</f>
        <v>0</v>
      </c>
      <c r="AE312" s="33">
        <f>'Dados - Cliente'!AB312</f>
        <v>0</v>
      </c>
      <c r="AF312" s="33">
        <f>'Dados - Cliente'!AC312</f>
        <v>0</v>
      </c>
      <c r="AG312" s="35">
        <f>'Dados - Cliente'!AD312</f>
        <v>0</v>
      </c>
      <c r="AH312" s="33" t="e">
        <f>INDEX('Dados - Placas'!$A:$A,MATCH('1'!AG312,'Dados - Placas'!$D:$D,0))</f>
        <v>#N/A</v>
      </c>
      <c r="AI312" s="35" t="e">
        <f>INDEX('Dados - Placas'!$E:$E,MATCH('1'!AG312,'Dados - Placas'!$D:$D,0))</f>
        <v>#N/A</v>
      </c>
      <c r="AJ312" s="34" t="e">
        <f>INDEX('Dados - Placas'!$F:$F,MATCH('1'!AG312,'Dados - Placas'!$D:$D,0))*AF312</f>
        <v>#N/A</v>
      </c>
      <c r="AK312" s="33">
        <f>'Dados - Cliente'!AE312</f>
        <v>0</v>
      </c>
      <c r="AL312" s="33">
        <f>'Dados - Cliente'!AF312</f>
        <v>0</v>
      </c>
      <c r="AM312" s="36" t="e">
        <f>INDEX('Dados - Inversores'!$A:$A,MATCH('1'!AL312,'Dados - Inversores'!$C:$C,0))</f>
        <v>#N/A</v>
      </c>
      <c r="AN312" s="33">
        <f>'Dados - Cliente'!AG312</f>
        <v>0</v>
      </c>
      <c r="AO312" s="33" t="e">
        <f>AA312*1.25/(0.22*SQRT(INDEX('Dados - Inversores'!AK:AK,MATCH('1'!AL312,'Dados - Inversores'!C:C,0))))</f>
        <v>#N/A</v>
      </c>
      <c r="AP312" s="34">
        <f>INDEX(Dados!$E$2:$E$33,COUNTIF(Dados!$E$2:$E$33,"&lt;="&amp;AN312*1.25/(INDEX('Dados - Inversores'!AL:AL,MATCH('1'!AL312,'Dados - Inversores'!C:C,0))*SQRT(INDEX('Dados - Inversores'!AK:AK,MATCH('1'!AL312,'Dados - Inversores'!C:C,0)))))+1)</f>
        <v>2</v>
      </c>
      <c r="AQ312" s="33" t="s">
        <v>59</v>
      </c>
      <c r="AR312" s="33" t="str">
        <f t="shared" si="26"/>
        <v>Micro</v>
      </c>
      <c r="AS312" s="33">
        <f>'Dados - Cliente'!AH312</f>
        <v>0</v>
      </c>
      <c r="AT312" s="33">
        <f>'Dados - Cliente'!AI312</f>
        <v>0</v>
      </c>
      <c r="AU312" s="33" t="e">
        <f>INDEX('Dados - Placas'!$N:$N,MATCH('1'!AG312,'Dados - Placas'!$D:$D,0))-1</f>
        <v>#N/A</v>
      </c>
      <c r="AV312" s="33" t="e">
        <f>INDEX('Dados - Placas'!$O:$O,MATCH('1'!AG312,'Dados - Placas'!$D:$D,0))</f>
        <v>#N/A</v>
      </c>
      <c r="AW312" s="33" t="e">
        <f>INDEX('Dados - Inversores'!AM:AM,MATCH('1'!AL312,'Dados - Inversores'!$C:$C,0))-1</f>
        <v>#N/A</v>
      </c>
      <c r="AX312" s="33" t="e">
        <f>INDEX('Dados - Inversores'!AN:AN,MATCH('1'!AL312,'Dados - Inversores'!$C:$C,0))-1</f>
        <v>#N/A</v>
      </c>
      <c r="AY312" s="33" t="e">
        <f>MATCH('1'!H312,Dados!$D$89:$D$167,0)+1</f>
        <v>#N/A</v>
      </c>
      <c r="AZ312" s="33" t="e">
        <f>MATCH('1'!N312,'Dados - Solicitação de acesso'!$N$2:$N$8,0)</f>
        <v>#N/A</v>
      </c>
      <c r="BA312" s="33" t="e">
        <f>MATCH('1'!T312,'Dados - Solicitação de acesso'!$T$2:$T$20,0)</f>
        <v>#N/A</v>
      </c>
    </row>
    <row r="313" spans="1:53" x14ac:dyDescent="0.35">
      <c r="A313" s="33">
        <f>'Dados - Cliente'!A313</f>
        <v>0</v>
      </c>
      <c r="B313" s="33">
        <f>'Dados - Cliente'!B313</f>
        <v>0</v>
      </c>
      <c r="C313" s="33">
        <f>'Dados - Cliente'!C313</f>
        <v>0</v>
      </c>
      <c r="D313" s="33">
        <f>'Dados - Cliente'!D313</f>
        <v>0</v>
      </c>
      <c r="E313" s="33">
        <f>'Dados - Cliente'!E313</f>
        <v>0</v>
      </c>
      <c r="F313" s="33">
        <f>'Dados - Cliente'!F313</f>
        <v>0</v>
      </c>
      <c r="G313" s="33">
        <f>'Dados - Cliente'!G313</f>
        <v>0</v>
      </c>
      <c r="H313" s="33">
        <f>'Dados - Cliente'!H313</f>
        <v>0</v>
      </c>
      <c r="I313" s="75" t="s">
        <v>4313</v>
      </c>
      <c r="J313" s="52" t="s">
        <v>4314</v>
      </c>
      <c r="K313" s="52" t="s">
        <v>4314</v>
      </c>
      <c r="L313" s="33">
        <f>'Dados - Cliente'!I313</f>
        <v>0</v>
      </c>
      <c r="M313" s="33">
        <f>'Dados - Cliente'!K313</f>
        <v>0</v>
      </c>
      <c r="N313" s="33">
        <f>'Dados - Cliente'!L313</f>
        <v>0</v>
      </c>
      <c r="O313" s="33">
        <f>'Dados - Cliente'!M313</f>
        <v>0</v>
      </c>
      <c r="P313" s="33">
        <f>'Dados - Cliente'!N313</f>
        <v>0</v>
      </c>
      <c r="Q313" s="33">
        <f>'Dados - Cliente'!O313</f>
        <v>0</v>
      </c>
      <c r="R313" s="33">
        <f>'Dados - Cliente'!P313</f>
        <v>0</v>
      </c>
      <c r="S313" s="33">
        <f>'Dados - Cliente'!Q313</f>
        <v>0</v>
      </c>
      <c r="T313" s="33">
        <f>'Dados - Cliente'!R313</f>
        <v>0</v>
      </c>
      <c r="U313" s="34">
        <f>'Dados - Cliente'!S313</f>
        <v>0</v>
      </c>
      <c r="V313" s="34">
        <f>'Dados - Cliente'!T313</f>
        <v>0</v>
      </c>
      <c r="W313" s="34">
        <f>'Dados - Cliente'!U313</f>
        <v>0</v>
      </c>
      <c r="X313" s="34">
        <f>'Dados - Cliente'!V313</f>
        <v>0</v>
      </c>
      <c r="Y313" s="34">
        <f>'Dados - Cliente'!W313</f>
        <v>0</v>
      </c>
      <c r="Z313" s="34">
        <f>'Dados - Cliente'!X313</f>
        <v>0</v>
      </c>
      <c r="AA313" s="33" t="e">
        <f t="shared" si="25"/>
        <v>#N/A</v>
      </c>
      <c r="AB313" s="33">
        <f>'Dados - Cliente'!Y313</f>
        <v>0</v>
      </c>
      <c r="AC313" s="33">
        <f>'Dados - Cliente'!Z313</f>
        <v>0</v>
      </c>
      <c r="AD313" s="33">
        <f>'Dados - Cliente'!AA313</f>
        <v>0</v>
      </c>
      <c r="AE313" s="33">
        <f>'Dados - Cliente'!AB313</f>
        <v>0</v>
      </c>
      <c r="AF313" s="33">
        <f>'Dados - Cliente'!AC313</f>
        <v>0</v>
      </c>
      <c r="AG313" s="35">
        <f>'Dados - Cliente'!AD313</f>
        <v>0</v>
      </c>
      <c r="AH313" s="33" t="e">
        <f>INDEX('Dados - Placas'!$A:$A,MATCH('1'!AG313,'Dados - Placas'!$D:$D,0))</f>
        <v>#N/A</v>
      </c>
      <c r="AI313" s="35" t="e">
        <f>INDEX('Dados - Placas'!$E:$E,MATCH('1'!AG313,'Dados - Placas'!$D:$D,0))</f>
        <v>#N/A</v>
      </c>
      <c r="AJ313" s="34" t="e">
        <f>INDEX('Dados - Placas'!$F:$F,MATCH('1'!AG313,'Dados - Placas'!$D:$D,0))*AF313</f>
        <v>#N/A</v>
      </c>
      <c r="AK313" s="33">
        <f>'Dados - Cliente'!AE313</f>
        <v>0</v>
      </c>
      <c r="AL313" s="33">
        <f>'Dados - Cliente'!AF313</f>
        <v>0</v>
      </c>
      <c r="AM313" s="36" t="e">
        <f>INDEX('Dados - Inversores'!$A:$A,MATCH('1'!AL313,'Dados - Inversores'!$C:$C,0))</f>
        <v>#N/A</v>
      </c>
      <c r="AN313" s="33">
        <f>'Dados - Cliente'!AG313</f>
        <v>0</v>
      </c>
      <c r="AO313" s="33" t="e">
        <f>AA313*1.25/(0.22*SQRT(INDEX('Dados - Inversores'!AK:AK,MATCH('1'!AL313,'Dados - Inversores'!C:C,0))))</f>
        <v>#N/A</v>
      </c>
      <c r="AP313" s="34">
        <f>INDEX(Dados!$E$2:$E$33,COUNTIF(Dados!$E$2:$E$33,"&lt;="&amp;AN313*1.25/(INDEX('Dados - Inversores'!AL:AL,MATCH('1'!AL313,'Dados - Inversores'!C:C,0))*SQRT(INDEX('Dados - Inversores'!AK:AK,MATCH('1'!AL313,'Dados - Inversores'!C:C,0)))))+1)</f>
        <v>2</v>
      </c>
      <c r="AQ313" s="33" t="s">
        <v>59</v>
      </c>
      <c r="AR313" s="33" t="str">
        <f t="shared" si="26"/>
        <v>Micro</v>
      </c>
      <c r="AS313" s="33">
        <f>'Dados - Cliente'!AH313</f>
        <v>0</v>
      </c>
      <c r="AT313" s="33">
        <f>'Dados - Cliente'!AI313</f>
        <v>0</v>
      </c>
      <c r="AU313" s="33" t="e">
        <f>INDEX('Dados - Placas'!$N:$N,MATCH('1'!AG313,'Dados - Placas'!$D:$D,0))-1</f>
        <v>#N/A</v>
      </c>
      <c r="AV313" s="33" t="e">
        <f>INDEX('Dados - Placas'!$O:$O,MATCH('1'!AG313,'Dados - Placas'!$D:$D,0))</f>
        <v>#N/A</v>
      </c>
      <c r="AW313" s="33" t="e">
        <f>INDEX('Dados - Inversores'!AM:AM,MATCH('1'!AL313,'Dados - Inversores'!$C:$C,0))-1</f>
        <v>#N/A</v>
      </c>
      <c r="AX313" s="33" t="e">
        <f>INDEX('Dados - Inversores'!AN:AN,MATCH('1'!AL313,'Dados - Inversores'!$C:$C,0))-1</f>
        <v>#N/A</v>
      </c>
      <c r="AY313" s="33" t="e">
        <f>MATCH('1'!H313,Dados!$D$89:$D$167,0)+1</f>
        <v>#N/A</v>
      </c>
      <c r="AZ313" s="33" t="e">
        <f>MATCH('1'!N313,'Dados - Solicitação de acesso'!$N$2:$N$8,0)</f>
        <v>#N/A</v>
      </c>
      <c r="BA313" s="33" t="e">
        <f>MATCH('1'!T313,'Dados - Solicitação de acesso'!$T$2:$T$20,0)</f>
        <v>#N/A</v>
      </c>
    </row>
    <row r="314" spans="1:53" x14ac:dyDescent="0.35">
      <c r="A314" s="33">
        <f>'Dados - Cliente'!A314</f>
        <v>0</v>
      </c>
      <c r="B314" s="33">
        <f>'Dados - Cliente'!B314</f>
        <v>0</v>
      </c>
      <c r="C314" s="33">
        <f>'Dados - Cliente'!C314</f>
        <v>0</v>
      </c>
      <c r="D314" s="33">
        <f>'Dados - Cliente'!D314</f>
        <v>0</v>
      </c>
      <c r="E314" s="33">
        <f>'Dados - Cliente'!E314</f>
        <v>0</v>
      </c>
      <c r="F314" s="33">
        <f>'Dados - Cliente'!F314</f>
        <v>0</v>
      </c>
      <c r="G314" s="33">
        <f>'Dados - Cliente'!G314</f>
        <v>0</v>
      </c>
      <c r="H314" s="33">
        <f>'Dados - Cliente'!H314</f>
        <v>0</v>
      </c>
      <c r="I314" s="75" t="s">
        <v>4313</v>
      </c>
      <c r="J314" s="52" t="s">
        <v>4314</v>
      </c>
      <c r="K314" s="52" t="s">
        <v>4314</v>
      </c>
      <c r="L314" s="33">
        <f>'Dados - Cliente'!I314</f>
        <v>0</v>
      </c>
      <c r="M314" s="33">
        <f>'Dados - Cliente'!K314</f>
        <v>0</v>
      </c>
      <c r="N314" s="33">
        <f>'Dados - Cliente'!L314</f>
        <v>0</v>
      </c>
      <c r="O314" s="33">
        <f>'Dados - Cliente'!M314</f>
        <v>0</v>
      </c>
      <c r="P314" s="33">
        <f>'Dados - Cliente'!N314</f>
        <v>0</v>
      </c>
      <c r="Q314" s="33">
        <f>'Dados - Cliente'!O314</f>
        <v>0</v>
      </c>
      <c r="R314" s="33">
        <f>'Dados - Cliente'!P314</f>
        <v>0</v>
      </c>
      <c r="S314" s="33">
        <f>'Dados - Cliente'!Q314</f>
        <v>0</v>
      </c>
      <c r="T314" s="33">
        <f>'Dados - Cliente'!R314</f>
        <v>0</v>
      </c>
      <c r="U314" s="34">
        <f>'Dados - Cliente'!S314</f>
        <v>0</v>
      </c>
      <c r="V314" s="34">
        <f>'Dados - Cliente'!T314</f>
        <v>0</v>
      </c>
      <c r="W314" s="34">
        <f>'Dados - Cliente'!U314</f>
        <v>0</v>
      </c>
      <c r="X314" s="34">
        <f>'Dados - Cliente'!V314</f>
        <v>0</v>
      </c>
      <c r="Y314" s="34">
        <f>'Dados - Cliente'!W314</f>
        <v>0</v>
      </c>
      <c r="Z314" s="34">
        <f>'Dados - Cliente'!X314</f>
        <v>0</v>
      </c>
      <c r="AA314" s="33" t="e">
        <f t="shared" si="25"/>
        <v>#N/A</v>
      </c>
      <c r="AB314" s="33">
        <f>'Dados - Cliente'!Y314</f>
        <v>0</v>
      </c>
      <c r="AC314" s="33">
        <f>'Dados - Cliente'!Z314</f>
        <v>0</v>
      </c>
      <c r="AD314" s="33">
        <f>'Dados - Cliente'!AA314</f>
        <v>0</v>
      </c>
      <c r="AE314" s="33">
        <f>'Dados - Cliente'!AB314</f>
        <v>0</v>
      </c>
      <c r="AF314" s="33">
        <f>'Dados - Cliente'!AC314</f>
        <v>0</v>
      </c>
      <c r="AG314" s="35">
        <f>'Dados - Cliente'!AD314</f>
        <v>0</v>
      </c>
      <c r="AH314" s="33" t="e">
        <f>INDEX('Dados - Placas'!$A:$A,MATCH('1'!AG314,'Dados - Placas'!$D:$D,0))</f>
        <v>#N/A</v>
      </c>
      <c r="AI314" s="35" t="e">
        <f>INDEX('Dados - Placas'!$E:$E,MATCH('1'!AG314,'Dados - Placas'!$D:$D,0))</f>
        <v>#N/A</v>
      </c>
      <c r="AJ314" s="34" t="e">
        <f>INDEX('Dados - Placas'!$F:$F,MATCH('1'!AG314,'Dados - Placas'!$D:$D,0))*AF314</f>
        <v>#N/A</v>
      </c>
      <c r="AK314" s="33">
        <f>'Dados - Cliente'!AE314</f>
        <v>0</v>
      </c>
      <c r="AL314" s="33">
        <f>'Dados - Cliente'!AF314</f>
        <v>0</v>
      </c>
      <c r="AM314" s="36" t="e">
        <f>INDEX('Dados - Inversores'!$A:$A,MATCH('1'!AL314,'Dados - Inversores'!$C:$C,0))</f>
        <v>#N/A</v>
      </c>
      <c r="AN314" s="33">
        <f>'Dados - Cliente'!AG314</f>
        <v>0</v>
      </c>
      <c r="AO314" s="33" t="e">
        <f>AA314*1.25/(0.22*SQRT(INDEX('Dados - Inversores'!AK:AK,MATCH('1'!AL314,'Dados - Inversores'!C:C,0))))</f>
        <v>#N/A</v>
      </c>
      <c r="AP314" s="34">
        <f>INDEX(Dados!$E$2:$E$33,COUNTIF(Dados!$E$2:$E$33,"&lt;="&amp;AN314*1.25/(INDEX('Dados - Inversores'!AL:AL,MATCH('1'!AL314,'Dados - Inversores'!C:C,0))*SQRT(INDEX('Dados - Inversores'!AK:AK,MATCH('1'!AL314,'Dados - Inversores'!C:C,0)))))+1)</f>
        <v>2</v>
      </c>
      <c r="AQ314" s="33" t="s">
        <v>59</v>
      </c>
      <c r="AR314" s="33" t="str">
        <f t="shared" si="26"/>
        <v>Micro</v>
      </c>
      <c r="AS314" s="33">
        <f>'Dados - Cliente'!AH314</f>
        <v>0</v>
      </c>
      <c r="AT314" s="33">
        <f>'Dados - Cliente'!AI314</f>
        <v>0</v>
      </c>
      <c r="AU314" s="33" t="e">
        <f>INDEX('Dados - Placas'!$N:$N,MATCH('1'!AG314,'Dados - Placas'!$D:$D,0))-1</f>
        <v>#N/A</v>
      </c>
      <c r="AV314" s="33" t="e">
        <f>INDEX('Dados - Placas'!$O:$O,MATCH('1'!AG314,'Dados - Placas'!$D:$D,0))</f>
        <v>#N/A</v>
      </c>
      <c r="AW314" s="33" t="e">
        <f>INDEX('Dados - Inversores'!AM:AM,MATCH('1'!AL314,'Dados - Inversores'!$C:$C,0))-1</f>
        <v>#N/A</v>
      </c>
      <c r="AX314" s="33" t="e">
        <f>INDEX('Dados - Inversores'!AN:AN,MATCH('1'!AL314,'Dados - Inversores'!$C:$C,0))-1</f>
        <v>#N/A</v>
      </c>
      <c r="AY314" s="33" t="e">
        <f>MATCH('1'!H314,Dados!$D$89:$D$167,0)+1</f>
        <v>#N/A</v>
      </c>
      <c r="AZ314" s="33" t="e">
        <f>MATCH('1'!N314,'Dados - Solicitação de acesso'!$N$2:$N$8,0)</f>
        <v>#N/A</v>
      </c>
      <c r="BA314" s="33" t="e">
        <f>MATCH('1'!T314,'Dados - Solicitação de acesso'!$T$2:$T$20,0)</f>
        <v>#N/A</v>
      </c>
    </row>
    <row r="315" spans="1:53" x14ac:dyDescent="0.35">
      <c r="A315" s="33">
        <f>'Dados - Cliente'!A315</f>
        <v>0</v>
      </c>
      <c r="B315" s="33">
        <f>'Dados - Cliente'!B315</f>
        <v>0</v>
      </c>
      <c r="C315" s="33">
        <f>'Dados - Cliente'!C315</f>
        <v>0</v>
      </c>
      <c r="D315" s="33">
        <f>'Dados - Cliente'!D315</f>
        <v>0</v>
      </c>
      <c r="E315" s="33">
        <f>'Dados - Cliente'!E315</f>
        <v>0</v>
      </c>
      <c r="F315" s="33">
        <f>'Dados - Cliente'!F315</f>
        <v>0</v>
      </c>
      <c r="G315" s="33">
        <f>'Dados - Cliente'!G315</f>
        <v>0</v>
      </c>
      <c r="H315" s="33">
        <f>'Dados - Cliente'!H315</f>
        <v>0</v>
      </c>
      <c r="I315" s="75" t="s">
        <v>4313</v>
      </c>
      <c r="J315" s="52" t="s">
        <v>4314</v>
      </c>
      <c r="K315" s="52" t="s">
        <v>4314</v>
      </c>
      <c r="L315" s="33">
        <f>'Dados - Cliente'!I315</f>
        <v>0</v>
      </c>
      <c r="M315" s="33">
        <f>'Dados - Cliente'!K315</f>
        <v>0</v>
      </c>
      <c r="N315" s="33">
        <f>'Dados - Cliente'!L315</f>
        <v>0</v>
      </c>
      <c r="O315" s="33">
        <f>'Dados - Cliente'!M315</f>
        <v>0</v>
      </c>
      <c r="P315" s="33">
        <f>'Dados - Cliente'!N315</f>
        <v>0</v>
      </c>
      <c r="Q315" s="33">
        <f>'Dados - Cliente'!O315</f>
        <v>0</v>
      </c>
      <c r="R315" s="33">
        <f>'Dados - Cliente'!P315</f>
        <v>0</v>
      </c>
      <c r="S315" s="33">
        <f>'Dados - Cliente'!Q315</f>
        <v>0</v>
      </c>
      <c r="T315" s="33">
        <f>'Dados - Cliente'!R315</f>
        <v>0</v>
      </c>
      <c r="U315" s="34">
        <f>'Dados - Cliente'!S315</f>
        <v>0</v>
      </c>
      <c r="V315" s="34">
        <f>'Dados - Cliente'!T315</f>
        <v>0</v>
      </c>
      <c r="W315" s="34">
        <f>'Dados - Cliente'!U315</f>
        <v>0</v>
      </c>
      <c r="X315" s="34">
        <f>'Dados - Cliente'!V315</f>
        <v>0</v>
      </c>
      <c r="Y315" s="34">
        <f>'Dados - Cliente'!W315</f>
        <v>0</v>
      </c>
      <c r="Z315" s="34">
        <f>'Dados - Cliente'!X315</f>
        <v>0</v>
      </c>
      <c r="AA315" s="33" t="e">
        <f t="shared" si="25"/>
        <v>#N/A</v>
      </c>
      <c r="AB315" s="33">
        <f>'Dados - Cliente'!Y315</f>
        <v>0</v>
      </c>
      <c r="AC315" s="33">
        <f>'Dados - Cliente'!Z315</f>
        <v>0</v>
      </c>
      <c r="AD315" s="33">
        <f>'Dados - Cliente'!AA315</f>
        <v>0</v>
      </c>
      <c r="AE315" s="33">
        <f>'Dados - Cliente'!AB315</f>
        <v>0</v>
      </c>
      <c r="AF315" s="33">
        <f>'Dados - Cliente'!AC315</f>
        <v>0</v>
      </c>
      <c r="AG315" s="35">
        <f>'Dados - Cliente'!AD315</f>
        <v>0</v>
      </c>
      <c r="AH315" s="33" t="e">
        <f>INDEX('Dados - Placas'!$A:$A,MATCH('1'!AG315,'Dados - Placas'!$D:$D,0))</f>
        <v>#N/A</v>
      </c>
      <c r="AI315" s="35" t="e">
        <f>INDEX('Dados - Placas'!$E:$E,MATCH('1'!AG315,'Dados - Placas'!$D:$D,0))</f>
        <v>#N/A</v>
      </c>
      <c r="AJ315" s="34" t="e">
        <f>INDEX('Dados - Placas'!$F:$F,MATCH('1'!AG315,'Dados - Placas'!$D:$D,0))*AF315</f>
        <v>#N/A</v>
      </c>
      <c r="AK315" s="33">
        <f>'Dados - Cliente'!AE315</f>
        <v>0</v>
      </c>
      <c r="AL315" s="33">
        <f>'Dados - Cliente'!AF315</f>
        <v>0</v>
      </c>
      <c r="AM315" s="36" t="e">
        <f>INDEX('Dados - Inversores'!$A:$A,MATCH('1'!AL315,'Dados - Inversores'!$C:$C,0))</f>
        <v>#N/A</v>
      </c>
      <c r="AN315" s="33">
        <f>'Dados - Cliente'!AG315</f>
        <v>0</v>
      </c>
      <c r="AO315" s="33" t="e">
        <f>AA315*1.25/(0.22*SQRT(INDEX('Dados - Inversores'!AK:AK,MATCH('1'!AL315,'Dados - Inversores'!C:C,0))))</f>
        <v>#N/A</v>
      </c>
      <c r="AP315" s="34">
        <f>INDEX(Dados!$E$2:$E$33,COUNTIF(Dados!$E$2:$E$33,"&lt;="&amp;AN315*1.25/(INDEX('Dados - Inversores'!AL:AL,MATCH('1'!AL315,'Dados - Inversores'!C:C,0))*SQRT(INDEX('Dados - Inversores'!AK:AK,MATCH('1'!AL315,'Dados - Inversores'!C:C,0)))))+1)</f>
        <v>2</v>
      </c>
      <c r="AQ315" s="33" t="s">
        <v>59</v>
      </c>
      <c r="AR315" s="33" t="str">
        <f t="shared" si="26"/>
        <v>Micro</v>
      </c>
      <c r="AS315" s="33">
        <f>'Dados - Cliente'!AH315</f>
        <v>0</v>
      </c>
      <c r="AT315" s="33">
        <f>'Dados - Cliente'!AI315</f>
        <v>0</v>
      </c>
      <c r="AU315" s="33" t="e">
        <f>INDEX('Dados - Placas'!$N:$N,MATCH('1'!AG315,'Dados - Placas'!$D:$D,0))-1</f>
        <v>#N/A</v>
      </c>
      <c r="AV315" s="33" t="e">
        <f>INDEX('Dados - Placas'!$O:$O,MATCH('1'!AG315,'Dados - Placas'!$D:$D,0))</f>
        <v>#N/A</v>
      </c>
      <c r="AW315" s="33" t="e">
        <f>INDEX('Dados - Inversores'!AM:AM,MATCH('1'!AL315,'Dados - Inversores'!$C:$C,0))-1</f>
        <v>#N/A</v>
      </c>
      <c r="AX315" s="33" t="e">
        <f>INDEX('Dados - Inversores'!AN:AN,MATCH('1'!AL315,'Dados - Inversores'!$C:$C,0))-1</f>
        <v>#N/A</v>
      </c>
      <c r="AY315" s="33" t="e">
        <f>MATCH('1'!H315,Dados!$D$89:$D$167,0)+1</f>
        <v>#N/A</v>
      </c>
      <c r="AZ315" s="33" t="e">
        <f>MATCH('1'!N315,'Dados - Solicitação de acesso'!$N$2:$N$8,0)</f>
        <v>#N/A</v>
      </c>
      <c r="BA315" s="33" t="e">
        <f>MATCH('1'!T315,'Dados - Solicitação de acesso'!$T$2:$T$20,0)</f>
        <v>#N/A</v>
      </c>
    </row>
    <row r="316" spans="1:53" x14ac:dyDescent="0.35">
      <c r="A316" s="33">
        <f>'Dados - Cliente'!A316</f>
        <v>0</v>
      </c>
      <c r="B316" s="33">
        <f>'Dados - Cliente'!B316</f>
        <v>0</v>
      </c>
      <c r="C316" s="33">
        <f>'Dados - Cliente'!C316</f>
        <v>0</v>
      </c>
      <c r="D316" s="33">
        <f>'Dados - Cliente'!D316</f>
        <v>0</v>
      </c>
      <c r="E316" s="33">
        <f>'Dados - Cliente'!E316</f>
        <v>0</v>
      </c>
      <c r="F316" s="33">
        <f>'Dados - Cliente'!F316</f>
        <v>0</v>
      </c>
      <c r="G316" s="33">
        <f>'Dados - Cliente'!G316</f>
        <v>0</v>
      </c>
      <c r="H316" s="33">
        <f>'Dados - Cliente'!H316</f>
        <v>0</v>
      </c>
      <c r="I316" s="75" t="s">
        <v>4313</v>
      </c>
      <c r="J316" s="52" t="s">
        <v>4314</v>
      </c>
      <c r="K316" s="52" t="s">
        <v>4314</v>
      </c>
      <c r="L316" s="33">
        <f>'Dados - Cliente'!I316</f>
        <v>0</v>
      </c>
      <c r="M316" s="33">
        <f>'Dados - Cliente'!K316</f>
        <v>0</v>
      </c>
      <c r="N316" s="33">
        <f>'Dados - Cliente'!L316</f>
        <v>0</v>
      </c>
      <c r="O316" s="33">
        <f>'Dados - Cliente'!M316</f>
        <v>0</v>
      </c>
      <c r="P316" s="33">
        <f>'Dados - Cliente'!N316</f>
        <v>0</v>
      </c>
      <c r="Q316" s="33">
        <f>'Dados - Cliente'!O316</f>
        <v>0</v>
      </c>
      <c r="R316" s="33">
        <f>'Dados - Cliente'!P316</f>
        <v>0</v>
      </c>
      <c r="S316" s="33">
        <f>'Dados - Cliente'!Q316</f>
        <v>0</v>
      </c>
      <c r="T316" s="33">
        <f>'Dados - Cliente'!R316</f>
        <v>0</v>
      </c>
      <c r="U316" s="34">
        <f>'Dados - Cliente'!S316</f>
        <v>0</v>
      </c>
      <c r="V316" s="34">
        <f>'Dados - Cliente'!T316</f>
        <v>0</v>
      </c>
      <c r="W316" s="34">
        <f>'Dados - Cliente'!U316</f>
        <v>0</v>
      </c>
      <c r="X316" s="34">
        <f>'Dados - Cliente'!V316</f>
        <v>0</v>
      </c>
      <c r="Y316" s="34">
        <f>'Dados - Cliente'!W316</f>
        <v>0</v>
      </c>
      <c r="Z316" s="34">
        <f>'Dados - Cliente'!X316</f>
        <v>0</v>
      </c>
      <c r="AA316" s="33" t="e">
        <f t="shared" si="25"/>
        <v>#N/A</v>
      </c>
      <c r="AB316" s="33">
        <f>'Dados - Cliente'!Y316</f>
        <v>0</v>
      </c>
      <c r="AC316" s="33">
        <f>'Dados - Cliente'!Z316</f>
        <v>0</v>
      </c>
      <c r="AD316" s="33">
        <f>'Dados - Cliente'!AA316</f>
        <v>0</v>
      </c>
      <c r="AE316" s="33">
        <f>'Dados - Cliente'!AB316</f>
        <v>0</v>
      </c>
      <c r="AF316" s="33">
        <f>'Dados - Cliente'!AC316</f>
        <v>0</v>
      </c>
      <c r="AG316" s="35">
        <f>'Dados - Cliente'!AD316</f>
        <v>0</v>
      </c>
      <c r="AH316" s="33" t="e">
        <f>INDEX('Dados - Placas'!$A:$A,MATCH('1'!AG316,'Dados - Placas'!$D:$D,0))</f>
        <v>#N/A</v>
      </c>
      <c r="AI316" s="35" t="e">
        <f>INDEX('Dados - Placas'!$E:$E,MATCH('1'!AG316,'Dados - Placas'!$D:$D,0))</f>
        <v>#N/A</v>
      </c>
      <c r="AJ316" s="34" t="e">
        <f>INDEX('Dados - Placas'!$F:$F,MATCH('1'!AG316,'Dados - Placas'!$D:$D,0))*AF316</f>
        <v>#N/A</v>
      </c>
      <c r="AK316" s="33">
        <f>'Dados - Cliente'!AE316</f>
        <v>0</v>
      </c>
      <c r="AL316" s="33">
        <f>'Dados - Cliente'!AF316</f>
        <v>0</v>
      </c>
      <c r="AM316" s="36" t="e">
        <f>INDEX('Dados - Inversores'!$A:$A,MATCH('1'!AL316,'Dados - Inversores'!$C:$C,0))</f>
        <v>#N/A</v>
      </c>
      <c r="AN316" s="33">
        <f>'Dados - Cliente'!AG316</f>
        <v>0</v>
      </c>
      <c r="AO316" s="33" t="e">
        <f>AA316*1.25/(0.22*SQRT(INDEX('Dados - Inversores'!AK:AK,MATCH('1'!AL316,'Dados - Inversores'!C:C,0))))</f>
        <v>#N/A</v>
      </c>
      <c r="AP316" s="34">
        <f>INDEX(Dados!$E$2:$E$33,COUNTIF(Dados!$E$2:$E$33,"&lt;="&amp;AN316*1.25/(INDEX('Dados - Inversores'!AL:AL,MATCH('1'!AL316,'Dados - Inversores'!C:C,0))*SQRT(INDEX('Dados - Inversores'!AK:AK,MATCH('1'!AL316,'Dados - Inversores'!C:C,0)))))+1)</f>
        <v>2</v>
      </c>
      <c r="AQ316" s="33" t="s">
        <v>59</v>
      </c>
      <c r="AR316" s="33" t="str">
        <f t="shared" si="26"/>
        <v>Micro</v>
      </c>
      <c r="AS316" s="33">
        <f>'Dados - Cliente'!AH316</f>
        <v>0</v>
      </c>
      <c r="AT316" s="33">
        <f>'Dados - Cliente'!AI316</f>
        <v>0</v>
      </c>
      <c r="AU316" s="33" t="e">
        <f>INDEX('Dados - Placas'!$N:$N,MATCH('1'!AG316,'Dados - Placas'!$D:$D,0))-1</f>
        <v>#N/A</v>
      </c>
      <c r="AV316" s="33" t="e">
        <f>INDEX('Dados - Placas'!$O:$O,MATCH('1'!AG316,'Dados - Placas'!$D:$D,0))</f>
        <v>#N/A</v>
      </c>
      <c r="AW316" s="33" t="e">
        <f>INDEX('Dados - Inversores'!AM:AM,MATCH('1'!AL316,'Dados - Inversores'!$C:$C,0))-1</f>
        <v>#N/A</v>
      </c>
      <c r="AX316" s="33" t="e">
        <f>INDEX('Dados - Inversores'!AN:AN,MATCH('1'!AL316,'Dados - Inversores'!$C:$C,0))-1</f>
        <v>#N/A</v>
      </c>
      <c r="AY316" s="33" t="e">
        <f>MATCH('1'!H316,Dados!$D$89:$D$167,0)+1</f>
        <v>#N/A</v>
      </c>
      <c r="AZ316" s="33" t="e">
        <f>MATCH('1'!N316,'Dados - Solicitação de acesso'!$N$2:$N$8,0)</f>
        <v>#N/A</v>
      </c>
      <c r="BA316" s="33" t="e">
        <f>MATCH('1'!T316,'Dados - Solicitação de acesso'!$T$2:$T$20,0)</f>
        <v>#N/A</v>
      </c>
    </row>
    <row r="317" spans="1:53" x14ac:dyDescent="0.35">
      <c r="A317" s="33">
        <f>'Dados - Cliente'!A317</f>
        <v>0</v>
      </c>
      <c r="B317" s="33">
        <f>'Dados - Cliente'!B317</f>
        <v>0</v>
      </c>
      <c r="C317" s="33">
        <f>'Dados - Cliente'!C317</f>
        <v>0</v>
      </c>
      <c r="D317" s="33">
        <f>'Dados - Cliente'!D317</f>
        <v>0</v>
      </c>
      <c r="E317" s="33">
        <f>'Dados - Cliente'!E317</f>
        <v>0</v>
      </c>
      <c r="F317" s="33">
        <f>'Dados - Cliente'!F317</f>
        <v>0</v>
      </c>
      <c r="G317" s="33">
        <f>'Dados - Cliente'!G317</f>
        <v>0</v>
      </c>
      <c r="H317" s="33">
        <f>'Dados - Cliente'!H317</f>
        <v>0</v>
      </c>
      <c r="I317" s="75" t="s">
        <v>4313</v>
      </c>
      <c r="J317" s="52" t="s">
        <v>4314</v>
      </c>
      <c r="K317" s="52" t="s">
        <v>4314</v>
      </c>
      <c r="L317" s="33">
        <f>'Dados - Cliente'!I317</f>
        <v>0</v>
      </c>
      <c r="M317" s="33">
        <f>'Dados - Cliente'!K317</f>
        <v>0</v>
      </c>
      <c r="N317" s="33">
        <f>'Dados - Cliente'!L317</f>
        <v>0</v>
      </c>
      <c r="O317" s="33">
        <f>'Dados - Cliente'!M317</f>
        <v>0</v>
      </c>
      <c r="P317" s="33">
        <f>'Dados - Cliente'!N317</f>
        <v>0</v>
      </c>
      <c r="Q317" s="33">
        <f>'Dados - Cliente'!O317</f>
        <v>0</v>
      </c>
      <c r="R317" s="33">
        <f>'Dados - Cliente'!P317</f>
        <v>0</v>
      </c>
      <c r="S317" s="33">
        <f>'Dados - Cliente'!Q317</f>
        <v>0</v>
      </c>
      <c r="T317" s="33">
        <f>'Dados - Cliente'!R317</f>
        <v>0</v>
      </c>
      <c r="U317" s="34">
        <f>'Dados - Cliente'!S317</f>
        <v>0</v>
      </c>
      <c r="V317" s="34">
        <f>'Dados - Cliente'!T317</f>
        <v>0</v>
      </c>
      <c r="W317" s="34">
        <f>'Dados - Cliente'!U317</f>
        <v>0</v>
      </c>
      <c r="X317" s="34">
        <f>'Dados - Cliente'!V317</f>
        <v>0</v>
      </c>
      <c r="Y317" s="34">
        <f>'Dados - Cliente'!W317</f>
        <v>0</v>
      </c>
      <c r="Z317" s="34">
        <f>'Dados - Cliente'!X317</f>
        <v>0</v>
      </c>
      <c r="AA317" s="33" t="e">
        <f t="shared" si="25"/>
        <v>#N/A</v>
      </c>
      <c r="AB317" s="33">
        <f>'Dados - Cliente'!Y317</f>
        <v>0</v>
      </c>
      <c r="AC317" s="33">
        <f>'Dados - Cliente'!Z317</f>
        <v>0</v>
      </c>
      <c r="AD317" s="33">
        <f>'Dados - Cliente'!AA317</f>
        <v>0</v>
      </c>
      <c r="AE317" s="33">
        <f>'Dados - Cliente'!AB317</f>
        <v>0</v>
      </c>
      <c r="AF317" s="33">
        <f>'Dados - Cliente'!AC317</f>
        <v>0</v>
      </c>
      <c r="AG317" s="35">
        <f>'Dados - Cliente'!AD317</f>
        <v>0</v>
      </c>
      <c r="AH317" s="33" t="e">
        <f>INDEX('Dados - Placas'!$A:$A,MATCH('1'!AG317,'Dados - Placas'!$D:$D,0))</f>
        <v>#N/A</v>
      </c>
      <c r="AI317" s="35" t="e">
        <f>INDEX('Dados - Placas'!$E:$E,MATCH('1'!AG317,'Dados - Placas'!$D:$D,0))</f>
        <v>#N/A</v>
      </c>
      <c r="AJ317" s="34" t="e">
        <f>INDEX('Dados - Placas'!$F:$F,MATCH('1'!AG317,'Dados - Placas'!$D:$D,0))*AF317</f>
        <v>#N/A</v>
      </c>
      <c r="AK317" s="33">
        <f>'Dados - Cliente'!AE317</f>
        <v>0</v>
      </c>
      <c r="AL317" s="33">
        <f>'Dados - Cliente'!AF317</f>
        <v>0</v>
      </c>
      <c r="AM317" s="36" t="e">
        <f>INDEX('Dados - Inversores'!$A:$A,MATCH('1'!AL317,'Dados - Inversores'!$C:$C,0))</f>
        <v>#N/A</v>
      </c>
      <c r="AN317" s="33">
        <f>'Dados - Cliente'!AG317</f>
        <v>0</v>
      </c>
      <c r="AO317" s="33" t="e">
        <f>AA317*1.25/(0.22*SQRT(INDEX('Dados - Inversores'!AK:AK,MATCH('1'!AL317,'Dados - Inversores'!C:C,0))))</f>
        <v>#N/A</v>
      </c>
      <c r="AP317" s="34">
        <f>INDEX(Dados!$E$2:$E$33,COUNTIF(Dados!$E$2:$E$33,"&lt;="&amp;AN317*1.25/(INDEX('Dados - Inversores'!AL:AL,MATCH('1'!AL317,'Dados - Inversores'!C:C,0))*SQRT(INDEX('Dados - Inversores'!AK:AK,MATCH('1'!AL317,'Dados - Inversores'!C:C,0)))))+1)</f>
        <v>2</v>
      </c>
      <c r="AQ317" s="33" t="s">
        <v>59</v>
      </c>
      <c r="AR317" s="33" t="str">
        <f t="shared" si="26"/>
        <v>Micro</v>
      </c>
      <c r="AS317" s="33">
        <f>'Dados - Cliente'!AH317</f>
        <v>0</v>
      </c>
      <c r="AT317" s="33">
        <f>'Dados - Cliente'!AI317</f>
        <v>0</v>
      </c>
      <c r="AU317" s="33" t="e">
        <f>INDEX('Dados - Placas'!$N:$N,MATCH('1'!AG317,'Dados - Placas'!$D:$D,0))-1</f>
        <v>#N/A</v>
      </c>
      <c r="AV317" s="33" t="e">
        <f>INDEX('Dados - Placas'!$O:$O,MATCH('1'!AG317,'Dados - Placas'!$D:$D,0))</f>
        <v>#N/A</v>
      </c>
      <c r="AW317" s="33" t="e">
        <f>INDEX('Dados - Inversores'!AM:AM,MATCH('1'!AL317,'Dados - Inversores'!$C:$C,0))-1</f>
        <v>#N/A</v>
      </c>
      <c r="AX317" s="33" t="e">
        <f>INDEX('Dados - Inversores'!AN:AN,MATCH('1'!AL317,'Dados - Inversores'!$C:$C,0))-1</f>
        <v>#N/A</v>
      </c>
      <c r="AY317" s="33" t="e">
        <f>MATCH('1'!H317,Dados!$D$89:$D$167,0)+1</f>
        <v>#N/A</v>
      </c>
      <c r="AZ317" s="33" t="e">
        <f>MATCH('1'!N317,'Dados - Solicitação de acesso'!$N$2:$N$8,0)</f>
        <v>#N/A</v>
      </c>
      <c r="BA317" s="33" t="e">
        <f>MATCH('1'!T317,'Dados - Solicitação de acesso'!$T$2:$T$20,0)</f>
        <v>#N/A</v>
      </c>
    </row>
    <row r="318" spans="1:53" x14ac:dyDescent="0.35">
      <c r="A318" s="33">
        <f>'Dados - Cliente'!A318</f>
        <v>0</v>
      </c>
      <c r="B318" s="33">
        <f>'Dados - Cliente'!B318</f>
        <v>0</v>
      </c>
      <c r="C318" s="33">
        <f>'Dados - Cliente'!C318</f>
        <v>0</v>
      </c>
      <c r="D318" s="33">
        <f>'Dados - Cliente'!D318</f>
        <v>0</v>
      </c>
      <c r="E318" s="33">
        <f>'Dados - Cliente'!E318</f>
        <v>0</v>
      </c>
      <c r="F318" s="33">
        <f>'Dados - Cliente'!F318</f>
        <v>0</v>
      </c>
      <c r="G318" s="33">
        <f>'Dados - Cliente'!G318</f>
        <v>0</v>
      </c>
      <c r="H318" s="33">
        <f>'Dados - Cliente'!H318</f>
        <v>0</v>
      </c>
      <c r="I318" s="75" t="s">
        <v>4313</v>
      </c>
      <c r="J318" s="52" t="s">
        <v>4314</v>
      </c>
      <c r="K318" s="52" t="s">
        <v>4314</v>
      </c>
      <c r="L318" s="33">
        <f>'Dados - Cliente'!I318</f>
        <v>0</v>
      </c>
      <c r="M318" s="33">
        <f>'Dados - Cliente'!K318</f>
        <v>0</v>
      </c>
      <c r="N318" s="33">
        <f>'Dados - Cliente'!L318</f>
        <v>0</v>
      </c>
      <c r="O318" s="33">
        <f>'Dados - Cliente'!M318</f>
        <v>0</v>
      </c>
      <c r="P318" s="33">
        <f>'Dados - Cliente'!N318</f>
        <v>0</v>
      </c>
      <c r="Q318" s="33">
        <f>'Dados - Cliente'!O318</f>
        <v>0</v>
      </c>
      <c r="R318" s="33">
        <f>'Dados - Cliente'!P318</f>
        <v>0</v>
      </c>
      <c r="S318" s="33">
        <f>'Dados - Cliente'!Q318</f>
        <v>0</v>
      </c>
      <c r="T318" s="33">
        <f>'Dados - Cliente'!R318</f>
        <v>0</v>
      </c>
      <c r="U318" s="34">
        <f>'Dados - Cliente'!S318</f>
        <v>0</v>
      </c>
      <c r="V318" s="34">
        <f>'Dados - Cliente'!T318</f>
        <v>0</v>
      </c>
      <c r="W318" s="34">
        <f>'Dados - Cliente'!U318</f>
        <v>0</v>
      </c>
      <c r="X318" s="34">
        <f>'Dados - Cliente'!V318</f>
        <v>0</v>
      </c>
      <c r="Y318" s="34">
        <f>'Dados - Cliente'!W318</f>
        <v>0</v>
      </c>
      <c r="Z318" s="34">
        <f>'Dados - Cliente'!X318</f>
        <v>0</v>
      </c>
      <c r="AA318" s="33" t="e">
        <f t="shared" si="25"/>
        <v>#N/A</v>
      </c>
      <c r="AB318" s="33">
        <f>'Dados - Cliente'!Y318</f>
        <v>0</v>
      </c>
      <c r="AC318" s="33">
        <f>'Dados - Cliente'!Z318</f>
        <v>0</v>
      </c>
      <c r="AD318" s="33">
        <f>'Dados - Cliente'!AA318</f>
        <v>0</v>
      </c>
      <c r="AE318" s="33">
        <f>'Dados - Cliente'!AB318</f>
        <v>0</v>
      </c>
      <c r="AF318" s="33">
        <f>'Dados - Cliente'!AC318</f>
        <v>0</v>
      </c>
      <c r="AG318" s="35">
        <f>'Dados - Cliente'!AD318</f>
        <v>0</v>
      </c>
      <c r="AH318" s="33" t="e">
        <f>INDEX('Dados - Placas'!$A:$A,MATCH('1'!AG318,'Dados - Placas'!$D:$D,0))</f>
        <v>#N/A</v>
      </c>
      <c r="AI318" s="35" t="e">
        <f>INDEX('Dados - Placas'!$E:$E,MATCH('1'!AG318,'Dados - Placas'!$D:$D,0))</f>
        <v>#N/A</v>
      </c>
      <c r="AJ318" s="34" t="e">
        <f>INDEX('Dados - Placas'!$F:$F,MATCH('1'!AG318,'Dados - Placas'!$D:$D,0))*AF318</f>
        <v>#N/A</v>
      </c>
      <c r="AK318" s="33">
        <f>'Dados - Cliente'!AE318</f>
        <v>0</v>
      </c>
      <c r="AL318" s="33">
        <f>'Dados - Cliente'!AF318</f>
        <v>0</v>
      </c>
      <c r="AM318" s="36" t="e">
        <f>INDEX('Dados - Inversores'!$A:$A,MATCH('1'!AL318,'Dados - Inversores'!$C:$C,0))</f>
        <v>#N/A</v>
      </c>
      <c r="AN318" s="33">
        <f>'Dados - Cliente'!AG318</f>
        <v>0</v>
      </c>
      <c r="AO318" s="33" t="e">
        <f>AA318*1.25/(0.22*SQRT(INDEX('Dados - Inversores'!AK:AK,MATCH('1'!AL318,'Dados - Inversores'!C:C,0))))</f>
        <v>#N/A</v>
      </c>
      <c r="AP318" s="34">
        <f>INDEX(Dados!$E$2:$E$33,COUNTIF(Dados!$E$2:$E$33,"&lt;="&amp;AN318*1.25/(INDEX('Dados - Inversores'!AL:AL,MATCH('1'!AL318,'Dados - Inversores'!C:C,0))*SQRT(INDEX('Dados - Inversores'!AK:AK,MATCH('1'!AL318,'Dados - Inversores'!C:C,0)))))+1)</f>
        <v>2</v>
      </c>
      <c r="AQ318" s="33" t="s">
        <v>59</v>
      </c>
      <c r="AR318" s="33" t="str">
        <f t="shared" si="26"/>
        <v>Micro</v>
      </c>
      <c r="AS318" s="33">
        <f>'Dados - Cliente'!AH318</f>
        <v>0</v>
      </c>
      <c r="AT318" s="33">
        <f>'Dados - Cliente'!AI318</f>
        <v>0</v>
      </c>
      <c r="AU318" s="33" t="e">
        <f>INDEX('Dados - Placas'!$N:$N,MATCH('1'!AG318,'Dados - Placas'!$D:$D,0))-1</f>
        <v>#N/A</v>
      </c>
      <c r="AV318" s="33" t="e">
        <f>INDEX('Dados - Placas'!$O:$O,MATCH('1'!AG318,'Dados - Placas'!$D:$D,0))</f>
        <v>#N/A</v>
      </c>
      <c r="AW318" s="33" t="e">
        <f>INDEX('Dados - Inversores'!AM:AM,MATCH('1'!AL318,'Dados - Inversores'!$C:$C,0))-1</f>
        <v>#N/A</v>
      </c>
      <c r="AX318" s="33" t="e">
        <f>INDEX('Dados - Inversores'!AN:AN,MATCH('1'!AL318,'Dados - Inversores'!$C:$C,0))-1</f>
        <v>#N/A</v>
      </c>
      <c r="AY318" s="33" t="e">
        <f>MATCH('1'!H318,Dados!$D$89:$D$167,0)+1</f>
        <v>#N/A</v>
      </c>
      <c r="AZ318" s="33" t="e">
        <f>MATCH('1'!N318,'Dados - Solicitação de acesso'!$N$2:$N$8,0)</f>
        <v>#N/A</v>
      </c>
      <c r="BA318" s="33" t="e">
        <f>MATCH('1'!T318,'Dados - Solicitação de acesso'!$T$2:$T$20,0)</f>
        <v>#N/A</v>
      </c>
    </row>
    <row r="319" spans="1:53" x14ac:dyDescent="0.35">
      <c r="A319" s="33">
        <f>'Dados - Cliente'!A319</f>
        <v>0</v>
      </c>
      <c r="B319" s="33">
        <f>'Dados - Cliente'!B319</f>
        <v>0</v>
      </c>
      <c r="C319" s="33">
        <f>'Dados - Cliente'!C319</f>
        <v>0</v>
      </c>
      <c r="D319" s="33">
        <f>'Dados - Cliente'!D319</f>
        <v>0</v>
      </c>
      <c r="E319" s="33">
        <f>'Dados - Cliente'!E319</f>
        <v>0</v>
      </c>
      <c r="F319" s="33">
        <f>'Dados - Cliente'!F319</f>
        <v>0</v>
      </c>
      <c r="G319" s="33">
        <f>'Dados - Cliente'!G319</f>
        <v>0</v>
      </c>
      <c r="H319" s="33">
        <f>'Dados - Cliente'!H319</f>
        <v>0</v>
      </c>
      <c r="I319" s="75" t="s">
        <v>4313</v>
      </c>
      <c r="J319" s="52" t="s">
        <v>4314</v>
      </c>
      <c r="K319" s="52" t="s">
        <v>4314</v>
      </c>
      <c r="L319" s="33">
        <f>'Dados - Cliente'!I319</f>
        <v>0</v>
      </c>
      <c r="M319" s="33">
        <f>'Dados - Cliente'!K319</f>
        <v>0</v>
      </c>
      <c r="N319" s="33">
        <f>'Dados - Cliente'!L319</f>
        <v>0</v>
      </c>
      <c r="O319" s="33">
        <f>'Dados - Cliente'!M319</f>
        <v>0</v>
      </c>
      <c r="P319" s="33">
        <f>'Dados - Cliente'!N319</f>
        <v>0</v>
      </c>
      <c r="Q319" s="33">
        <f>'Dados - Cliente'!O319</f>
        <v>0</v>
      </c>
      <c r="R319" s="33">
        <f>'Dados - Cliente'!P319</f>
        <v>0</v>
      </c>
      <c r="S319" s="33">
        <f>'Dados - Cliente'!Q319</f>
        <v>0</v>
      </c>
      <c r="T319" s="33">
        <f>'Dados - Cliente'!R319</f>
        <v>0</v>
      </c>
      <c r="U319" s="34">
        <f>'Dados - Cliente'!S319</f>
        <v>0</v>
      </c>
      <c r="V319" s="34">
        <f>'Dados - Cliente'!T319</f>
        <v>0</v>
      </c>
      <c r="W319" s="34">
        <f>'Dados - Cliente'!U319</f>
        <v>0</v>
      </c>
      <c r="X319" s="34">
        <f>'Dados - Cliente'!V319</f>
        <v>0</v>
      </c>
      <c r="Y319" s="34">
        <f>'Dados - Cliente'!W319</f>
        <v>0</v>
      </c>
      <c r="Z319" s="34">
        <f>'Dados - Cliente'!X319</f>
        <v>0</v>
      </c>
      <c r="AA319" s="33" t="e">
        <f t="shared" si="25"/>
        <v>#N/A</v>
      </c>
      <c r="AB319" s="33">
        <f>'Dados - Cliente'!Y319</f>
        <v>0</v>
      </c>
      <c r="AC319" s="33">
        <f>'Dados - Cliente'!Z319</f>
        <v>0</v>
      </c>
      <c r="AD319" s="33">
        <f>'Dados - Cliente'!AA319</f>
        <v>0</v>
      </c>
      <c r="AE319" s="33">
        <f>'Dados - Cliente'!AB319</f>
        <v>0</v>
      </c>
      <c r="AF319" s="33">
        <f>'Dados - Cliente'!AC319</f>
        <v>0</v>
      </c>
      <c r="AG319" s="35">
        <f>'Dados - Cliente'!AD319</f>
        <v>0</v>
      </c>
      <c r="AH319" s="33" t="e">
        <f>INDEX('Dados - Placas'!$A:$A,MATCH('1'!AG319,'Dados - Placas'!$D:$D,0))</f>
        <v>#N/A</v>
      </c>
      <c r="AI319" s="35" t="e">
        <f>INDEX('Dados - Placas'!$E:$E,MATCH('1'!AG319,'Dados - Placas'!$D:$D,0))</f>
        <v>#N/A</v>
      </c>
      <c r="AJ319" s="34" t="e">
        <f>INDEX('Dados - Placas'!$F:$F,MATCH('1'!AG319,'Dados - Placas'!$D:$D,0))*AF319</f>
        <v>#N/A</v>
      </c>
      <c r="AK319" s="33">
        <f>'Dados - Cliente'!AE319</f>
        <v>0</v>
      </c>
      <c r="AL319" s="33">
        <f>'Dados - Cliente'!AF319</f>
        <v>0</v>
      </c>
      <c r="AM319" s="36" t="e">
        <f>INDEX('Dados - Inversores'!$A:$A,MATCH('1'!AL319,'Dados - Inversores'!$C:$C,0))</f>
        <v>#N/A</v>
      </c>
      <c r="AN319" s="33">
        <f>'Dados - Cliente'!AG319</f>
        <v>0</v>
      </c>
      <c r="AO319" s="33" t="e">
        <f>AA319*1.25/(0.22*SQRT(INDEX('Dados - Inversores'!AK:AK,MATCH('1'!AL319,'Dados - Inversores'!C:C,0))))</f>
        <v>#N/A</v>
      </c>
      <c r="AP319" s="34">
        <f>INDEX(Dados!$E$2:$E$33,COUNTIF(Dados!$E$2:$E$33,"&lt;="&amp;AN319*1.25/(INDEX('Dados - Inversores'!AL:AL,MATCH('1'!AL319,'Dados - Inversores'!C:C,0))*SQRT(INDEX('Dados - Inversores'!AK:AK,MATCH('1'!AL319,'Dados - Inversores'!C:C,0)))))+1)</f>
        <v>2</v>
      </c>
      <c r="AQ319" s="33" t="s">
        <v>59</v>
      </c>
      <c r="AR319" s="33" t="str">
        <f t="shared" si="26"/>
        <v>Micro</v>
      </c>
      <c r="AS319" s="33">
        <f>'Dados - Cliente'!AH319</f>
        <v>0</v>
      </c>
      <c r="AT319" s="33">
        <f>'Dados - Cliente'!AI319</f>
        <v>0</v>
      </c>
      <c r="AU319" s="33" t="e">
        <f>INDEX('Dados - Placas'!$N:$N,MATCH('1'!AG319,'Dados - Placas'!$D:$D,0))-1</f>
        <v>#N/A</v>
      </c>
      <c r="AV319" s="33" t="e">
        <f>INDEX('Dados - Placas'!$O:$O,MATCH('1'!AG319,'Dados - Placas'!$D:$D,0))</f>
        <v>#N/A</v>
      </c>
      <c r="AW319" s="33" t="e">
        <f>INDEX('Dados - Inversores'!AM:AM,MATCH('1'!AL319,'Dados - Inversores'!$C:$C,0))-1</f>
        <v>#N/A</v>
      </c>
      <c r="AX319" s="33" t="e">
        <f>INDEX('Dados - Inversores'!AN:AN,MATCH('1'!AL319,'Dados - Inversores'!$C:$C,0))-1</f>
        <v>#N/A</v>
      </c>
      <c r="AY319" s="33" t="e">
        <f>MATCH('1'!H319,Dados!$D$89:$D$167,0)+1</f>
        <v>#N/A</v>
      </c>
      <c r="AZ319" s="33" t="e">
        <f>MATCH('1'!N319,'Dados - Solicitação de acesso'!$N$2:$N$8,0)</f>
        <v>#N/A</v>
      </c>
      <c r="BA319" s="33" t="e">
        <f>MATCH('1'!T319,'Dados - Solicitação de acesso'!$T$2:$T$20,0)</f>
        <v>#N/A</v>
      </c>
    </row>
    <row r="320" spans="1:53" x14ac:dyDescent="0.35">
      <c r="A320" s="33">
        <f>'Dados - Cliente'!A320</f>
        <v>0</v>
      </c>
      <c r="B320" s="33">
        <f>'Dados - Cliente'!B320</f>
        <v>0</v>
      </c>
      <c r="C320" s="33">
        <f>'Dados - Cliente'!C320</f>
        <v>0</v>
      </c>
      <c r="D320" s="33">
        <f>'Dados - Cliente'!D320</f>
        <v>0</v>
      </c>
      <c r="E320" s="33">
        <f>'Dados - Cliente'!E320</f>
        <v>0</v>
      </c>
      <c r="F320" s="33">
        <f>'Dados - Cliente'!F320</f>
        <v>0</v>
      </c>
      <c r="G320" s="33">
        <f>'Dados - Cliente'!G320</f>
        <v>0</v>
      </c>
      <c r="H320" s="33">
        <f>'Dados - Cliente'!H320</f>
        <v>0</v>
      </c>
      <c r="I320" s="75" t="s">
        <v>4313</v>
      </c>
      <c r="J320" s="52" t="s">
        <v>4314</v>
      </c>
      <c r="K320" s="52" t="s">
        <v>4314</v>
      </c>
      <c r="L320" s="33">
        <f>'Dados - Cliente'!I320</f>
        <v>0</v>
      </c>
      <c r="M320" s="33">
        <f>'Dados - Cliente'!K320</f>
        <v>0</v>
      </c>
      <c r="N320" s="33">
        <f>'Dados - Cliente'!L320</f>
        <v>0</v>
      </c>
      <c r="O320" s="33">
        <f>'Dados - Cliente'!M320</f>
        <v>0</v>
      </c>
      <c r="P320" s="33">
        <f>'Dados - Cliente'!N320</f>
        <v>0</v>
      </c>
      <c r="Q320" s="33">
        <f>'Dados - Cliente'!O320</f>
        <v>0</v>
      </c>
      <c r="R320" s="33">
        <f>'Dados - Cliente'!P320</f>
        <v>0</v>
      </c>
      <c r="S320" s="33">
        <f>'Dados - Cliente'!Q320</f>
        <v>0</v>
      </c>
      <c r="T320" s="33">
        <f>'Dados - Cliente'!R320</f>
        <v>0</v>
      </c>
      <c r="U320" s="34">
        <f>'Dados - Cliente'!S320</f>
        <v>0</v>
      </c>
      <c r="V320" s="34">
        <f>'Dados - Cliente'!T320</f>
        <v>0</v>
      </c>
      <c r="W320" s="34">
        <f>'Dados - Cliente'!U320</f>
        <v>0</v>
      </c>
      <c r="X320" s="34">
        <f>'Dados - Cliente'!V320</f>
        <v>0</v>
      </c>
      <c r="Y320" s="34">
        <f>'Dados - Cliente'!W320</f>
        <v>0</v>
      </c>
      <c r="Z320" s="34">
        <f>'Dados - Cliente'!X320</f>
        <v>0</v>
      </c>
      <c r="AA320" s="33" t="e">
        <f t="shared" si="25"/>
        <v>#N/A</v>
      </c>
      <c r="AB320" s="33">
        <f>'Dados - Cliente'!Y320</f>
        <v>0</v>
      </c>
      <c r="AC320" s="33">
        <f>'Dados - Cliente'!Z320</f>
        <v>0</v>
      </c>
      <c r="AD320" s="33">
        <f>'Dados - Cliente'!AA320</f>
        <v>0</v>
      </c>
      <c r="AE320" s="33">
        <f>'Dados - Cliente'!AB320</f>
        <v>0</v>
      </c>
      <c r="AF320" s="33">
        <f>'Dados - Cliente'!AC320</f>
        <v>0</v>
      </c>
      <c r="AG320" s="35">
        <f>'Dados - Cliente'!AD320</f>
        <v>0</v>
      </c>
      <c r="AH320" s="33" t="e">
        <f>INDEX('Dados - Placas'!$A:$A,MATCH('1'!AG320,'Dados - Placas'!$D:$D,0))</f>
        <v>#N/A</v>
      </c>
      <c r="AI320" s="35" t="e">
        <f>INDEX('Dados - Placas'!$E:$E,MATCH('1'!AG320,'Dados - Placas'!$D:$D,0))</f>
        <v>#N/A</v>
      </c>
      <c r="AJ320" s="34" t="e">
        <f>INDEX('Dados - Placas'!$F:$F,MATCH('1'!AG320,'Dados - Placas'!$D:$D,0))*AF320</f>
        <v>#N/A</v>
      </c>
      <c r="AK320" s="33">
        <f>'Dados - Cliente'!AE320</f>
        <v>0</v>
      </c>
      <c r="AL320" s="33">
        <f>'Dados - Cliente'!AF320</f>
        <v>0</v>
      </c>
      <c r="AM320" s="36" t="e">
        <f>INDEX('Dados - Inversores'!$A:$A,MATCH('1'!AL320,'Dados - Inversores'!$C:$C,0))</f>
        <v>#N/A</v>
      </c>
      <c r="AN320" s="33">
        <f>'Dados - Cliente'!AG320</f>
        <v>0</v>
      </c>
      <c r="AO320" s="33" t="e">
        <f>AA320*1.25/(0.22*SQRT(INDEX('Dados - Inversores'!AK:AK,MATCH('1'!AL320,'Dados - Inversores'!C:C,0))))</f>
        <v>#N/A</v>
      </c>
      <c r="AP320" s="34">
        <f>INDEX(Dados!$E$2:$E$33,COUNTIF(Dados!$E$2:$E$33,"&lt;="&amp;AN320*1.25/(INDEX('Dados - Inversores'!AL:AL,MATCH('1'!AL320,'Dados - Inversores'!C:C,0))*SQRT(INDEX('Dados - Inversores'!AK:AK,MATCH('1'!AL320,'Dados - Inversores'!C:C,0)))))+1)</f>
        <v>2</v>
      </c>
      <c r="AQ320" s="33" t="s">
        <v>59</v>
      </c>
      <c r="AR320" s="33" t="str">
        <f t="shared" si="26"/>
        <v>Micro</v>
      </c>
      <c r="AS320" s="33">
        <f>'Dados - Cliente'!AH320</f>
        <v>0</v>
      </c>
      <c r="AT320" s="33">
        <f>'Dados - Cliente'!AI320</f>
        <v>0</v>
      </c>
      <c r="AU320" s="33" t="e">
        <f>INDEX('Dados - Placas'!$N:$N,MATCH('1'!AG320,'Dados - Placas'!$D:$D,0))-1</f>
        <v>#N/A</v>
      </c>
      <c r="AV320" s="33" t="e">
        <f>INDEX('Dados - Placas'!$O:$O,MATCH('1'!AG320,'Dados - Placas'!$D:$D,0))</f>
        <v>#N/A</v>
      </c>
      <c r="AW320" s="33" t="e">
        <f>INDEX('Dados - Inversores'!AM:AM,MATCH('1'!AL320,'Dados - Inversores'!$C:$C,0))-1</f>
        <v>#N/A</v>
      </c>
      <c r="AX320" s="33" t="e">
        <f>INDEX('Dados - Inversores'!AN:AN,MATCH('1'!AL320,'Dados - Inversores'!$C:$C,0))-1</f>
        <v>#N/A</v>
      </c>
      <c r="AY320" s="33" t="e">
        <f>MATCH('1'!H320,Dados!$D$89:$D$167,0)+1</f>
        <v>#N/A</v>
      </c>
      <c r="AZ320" s="33" t="e">
        <f>MATCH('1'!N320,'Dados - Solicitação de acesso'!$N$2:$N$8,0)</f>
        <v>#N/A</v>
      </c>
      <c r="BA320" s="33" t="e">
        <f>MATCH('1'!T320,'Dados - Solicitação de acesso'!$T$2:$T$20,0)</f>
        <v>#N/A</v>
      </c>
    </row>
    <row r="321" spans="1:53" x14ac:dyDescent="0.35">
      <c r="A321" s="33">
        <f>'Dados - Cliente'!A321</f>
        <v>0</v>
      </c>
      <c r="B321" s="33">
        <f>'Dados - Cliente'!B321</f>
        <v>0</v>
      </c>
      <c r="C321" s="33">
        <f>'Dados - Cliente'!C321</f>
        <v>0</v>
      </c>
      <c r="D321" s="33">
        <f>'Dados - Cliente'!D321</f>
        <v>0</v>
      </c>
      <c r="E321" s="33">
        <f>'Dados - Cliente'!E321</f>
        <v>0</v>
      </c>
      <c r="F321" s="33">
        <f>'Dados - Cliente'!F321</f>
        <v>0</v>
      </c>
      <c r="G321" s="33">
        <f>'Dados - Cliente'!G321</f>
        <v>0</v>
      </c>
      <c r="H321" s="33">
        <f>'Dados - Cliente'!H321</f>
        <v>0</v>
      </c>
      <c r="I321" s="75" t="s">
        <v>4313</v>
      </c>
      <c r="J321" s="52" t="s">
        <v>4314</v>
      </c>
      <c r="K321" s="52" t="s">
        <v>4314</v>
      </c>
      <c r="L321" s="33">
        <f>'Dados - Cliente'!I321</f>
        <v>0</v>
      </c>
      <c r="M321" s="33">
        <f>'Dados - Cliente'!K321</f>
        <v>0</v>
      </c>
      <c r="N321" s="33">
        <f>'Dados - Cliente'!L321</f>
        <v>0</v>
      </c>
      <c r="O321" s="33">
        <f>'Dados - Cliente'!M321</f>
        <v>0</v>
      </c>
      <c r="P321" s="33">
        <f>'Dados - Cliente'!N321</f>
        <v>0</v>
      </c>
      <c r="Q321" s="33">
        <f>'Dados - Cliente'!O321</f>
        <v>0</v>
      </c>
      <c r="R321" s="33">
        <f>'Dados - Cliente'!P321</f>
        <v>0</v>
      </c>
      <c r="S321" s="33">
        <f>'Dados - Cliente'!Q321</f>
        <v>0</v>
      </c>
      <c r="T321" s="33">
        <f>'Dados - Cliente'!R321</f>
        <v>0</v>
      </c>
      <c r="U321" s="34">
        <f>'Dados - Cliente'!S321</f>
        <v>0</v>
      </c>
      <c r="V321" s="34">
        <f>'Dados - Cliente'!T321</f>
        <v>0</v>
      </c>
      <c r="W321" s="34">
        <f>'Dados - Cliente'!U321</f>
        <v>0</v>
      </c>
      <c r="X321" s="34">
        <f>'Dados - Cliente'!V321</f>
        <v>0</v>
      </c>
      <c r="Y321" s="34">
        <f>'Dados - Cliente'!W321</f>
        <v>0</v>
      </c>
      <c r="Z321" s="34">
        <f>'Dados - Cliente'!X321</f>
        <v>0</v>
      </c>
      <c r="AA321" s="33" t="e">
        <f t="shared" si="25"/>
        <v>#N/A</v>
      </c>
      <c r="AB321" s="33">
        <f>'Dados - Cliente'!Y321</f>
        <v>0</v>
      </c>
      <c r="AC321" s="33">
        <f>'Dados - Cliente'!Z321</f>
        <v>0</v>
      </c>
      <c r="AD321" s="33">
        <f>'Dados - Cliente'!AA321</f>
        <v>0</v>
      </c>
      <c r="AE321" s="33">
        <f>'Dados - Cliente'!AB321</f>
        <v>0</v>
      </c>
      <c r="AF321" s="33">
        <f>'Dados - Cliente'!AC321</f>
        <v>0</v>
      </c>
      <c r="AG321" s="35">
        <f>'Dados - Cliente'!AD321</f>
        <v>0</v>
      </c>
      <c r="AH321" s="33" t="e">
        <f>INDEX('Dados - Placas'!$A:$A,MATCH('1'!AG321,'Dados - Placas'!$D:$D,0))</f>
        <v>#N/A</v>
      </c>
      <c r="AI321" s="35" t="e">
        <f>INDEX('Dados - Placas'!$E:$E,MATCH('1'!AG321,'Dados - Placas'!$D:$D,0))</f>
        <v>#N/A</v>
      </c>
      <c r="AJ321" s="34" t="e">
        <f>INDEX('Dados - Placas'!$F:$F,MATCH('1'!AG321,'Dados - Placas'!$D:$D,0))*AF321</f>
        <v>#N/A</v>
      </c>
      <c r="AK321" s="33">
        <f>'Dados - Cliente'!AE321</f>
        <v>0</v>
      </c>
      <c r="AL321" s="33">
        <f>'Dados - Cliente'!AF321</f>
        <v>0</v>
      </c>
      <c r="AM321" s="36" t="e">
        <f>INDEX('Dados - Inversores'!$A:$A,MATCH('1'!AL321,'Dados - Inversores'!$C:$C,0))</f>
        <v>#N/A</v>
      </c>
      <c r="AN321" s="33">
        <f>'Dados - Cliente'!AG321</f>
        <v>0</v>
      </c>
      <c r="AO321" s="33" t="e">
        <f>AA321*1.25/(0.22*SQRT(INDEX('Dados - Inversores'!AK:AK,MATCH('1'!AL321,'Dados - Inversores'!C:C,0))))</f>
        <v>#N/A</v>
      </c>
      <c r="AP321" s="34">
        <f>INDEX(Dados!$E$2:$E$33,COUNTIF(Dados!$E$2:$E$33,"&lt;="&amp;AN321*1.25/(INDEX('Dados - Inversores'!AL:AL,MATCH('1'!AL321,'Dados - Inversores'!C:C,0))*SQRT(INDEX('Dados - Inversores'!AK:AK,MATCH('1'!AL321,'Dados - Inversores'!C:C,0)))))+1)</f>
        <v>2</v>
      </c>
      <c r="AQ321" s="33" t="s">
        <v>59</v>
      </c>
      <c r="AR321" s="33" t="str">
        <f t="shared" si="26"/>
        <v>Micro</v>
      </c>
      <c r="AS321" s="33">
        <f>'Dados - Cliente'!AH321</f>
        <v>0</v>
      </c>
      <c r="AT321" s="33">
        <f>'Dados - Cliente'!AI321</f>
        <v>0</v>
      </c>
      <c r="AU321" s="33" t="e">
        <f>INDEX('Dados - Placas'!$N:$N,MATCH('1'!AG321,'Dados - Placas'!$D:$D,0))-1</f>
        <v>#N/A</v>
      </c>
      <c r="AV321" s="33" t="e">
        <f>INDEX('Dados - Placas'!$O:$O,MATCH('1'!AG321,'Dados - Placas'!$D:$D,0))</f>
        <v>#N/A</v>
      </c>
      <c r="AW321" s="33" t="e">
        <f>INDEX('Dados - Inversores'!AM:AM,MATCH('1'!AL321,'Dados - Inversores'!$C:$C,0))-1</f>
        <v>#N/A</v>
      </c>
      <c r="AX321" s="33" t="e">
        <f>INDEX('Dados - Inversores'!AN:AN,MATCH('1'!AL321,'Dados - Inversores'!$C:$C,0))-1</f>
        <v>#N/A</v>
      </c>
      <c r="AY321" s="33" t="e">
        <f>MATCH('1'!H321,Dados!$D$89:$D$167,0)+1</f>
        <v>#N/A</v>
      </c>
      <c r="AZ321" s="33" t="e">
        <f>MATCH('1'!N321,'Dados - Solicitação de acesso'!$N$2:$N$8,0)</f>
        <v>#N/A</v>
      </c>
      <c r="BA321" s="33" t="e">
        <f>MATCH('1'!T321,'Dados - Solicitação de acesso'!$T$2:$T$20,0)</f>
        <v>#N/A</v>
      </c>
    </row>
    <row r="322" spans="1:53" x14ac:dyDescent="0.35">
      <c r="A322" s="33">
        <f>'Dados - Cliente'!A322</f>
        <v>0</v>
      </c>
      <c r="B322" s="33">
        <f>'Dados - Cliente'!B322</f>
        <v>0</v>
      </c>
      <c r="C322" s="33">
        <f>'Dados - Cliente'!C322</f>
        <v>0</v>
      </c>
      <c r="D322" s="33">
        <f>'Dados - Cliente'!D322</f>
        <v>0</v>
      </c>
      <c r="E322" s="33">
        <f>'Dados - Cliente'!E322</f>
        <v>0</v>
      </c>
      <c r="F322" s="33">
        <f>'Dados - Cliente'!F322</f>
        <v>0</v>
      </c>
      <c r="G322" s="33">
        <f>'Dados - Cliente'!G322</f>
        <v>0</v>
      </c>
      <c r="H322" s="33">
        <f>'Dados - Cliente'!H322</f>
        <v>0</v>
      </c>
      <c r="I322" s="75" t="s">
        <v>4313</v>
      </c>
      <c r="J322" s="52" t="s">
        <v>4314</v>
      </c>
      <c r="K322" s="52" t="s">
        <v>4314</v>
      </c>
      <c r="L322" s="33">
        <f>'Dados - Cliente'!I322</f>
        <v>0</v>
      </c>
      <c r="M322" s="33">
        <f>'Dados - Cliente'!K322</f>
        <v>0</v>
      </c>
      <c r="N322" s="33">
        <f>'Dados - Cliente'!L322</f>
        <v>0</v>
      </c>
      <c r="O322" s="33">
        <f>'Dados - Cliente'!M322</f>
        <v>0</v>
      </c>
      <c r="P322" s="33">
        <f>'Dados - Cliente'!N322</f>
        <v>0</v>
      </c>
      <c r="Q322" s="33">
        <f>'Dados - Cliente'!O322</f>
        <v>0</v>
      </c>
      <c r="R322" s="33">
        <f>'Dados - Cliente'!P322</f>
        <v>0</v>
      </c>
      <c r="S322" s="33">
        <f>'Dados - Cliente'!Q322</f>
        <v>0</v>
      </c>
      <c r="T322" s="33">
        <f>'Dados - Cliente'!R322</f>
        <v>0</v>
      </c>
      <c r="U322" s="34">
        <f>'Dados - Cliente'!S322</f>
        <v>0</v>
      </c>
      <c r="V322" s="34">
        <f>'Dados - Cliente'!T322</f>
        <v>0</v>
      </c>
      <c r="W322" s="34">
        <f>'Dados - Cliente'!U322</f>
        <v>0</v>
      </c>
      <c r="X322" s="34">
        <f>'Dados - Cliente'!V322</f>
        <v>0</v>
      </c>
      <c r="Y322" s="34">
        <f>'Dados - Cliente'!W322</f>
        <v>0</v>
      </c>
      <c r="Z322" s="34">
        <f>'Dados - Cliente'!X322</f>
        <v>0</v>
      </c>
      <c r="AA322" s="33" t="e">
        <f t="shared" si="25"/>
        <v>#N/A</v>
      </c>
      <c r="AB322" s="33">
        <f>'Dados - Cliente'!Y322</f>
        <v>0</v>
      </c>
      <c r="AC322" s="33">
        <f>'Dados - Cliente'!Z322</f>
        <v>0</v>
      </c>
      <c r="AD322" s="33">
        <f>'Dados - Cliente'!AA322</f>
        <v>0</v>
      </c>
      <c r="AE322" s="33">
        <f>'Dados - Cliente'!AB322</f>
        <v>0</v>
      </c>
      <c r="AF322" s="33">
        <f>'Dados - Cliente'!AC322</f>
        <v>0</v>
      </c>
      <c r="AG322" s="35">
        <f>'Dados - Cliente'!AD322</f>
        <v>0</v>
      </c>
      <c r="AH322" s="33" t="e">
        <f>INDEX('Dados - Placas'!$A:$A,MATCH('1'!AG322,'Dados - Placas'!$D:$D,0))</f>
        <v>#N/A</v>
      </c>
      <c r="AI322" s="35" t="e">
        <f>INDEX('Dados - Placas'!$E:$E,MATCH('1'!AG322,'Dados - Placas'!$D:$D,0))</f>
        <v>#N/A</v>
      </c>
      <c r="AJ322" s="34" t="e">
        <f>INDEX('Dados - Placas'!$F:$F,MATCH('1'!AG322,'Dados - Placas'!$D:$D,0))*AF322</f>
        <v>#N/A</v>
      </c>
      <c r="AK322" s="33">
        <f>'Dados - Cliente'!AE322</f>
        <v>0</v>
      </c>
      <c r="AL322" s="33">
        <f>'Dados - Cliente'!AF322</f>
        <v>0</v>
      </c>
      <c r="AM322" s="36" t="e">
        <f>INDEX('Dados - Inversores'!$A:$A,MATCH('1'!AL322,'Dados - Inversores'!$C:$C,0))</f>
        <v>#N/A</v>
      </c>
      <c r="AN322" s="33">
        <f>'Dados - Cliente'!AG322</f>
        <v>0</v>
      </c>
      <c r="AO322" s="33" t="e">
        <f>AA322*1.25/(0.22*SQRT(INDEX('Dados - Inversores'!AK:AK,MATCH('1'!AL322,'Dados - Inversores'!C:C,0))))</f>
        <v>#N/A</v>
      </c>
      <c r="AP322" s="34">
        <f>INDEX(Dados!$E$2:$E$33,COUNTIF(Dados!$E$2:$E$33,"&lt;="&amp;AN322*1.25/(INDEX('Dados - Inversores'!AL:AL,MATCH('1'!AL322,'Dados - Inversores'!C:C,0))*SQRT(INDEX('Dados - Inversores'!AK:AK,MATCH('1'!AL322,'Dados - Inversores'!C:C,0)))))+1)</f>
        <v>2</v>
      </c>
      <c r="AQ322" s="33" t="s">
        <v>59</v>
      </c>
      <c r="AR322" s="33" t="str">
        <f t="shared" si="26"/>
        <v>Micro</v>
      </c>
      <c r="AS322" s="33">
        <f>'Dados - Cliente'!AH322</f>
        <v>0</v>
      </c>
      <c r="AT322" s="33">
        <f>'Dados - Cliente'!AI322</f>
        <v>0</v>
      </c>
      <c r="AU322" s="33" t="e">
        <f>INDEX('Dados - Placas'!$N:$N,MATCH('1'!AG322,'Dados - Placas'!$D:$D,0))-1</f>
        <v>#N/A</v>
      </c>
      <c r="AV322" s="33" t="e">
        <f>INDEX('Dados - Placas'!$O:$O,MATCH('1'!AG322,'Dados - Placas'!$D:$D,0))</f>
        <v>#N/A</v>
      </c>
      <c r="AW322" s="33" t="e">
        <f>INDEX('Dados - Inversores'!AM:AM,MATCH('1'!AL322,'Dados - Inversores'!$C:$C,0))-1</f>
        <v>#N/A</v>
      </c>
      <c r="AX322" s="33" t="e">
        <f>INDEX('Dados - Inversores'!AN:AN,MATCH('1'!AL322,'Dados - Inversores'!$C:$C,0))-1</f>
        <v>#N/A</v>
      </c>
      <c r="AY322" s="33" t="e">
        <f>MATCH('1'!H322,Dados!$D$89:$D$167,0)+1</f>
        <v>#N/A</v>
      </c>
      <c r="AZ322" s="33" t="e">
        <f>MATCH('1'!N322,'Dados - Solicitação de acesso'!$N$2:$N$8,0)</f>
        <v>#N/A</v>
      </c>
      <c r="BA322" s="33" t="e">
        <f>MATCH('1'!T322,'Dados - Solicitação de acesso'!$T$2:$T$20,0)</f>
        <v>#N/A</v>
      </c>
    </row>
    <row r="323" spans="1:53" x14ac:dyDescent="0.35">
      <c r="A323" s="33">
        <f>'Dados - Cliente'!A323</f>
        <v>0</v>
      </c>
      <c r="B323" s="33">
        <f>'Dados - Cliente'!B323</f>
        <v>0</v>
      </c>
      <c r="C323" s="33">
        <f>'Dados - Cliente'!C323</f>
        <v>0</v>
      </c>
      <c r="D323" s="33">
        <f>'Dados - Cliente'!D323</f>
        <v>0</v>
      </c>
      <c r="E323" s="33">
        <f>'Dados - Cliente'!E323</f>
        <v>0</v>
      </c>
      <c r="F323" s="33">
        <f>'Dados - Cliente'!F323</f>
        <v>0</v>
      </c>
      <c r="G323" s="33">
        <f>'Dados - Cliente'!G323</f>
        <v>0</v>
      </c>
      <c r="H323" s="33">
        <f>'Dados - Cliente'!H323</f>
        <v>0</v>
      </c>
      <c r="I323" s="75" t="s">
        <v>4313</v>
      </c>
      <c r="J323" s="52" t="s">
        <v>4314</v>
      </c>
      <c r="K323" s="52" t="s">
        <v>4314</v>
      </c>
      <c r="L323" s="33">
        <f>'Dados - Cliente'!I323</f>
        <v>0</v>
      </c>
      <c r="M323" s="33">
        <f>'Dados - Cliente'!K323</f>
        <v>0</v>
      </c>
      <c r="N323" s="33">
        <f>'Dados - Cliente'!L323</f>
        <v>0</v>
      </c>
      <c r="O323" s="33">
        <f>'Dados - Cliente'!M323</f>
        <v>0</v>
      </c>
      <c r="P323" s="33">
        <f>'Dados - Cliente'!N323</f>
        <v>0</v>
      </c>
      <c r="Q323" s="33">
        <f>'Dados - Cliente'!O323</f>
        <v>0</v>
      </c>
      <c r="R323" s="33">
        <f>'Dados - Cliente'!P323</f>
        <v>0</v>
      </c>
      <c r="S323" s="33">
        <f>'Dados - Cliente'!Q323</f>
        <v>0</v>
      </c>
      <c r="T323" s="33">
        <f>'Dados - Cliente'!R323</f>
        <v>0</v>
      </c>
      <c r="U323" s="34">
        <f>'Dados - Cliente'!S323</f>
        <v>0</v>
      </c>
      <c r="V323" s="34">
        <f>'Dados - Cliente'!T323</f>
        <v>0</v>
      </c>
      <c r="W323" s="34">
        <f>'Dados - Cliente'!U323</f>
        <v>0</v>
      </c>
      <c r="X323" s="34">
        <f>'Dados - Cliente'!V323</f>
        <v>0</v>
      </c>
      <c r="Y323" s="34">
        <f>'Dados - Cliente'!W323</f>
        <v>0</v>
      </c>
      <c r="Z323" s="34">
        <f>'Dados - Cliente'!X323</f>
        <v>0</v>
      </c>
      <c r="AA323" s="33" t="e">
        <f t="shared" si="25"/>
        <v>#N/A</v>
      </c>
      <c r="AB323" s="33">
        <f>'Dados - Cliente'!Y323</f>
        <v>0</v>
      </c>
      <c r="AC323" s="33">
        <f>'Dados - Cliente'!Z323</f>
        <v>0</v>
      </c>
      <c r="AD323" s="33">
        <f>'Dados - Cliente'!AA323</f>
        <v>0</v>
      </c>
      <c r="AE323" s="33">
        <f>'Dados - Cliente'!AB323</f>
        <v>0</v>
      </c>
      <c r="AF323" s="33">
        <f>'Dados - Cliente'!AC323</f>
        <v>0</v>
      </c>
      <c r="AG323" s="35">
        <f>'Dados - Cliente'!AD323</f>
        <v>0</v>
      </c>
      <c r="AH323" s="33" t="e">
        <f>INDEX('Dados - Placas'!$A:$A,MATCH('1'!AG323,'Dados - Placas'!$D:$D,0))</f>
        <v>#N/A</v>
      </c>
      <c r="AI323" s="35" t="e">
        <f>INDEX('Dados - Placas'!$E:$E,MATCH('1'!AG323,'Dados - Placas'!$D:$D,0))</f>
        <v>#N/A</v>
      </c>
      <c r="AJ323" s="34" t="e">
        <f>INDEX('Dados - Placas'!$F:$F,MATCH('1'!AG323,'Dados - Placas'!$D:$D,0))*AF323</f>
        <v>#N/A</v>
      </c>
      <c r="AK323" s="33">
        <f>'Dados - Cliente'!AE323</f>
        <v>0</v>
      </c>
      <c r="AL323" s="33">
        <f>'Dados - Cliente'!AF323</f>
        <v>0</v>
      </c>
      <c r="AM323" s="36" t="e">
        <f>INDEX('Dados - Inversores'!$A:$A,MATCH('1'!AL323,'Dados - Inversores'!$C:$C,0))</f>
        <v>#N/A</v>
      </c>
      <c r="AN323" s="33">
        <f>'Dados - Cliente'!AG323</f>
        <v>0</v>
      </c>
      <c r="AO323" s="33" t="e">
        <f>AA323*1.25/(0.22*SQRT(INDEX('Dados - Inversores'!AK:AK,MATCH('1'!AL323,'Dados - Inversores'!C:C,0))))</f>
        <v>#N/A</v>
      </c>
      <c r="AP323" s="34">
        <f>INDEX(Dados!$E$2:$E$33,COUNTIF(Dados!$E$2:$E$33,"&lt;="&amp;AN323*1.25/(INDEX('Dados - Inversores'!AL:AL,MATCH('1'!AL323,'Dados - Inversores'!C:C,0))*SQRT(INDEX('Dados - Inversores'!AK:AK,MATCH('1'!AL323,'Dados - Inversores'!C:C,0)))))+1)</f>
        <v>2</v>
      </c>
      <c r="AQ323" s="33" t="s">
        <v>59</v>
      </c>
      <c r="AR323" s="33" t="str">
        <f t="shared" si="26"/>
        <v>Micro</v>
      </c>
      <c r="AS323" s="33">
        <f>'Dados - Cliente'!AH323</f>
        <v>0</v>
      </c>
      <c r="AT323" s="33">
        <f>'Dados - Cliente'!AI323</f>
        <v>0</v>
      </c>
      <c r="AU323" s="33" t="e">
        <f>INDEX('Dados - Placas'!$N:$N,MATCH('1'!AG323,'Dados - Placas'!$D:$D,0))-1</f>
        <v>#N/A</v>
      </c>
      <c r="AV323" s="33" t="e">
        <f>INDEX('Dados - Placas'!$O:$O,MATCH('1'!AG323,'Dados - Placas'!$D:$D,0))</f>
        <v>#N/A</v>
      </c>
      <c r="AW323" s="33" t="e">
        <f>INDEX('Dados - Inversores'!AM:AM,MATCH('1'!AL323,'Dados - Inversores'!$C:$C,0))-1</f>
        <v>#N/A</v>
      </c>
      <c r="AX323" s="33" t="e">
        <f>INDEX('Dados - Inversores'!AN:AN,MATCH('1'!AL323,'Dados - Inversores'!$C:$C,0))-1</f>
        <v>#N/A</v>
      </c>
      <c r="AY323" s="33" t="e">
        <f>MATCH('1'!H323,Dados!$D$89:$D$167,0)+1</f>
        <v>#N/A</v>
      </c>
      <c r="AZ323" s="33" t="e">
        <f>MATCH('1'!N323,'Dados - Solicitação de acesso'!$N$2:$N$8,0)</f>
        <v>#N/A</v>
      </c>
      <c r="BA323" s="33" t="e">
        <f>MATCH('1'!T323,'Dados - Solicitação de acesso'!$T$2:$T$20,0)</f>
        <v>#N/A</v>
      </c>
    </row>
    <row r="324" spans="1:53" x14ac:dyDescent="0.35">
      <c r="A324" s="33">
        <f>'Dados - Cliente'!A324</f>
        <v>0</v>
      </c>
      <c r="B324" s="33">
        <f>'Dados - Cliente'!B324</f>
        <v>0</v>
      </c>
      <c r="C324" s="33">
        <f>'Dados - Cliente'!C324</f>
        <v>0</v>
      </c>
      <c r="D324" s="33">
        <f>'Dados - Cliente'!D324</f>
        <v>0</v>
      </c>
      <c r="E324" s="33">
        <f>'Dados - Cliente'!E324</f>
        <v>0</v>
      </c>
      <c r="F324" s="33">
        <f>'Dados - Cliente'!F324</f>
        <v>0</v>
      </c>
      <c r="G324" s="33">
        <f>'Dados - Cliente'!G324</f>
        <v>0</v>
      </c>
      <c r="H324" s="33">
        <f>'Dados - Cliente'!H324</f>
        <v>0</v>
      </c>
      <c r="I324" s="75" t="s">
        <v>4313</v>
      </c>
      <c r="J324" s="52" t="s">
        <v>4314</v>
      </c>
      <c r="K324" s="52" t="s">
        <v>4314</v>
      </c>
      <c r="L324" s="33">
        <f>'Dados - Cliente'!I324</f>
        <v>0</v>
      </c>
      <c r="M324" s="33">
        <f>'Dados - Cliente'!K324</f>
        <v>0</v>
      </c>
      <c r="N324" s="33">
        <f>'Dados - Cliente'!L324</f>
        <v>0</v>
      </c>
      <c r="O324" s="33">
        <f>'Dados - Cliente'!M324</f>
        <v>0</v>
      </c>
      <c r="P324" s="33">
        <f>'Dados - Cliente'!N324</f>
        <v>0</v>
      </c>
      <c r="Q324" s="33">
        <f>'Dados - Cliente'!O324</f>
        <v>0</v>
      </c>
      <c r="R324" s="33">
        <f>'Dados - Cliente'!P324</f>
        <v>0</v>
      </c>
      <c r="S324" s="33">
        <f>'Dados - Cliente'!Q324</f>
        <v>0</v>
      </c>
      <c r="T324" s="33">
        <f>'Dados - Cliente'!R324</f>
        <v>0</v>
      </c>
      <c r="U324" s="34">
        <f>'Dados - Cliente'!S324</f>
        <v>0</v>
      </c>
      <c r="V324" s="34">
        <f>'Dados - Cliente'!T324</f>
        <v>0</v>
      </c>
      <c r="W324" s="34">
        <f>'Dados - Cliente'!U324</f>
        <v>0</v>
      </c>
      <c r="X324" s="34">
        <f>'Dados - Cliente'!V324</f>
        <v>0</v>
      </c>
      <c r="Y324" s="34">
        <f>'Dados - Cliente'!W324</f>
        <v>0</v>
      </c>
      <c r="Z324" s="34">
        <f>'Dados - Cliente'!X324</f>
        <v>0</v>
      </c>
      <c r="AA324" s="33" t="e">
        <f t="shared" si="25"/>
        <v>#N/A</v>
      </c>
      <c r="AB324" s="33">
        <f>'Dados - Cliente'!Y324</f>
        <v>0</v>
      </c>
      <c r="AC324" s="33">
        <f>'Dados - Cliente'!Z324</f>
        <v>0</v>
      </c>
      <c r="AD324" s="33">
        <f>'Dados - Cliente'!AA324</f>
        <v>0</v>
      </c>
      <c r="AE324" s="33">
        <f>'Dados - Cliente'!AB324</f>
        <v>0</v>
      </c>
      <c r="AF324" s="33">
        <f>'Dados - Cliente'!AC324</f>
        <v>0</v>
      </c>
      <c r="AG324" s="35">
        <f>'Dados - Cliente'!AD324</f>
        <v>0</v>
      </c>
      <c r="AH324" s="33" t="e">
        <f>INDEX('Dados - Placas'!$A:$A,MATCH('1'!AG324,'Dados - Placas'!$D:$D,0))</f>
        <v>#N/A</v>
      </c>
      <c r="AI324" s="35" t="e">
        <f>INDEX('Dados - Placas'!$E:$E,MATCH('1'!AG324,'Dados - Placas'!$D:$D,0))</f>
        <v>#N/A</v>
      </c>
      <c r="AJ324" s="34" t="e">
        <f>INDEX('Dados - Placas'!$F:$F,MATCH('1'!AG324,'Dados - Placas'!$D:$D,0))*AF324</f>
        <v>#N/A</v>
      </c>
      <c r="AK324" s="33">
        <f>'Dados - Cliente'!AE324</f>
        <v>0</v>
      </c>
      <c r="AL324" s="33">
        <f>'Dados - Cliente'!AF324</f>
        <v>0</v>
      </c>
      <c r="AM324" s="36" t="e">
        <f>INDEX('Dados - Inversores'!$A:$A,MATCH('1'!AL324,'Dados - Inversores'!$C:$C,0))</f>
        <v>#N/A</v>
      </c>
      <c r="AN324" s="33">
        <f>'Dados - Cliente'!AG324</f>
        <v>0</v>
      </c>
      <c r="AO324" s="33" t="e">
        <f>AA324*1.25/(0.22*SQRT(INDEX('Dados - Inversores'!AK:AK,MATCH('1'!AL324,'Dados - Inversores'!C:C,0))))</f>
        <v>#N/A</v>
      </c>
      <c r="AP324" s="34">
        <f>INDEX(Dados!$E$2:$E$33,COUNTIF(Dados!$E$2:$E$33,"&lt;="&amp;AN324*1.25/(INDEX('Dados - Inversores'!AL:AL,MATCH('1'!AL324,'Dados - Inversores'!C:C,0))*SQRT(INDEX('Dados - Inversores'!AK:AK,MATCH('1'!AL324,'Dados - Inversores'!C:C,0)))))+1)</f>
        <v>2</v>
      </c>
      <c r="AQ324" s="33" t="s">
        <v>59</v>
      </c>
      <c r="AR324" s="33" t="str">
        <f t="shared" si="26"/>
        <v>Micro</v>
      </c>
      <c r="AS324" s="33">
        <f>'Dados - Cliente'!AH324</f>
        <v>0</v>
      </c>
      <c r="AT324" s="33">
        <f>'Dados - Cliente'!AI324</f>
        <v>0</v>
      </c>
      <c r="AU324" s="33" t="e">
        <f>INDEX('Dados - Placas'!$N:$N,MATCH('1'!AG324,'Dados - Placas'!$D:$D,0))-1</f>
        <v>#N/A</v>
      </c>
      <c r="AV324" s="33" t="e">
        <f>INDEX('Dados - Placas'!$O:$O,MATCH('1'!AG324,'Dados - Placas'!$D:$D,0))</f>
        <v>#N/A</v>
      </c>
      <c r="AW324" s="33" t="e">
        <f>INDEX('Dados - Inversores'!AM:AM,MATCH('1'!AL324,'Dados - Inversores'!$C:$C,0))-1</f>
        <v>#N/A</v>
      </c>
      <c r="AX324" s="33" t="e">
        <f>INDEX('Dados - Inversores'!AN:AN,MATCH('1'!AL324,'Dados - Inversores'!$C:$C,0))-1</f>
        <v>#N/A</v>
      </c>
      <c r="AY324" s="33" t="e">
        <f>MATCH('1'!H324,Dados!$D$89:$D$167,0)+1</f>
        <v>#N/A</v>
      </c>
      <c r="AZ324" s="33" t="e">
        <f>MATCH('1'!N324,'Dados - Solicitação de acesso'!$N$2:$N$8,0)</f>
        <v>#N/A</v>
      </c>
      <c r="BA324" s="33" t="e">
        <f>MATCH('1'!T324,'Dados - Solicitação de acesso'!$T$2:$T$20,0)</f>
        <v>#N/A</v>
      </c>
    </row>
    <row r="325" spans="1:53" x14ac:dyDescent="0.35">
      <c r="A325" s="33">
        <f>'Dados - Cliente'!A325</f>
        <v>0</v>
      </c>
      <c r="B325" s="33">
        <f>'Dados - Cliente'!B325</f>
        <v>0</v>
      </c>
      <c r="C325" s="33">
        <f>'Dados - Cliente'!C325</f>
        <v>0</v>
      </c>
      <c r="D325" s="33">
        <f>'Dados - Cliente'!D325</f>
        <v>0</v>
      </c>
      <c r="E325" s="33">
        <f>'Dados - Cliente'!E325</f>
        <v>0</v>
      </c>
      <c r="F325" s="33">
        <f>'Dados - Cliente'!F325</f>
        <v>0</v>
      </c>
      <c r="G325" s="33">
        <f>'Dados - Cliente'!G325</f>
        <v>0</v>
      </c>
      <c r="H325" s="33">
        <f>'Dados - Cliente'!H325</f>
        <v>0</v>
      </c>
      <c r="I325" s="75" t="s">
        <v>4313</v>
      </c>
      <c r="J325" s="52" t="s">
        <v>4314</v>
      </c>
      <c r="K325" s="52" t="s">
        <v>4314</v>
      </c>
      <c r="L325" s="33">
        <f>'Dados - Cliente'!I325</f>
        <v>0</v>
      </c>
      <c r="M325" s="33">
        <f>'Dados - Cliente'!K325</f>
        <v>0</v>
      </c>
      <c r="N325" s="33">
        <f>'Dados - Cliente'!L325</f>
        <v>0</v>
      </c>
      <c r="O325" s="33">
        <f>'Dados - Cliente'!M325</f>
        <v>0</v>
      </c>
      <c r="P325" s="33">
        <f>'Dados - Cliente'!N325</f>
        <v>0</v>
      </c>
      <c r="Q325" s="33">
        <f>'Dados - Cliente'!O325</f>
        <v>0</v>
      </c>
      <c r="R325" s="33">
        <f>'Dados - Cliente'!P325</f>
        <v>0</v>
      </c>
      <c r="S325" s="33">
        <f>'Dados - Cliente'!Q325</f>
        <v>0</v>
      </c>
      <c r="T325" s="33">
        <f>'Dados - Cliente'!R325</f>
        <v>0</v>
      </c>
      <c r="U325" s="34">
        <f>'Dados - Cliente'!S325</f>
        <v>0</v>
      </c>
      <c r="V325" s="34">
        <f>'Dados - Cliente'!T325</f>
        <v>0</v>
      </c>
      <c r="W325" s="34">
        <f>'Dados - Cliente'!U325</f>
        <v>0</v>
      </c>
      <c r="X325" s="34">
        <f>'Dados - Cliente'!V325</f>
        <v>0</v>
      </c>
      <c r="Y325" s="34">
        <f>'Dados - Cliente'!W325</f>
        <v>0</v>
      </c>
      <c r="Z325" s="34">
        <f>'Dados - Cliente'!X325</f>
        <v>0</v>
      </c>
      <c r="AA325" s="33" t="e">
        <f t="shared" si="25"/>
        <v>#N/A</v>
      </c>
      <c r="AB325" s="33">
        <f>'Dados - Cliente'!Y325</f>
        <v>0</v>
      </c>
      <c r="AC325" s="33">
        <f>'Dados - Cliente'!Z325</f>
        <v>0</v>
      </c>
      <c r="AD325" s="33">
        <f>'Dados - Cliente'!AA325</f>
        <v>0</v>
      </c>
      <c r="AE325" s="33">
        <f>'Dados - Cliente'!AB325</f>
        <v>0</v>
      </c>
      <c r="AF325" s="33">
        <f>'Dados - Cliente'!AC325</f>
        <v>0</v>
      </c>
      <c r="AG325" s="35">
        <f>'Dados - Cliente'!AD325</f>
        <v>0</v>
      </c>
      <c r="AH325" s="33" t="e">
        <f>INDEX('Dados - Placas'!$A:$A,MATCH('1'!AG325,'Dados - Placas'!$D:$D,0))</f>
        <v>#N/A</v>
      </c>
      <c r="AI325" s="35" t="e">
        <f>INDEX('Dados - Placas'!$E:$E,MATCH('1'!AG325,'Dados - Placas'!$D:$D,0))</f>
        <v>#N/A</v>
      </c>
      <c r="AJ325" s="34" t="e">
        <f>INDEX('Dados - Placas'!$F:$F,MATCH('1'!AG325,'Dados - Placas'!$D:$D,0))*AF325</f>
        <v>#N/A</v>
      </c>
      <c r="AK325" s="33">
        <f>'Dados - Cliente'!AE325</f>
        <v>0</v>
      </c>
      <c r="AL325" s="33">
        <f>'Dados - Cliente'!AF325</f>
        <v>0</v>
      </c>
      <c r="AM325" s="36" t="e">
        <f>INDEX('Dados - Inversores'!$A:$A,MATCH('1'!AL325,'Dados - Inversores'!$C:$C,0))</f>
        <v>#N/A</v>
      </c>
      <c r="AN325" s="33">
        <f>'Dados - Cliente'!AG325</f>
        <v>0</v>
      </c>
      <c r="AO325" s="33" t="e">
        <f>AA325*1.25/(0.22*SQRT(INDEX('Dados - Inversores'!AK:AK,MATCH('1'!AL325,'Dados - Inversores'!C:C,0))))</f>
        <v>#N/A</v>
      </c>
      <c r="AP325" s="34">
        <f>INDEX(Dados!$E$2:$E$33,COUNTIF(Dados!$E$2:$E$33,"&lt;="&amp;AN325*1.25/(INDEX('Dados - Inversores'!AL:AL,MATCH('1'!AL325,'Dados - Inversores'!C:C,0))*SQRT(INDEX('Dados - Inversores'!AK:AK,MATCH('1'!AL325,'Dados - Inversores'!C:C,0)))))+1)</f>
        <v>2</v>
      </c>
      <c r="AQ325" s="33" t="s">
        <v>59</v>
      </c>
      <c r="AR325" s="33" t="str">
        <f t="shared" si="26"/>
        <v>Micro</v>
      </c>
      <c r="AS325" s="33">
        <f>'Dados - Cliente'!AH325</f>
        <v>0</v>
      </c>
      <c r="AT325" s="33">
        <f>'Dados - Cliente'!AI325</f>
        <v>0</v>
      </c>
      <c r="AU325" s="33" t="e">
        <f>INDEX('Dados - Placas'!$N:$N,MATCH('1'!AG325,'Dados - Placas'!$D:$D,0))-1</f>
        <v>#N/A</v>
      </c>
      <c r="AV325" s="33" t="e">
        <f>INDEX('Dados - Placas'!$O:$O,MATCH('1'!AG325,'Dados - Placas'!$D:$D,0))</f>
        <v>#N/A</v>
      </c>
      <c r="AW325" s="33" t="e">
        <f>INDEX('Dados - Inversores'!AM:AM,MATCH('1'!AL325,'Dados - Inversores'!$C:$C,0))-1</f>
        <v>#N/A</v>
      </c>
      <c r="AX325" s="33" t="e">
        <f>INDEX('Dados - Inversores'!AN:AN,MATCH('1'!AL325,'Dados - Inversores'!$C:$C,0))-1</f>
        <v>#N/A</v>
      </c>
      <c r="AY325" s="33" t="e">
        <f>MATCH('1'!H325,Dados!$D$89:$D$167,0)+1</f>
        <v>#N/A</v>
      </c>
      <c r="AZ325" s="33" t="e">
        <f>MATCH('1'!N325,'Dados - Solicitação de acesso'!$N$2:$N$8,0)</f>
        <v>#N/A</v>
      </c>
      <c r="BA325" s="33" t="e">
        <f>MATCH('1'!T325,'Dados - Solicitação de acesso'!$T$2:$T$20,0)</f>
        <v>#N/A</v>
      </c>
    </row>
    <row r="326" spans="1:53" x14ac:dyDescent="0.35">
      <c r="A326" s="33">
        <f>'Dados - Cliente'!A326</f>
        <v>0</v>
      </c>
      <c r="B326" s="33">
        <f>'Dados - Cliente'!B326</f>
        <v>0</v>
      </c>
      <c r="C326" s="33">
        <f>'Dados - Cliente'!C326</f>
        <v>0</v>
      </c>
      <c r="D326" s="33">
        <f>'Dados - Cliente'!D326</f>
        <v>0</v>
      </c>
      <c r="E326" s="33">
        <f>'Dados - Cliente'!E326</f>
        <v>0</v>
      </c>
      <c r="F326" s="33">
        <f>'Dados - Cliente'!F326</f>
        <v>0</v>
      </c>
      <c r="G326" s="33">
        <f>'Dados - Cliente'!G326</f>
        <v>0</v>
      </c>
      <c r="H326" s="33">
        <f>'Dados - Cliente'!H326</f>
        <v>0</v>
      </c>
      <c r="I326" s="75" t="s">
        <v>4313</v>
      </c>
      <c r="J326" s="52" t="s">
        <v>4314</v>
      </c>
      <c r="K326" s="52" t="s">
        <v>4314</v>
      </c>
      <c r="L326" s="33">
        <f>'Dados - Cliente'!I326</f>
        <v>0</v>
      </c>
      <c r="M326" s="33">
        <f>'Dados - Cliente'!K326</f>
        <v>0</v>
      </c>
      <c r="N326" s="33">
        <f>'Dados - Cliente'!L326</f>
        <v>0</v>
      </c>
      <c r="O326" s="33">
        <f>'Dados - Cliente'!M326</f>
        <v>0</v>
      </c>
      <c r="P326" s="33">
        <f>'Dados - Cliente'!N326</f>
        <v>0</v>
      </c>
      <c r="Q326" s="33">
        <f>'Dados - Cliente'!O326</f>
        <v>0</v>
      </c>
      <c r="R326" s="33">
        <f>'Dados - Cliente'!P326</f>
        <v>0</v>
      </c>
      <c r="S326" s="33">
        <f>'Dados - Cliente'!Q326</f>
        <v>0</v>
      </c>
      <c r="T326" s="33">
        <f>'Dados - Cliente'!R326</f>
        <v>0</v>
      </c>
      <c r="U326" s="34">
        <f>'Dados - Cliente'!S326</f>
        <v>0</v>
      </c>
      <c r="V326" s="34">
        <f>'Dados - Cliente'!T326</f>
        <v>0</v>
      </c>
      <c r="W326" s="34">
        <f>'Dados - Cliente'!U326</f>
        <v>0</v>
      </c>
      <c r="X326" s="34">
        <f>'Dados - Cliente'!V326</f>
        <v>0</v>
      </c>
      <c r="Y326" s="34">
        <f>'Dados - Cliente'!W326</f>
        <v>0</v>
      </c>
      <c r="Z326" s="34">
        <f>'Dados - Cliente'!X326</f>
        <v>0</v>
      </c>
      <c r="AA326" s="33" t="e">
        <f t="shared" si="25"/>
        <v>#N/A</v>
      </c>
      <c r="AB326" s="33">
        <f>'Dados - Cliente'!Y326</f>
        <v>0</v>
      </c>
      <c r="AC326" s="33">
        <f>'Dados - Cliente'!Z326</f>
        <v>0</v>
      </c>
      <c r="AD326" s="33">
        <f>'Dados - Cliente'!AA326</f>
        <v>0</v>
      </c>
      <c r="AE326" s="33">
        <f>'Dados - Cliente'!AB326</f>
        <v>0</v>
      </c>
      <c r="AF326" s="33">
        <f>'Dados - Cliente'!AC326</f>
        <v>0</v>
      </c>
      <c r="AG326" s="35">
        <f>'Dados - Cliente'!AD326</f>
        <v>0</v>
      </c>
      <c r="AH326" s="33" t="e">
        <f>INDEX('Dados - Placas'!$A:$A,MATCH('1'!AG326,'Dados - Placas'!$D:$D,0))</f>
        <v>#N/A</v>
      </c>
      <c r="AI326" s="35" t="e">
        <f>INDEX('Dados - Placas'!$E:$E,MATCH('1'!AG326,'Dados - Placas'!$D:$D,0))</f>
        <v>#N/A</v>
      </c>
      <c r="AJ326" s="34" t="e">
        <f>INDEX('Dados - Placas'!$F:$F,MATCH('1'!AG326,'Dados - Placas'!$D:$D,0))*AF326</f>
        <v>#N/A</v>
      </c>
      <c r="AK326" s="33">
        <f>'Dados - Cliente'!AE326</f>
        <v>0</v>
      </c>
      <c r="AL326" s="33">
        <f>'Dados - Cliente'!AF326</f>
        <v>0</v>
      </c>
      <c r="AM326" s="36" t="e">
        <f>INDEX('Dados - Inversores'!$A:$A,MATCH('1'!AL326,'Dados - Inversores'!$C:$C,0))</f>
        <v>#N/A</v>
      </c>
      <c r="AN326" s="33">
        <f>'Dados - Cliente'!AG326</f>
        <v>0</v>
      </c>
      <c r="AO326" s="33" t="e">
        <f>AA326*1.25/(0.22*SQRT(INDEX('Dados - Inversores'!AK:AK,MATCH('1'!AL326,'Dados - Inversores'!C:C,0))))</f>
        <v>#N/A</v>
      </c>
      <c r="AP326" s="34">
        <f>INDEX(Dados!$E$2:$E$33,COUNTIF(Dados!$E$2:$E$33,"&lt;="&amp;AN326*1.25/(INDEX('Dados - Inversores'!AL:AL,MATCH('1'!AL326,'Dados - Inversores'!C:C,0))*SQRT(INDEX('Dados - Inversores'!AK:AK,MATCH('1'!AL326,'Dados - Inversores'!C:C,0)))))+1)</f>
        <v>2</v>
      </c>
      <c r="AQ326" s="33" t="s">
        <v>59</v>
      </c>
      <c r="AR326" s="33" t="str">
        <f t="shared" si="26"/>
        <v>Micro</v>
      </c>
      <c r="AS326" s="33">
        <f>'Dados - Cliente'!AH326</f>
        <v>0</v>
      </c>
      <c r="AT326" s="33">
        <f>'Dados - Cliente'!AI326</f>
        <v>0</v>
      </c>
      <c r="AU326" s="33" t="e">
        <f>INDEX('Dados - Placas'!$N:$N,MATCH('1'!AG326,'Dados - Placas'!$D:$D,0))-1</f>
        <v>#N/A</v>
      </c>
      <c r="AV326" s="33" t="e">
        <f>INDEX('Dados - Placas'!$O:$O,MATCH('1'!AG326,'Dados - Placas'!$D:$D,0))</f>
        <v>#N/A</v>
      </c>
      <c r="AW326" s="33" t="e">
        <f>INDEX('Dados - Inversores'!AM:AM,MATCH('1'!AL326,'Dados - Inversores'!$C:$C,0))-1</f>
        <v>#N/A</v>
      </c>
      <c r="AX326" s="33" t="e">
        <f>INDEX('Dados - Inversores'!AN:AN,MATCH('1'!AL326,'Dados - Inversores'!$C:$C,0))-1</f>
        <v>#N/A</v>
      </c>
      <c r="AY326" s="33" t="e">
        <f>MATCH('1'!H326,Dados!$D$89:$D$167,0)+1</f>
        <v>#N/A</v>
      </c>
      <c r="AZ326" s="33" t="e">
        <f>MATCH('1'!N326,'Dados - Solicitação de acesso'!$N$2:$N$8,0)</f>
        <v>#N/A</v>
      </c>
      <c r="BA326" s="33" t="e">
        <f>MATCH('1'!T326,'Dados - Solicitação de acesso'!$T$2:$T$20,0)</f>
        <v>#N/A</v>
      </c>
    </row>
    <row r="327" spans="1:53" x14ac:dyDescent="0.35">
      <c r="A327" s="33">
        <f>'Dados - Cliente'!A327</f>
        <v>0</v>
      </c>
      <c r="B327" s="33">
        <f>'Dados - Cliente'!B327</f>
        <v>0</v>
      </c>
      <c r="C327" s="33">
        <f>'Dados - Cliente'!C327</f>
        <v>0</v>
      </c>
      <c r="D327" s="33">
        <f>'Dados - Cliente'!D327</f>
        <v>0</v>
      </c>
      <c r="E327" s="33">
        <f>'Dados - Cliente'!E327</f>
        <v>0</v>
      </c>
      <c r="F327" s="33">
        <f>'Dados - Cliente'!F327</f>
        <v>0</v>
      </c>
      <c r="G327" s="33">
        <f>'Dados - Cliente'!G327</f>
        <v>0</v>
      </c>
      <c r="H327" s="33">
        <f>'Dados - Cliente'!H327</f>
        <v>0</v>
      </c>
      <c r="I327" s="75" t="s">
        <v>4313</v>
      </c>
      <c r="J327" s="52" t="s">
        <v>4314</v>
      </c>
      <c r="K327" s="52" t="s">
        <v>4314</v>
      </c>
      <c r="L327" s="33">
        <f>'Dados - Cliente'!I327</f>
        <v>0</v>
      </c>
      <c r="M327" s="33">
        <f>'Dados - Cliente'!K327</f>
        <v>0</v>
      </c>
      <c r="N327" s="33">
        <f>'Dados - Cliente'!L327</f>
        <v>0</v>
      </c>
      <c r="O327" s="33">
        <f>'Dados - Cliente'!M327</f>
        <v>0</v>
      </c>
      <c r="P327" s="33">
        <f>'Dados - Cliente'!N327</f>
        <v>0</v>
      </c>
      <c r="Q327" s="33">
        <f>'Dados - Cliente'!O327</f>
        <v>0</v>
      </c>
      <c r="R327" s="33">
        <f>'Dados - Cliente'!P327</f>
        <v>0</v>
      </c>
      <c r="S327" s="33">
        <f>'Dados - Cliente'!Q327</f>
        <v>0</v>
      </c>
      <c r="T327" s="33">
        <f>'Dados - Cliente'!R327</f>
        <v>0</v>
      </c>
      <c r="U327" s="34">
        <f>'Dados - Cliente'!S327</f>
        <v>0</v>
      </c>
      <c r="V327" s="34">
        <f>'Dados - Cliente'!T327</f>
        <v>0</v>
      </c>
      <c r="W327" s="34">
        <f>'Dados - Cliente'!U327</f>
        <v>0</v>
      </c>
      <c r="X327" s="34">
        <f>'Dados - Cliente'!V327</f>
        <v>0</v>
      </c>
      <c r="Y327" s="34">
        <f>'Dados - Cliente'!W327</f>
        <v>0</v>
      </c>
      <c r="Z327" s="34">
        <f>'Dados - Cliente'!X327</f>
        <v>0</v>
      </c>
      <c r="AA327" s="33" t="e">
        <f t="shared" si="25"/>
        <v>#N/A</v>
      </c>
      <c r="AB327" s="33">
        <f>'Dados - Cliente'!Y327</f>
        <v>0</v>
      </c>
      <c r="AC327" s="33">
        <f>'Dados - Cliente'!Z327</f>
        <v>0</v>
      </c>
      <c r="AD327" s="33">
        <f>'Dados - Cliente'!AA327</f>
        <v>0</v>
      </c>
      <c r="AE327" s="33">
        <f>'Dados - Cliente'!AB327</f>
        <v>0</v>
      </c>
      <c r="AF327" s="33">
        <f>'Dados - Cliente'!AC327</f>
        <v>0</v>
      </c>
      <c r="AG327" s="35">
        <f>'Dados - Cliente'!AD327</f>
        <v>0</v>
      </c>
      <c r="AH327" s="33" t="e">
        <f>INDEX('Dados - Placas'!$A:$A,MATCH('1'!AG327,'Dados - Placas'!$D:$D,0))</f>
        <v>#N/A</v>
      </c>
      <c r="AI327" s="35" t="e">
        <f>INDEX('Dados - Placas'!$E:$E,MATCH('1'!AG327,'Dados - Placas'!$D:$D,0))</f>
        <v>#N/A</v>
      </c>
      <c r="AJ327" s="34" t="e">
        <f>INDEX('Dados - Placas'!$F:$F,MATCH('1'!AG327,'Dados - Placas'!$D:$D,0))*AF327</f>
        <v>#N/A</v>
      </c>
      <c r="AK327" s="33">
        <f>'Dados - Cliente'!AE327</f>
        <v>0</v>
      </c>
      <c r="AL327" s="33">
        <f>'Dados - Cliente'!AF327</f>
        <v>0</v>
      </c>
      <c r="AM327" s="36" t="e">
        <f>INDEX('Dados - Inversores'!$A:$A,MATCH('1'!AL327,'Dados - Inversores'!$C:$C,0))</f>
        <v>#N/A</v>
      </c>
      <c r="AN327" s="33">
        <f>'Dados - Cliente'!AG327</f>
        <v>0</v>
      </c>
      <c r="AO327" s="33" t="e">
        <f>AA327*1.25/(0.22*SQRT(INDEX('Dados - Inversores'!AK:AK,MATCH('1'!AL327,'Dados - Inversores'!C:C,0))))</f>
        <v>#N/A</v>
      </c>
      <c r="AP327" s="34">
        <f>INDEX(Dados!$E$2:$E$33,COUNTIF(Dados!$E$2:$E$33,"&lt;="&amp;AN327*1.25/(INDEX('Dados - Inversores'!AL:AL,MATCH('1'!AL327,'Dados - Inversores'!C:C,0))*SQRT(INDEX('Dados - Inversores'!AK:AK,MATCH('1'!AL327,'Dados - Inversores'!C:C,0)))))+1)</f>
        <v>2</v>
      </c>
      <c r="AQ327" s="33" t="s">
        <v>59</v>
      </c>
      <c r="AR327" s="33" t="str">
        <f t="shared" si="26"/>
        <v>Micro</v>
      </c>
      <c r="AS327" s="33">
        <f>'Dados - Cliente'!AH327</f>
        <v>0</v>
      </c>
      <c r="AT327" s="33">
        <f>'Dados - Cliente'!AI327</f>
        <v>0</v>
      </c>
      <c r="AU327" s="33" t="e">
        <f>INDEX('Dados - Placas'!$N:$N,MATCH('1'!AG327,'Dados - Placas'!$D:$D,0))-1</f>
        <v>#N/A</v>
      </c>
      <c r="AV327" s="33" t="e">
        <f>INDEX('Dados - Placas'!$O:$O,MATCH('1'!AG327,'Dados - Placas'!$D:$D,0))</f>
        <v>#N/A</v>
      </c>
      <c r="AW327" s="33" t="e">
        <f>INDEX('Dados - Inversores'!AM:AM,MATCH('1'!AL327,'Dados - Inversores'!$C:$C,0))-1</f>
        <v>#N/A</v>
      </c>
      <c r="AX327" s="33" t="e">
        <f>INDEX('Dados - Inversores'!AN:AN,MATCH('1'!AL327,'Dados - Inversores'!$C:$C,0))-1</f>
        <v>#N/A</v>
      </c>
      <c r="AY327" s="33" t="e">
        <f>MATCH('1'!H327,Dados!$D$89:$D$167,0)+1</f>
        <v>#N/A</v>
      </c>
      <c r="AZ327" s="33" t="e">
        <f>MATCH('1'!N327,'Dados - Solicitação de acesso'!$N$2:$N$8,0)</f>
        <v>#N/A</v>
      </c>
      <c r="BA327" s="33" t="e">
        <f>MATCH('1'!T327,'Dados - Solicitação de acesso'!$T$2:$T$20,0)</f>
        <v>#N/A</v>
      </c>
    </row>
    <row r="328" spans="1:53" x14ac:dyDescent="0.35">
      <c r="A328" s="33">
        <f>'Dados - Cliente'!A328</f>
        <v>0</v>
      </c>
      <c r="B328" s="33">
        <f>'Dados - Cliente'!B328</f>
        <v>0</v>
      </c>
      <c r="C328" s="33">
        <f>'Dados - Cliente'!C328</f>
        <v>0</v>
      </c>
      <c r="D328" s="33">
        <f>'Dados - Cliente'!D328</f>
        <v>0</v>
      </c>
      <c r="E328" s="33">
        <f>'Dados - Cliente'!E328</f>
        <v>0</v>
      </c>
      <c r="F328" s="33">
        <f>'Dados - Cliente'!F328</f>
        <v>0</v>
      </c>
      <c r="G328" s="33">
        <f>'Dados - Cliente'!G328</f>
        <v>0</v>
      </c>
      <c r="H328" s="33">
        <f>'Dados - Cliente'!H328</f>
        <v>0</v>
      </c>
      <c r="I328" s="75" t="s">
        <v>4313</v>
      </c>
      <c r="J328" s="52" t="s">
        <v>4314</v>
      </c>
      <c r="K328" s="52" t="s">
        <v>4314</v>
      </c>
      <c r="L328" s="33">
        <f>'Dados - Cliente'!I328</f>
        <v>0</v>
      </c>
      <c r="M328" s="33">
        <f>'Dados - Cliente'!K328</f>
        <v>0</v>
      </c>
      <c r="N328" s="33">
        <f>'Dados - Cliente'!L328</f>
        <v>0</v>
      </c>
      <c r="O328" s="33">
        <f>'Dados - Cliente'!M328</f>
        <v>0</v>
      </c>
      <c r="P328" s="33">
        <f>'Dados - Cliente'!N328</f>
        <v>0</v>
      </c>
      <c r="Q328" s="33">
        <f>'Dados - Cliente'!O328</f>
        <v>0</v>
      </c>
      <c r="R328" s="33">
        <f>'Dados - Cliente'!P328</f>
        <v>0</v>
      </c>
      <c r="S328" s="33">
        <f>'Dados - Cliente'!Q328</f>
        <v>0</v>
      </c>
      <c r="T328" s="33">
        <f>'Dados - Cliente'!R328</f>
        <v>0</v>
      </c>
      <c r="U328" s="34">
        <f>'Dados - Cliente'!S328</f>
        <v>0</v>
      </c>
      <c r="V328" s="34">
        <f>'Dados - Cliente'!T328</f>
        <v>0</v>
      </c>
      <c r="W328" s="34">
        <f>'Dados - Cliente'!U328</f>
        <v>0</v>
      </c>
      <c r="X328" s="34">
        <f>'Dados - Cliente'!V328</f>
        <v>0</v>
      </c>
      <c r="Y328" s="34">
        <f>'Dados - Cliente'!W328</f>
        <v>0</v>
      </c>
      <c r="Z328" s="34">
        <f>'Dados - Cliente'!X328</f>
        <v>0</v>
      </c>
      <c r="AA328" s="33" t="e">
        <f t="shared" si="25"/>
        <v>#N/A</v>
      </c>
      <c r="AB328" s="33">
        <f>'Dados - Cliente'!Y328</f>
        <v>0</v>
      </c>
      <c r="AC328" s="33">
        <f>'Dados - Cliente'!Z328</f>
        <v>0</v>
      </c>
      <c r="AD328" s="33">
        <f>'Dados - Cliente'!AA328</f>
        <v>0</v>
      </c>
      <c r="AE328" s="33">
        <f>'Dados - Cliente'!AB328</f>
        <v>0</v>
      </c>
      <c r="AF328" s="33">
        <f>'Dados - Cliente'!AC328</f>
        <v>0</v>
      </c>
      <c r="AG328" s="35">
        <f>'Dados - Cliente'!AD328</f>
        <v>0</v>
      </c>
      <c r="AH328" s="33" t="e">
        <f>INDEX('Dados - Placas'!$A:$A,MATCH('1'!AG328,'Dados - Placas'!$D:$D,0))</f>
        <v>#N/A</v>
      </c>
      <c r="AI328" s="35" t="e">
        <f>INDEX('Dados - Placas'!$E:$E,MATCH('1'!AG328,'Dados - Placas'!$D:$D,0))</f>
        <v>#N/A</v>
      </c>
      <c r="AJ328" s="34" t="e">
        <f>INDEX('Dados - Placas'!$F:$F,MATCH('1'!AG328,'Dados - Placas'!$D:$D,0))*AF328</f>
        <v>#N/A</v>
      </c>
      <c r="AK328" s="33">
        <f>'Dados - Cliente'!AE328</f>
        <v>0</v>
      </c>
      <c r="AL328" s="33">
        <f>'Dados - Cliente'!AF328</f>
        <v>0</v>
      </c>
      <c r="AM328" s="36" t="e">
        <f>INDEX('Dados - Inversores'!$A:$A,MATCH('1'!AL328,'Dados - Inversores'!$C:$C,0))</f>
        <v>#N/A</v>
      </c>
      <c r="AN328" s="33">
        <f>'Dados - Cliente'!AG328</f>
        <v>0</v>
      </c>
      <c r="AO328" s="33" t="e">
        <f>AA328*1.25/(0.22*SQRT(INDEX('Dados - Inversores'!AK:AK,MATCH('1'!AL328,'Dados - Inversores'!C:C,0))))</f>
        <v>#N/A</v>
      </c>
      <c r="AP328" s="34">
        <f>INDEX(Dados!$E$2:$E$33,COUNTIF(Dados!$E$2:$E$33,"&lt;="&amp;AN328*1.25/(INDEX('Dados - Inversores'!AL:AL,MATCH('1'!AL328,'Dados - Inversores'!C:C,0))*SQRT(INDEX('Dados - Inversores'!AK:AK,MATCH('1'!AL328,'Dados - Inversores'!C:C,0)))))+1)</f>
        <v>2</v>
      </c>
      <c r="AQ328" s="33" t="s">
        <v>59</v>
      </c>
      <c r="AR328" s="33" t="str">
        <f t="shared" si="26"/>
        <v>Micro</v>
      </c>
      <c r="AS328" s="33">
        <f>'Dados - Cliente'!AH328</f>
        <v>0</v>
      </c>
      <c r="AT328" s="33">
        <f>'Dados - Cliente'!AI328</f>
        <v>0</v>
      </c>
      <c r="AU328" s="33" t="e">
        <f>INDEX('Dados - Placas'!$N:$N,MATCH('1'!AG328,'Dados - Placas'!$D:$D,0))-1</f>
        <v>#N/A</v>
      </c>
      <c r="AV328" s="33" t="e">
        <f>INDEX('Dados - Placas'!$O:$O,MATCH('1'!AG328,'Dados - Placas'!$D:$D,0))</f>
        <v>#N/A</v>
      </c>
      <c r="AW328" s="33" t="e">
        <f>INDEX('Dados - Inversores'!AM:AM,MATCH('1'!AL328,'Dados - Inversores'!$C:$C,0))-1</f>
        <v>#N/A</v>
      </c>
      <c r="AX328" s="33" t="e">
        <f>INDEX('Dados - Inversores'!AN:AN,MATCH('1'!AL328,'Dados - Inversores'!$C:$C,0))-1</f>
        <v>#N/A</v>
      </c>
      <c r="AY328" s="33" t="e">
        <f>MATCH('1'!H328,Dados!$D$89:$D$167,0)+1</f>
        <v>#N/A</v>
      </c>
      <c r="AZ328" s="33" t="e">
        <f>MATCH('1'!N328,'Dados - Solicitação de acesso'!$N$2:$N$8,0)</f>
        <v>#N/A</v>
      </c>
      <c r="BA328" s="33" t="e">
        <f>MATCH('1'!T328,'Dados - Solicitação de acesso'!$T$2:$T$20,0)</f>
        <v>#N/A</v>
      </c>
    </row>
    <row r="329" spans="1:53" x14ac:dyDescent="0.35">
      <c r="A329" s="33">
        <f>'Dados - Cliente'!A329</f>
        <v>0</v>
      </c>
      <c r="B329" s="33">
        <f>'Dados - Cliente'!B329</f>
        <v>0</v>
      </c>
      <c r="C329" s="33">
        <f>'Dados - Cliente'!C329</f>
        <v>0</v>
      </c>
      <c r="D329" s="33">
        <f>'Dados - Cliente'!D329</f>
        <v>0</v>
      </c>
      <c r="E329" s="33">
        <f>'Dados - Cliente'!E329</f>
        <v>0</v>
      </c>
      <c r="F329" s="33">
        <f>'Dados - Cliente'!F329</f>
        <v>0</v>
      </c>
      <c r="G329" s="33">
        <f>'Dados - Cliente'!G329</f>
        <v>0</v>
      </c>
      <c r="H329" s="33">
        <f>'Dados - Cliente'!H329</f>
        <v>0</v>
      </c>
      <c r="I329" s="75" t="s">
        <v>4313</v>
      </c>
      <c r="J329" s="52" t="s">
        <v>4314</v>
      </c>
      <c r="K329" s="52" t="s">
        <v>4314</v>
      </c>
      <c r="L329" s="33">
        <f>'Dados - Cliente'!I329</f>
        <v>0</v>
      </c>
      <c r="M329" s="33">
        <f>'Dados - Cliente'!K329</f>
        <v>0</v>
      </c>
      <c r="N329" s="33">
        <f>'Dados - Cliente'!L329</f>
        <v>0</v>
      </c>
      <c r="O329" s="33">
        <f>'Dados - Cliente'!M329</f>
        <v>0</v>
      </c>
      <c r="P329" s="33">
        <f>'Dados - Cliente'!N329</f>
        <v>0</v>
      </c>
      <c r="Q329" s="33">
        <f>'Dados - Cliente'!O329</f>
        <v>0</v>
      </c>
      <c r="R329" s="33">
        <f>'Dados - Cliente'!P329</f>
        <v>0</v>
      </c>
      <c r="S329" s="33">
        <f>'Dados - Cliente'!Q329</f>
        <v>0</v>
      </c>
      <c r="T329" s="33">
        <f>'Dados - Cliente'!R329</f>
        <v>0</v>
      </c>
      <c r="U329" s="34">
        <f>'Dados - Cliente'!S329</f>
        <v>0</v>
      </c>
      <c r="V329" s="34">
        <f>'Dados - Cliente'!T329</f>
        <v>0</v>
      </c>
      <c r="W329" s="34">
        <f>'Dados - Cliente'!U329</f>
        <v>0</v>
      </c>
      <c r="X329" s="34">
        <f>'Dados - Cliente'!V329</f>
        <v>0</v>
      </c>
      <c r="Y329" s="34">
        <f>'Dados - Cliente'!W329</f>
        <v>0</v>
      </c>
      <c r="Z329" s="34">
        <f>'Dados - Cliente'!X329</f>
        <v>0</v>
      </c>
      <c r="AA329" s="33" t="e">
        <f t="shared" si="25"/>
        <v>#N/A</v>
      </c>
      <c r="AB329" s="33">
        <f>'Dados - Cliente'!Y329</f>
        <v>0</v>
      </c>
      <c r="AC329" s="33">
        <f>'Dados - Cliente'!Z329</f>
        <v>0</v>
      </c>
      <c r="AD329" s="33">
        <f>'Dados - Cliente'!AA329</f>
        <v>0</v>
      </c>
      <c r="AE329" s="33">
        <f>'Dados - Cliente'!AB329</f>
        <v>0</v>
      </c>
      <c r="AF329" s="33">
        <f>'Dados - Cliente'!AC329</f>
        <v>0</v>
      </c>
      <c r="AG329" s="35">
        <f>'Dados - Cliente'!AD329</f>
        <v>0</v>
      </c>
      <c r="AH329" s="33" t="e">
        <f>INDEX('Dados - Placas'!$A:$A,MATCH('1'!AG329,'Dados - Placas'!$D:$D,0))</f>
        <v>#N/A</v>
      </c>
      <c r="AI329" s="35" t="e">
        <f>INDEX('Dados - Placas'!$E:$E,MATCH('1'!AG329,'Dados - Placas'!$D:$D,0))</f>
        <v>#N/A</v>
      </c>
      <c r="AJ329" s="34" t="e">
        <f>INDEX('Dados - Placas'!$F:$F,MATCH('1'!AG329,'Dados - Placas'!$D:$D,0))*AF329</f>
        <v>#N/A</v>
      </c>
      <c r="AK329" s="33">
        <f>'Dados - Cliente'!AE329</f>
        <v>0</v>
      </c>
      <c r="AL329" s="33">
        <f>'Dados - Cliente'!AF329</f>
        <v>0</v>
      </c>
      <c r="AM329" s="36" t="e">
        <f>INDEX('Dados - Inversores'!$A:$A,MATCH('1'!AL329,'Dados - Inversores'!$C:$C,0))</f>
        <v>#N/A</v>
      </c>
      <c r="AN329" s="33">
        <f>'Dados - Cliente'!AG329</f>
        <v>0</v>
      </c>
      <c r="AO329" s="33" t="e">
        <f>AA329*1.25/(0.22*SQRT(INDEX('Dados - Inversores'!AK:AK,MATCH('1'!AL329,'Dados - Inversores'!C:C,0))))</f>
        <v>#N/A</v>
      </c>
      <c r="AP329" s="34">
        <f>INDEX(Dados!$E$2:$E$33,COUNTIF(Dados!$E$2:$E$33,"&lt;="&amp;AN329*1.25/(INDEX('Dados - Inversores'!AL:AL,MATCH('1'!AL329,'Dados - Inversores'!C:C,0))*SQRT(INDEX('Dados - Inversores'!AK:AK,MATCH('1'!AL329,'Dados - Inversores'!C:C,0)))))+1)</f>
        <v>2</v>
      </c>
      <c r="AQ329" s="33" t="s">
        <v>59</v>
      </c>
      <c r="AR329" s="33" t="str">
        <f t="shared" si="26"/>
        <v>Micro</v>
      </c>
      <c r="AS329" s="33">
        <f>'Dados - Cliente'!AH329</f>
        <v>0</v>
      </c>
      <c r="AT329" s="33">
        <f>'Dados - Cliente'!AI329</f>
        <v>0</v>
      </c>
      <c r="AU329" s="33" t="e">
        <f>INDEX('Dados - Placas'!$N:$N,MATCH('1'!AG329,'Dados - Placas'!$D:$D,0))-1</f>
        <v>#N/A</v>
      </c>
      <c r="AV329" s="33" t="e">
        <f>INDEX('Dados - Placas'!$O:$O,MATCH('1'!AG329,'Dados - Placas'!$D:$D,0))</f>
        <v>#N/A</v>
      </c>
      <c r="AW329" s="33" t="e">
        <f>INDEX('Dados - Inversores'!AM:AM,MATCH('1'!AL329,'Dados - Inversores'!$C:$C,0))-1</f>
        <v>#N/A</v>
      </c>
      <c r="AX329" s="33" t="e">
        <f>INDEX('Dados - Inversores'!AN:AN,MATCH('1'!AL329,'Dados - Inversores'!$C:$C,0))-1</f>
        <v>#N/A</v>
      </c>
      <c r="AY329" s="33" t="e">
        <f>MATCH('1'!H329,Dados!$D$89:$D$167,0)+1</f>
        <v>#N/A</v>
      </c>
      <c r="AZ329" s="33" t="e">
        <f>MATCH('1'!N329,'Dados - Solicitação de acesso'!$N$2:$N$8,0)</f>
        <v>#N/A</v>
      </c>
      <c r="BA329" s="33" t="e">
        <f>MATCH('1'!T329,'Dados - Solicitação de acesso'!$T$2:$T$20,0)</f>
        <v>#N/A</v>
      </c>
    </row>
    <row r="330" spans="1:53" x14ac:dyDescent="0.35">
      <c r="A330" s="33">
        <f>'Dados - Cliente'!A330</f>
        <v>0</v>
      </c>
      <c r="B330" s="33">
        <f>'Dados - Cliente'!B330</f>
        <v>0</v>
      </c>
      <c r="C330" s="33">
        <f>'Dados - Cliente'!C330</f>
        <v>0</v>
      </c>
      <c r="D330" s="33">
        <f>'Dados - Cliente'!D330</f>
        <v>0</v>
      </c>
      <c r="E330" s="33">
        <f>'Dados - Cliente'!E330</f>
        <v>0</v>
      </c>
      <c r="F330" s="33">
        <f>'Dados - Cliente'!F330</f>
        <v>0</v>
      </c>
      <c r="G330" s="33">
        <f>'Dados - Cliente'!G330</f>
        <v>0</v>
      </c>
      <c r="H330" s="33">
        <f>'Dados - Cliente'!H330</f>
        <v>0</v>
      </c>
      <c r="I330" s="75" t="s">
        <v>4313</v>
      </c>
      <c r="J330" s="52" t="s">
        <v>4314</v>
      </c>
      <c r="K330" s="52" t="s">
        <v>4314</v>
      </c>
      <c r="L330" s="33">
        <f>'Dados - Cliente'!I330</f>
        <v>0</v>
      </c>
      <c r="M330" s="33">
        <f>'Dados - Cliente'!K330</f>
        <v>0</v>
      </c>
      <c r="N330" s="33">
        <f>'Dados - Cliente'!L330</f>
        <v>0</v>
      </c>
      <c r="O330" s="33">
        <f>'Dados - Cliente'!M330</f>
        <v>0</v>
      </c>
      <c r="P330" s="33">
        <f>'Dados - Cliente'!N330</f>
        <v>0</v>
      </c>
      <c r="Q330" s="33">
        <f>'Dados - Cliente'!O330</f>
        <v>0</v>
      </c>
      <c r="R330" s="33">
        <f>'Dados - Cliente'!P330</f>
        <v>0</v>
      </c>
      <c r="S330" s="33">
        <f>'Dados - Cliente'!Q330</f>
        <v>0</v>
      </c>
      <c r="T330" s="33">
        <f>'Dados - Cliente'!R330</f>
        <v>0</v>
      </c>
      <c r="U330" s="34">
        <f>'Dados - Cliente'!S330</f>
        <v>0</v>
      </c>
      <c r="V330" s="34">
        <f>'Dados - Cliente'!T330</f>
        <v>0</v>
      </c>
      <c r="W330" s="34">
        <f>'Dados - Cliente'!U330</f>
        <v>0</v>
      </c>
      <c r="X330" s="34">
        <f>'Dados - Cliente'!V330</f>
        <v>0</v>
      </c>
      <c r="Y330" s="34">
        <f>'Dados - Cliente'!W330</f>
        <v>0</v>
      </c>
      <c r="Z330" s="34">
        <f>'Dados - Cliente'!X330</f>
        <v>0</v>
      </c>
      <c r="AA330" s="33" t="e">
        <f t="shared" si="25"/>
        <v>#N/A</v>
      </c>
      <c r="AB330" s="33">
        <f>'Dados - Cliente'!Y330</f>
        <v>0</v>
      </c>
      <c r="AC330" s="33">
        <f>'Dados - Cliente'!Z330</f>
        <v>0</v>
      </c>
      <c r="AD330" s="33">
        <f>'Dados - Cliente'!AA330</f>
        <v>0</v>
      </c>
      <c r="AE330" s="33">
        <f>'Dados - Cliente'!AB330</f>
        <v>0</v>
      </c>
      <c r="AF330" s="33">
        <f>'Dados - Cliente'!AC330</f>
        <v>0</v>
      </c>
      <c r="AG330" s="35">
        <f>'Dados - Cliente'!AD330</f>
        <v>0</v>
      </c>
      <c r="AH330" s="33" t="e">
        <f>INDEX('Dados - Placas'!$A:$A,MATCH('1'!AG330,'Dados - Placas'!$D:$D,0))</f>
        <v>#N/A</v>
      </c>
      <c r="AI330" s="35" t="e">
        <f>INDEX('Dados - Placas'!$E:$E,MATCH('1'!AG330,'Dados - Placas'!$D:$D,0))</f>
        <v>#N/A</v>
      </c>
      <c r="AJ330" s="34" t="e">
        <f>INDEX('Dados - Placas'!$F:$F,MATCH('1'!AG330,'Dados - Placas'!$D:$D,0))*AF330</f>
        <v>#N/A</v>
      </c>
      <c r="AK330" s="33">
        <f>'Dados - Cliente'!AE330</f>
        <v>0</v>
      </c>
      <c r="AL330" s="33">
        <f>'Dados - Cliente'!AF330</f>
        <v>0</v>
      </c>
      <c r="AM330" s="36" t="e">
        <f>INDEX('Dados - Inversores'!$A:$A,MATCH('1'!AL330,'Dados - Inversores'!$C:$C,0))</f>
        <v>#N/A</v>
      </c>
      <c r="AN330" s="33">
        <f>'Dados - Cliente'!AG330</f>
        <v>0</v>
      </c>
      <c r="AO330" s="33" t="e">
        <f>AA330*1.25/(0.22*SQRT(INDEX('Dados - Inversores'!AK:AK,MATCH('1'!AL330,'Dados - Inversores'!C:C,0))))</f>
        <v>#N/A</v>
      </c>
      <c r="AP330" s="34">
        <f>INDEX(Dados!$E$2:$E$33,COUNTIF(Dados!$E$2:$E$33,"&lt;="&amp;AN330*1.25/(INDEX('Dados - Inversores'!AL:AL,MATCH('1'!AL330,'Dados - Inversores'!C:C,0))*SQRT(INDEX('Dados - Inversores'!AK:AK,MATCH('1'!AL330,'Dados - Inversores'!C:C,0)))))+1)</f>
        <v>2</v>
      </c>
      <c r="AQ330" s="33" t="s">
        <v>59</v>
      </c>
      <c r="AR330" s="33" t="str">
        <f t="shared" si="26"/>
        <v>Micro</v>
      </c>
      <c r="AS330" s="33">
        <f>'Dados - Cliente'!AH330</f>
        <v>0</v>
      </c>
      <c r="AT330" s="33">
        <f>'Dados - Cliente'!AI330</f>
        <v>0</v>
      </c>
      <c r="AU330" s="33" t="e">
        <f>INDEX('Dados - Placas'!$N:$N,MATCH('1'!AG330,'Dados - Placas'!$D:$D,0))-1</f>
        <v>#N/A</v>
      </c>
      <c r="AV330" s="33" t="e">
        <f>INDEX('Dados - Placas'!$O:$O,MATCH('1'!AG330,'Dados - Placas'!$D:$D,0))</f>
        <v>#N/A</v>
      </c>
      <c r="AW330" s="33" t="e">
        <f>INDEX('Dados - Inversores'!AM:AM,MATCH('1'!AL330,'Dados - Inversores'!$C:$C,0))-1</f>
        <v>#N/A</v>
      </c>
      <c r="AX330" s="33" t="e">
        <f>INDEX('Dados - Inversores'!AN:AN,MATCH('1'!AL330,'Dados - Inversores'!$C:$C,0))-1</f>
        <v>#N/A</v>
      </c>
      <c r="AY330" s="33" t="e">
        <f>MATCH('1'!H330,Dados!$D$89:$D$167,0)+1</f>
        <v>#N/A</v>
      </c>
      <c r="AZ330" s="33" t="e">
        <f>MATCH('1'!N330,'Dados - Solicitação de acesso'!$N$2:$N$8,0)</f>
        <v>#N/A</v>
      </c>
      <c r="BA330" s="33" t="e">
        <f>MATCH('1'!T330,'Dados - Solicitação de acesso'!$T$2:$T$20,0)</f>
        <v>#N/A</v>
      </c>
    </row>
    <row r="331" spans="1:53" x14ac:dyDescent="0.35">
      <c r="A331" s="33">
        <f>'Dados - Cliente'!A331</f>
        <v>0</v>
      </c>
      <c r="B331" s="33">
        <f>'Dados - Cliente'!B331</f>
        <v>0</v>
      </c>
      <c r="C331" s="33">
        <f>'Dados - Cliente'!C331</f>
        <v>0</v>
      </c>
      <c r="D331" s="33">
        <f>'Dados - Cliente'!D331</f>
        <v>0</v>
      </c>
      <c r="E331" s="33">
        <f>'Dados - Cliente'!E331</f>
        <v>0</v>
      </c>
      <c r="F331" s="33">
        <f>'Dados - Cliente'!F331</f>
        <v>0</v>
      </c>
      <c r="G331" s="33">
        <f>'Dados - Cliente'!G331</f>
        <v>0</v>
      </c>
      <c r="H331" s="33">
        <f>'Dados - Cliente'!H331</f>
        <v>0</v>
      </c>
      <c r="I331" s="75" t="s">
        <v>4313</v>
      </c>
      <c r="J331" s="52" t="s">
        <v>4314</v>
      </c>
      <c r="K331" s="52" t="s">
        <v>4314</v>
      </c>
      <c r="L331" s="33">
        <f>'Dados - Cliente'!I331</f>
        <v>0</v>
      </c>
      <c r="M331" s="33">
        <f>'Dados - Cliente'!K331</f>
        <v>0</v>
      </c>
      <c r="N331" s="33">
        <f>'Dados - Cliente'!L331</f>
        <v>0</v>
      </c>
      <c r="O331" s="33">
        <f>'Dados - Cliente'!M331</f>
        <v>0</v>
      </c>
      <c r="P331" s="33">
        <f>'Dados - Cliente'!N331</f>
        <v>0</v>
      </c>
      <c r="Q331" s="33">
        <f>'Dados - Cliente'!O331</f>
        <v>0</v>
      </c>
      <c r="R331" s="33">
        <f>'Dados - Cliente'!P331</f>
        <v>0</v>
      </c>
      <c r="S331" s="33">
        <f>'Dados - Cliente'!Q331</f>
        <v>0</v>
      </c>
      <c r="T331" s="33">
        <f>'Dados - Cliente'!R331</f>
        <v>0</v>
      </c>
      <c r="U331" s="34">
        <f>'Dados - Cliente'!S331</f>
        <v>0</v>
      </c>
      <c r="V331" s="34">
        <f>'Dados - Cliente'!T331</f>
        <v>0</v>
      </c>
      <c r="W331" s="34">
        <f>'Dados - Cliente'!U331</f>
        <v>0</v>
      </c>
      <c r="X331" s="34">
        <f>'Dados - Cliente'!V331</f>
        <v>0</v>
      </c>
      <c r="Y331" s="34">
        <f>'Dados - Cliente'!W331</f>
        <v>0</v>
      </c>
      <c r="Z331" s="34">
        <f>'Dados - Cliente'!X331</f>
        <v>0</v>
      </c>
      <c r="AA331" s="33" t="e">
        <f t="shared" si="25"/>
        <v>#N/A</v>
      </c>
      <c r="AB331" s="33">
        <f>'Dados - Cliente'!Y331</f>
        <v>0</v>
      </c>
      <c r="AC331" s="33">
        <f>'Dados - Cliente'!Z331</f>
        <v>0</v>
      </c>
      <c r="AD331" s="33">
        <f>'Dados - Cliente'!AA331</f>
        <v>0</v>
      </c>
      <c r="AE331" s="33">
        <f>'Dados - Cliente'!AB331</f>
        <v>0</v>
      </c>
      <c r="AF331" s="33">
        <f>'Dados - Cliente'!AC331</f>
        <v>0</v>
      </c>
      <c r="AG331" s="35">
        <f>'Dados - Cliente'!AD331</f>
        <v>0</v>
      </c>
      <c r="AH331" s="33" t="e">
        <f>INDEX('Dados - Placas'!$A:$A,MATCH('1'!AG331,'Dados - Placas'!$D:$D,0))</f>
        <v>#N/A</v>
      </c>
      <c r="AI331" s="35" t="e">
        <f>INDEX('Dados - Placas'!$E:$E,MATCH('1'!AG331,'Dados - Placas'!$D:$D,0))</f>
        <v>#N/A</v>
      </c>
      <c r="AJ331" s="34" t="e">
        <f>INDEX('Dados - Placas'!$F:$F,MATCH('1'!AG331,'Dados - Placas'!$D:$D,0))*AF331</f>
        <v>#N/A</v>
      </c>
      <c r="AK331" s="33">
        <f>'Dados - Cliente'!AE331</f>
        <v>0</v>
      </c>
      <c r="AL331" s="33">
        <f>'Dados - Cliente'!AF331</f>
        <v>0</v>
      </c>
      <c r="AM331" s="36" t="e">
        <f>INDEX('Dados - Inversores'!$A:$A,MATCH('1'!AL331,'Dados - Inversores'!$C:$C,0))</f>
        <v>#N/A</v>
      </c>
      <c r="AN331" s="33">
        <f>'Dados - Cliente'!AG331</f>
        <v>0</v>
      </c>
      <c r="AO331" s="33" t="e">
        <f>AA331*1.25/(0.22*SQRT(INDEX('Dados - Inversores'!AK:AK,MATCH('1'!AL331,'Dados - Inversores'!C:C,0))))</f>
        <v>#N/A</v>
      </c>
      <c r="AP331" s="34">
        <f>INDEX(Dados!$E$2:$E$33,COUNTIF(Dados!$E$2:$E$33,"&lt;="&amp;AN331*1.25/(INDEX('Dados - Inversores'!AL:AL,MATCH('1'!AL331,'Dados - Inversores'!C:C,0))*SQRT(INDEX('Dados - Inversores'!AK:AK,MATCH('1'!AL331,'Dados - Inversores'!C:C,0)))))+1)</f>
        <v>2</v>
      </c>
      <c r="AQ331" s="33" t="s">
        <v>59</v>
      </c>
      <c r="AR331" s="33" t="str">
        <f t="shared" si="26"/>
        <v>Micro</v>
      </c>
      <c r="AS331" s="33">
        <f>'Dados - Cliente'!AH331</f>
        <v>0</v>
      </c>
      <c r="AT331" s="33">
        <f>'Dados - Cliente'!AI331</f>
        <v>0</v>
      </c>
      <c r="AU331" s="33" t="e">
        <f>INDEX('Dados - Placas'!$N:$N,MATCH('1'!AG331,'Dados - Placas'!$D:$D,0))-1</f>
        <v>#N/A</v>
      </c>
      <c r="AV331" s="33" t="e">
        <f>INDEX('Dados - Placas'!$O:$O,MATCH('1'!AG331,'Dados - Placas'!$D:$D,0))</f>
        <v>#N/A</v>
      </c>
      <c r="AW331" s="33" t="e">
        <f>INDEX('Dados - Inversores'!AM:AM,MATCH('1'!AL331,'Dados - Inversores'!$C:$C,0))-1</f>
        <v>#N/A</v>
      </c>
      <c r="AX331" s="33" t="e">
        <f>INDEX('Dados - Inversores'!AN:AN,MATCH('1'!AL331,'Dados - Inversores'!$C:$C,0))-1</f>
        <v>#N/A</v>
      </c>
      <c r="AY331" s="33" t="e">
        <f>MATCH('1'!H331,Dados!$D$89:$D$167,0)+1</f>
        <v>#N/A</v>
      </c>
      <c r="AZ331" s="33" t="e">
        <f>MATCH('1'!N331,'Dados - Solicitação de acesso'!$N$2:$N$8,0)</f>
        <v>#N/A</v>
      </c>
      <c r="BA331" s="33" t="e">
        <f>MATCH('1'!T331,'Dados - Solicitação de acesso'!$T$2:$T$20,0)</f>
        <v>#N/A</v>
      </c>
    </row>
    <row r="332" spans="1:53" x14ac:dyDescent="0.35">
      <c r="A332" s="33">
        <f>'Dados - Cliente'!A332</f>
        <v>0</v>
      </c>
      <c r="B332" s="33">
        <f>'Dados - Cliente'!B332</f>
        <v>0</v>
      </c>
      <c r="C332" s="33">
        <f>'Dados - Cliente'!C332</f>
        <v>0</v>
      </c>
      <c r="D332" s="33">
        <f>'Dados - Cliente'!D332</f>
        <v>0</v>
      </c>
      <c r="E332" s="33">
        <f>'Dados - Cliente'!E332</f>
        <v>0</v>
      </c>
      <c r="F332" s="33">
        <f>'Dados - Cliente'!F332</f>
        <v>0</v>
      </c>
      <c r="G332" s="33">
        <f>'Dados - Cliente'!G332</f>
        <v>0</v>
      </c>
      <c r="H332" s="33">
        <f>'Dados - Cliente'!H332</f>
        <v>0</v>
      </c>
      <c r="I332" s="75" t="s">
        <v>4313</v>
      </c>
      <c r="J332" s="52" t="s">
        <v>4314</v>
      </c>
      <c r="K332" s="52" t="s">
        <v>4314</v>
      </c>
      <c r="L332" s="33">
        <f>'Dados - Cliente'!I332</f>
        <v>0</v>
      </c>
      <c r="M332" s="33">
        <f>'Dados - Cliente'!K332</f>
        <v>0</v>
      </c>
      <c r="N332" s="33">
        <f>'Dados - Cliente'!L332</f>
        <v>0</v>
      </c>
      <c r="O332" s="33">
        <f>'Dados - Cliente'!M332</f>
        <v>0</v>
      </c>
      <c r="P332" s="33">
        <f>'Dados - Cliente'!N332</f>
        <v>0</v>
      </c>
      <c r="Q332" s="33">
        <f>'Dados - Cliente'!O332</f>
        <v>0</v>
      </c>
      <c r="R332" s="33">
        <f>'Dados - Cliente'!P332</f>
        <v>0</v>
      </c>
      <c r="S332" s="33">
        <f>'Dados - Cliente'!Q332</f>
        <v>0</v>
      </c>
      <c r="T332" s="33">
        <f>'Dados - Cliente'!R332</f>
        <v>0</v>
      </c>
      <c r="U332" s="34">
        <f>'Dados - Cliente'!S332</f>
        <v>0</v>
      </c>
      <c r="V332" s="34">
        <f>'Dados - Cliente'!T332</f>
        <v>0</v>
      </c>
      <c r="W332" s="34">
        <f>'Dados - Cliente'!U332</f>
        <v>0</v>
      </c>
      <c r="X332" s="34">
        <f>'Dados - Cliente'!V332</f>
        <v>0</v>
      </c>
      <c r="Y332" s="34">
        <f>'Dados - Cliente'!W332</f>
        <v>0</v>
      </c>
      <c r="Z332" s="34">
        <f>'Dados - Cliente'!X332</f>
        <v>0</v>
      </c>
      <c r="AA332" s="33" t="e">
        <f t="shared" si="25"/>
        <v>#N/A</v>
      </c>
      <c r="AB332" s="33">
        <f>'Dados - Cliente'!Y332</f>
        <v>0</v>
      </c>
      <c r="AC332" s="33">
        <f>'Dados - Cliente'!Z332</f>
        <v>0</v>
      </c>
      <c r="AD332" s="33">
        <f>'Dados - Cliente'!AA332</f>
        <v>0</v>
      </c>
      <c r="AE332" s="33">
        <f>'Dados - Cliente'!AB332</f>
        <v>0</v>
      </c>
      <c r="AF332" s="33">
        <f>'Dados - Cliente'!AC332</f>
        <v>0</v>
      </c>
      <c r="AG332" s="35">
        <f>'Dados - Cliente'!AD332</f>
        <v>0</v>
      </c>
      <c r="AH332" s="33" t="e">
        <f>INDEX('Dados - Placas'!$A:$A,MATCH('1'!AG332,'Dados - Placas'!$D:$D,0))</f>
        <v>#N/A</v>
      </c>
      <c r="AI332" s="35" t="e">
        <f>INDEX('Dados - Placas'!$E:$E,MATCH('1'!AG332,'Dados - Placas'!$D:$D,0))</f>
        <v>#N/A</v>
      </c>
      <c r="AJ332" s="34" t="e">
        <f>INDEX('Dados - Placas'!$F:$F,MATCH('1'!AG332,'Dados - Placas'!$D:$D,0))*AF332</f>
        <v>#N/A</v>
      </c>
      <c r="AK332" s="33">
        <f>'Dados - Cliente'!AE332</f>
        <v>0</v>
      </c>
      <c r="AL332" s="33">
        <f>'Dados - Cliente'!AF332</f>
        <v>0</v>
      </c>
      <c r="AM332" s="36" t="e">
        <f>INDEX('Dados - Inversores'!$A:$A,MATCH('1'!AL332,'Dados - Inversores'!$C:$C,0))</f>
        <v>#N/A</v>
      </c>
      <c r="AN332" s="33">
        <f>'Dados - Cliente'!AG332</f>
        <v>0</v>
      </c>
      <c r="AO332" s="33" t="e">
        <f>AA332*1.25/(0.22*SQRT(INDEX('Dados - Inversores'!AK:AK,MATCH('1'!AL332,'Dados - Inversores'!C:C,0))))</f>
        <v>#N/A</v>
      </c>
      <c r="AP332" s="34">
        <f>INDEX(Dados!$E$2:$E$33,COUNTIF(Dados!$E$2:$E$33,"&lt;="&amp;AN332*1.25/(INDEX('Dados - Inversores'!AL:AL,MATCH('1'!AL332,'Dados - Inversores'!C:C,0))*SQRT(INDEX('Dados - Inversores'!AK:AK,MATCH('1'!AL332,'Dados - Inversores'!C:C,0)))))+1)</f>
        <v>2</v>
      </c>
      <c r="AQ332" s="33" t="s">
        <v>59</v>
      </c>
      <c r="AR332" s="33" t="str">
        <f t="shared" si="26"/>
        <v>Micro</v>
      </c>
      <c r="AS332" s="33">
        <f>'Dados - Cliente'!AH332</f>
        <v>0</v>
      </c>
      <c r="AT332" s="33">
        <f>'Dados - Cliente'!AI332</f>
        <v>0</v>
      </c>
      <c r="AU332" s="33" t="e">
        <f>INDEX('Dados - Placas'!$N:$N,MATCH('1'!AG332,'Dados - Placas'!$D:$D,0))-1</f>
        <v>#N/A</v>
      </c>
      <c r="AV332" s="33" t="e">
        <f>INDEX('Dados - Placas'!$O:$O,MATCH('1'!AG332,'Dados - Placas'!$D:$D,0))</f>
        <v>#N/A</v>
      </c>
      <c r="AW332" s="33" t="e">
        <f>INDEX('Dados - Inversores'!AM:AM,MATCH('1'!AL332,'Dados - Inversores'!$C:$C,0))-1</f>
        <v>#N/A</v>
      </c>
      <c r="AX332" s="33" t="e">
        <f>INDEX('Dados - Inversores'!AN:AN,MATCH('1'!AL332,'Dados - Inversores'!$C:$C,0))-1</f>
        <v>#N/A</v>
      </c>
      <c r="AY332" s="33" t="e">
        <f>MATCH('1'!H332,Dados!$D$89:$D$167,0)+1</f>
        <v>#N/A</v>
      </c>
      <c r="AZ332" s="33" t="e">
        <f>MATCH('1'!N332,'Dados - Solicitação de acesso'!$N$2:$N$8,0)</f>
        <v>#N/A</v>
      </c>
      <c r="BA332" s="33" t="e">
        <f>MATCH('1'!T332,'Dados - Solicitação de acesso'!$T$2:$T$20,0)</f>
        <v>#N/A</v>
      </c>
    </row>
    <row r="333" spans="1:53" x14ac:dyDescent="0.35">
      <c r="A333" s="33">
        <f>'Dados - Cliente'!A333</f>
        <v>0</v>
      </c>
      <c r="B333" s="33">
        <f>'Dados - Cliente'!B333</f>
        <v>0</v>
      </c>
      <c r="C333" s="33">
        <f>'Dados - Cliente'!C333</f>
        <v>0</v>
      </c>
      <c r="D333" s="33">
        <f>'Dados - Cliente'!D333</f>
        <v>0</v>
      </c>
      <c r="E333" s="33">
        <f>'Dados - Cliente'!E333</f>
        <v>0</v>
      </c>
      <c r="F333" s="33">
        <f>'Dados - Cliente'!F333</f>
        <v>0</v>
      </c>
      <c r="G333" s="33">
        <f>'Dados - Cliente'!G333</f>
        <v>0</v>
      </c>
      <c r="H333" s="33">
        <f>'Dados - Cliente'!H333</f>
        <v>0</v>
      </c>
      <c r="I333" s="75" t="s">
        <v>4313</v>
      </c>
      <c r="J333" s="52" t="s">
        <v>4314</v>
      </c>
      <c r="K333" s="52" t="s">
        <v>4314</v>
      </c>
      <c r="L333" s="33">
        <f>'Dados - Cliente'!I333</f>
        <v>0</v>
      </c>
      <c r="M333" s="33">
        <f>'Dados - Cliente'!K333</f>
        <v>0</v>
      </c>
      <c r="N333" s="33">
        <f>'Dados - Cliente'!L333</f>
        <v>0</v>
      </c>
      <c r="O333" s="33">
        <f>'Dados - Cliente'!M333</f>
        <v>0</v>
      </c>
      <c r="P333" s="33">
        <f>'Dados - Cliente'!N333</f>
        <v>0</v>
      </c>
      <c r="Q333" s="33">
        <f>'Dados - Cliente'!O333</f>
        <v>0</v>
      </c>
      <c r="R333" s="33">
        <f>'Dados - Cliente'!P333</f>
        <v>0</v>
      </c>
      <c r="S333" s="33">
        <f>'Dados - Cliente'!Q333</f>
        <v>0</v>
      </c>
      <c r="T333" s="33">
        <f>'Dados - Cliente'!R333</f>
        <v>0</v>
      </c>
      <c r="U333" s="34">
        <f>'Dados - Cliente'!S333</f>
        <v>0</v>
      </c>
      <c r="V333" s="34">
        <f>'Dados - Cliente'!T333</f>
        <v>0</v>
      </c>
      <c r="W333" s="34">
        <f>'Dados - Cliente'!U333</f>
        <v>0</v>
      </c>
      <c r="X333" s="34">
        <f>'Dados - Cliente'!V333</f>
        <v>0</v>
      </c>
      <c r="Y333" s="34">
        <f>'Dados - Cliente'!W333</f>
        <v>0</v>
      </c>
      <c r="Z333" s="34">
        <f>'Dados - Cliente'!X333</f>
        <v>0</v>
      </c>
      <c r="AA333" s="33" t="e">
        <f t="shared" si="25"/>
        <v>#N/A</v>
      </c>
      <c r="AB333" s="33">
        <f>'Dados - Cliente'!Y333</f>
        <v>0</v>
      </c>
      <c r="AC333" s="33">
        <f>'Dados - Cliente'!Z333</f>
        <v>0</v>
      </c>
      <c r="AD333" s="33">
        <f>'Dados - Cliente'!AA333</f>
        <v>0</v>
      </c>
      <c r="AE333" s="33">
        <f>'Dados - Cliente'!AB333</f>
        <v>0</v>
      </c>
      <c r="AF333" s="33">
        <f>'Dados - Cliente'!AC333</f>
        <v>0</v>
      </c>
      <c r="AG333" s="35">
        <f>'Dados - Cliente'!AD333</f>
        <v>0</v>
      </c>
      <c r="AH333" s="33" t="e">
        <f>INDEX('Dados - Placas'!$A:$A,MATCH('1'!AG333,'Dados - Placas'!$D:$D,0))</f>
        <v>#N/A</v>
      </c>
      <c r="AI333" s="35" t="e">
        <f>INDEX('Dados - Placas'!$E:$E,MATCH('1'!AG333,'Dados - Placas'!$D:$D,0))</f>
        <v>#N/A</v>
      </c>
      <c r="AJ333" s="34" t="e">
        <f>INDEX('Dados - Placas'!$F:$F,MATCH('1'!AG333,'Dados - Placas'!$D:$D,0))*AF333</f>
        <v>#N/A</v>
      </c>
      <c r="AK333" s="33">
        <f>'Dados - Cliente'!AE333</f>
        <v>0</v>
      </c>
      <c r="AL333" s="33">
        <f>'Dados - Cliente'!AF333</f>
        <v>0</v>
      </c>
      <c r="AM333" s="36" t="e">
        <f>INDEX('Dados - Inversores'!$A:$A,MATCH('1'!AL333,'Dados - Inversores'!$C:$C,0))</f>
        <v>#N/A</v>
      </c>
      <c r="AN333" s="33">
        <f>'Dados - Cliente'!AG333</f>
        <v>0</v>
      </c>
      <c r="AO333" s="33" t="e">
        <f>AA333*1.25/(0.22*SQRT(INDEX('Dados - Inversores'!AK:AK,MATCH('1'!AL333,'Dados - Inversores'!C:C,0))))</f>
        <v>#N/A</v>
      </c>
      <c r="AP333" s="34">
        <f>INDEX(Dados!$E$2:$E$33,COUNTIF(Dados!$E$2:$E$33,"&lt;="&amp;AN333*1.25/(INDEX('Dados - Inversores'!AL:AL,MATCH('1'!AL333,'Dados - Inversores'!C:C,0))*SQRT(INDEX('Dados - Inversores'!AK:AK,MATCH('1'!AL333,'Dados - Inversores'!C:C,0)))))+1)</f>
        <v>2</v>
      </c>
      <c r="AQ333" s="33" t="s">
        <v>59</v>
      </c>
      <c r="AR333" s="33" t="str">
        <f t="shared" si="26"/>
        <v>Micro</v>
      </c>
      <c r="AS333" s="33">
        <f>'Dados - Cliente'!AH333</f>
        <v>0</v>
      </c>
      <c r="AT333" s="33">
        <f>'Dados - Cliente'!AI333</f>
        <v>0</v>
      </c>
      <c r="AU333" s="33" t="e">
        <f>INDEX('Dados - Placas'!$N:$N,MATCH('1'!AG333,'Dados - Placas'!$D:$D,0))-1</f>
        <v>#N/A</v>
      </c>
      <c r="AV333" s="33" t="e">
        <f>INDEX('Dados - Placas'!$O:$O,MATCH('1'!AG333,'Dados - Placas'!$D:$D,0))</f>
        <v>#N/A</v>
      </c>
      <c r="AW333" s="33" t="e">
        <f>INDEX('Dados - Inversores'!AM:AM,MATCH('1'!AL333,'Dados - Inversores'!$C:$C,0))-1</f>
        <v>#N/A</v>
      </c>
      <c r="AX333" s="33" t="e">
        <f>INDEX('Dados - Inversores'!AN:AN,MATCH('1'!AL333,'Dados - Inversores'!$C:$C,0))-1</f>
        <v>#N/A</v>
      </c>
      <c r="AY333" s="33" t="e">
        <f>MATCH('1'!H333,Dados!$D$89:$D$167,0)+1</f>
        <v>#N/A</v>
      </c>
      <c r="AZ333" s="33" t="e">
        <f>MATCH('1'!N333,'Dados - Solicitação de acesso'!$N$2:$N$8,0)</f>
        <v>#N/A</v>
      </c>
      <c r="BA333" s="33" t="e">
        <f>MATCH('1'!T333,'Dados - Solicitação de acesso'!$T$2:$T$20,0)</f>
        <v>#N/A</v>
      </c>
    </row>
    <row r="334" spans="1:53" x14ac:dyDescent="0.35">
      <c r="A334" s="33">
        <f>'Dados - Cliente'!A334</f>
        <v>0</v>
      </c>
      <c r="B334" s="33">
        <f>'Dados - Cliente'!B334</f>
        <v>0</v>
      </c>
      <c r="C334" s="33">
        <f>'Dados - Cliente'!C334</f>
        <v>0</v>
      </c>
      <c r="D334" s="33">
        <f>'Dados - Cliente'!D334</f>
        <v>0</v>
      </c>
      <c r="E334" s="33">
        <f>'Dados - Cliente'!E334</f>
        <v>0</v>
      </c>
      <c r="F334" s="33">
        <f>'Dados - Cliente'!F334</f>
        <v>0</v>
      </c>
      <c r="G334" s="33">
        <f>'Dados - Cliente'!G334</f>
        <v>0</v>
      </c>
      <c r="H334" s="33">
        <f>'Dados - Cliente'!H334</f>
        <v>0</v>
      </c>
      <c r="I334" s="75" t="s">
        <v>4313</v>
      </c>
      <c r="J334" s="52" t="s">
        <v>4314</v>
      </c>
      <c r="K334" s="52" t="s">
        <v>4314</v>
      </c>
      <c r="L334" s="33">
        <f>'Dados - Cliente'!I334</f>
        <v>0</v>
      </c>
      <c r="M334" s="33">
        <f>'Dados - Cliente'!K334</f>
        <v>0</v>
      </c>
      <c r="N334" s="33">
        <f>'Dados - Cliente'!L334</f>
        <v>0</v>
      </c>
      <c r="O334" s="33">
        <f>'Dados - Cliente'!M334</f>
        <v>0</v>
      </c>
      <c r="P334" s="33">
        <f>'Dados - Cliente'!N334</f>
        <v>0</v>
      </c>
      <c r="Q334" s="33">
        <f>'Dados - Cliente'!O334</f>
        <v>0</v>
      </c>
      <c r="R334" s="33">
        <f>'Dados - Cliente'!P334</f>
        <v>0</v>
      </c>
      <c r="S334" s="33">
        <f>'Dados - Cliente'!Q334</f>
        <v>0</v>
      </c>
      <c r="T334" s="33">
        <f>'Dados - Cliente'!R334</f>
        <v>0</v>
      </c>
      <c r="U334" s="34">
        <f>'Dados - Cliente'!S334</f>
        <v>0</v>
      </c>
      <c r="V334" s="34">
        <f>'Dados - Cliente'!T334</f>
        <v>0</v>
      </c>
      <c r="W334" s="34">
        <f>'Dados - Cliente'!U334</f>
        <v>0</v>
      </c>
      <c r="X334" s="34">
        <f>'Dados - Cliente'!V334</f>
        <v>0</v>
      </c>
      <c r="Y334" s="34">
        <f>'Dados - Cliente'!W334</f>
        <v>0</v>
      </c>
      <c r="Z334" s="34">
        <f>'Dados - Cliente'!X334</f>
        <v>0</v>
      </c>
      <c r="AA334" s="33" t="e">
        <f t="shared" si="25"/>
        <v>#N/A</v>
      </c>
      <c r="AB334" s="33">
        <f>'Dados - Cliente'!Y334</f>
        <v>0</v>
      </c>
      <c r="AC334" s="33">
        <f>'Dados - Cliente'!Z334</f>
        <v>0</v>
      </c>
      <c r="AD334" s="33">
        <f>'Dados - Cliente'!AA334</f>
        <v>0</v>
      </c>
      <c r="AE334" s="33">
        <f>'Dados - Cliente'!AB334</f>
        <v>0</v>
      </c>
      <c r="AF334" s="33">
        <f>'Dados - Cliente'!AC334</f>
        <v>0</v>
      </c>
      <c r="AG334" s="35">
        <f>'Dados - Cliente'!AD334</f>
        <v>0</v>
      </c>
      <c r="AH334" s="33" t="e">
        <f>INDEX('Dados - Placas'!$A:$A,MATCH('1'!AG334,'Dados - Placas'!$D:$D,0))</f>
        <v>#N/A</v>
      </c>
      <c r="AI334" s="35" t="e">
        <f>INDEX('Dados - Placas'!$E:$E,MATCH('1'!AG334,'Dados - Placas'!$D:$D,0))</f>
        <v>#N/A</v>
      </c>
      <c r="AJ334" s="34" t="e">
        <f>INDEX('Dados - Placas'!$F:$F,MATCH('1'!AG334,'Dados - Placas'!$D:$D,0))*AF334</f>
        <v>#N/A</v>
      </c>
      <c r="AK334" s="33">
        <f>'Dados - Cliente'!AE334</f>
        <v>0</v>
      </c>
      <c r="AL334" s="33">
        <f>'Dados - Cliente'!AF334</f>
        <v>0</v>
      </c>
      <c r="AM334" s="36" t="e">
        <f>INDEX('Dados - Inversores'!$A:$A,MATCH('1'!AL334,'Dados - Inversores'!$C:$C,0))</f>
        <v>#N/A</v>
      </c>
      <c r="AN334" s="33">
        <f>'Dados - Cliente'!AG334</f>
        <v>0</v>
      </c>
      <c r="AO334" s="33" t="e">
        <f>AA334*1.25/(0.22*SQRT(INDEX('Dados - Inversores'!AK:AK,MATCH('1'!AL334,'Dados - Inversores'!C:C,0))))</f>
        <v>#N/A</v>
      </c>
      <c r="AP334" s="34">
        <f>INDEX(Dados!$E$2:$E$33,COUNTIF(Dados!$E$2:$E$33,"&lt;="&amp;AN334*1.25/(INDEX('Dados - Inversores'!AL:AL,MATCH('1'!AL334,'Dados - Inversores'!C:C,0))*SQRT(INDEX('Dados - Inversores'!AK:AK,MATCH('1'!AL334,'Dados - Inversores'!C:C,0)))))+1)</f>
        <v>2</v>
      </c>
      <c r="AQ334" s="33" t="s">
        <v>59</v>
      </c>
      <c r="AR334" s="33" t="str">
        <f t="shared" si="26"/>
        <v>Micro</v>
      </c>
      <c r="AS334" s="33">
        <f>'Dados - Cliente'!AH334</f>
        <v>0</v>
      </c>
      <c r="AT334" s="33">
        <f>'Dados - Cliente'!AI334</f>
        <v>0</v>
      </c>
      <c r="AU334" s="33" t="e">
        <f>INDEX('Dados - Placas'!$N:$N,MATCH('1'!AG334,'Dados - Placas'!$D:$D,0))-1</f>
        <v>#N/A</v>
      </c>
      <c r="AV334" s="33" t="e">
        <f>INDEX('Dados - Placas'!$O:$O,MATCH('1'!AG334,'Dados - Placas'!$D:$D,0))</f>
        <v>#N/A</v>
      </c>
      <c r="AW334" s="33" t="e">
        <f>INDEX('Dados - Inversores'!AM:AM,MATCH('1'!AL334,'Dados - Inversores'!$C:$C,0))-1</f>
        <v>#N/A</v>
      </c>
      <c r="AX334" s="33" t="e">
        <f>INDEX('Dados - Inversores'!AN:AN,MATCH('1'!AL334,'Dados - Inversores'!$C:$C,0))-1</f>
        <v>#N/A</v>
      </c>
      <c r="AY334" s="33" t="e">
        <f>MATCH('1'!H334,Dados!$D$89:$D$167,0)+1</f>
        <v>#N/A</v>
      </c>
      <c r="AZ334" s="33" t="e">
        <f>MATCH('1'!N334,'Dados - Solicitação de acesso'!$N$2:$N$8,0)</f>
        <v>#N/A</v>
      </c>
      <c r="BA334" s="33" t="e">
        <f>MATCH('1'!T334,'Dados - Solicitação de acesso'!$T$2:$T$20,0)</f>
        <v>#N/A</v>
      </c>
    </row>
    <row r="335" spans="1:53" x14ac:dyDescent="0.35">
      <c r="A335" s="33">
        <f>'Dados - Cliente'!A335</f>
        <v>0</v>
      </c>
      <c r="B335" s="33">
        <f>'Dados - Cliente'!B335</f>
        <v>0</v>
      </c>
      <c r="C335" s="33">
        <f>'Dados - Cliente'!C335</f>
        <v>0</v>
      </c>
      <c r="D335" s="33">
        <f>'Dados - Cliente'!D335</f>
        <v>0</v>
      </c>
      <c r="E335" s="33">
        <f>'Dados - Cliente'!E335</f>
        <v>0</v>
      </c>
      <c r="F335" s="33">
        <f>'Dados - Cliente'!F335</f>
        <v>0</v>
      </c>
      <c r="G335" s="33">
        <f>'Dados - Cliente'!G335</f>
        <v>0</v>
      </c>
      <c r="H335" s="33">
        <f>'Dados - Cliente'!H335</f>
        <v>0</v>
      </c>
      <c r="I335" s="75" t="s">
        <v>4313</v>
      </c>
      <c r="J335" s="52" t="s">
        <v>4314</v>
      </c>
      <c r="K335" s="52" t="s">
        <v>4314</v>
      </c>
      <c r="L335" s="33">
        <f>'Dados - Cliente'!I335</f>
        <v>0</v>
      </c>
      <c r="M335" s="33">
        <f>'Dados - Cliente'!K335</f>
        <v>0</v>
      </c>
      <c r="N335" s="33">
        <f>'Dados - Cliente'!L335</f>
        <v>0</v>
      </c>
      <c r="O335" s="33">
        <f>'Dados - Cliente'!M335</f>
        <v>0</v>
      </c>
      <c r="P335" s="33">
        <f>'Dados - Cliente'!N335</f>
        <v>0</v>
      </c>
      <c r="Q335" s="33">
        <f>'Dados - Cliente'!O335</f>
        <v>0</v>
      </c>
      <c r="R335" s="33">
        <f>'Dados - Cliente'!P335</f>
        <v>0</v>
      </c>
      <c r="S335" s="33">
        <f>'Dados - Cliente'!Q335</f>
        <v>0</v>
      </c>
      <c r="T335" s="33">
        <f>'Dados - Cliente'!R335</f>
        <v>0</v>
      </c>
      <c r="U335" s="34">
        <f>'Dados - Cliente'!S335</f>
        <v>0</v>
      </c>
      <c r="V335" s="34">
        <f>'Dados - Cliente'!T335</f>
        <v>0</v>
      </c>
      <c r="W335" s="34">
        <f>'Dados - Cliente'!U335</f>
        <v>0</v>
      </c>
      <c r="X335" s="34">
        <f>'Dados - Cliente'!V335</f>
        <v>0</v>
      </c>
      <c r="Y335" s="34">
        <f>'Dados - Cliente'!W335</f>
        <v>0</v>
      </c>
      <c r="Z335" s="34">
        <f>'Dados - Cliente'!X335</f>
        <v>0</v>
      </c>
      <c r="AA335" s="33" t="e">
        <f t="shared" si="25"/>
        <v>#N/A</v>
      </c>
      <c r="AB335" s="33">
        <f>'Dados - Cliente'!Y335</f>
        <v>0</v>
      </c>
      <c r="AC335" s="33">
        <f>'Dados - Cliente'!Z335</f>
        <v>0</v>
      </c>
      <c r="AD335" s="33">
        <f>'Dados - Cliente'!AA335</f>
        <v>0</v>
      </c>
      <c r="AE335" s="33">
        <f>'Dados - Cliente'!AB335</f>
        <v>0</v>
      </c>
      <c r="AF335" s="33">
        <f>'Dados - Cliente'!AC335</f>
        <v>0</v>
      </c>
      <c r="AG335" s="35">
        <f>'Dados - Cliente'!AD335</f>
        <v>0</v>
      </c>
      <c r="AH335" s="33" t="e">
        <f>INDEX('Dados - Placas'!$A:$A,MATCH('1'!AG335,'Dados - Placas'!$D:$D,0))</f>
        <v>#N/A</v>
      </c>
      <c r="AI335" s="35" t="e">
        <f>INDEX('Dados - Placas'!$E:$E,MATCH('1'!AG335,'Dados - Placas'!$D:$D,0))</f>
        <v>#N/A</v>
      </c>
      <c r="AJ335" s="34" t="e">
        <f>INDEX('Dados - Placas'!$F:$F,MATCH('1'!AG335,'Dados - Placas'!$D:$D,0))*AF335</f>
        <v>#N/A</v>
      </c>
      <c r="AK335" s="33">
        <f>'Dados - Cliente'!AE335</f>
        <v>0</v>
      </c>
      <c r="AL335" s="33">
        <f>'Dados - Cliente'!AF335</f>
        <v>0</v>
      </c>
      <c r="AM335" s="36" t="e">
        <f>INDEX('Dados - Inversores'!$A:$A,MATCH('1'!AL335,'Dados - Inversores'!$C:$C,0))</f>
        <v>#N/A</v>
      </c>
      <c r="AN335" s="33">
        <f>'Dados - Cliente'!AG335</f>
        <v>0</v>
      </c>
      <c r="AO335" s="33" t="e">
        <f>AA335*1.25/(0.22*SQRT(INDEX('Dados - Inversores'!AK:AK,MATCH('1'!AL335,'Dados - Inversores'!C:C,0))))</f>
        <v>#N/A</v>
      </c>
      <c r="AP335" s="34">
        <f>INDEX(Dados!$E$2:$E$33,COUNTIF(Dados!$E$2:$E$33,"&lt;="&amp;AN335*1.25/(INDEX('Dados - Inversores'!AL:AL,MATCH('1'!AL335,'Dados - Inversores'!C:C,0))*SQRT(INDEX('Dados - Inversores'!AK:AK,MATCH('1'!AL335,'Dados - Inversores'!C:C,0)))))+1)</f>
        <v>2</v>
      </c>
      <c r="AQ335" s="33" t="s">
        <v>59</v>
      </c>
      <c r="AR335" s="33" t="str">
        <f t="shared" si="26"/>
        <v>Micro</v>
      </c>
      <c r="AS335" s="33">
        <f>'Dados - Cliente'!AH335</f>
        <v>0</v>
      </c>
      <c r="AT335" s="33">
        <f>'Dados - Cliente'!AI335</f>
        <v>0</v>
      </c>
      <c r="AU335" s="33" t="e">
        <f>INDEX('Dados - Placas'!$N:$N,MATCH('1'!AG335,'Dados - Placas'!$D:$D,0))-1</f>
        <v>#N/A</v>
      </c>
      <c r="AV335" s="33" t="e">
        <f>INDEX('Dados - Placas'!$O:$O,MATCH('1'!AG335,'Dados - Placas'!$D:$D,0))</f>
        <v>#N/A</v>
      </c>
      <c r="AW335" s="33" t="e">
        <f>INDEX('Dados - Inversores'!AM:AM,MATCH('1'!AL335,'Dados - Inversores'!$C:$C,0))-1</f>
        <v>#N/A</v>
      </c>
      <c r="AX335" s="33" t="e">
        <f>INDEX('Dados - Inversores'!AN:AN,MATCH('1'!AL335,'Dados - Inversores'!$C:$C,0))-1</f>
        <v>#N/A</v>
      </c>
      <c r="AY335" s="33" t="e">
        <f>MATCH('1'!H335,Dados!$D$89:$D$167,0)+1</f>
        <v>#N/A</v>
      </c>
      <c r="AZ335" s="33" t="e">
        <f>MATCH('1'!N335,'Dados - Solicitação de acesso'!$N$2:$N$8,0)</f>
        <v>#N/A</v>
      </c>
      <c r="BA335" s="33" t="e">
        <f>MATCH('1'!T335,'Dados - Solicitação de acesso'!$T$2:$T$20,0)</f>
        <v>#N/A</v>
      </c>
    </row>
    <row r="336" spans="1:53" x14ac:dyDescent="0.35">
      <c r="A336" s="33">
        <f>'Dados - Cliente'!A336</f>
        <v>0</v>
      </c>
      <c r="B336" s="33">
        <f>'Dados - Cliente'!B336</f>
        <v>0</v>
      </c>
      <c r="C336" s="33">
        <f>'Dados - Cliente'!C336</f>
        <v>0</v>
      </c>
      <c r="D336" s="33">
        <f>'Dados - Cliente'!D336</f>
        <v>0</v>
      </c>
      <c r="E336" s="33">
        <f>'Dados - Cliente'!E336</f>
        <v>0</v>
      </c>
      <c r="F336" s="33">
        <f>'Dados - Cliente'!F336</f>
        <v>0</v>
      </c>
      <c r="G336" s="33">
        <f>'Dados - Cliente'!G336</f>
        <v>0</v>
      </c>
      <c r="H336" s="33">
        <f>'Dados - Cliente'!H336</f>
        <v>0</v>
      </c>
      <c r="I336" s="75" t="s">
        <v>4313</v>
      </c>
      <c r="J336" s="52" t="s">
        <v>4314</v>
      </c>
      <c r="K336" s="52" t="s">
        <v>4314</v>
      </c>
      <c r="L336" s="33">
        <f>'Dados - Cliente'!I336</f>
        <v>0</v>
      </c>
      <c r="M336" s="33">
        <f>'Dados - Cliente'!K336</f>
        <v>0</v>
      </c>
      <c r="N336" s="33">
        <f>'Dados - Cliente'!L336</f>
        <v>0</v>
      </c>
      <c r="O336" s="33">
        <f>'Dados - Cliente'!M336</f>
        <v>0</v>
      </c>
      <c r="P336" s="33">
        <f>'Dados - Cliente'!N336</f>
        <v>0</v>
      </c>
      <c r="Q336" s="33">
        <f>'Dados - Cliente'!O336</f>
        <v>0</v>
      </c>
      <c r="R336" s="33">
        <f>'Dados - Cliente'!P336</f>
        <v>0</v>
      </c>
      <c r="S336" s="33">
        <f>'Dados - Cliente'!Q336</f>
        <v>0</v>
      </c>
      <c r="T336" s="33">
        <f>'Dados - Cliente'!R336</f>
        <v>0</v>
      </c>
      <c r="U336" s="34">
        <f>'Dados - Cliente'!S336</f>
        <v>0</v>
      </c>
      <c r="V336" s="34">
        <f>'Dados - Cliente'!T336</f>
        <v>0</v>
      </c>
      <c r="W336" s="34">
        <f>'Dados - Cliente'!U336</f>
        <v>0</v>
      </c>
      <c r="X336" s="34">
        <f>'Dados - Cliente'!V336</f>
        <v>0</v>
      </c>
      <c r="Y336" s="34">
        <f>'Dados - Cliente'!W336</f>
        <v>0</v>
      </c>
      <c r="Z336" s="34">
        <f>'Dados - Cliente'!X336</f>
        <v>0</v>
      </c>
      <c r="AA336" s="33" t="e">
        <f t="shared" si="25"/>
        <v>#N/A</v>
      </c>
      <c r="AB336" s="33">
        <f>'Dados - Cliente'!Y336</f>
        <v>0</v>
      </c>
      <c r="AC336" s="33">
        <f>'Dados - Cliente'!Z336</f>
        <v>0</v>
      </c>
      <c r="AD336" s="33">
        <f>'Dados - Cliente'!AA336</f>
        <v>0</v>
      </c>
      <c r="AE336" s="33">
        <f>'Dados - Cliente'!AB336</f>
        <v>0</v>
      </c>
      <c r="AF336" s="33">
        <f>'Dados - Cliente'!AC336</f>
        <v>0</v>
      </c>
      <c r="AG336" s="35">
        <f>'Dados - Cliente'!AD336</f>
        <v>0</v>
      </c>
      <c r="AH336" s="33" t="e">
        <f>INDEX('Dados - Placas'!$A:$A,MATCH('1'!AG336,'Dados - Placas'!$D:$D,0))</f>
        <v>#N/A</v>
      </c>
      <c r="AI336" s="35" t="e">
        <f>INDEX('Dados - Placas'!$E:$E,MATCH('1'!AG336,'Dados - Placas'!$D:$D,0))</f>
        <v>#N/A</v>
      </c>
      <c r="AJ336" s="34" t="e">
        <f>INDEX('Dados - Placas'!$F:$F,MATCH('1'!AG336,'Dados - Placas'!$D:$D,0))*AF336</f>
        <v>#N/A</v>
      </c>
      <c r="AK336" s="33">
        <f>'Dados - Cliente'!AE336</f>
        <v>0</v>
      </c>
      <c r="AL336" s="33">
        <f>'Dados - Cliente'!AF336</f>
        <v>0</v>
      </c>
      <c r="AM336" s="36" t="e">
        <f>INDEX('Dados - Inversores'!$A:$A,MATCH('1'!AL336,'Dados - Inversores'!$C:$C,0))</f>
        <v>#N/A</v>
      </c>
      <c r="AN336" s="33">
        <f>'Dados - Cliente'!AG336</f>
        <v>0</v>
      </c>
      <c r="AO336" s="33" t="e">
        <f>AA336*1.25/(0.22*SQRT(INDEX('Dados - Inversores'!AK:AK,MATCH('1'!AL336,'Dados - Inversores'!C:C,0))))</f>
        <v>#N/A</v>
      </c>
      <c r="AP336" s="34">
        <f>INDEX(Dados!$E$2:$E$33,COUNTIF(Dados!$E$2:$E$33,"&lt;="&amp;AN336*1.25/(INDEX('Dados - Inversores'!AL:AL,MATCH('1'!AL336,'Dados - Inversores'!C:C,0))*SQRT(INDEX('Dados - Inversores'!AK:AK,MATCH('1'!AL336,'Dados - Inversores'!C:C,0)))))+1)</f>
        <v>2</v>
      </c>
      <c r="AQ336" s="33" t="s">
        <v>59</v>
      </c>
      <c r="AR336" s="33" t="str">
        <f t="shared" si="26"/>
        <v>Micro</v>
      </c>
      <c r="AS336" s="33">
        <f>'Dados - Cliente'!AH336</f>
        <v>0</v>
      </c>
      <c r="AT336" s="33">
        <f>'Dados - Cliente'!AI336</f>
        <v>0</v>
      </c>
      <c r="AU336" s="33" t="e">
        <f>INDEX('Dados - Placas'!$N:$N,MATCH('1'!AG336,'Dados - Placas'!$D:$D,0))-1</f>
        <v>#N/A</v>
      </c>
      <c r="AV336" s="33" t="e">
        <f>INDEX('Dados - Placas'!$O:$O,MATCH('1'!AG336,'Dados - Placas'!$D:$D,0))</f>
        <v>#N/A</v>
      </c>
      <c r="AW336" s="33" t="e">
        <f>INDEX('Dados - Inversores'!AM:AM,MATCH('1'!AL336,'Dados - Inversores'!$C:$C,0))-1</f>
        <v>#N/A</v>
      </c>
      <c r="AX336" s="33" t="e">
        <f>INDEX('Dados - Inversores'!AN:AN,MATCH('1'!AL336,'Dados - Inversores'!$C:$C,0))-1</f>
        <v>#N/A</v>
      </c>
      <c r="AY336" s="33" t="e">
        <f>MATCH('1'!H336,Dados!$D$89:$D$167,0)+1</f>
        <v>#N/A</v>
      </c>
      <c r="AZ336" s="33" t="e">
        <f>MATCH('1'!N336,'Dados - Solicitação de acesso'!$N$2:$N$8,0)</f>
        <v>#N/A</v>
      </c>
      <c r="BA336" s="33" t="e">
        <f>MATCH('1'!T336,'Dados - Solicitação de acesso'!$T$2:$T$20,0)</f>
        <v>#N/A</v>
      </c>
    </row>
    <row r="337" spans="1:53" x14ac:dyDescent="0.35">
      <c r="A337" s="33">
        <f>'Dados - Cliente'!A337</f>
        <v>0</v>
      </c>
      <c r="B337" s="33">
        <f>'Dados - Cliente'!B337</f>
        <v>0</v>
      </c>
      <c r="C337" s="33">
        <f>'Dados - Cliente'!C337</f>
        <v>0</v>
      </c>
      <c r="D337" s="33">
        <f>'Dados - Cliente'!D337</f>
        <v>0</v>
      </c>
      <c r="E337" s="33">
        <f>'Dados - Cliente'!E337</f>
        <v>0</v>
      </c>
      <c r="F337" s="33">
        <f>'Dados - Cliente'!F337</f>
        <v>0</v>
      </c>
      <c r="G337" s="33">
        <f>'Dados - Cliente'!G337</f>
        <v>0</v>
      </c>
      <c r="H337" s="33">
        <f>'Dados - Cliente'!H337</f>
        <v>0</v>
      </c>
      <c r="I337" s="75" t="s">
        <v>4313</v>
      </c>
      <c r="J337" s="52" t="s">
        <v>4314</v>
      </c>
      <c r="K337" s="52" t="s">
        <v>4314</v>
      </c>
      <c r="L337" s="33">
        <f>'Dados - Cliente'!I337</f>
        <v>0</v>
      </c>
      <c r="M337" s="33">
        <f>'Dados - Cliente'!K337</f>
        <v>0</v>
      </c>
      <c r="N337" s="33">
        <f>'Dados - Cliente'!L337</f>
        <v>0</v>
      </c>
      <c r="O337" s="33">
        <f>'Dados - Cliente'!M337</f>
        <v>0</v>
      </c>
      <c r="P337" s="33">
        <f>'Dados - Cliente'!N337</f>
        <v>0</v>
      </c>
      <c r="Q337" s="33">
        <f>'Dados - Cliente'!O337</f>
        <v>0</v>
      </c>
      <c r="R337" s="33">
        <f>'Dados - Cliente'!P337</f>
        <v>0</v>
      </c>
      <c r="S337" s="33">
        <f>'Dados - Cliente'!Q337</f>
        <v>0</v>
      </c>
      <c r="T337" s="33">
        <f>'Dados - Cliente'!R337</f>
        <v>0</v>
      </c>
      <c r="U337" s="34">
        <f>'Dados - Cliente'!S337</f>
        <v>0</v>
      </c>
      <c r="V337" s="34">
        <f>'Dados - Cliente'!T337</f>
        <v>0</v>
      </c>
      <c r="W337" s="34">
        <f>'Dados - Cliente'!U337</f>
        <v>0</v>
      </c>
      <c r="X337" s="34">
        <f>'Dados - Cliente'!V337</f>
        <v>0</v>
      </c>
      <c r="Y337" s="34">
        <f>'Dados - Cliente'!W337</f>
        <v>0</v>
      </c>
      <c r="Z337" s="34">
        <f>'Dados - Cliente'!X337</f>
        <v>0</v>
      </c>
      <c r="AA337" s="33" t="e">
        <f t="shared" si="25"/>
        <v>#N/A</v>
      </c>
      <c r="AB337" s="33">
        <f>'Dados - Cliente'!Y337</f>
        <v>0</v>
      </c>
      <c r="AC337" s="33">
        <f>'Dados - Cliente'!Z337</f>
        <v>0</v>
      </c>
      <c r="AD337" s="33">
        <f>'Dados - Cliente'!AA337</f>
        <v>0</v>
      </c>
      <c r="AE337" s="33">
        <f>'Dados - Cliente'!AB337</f>
        <v>0</v>
      </c>
      <c r="AF337" s="33">
        <f>'Dados - Cliente'!AC337</f>
        <v>0</v>
      </c>
      <c r="AG337" s="35">
        <f>'Dados - Cliente'!AD337</f>
        <v>0</v>
      </c>
      <c r="AH337" s="33" t="e">
        <f>INDEX('Dados - Placas'!$A:$A,MATCH('1'!AG337,'Dados - Placas'!$D:$D,0))</f>
        <v>#N/A</v>
      </c>
      <c r="AI337" s="35" t="e">
        <f>INDEX('Dados - Placas'!$E:$E,MATCH('1'!AG337,'Dados - Placas'!$D:$D,0))</f>
        <v>#N/A</v>
      </c>
      <c r="AJ337" s="34" t="e">
        <f>INDEX('Dados - Placas'!$F:$F,MATCH('1'!AG337,'Dados - Placas'!$D:$D,0))*AF337</f>
        <v>#N/A</v>
      </c>
      <c r="AK337" s="33">
        <f>'Dados - Cliente'!AE337</f>
        <v>0</v>
      </c>
      <c r="AL337" s="33">
        <f>'Dados - Cliente'!AF337</f>
        <v>0</v>
      </c>
      <c r="AM337" s="36" t="e">
        <f>INDEX('Dados - Inversores'!$A:$A,MATCH('1'!AL337,'Dados - Inversores'!$C:$C,0))</f>
        <v>#N/A</v>
      </c>
      <c r="AN337" s="33">
        <f>'Dados - Cliente'!AG337</f>
        <v>0</v>
      </c>
      <c r="AO337" s="33" t="e">
        <f>AA337*1.25/(0.22*SQRT(INDEX('Dados - Inversores'!AK:AK,MATCH('1'!AL337,'Dados - Inversores'!C:C,0))))</f>
        <v>#N/A</v>
      </c>
      <c r="AP337" s="34">
        <f>INDEX(Dados!$E$2:$E$33,COUNTIF(Dados!$E$2:$E$33,"&lt;="&amp;AN337*1.25/(INDEX('Dados - Inversores'!AL:AL,MATCH('1'!AL337,'Dados - Inversores'!C:C,0))*SQRT(INDEX('Dados - Inversores'!AK:AK,MATCH('1'!AL337,'Dados - Inversores'!C:C,0)))))+1)</f>
        <v>2</v>
      </c>
      <c r="AQ337" s="33" t="s">
        <v>59</v>
      </c>
      <c r="AR337" s="33" t="str">
        <f t="shared" si="26"/>
        <v>Micro</v>
      </c>
      <c r="AS337" s="33">
        <f>'Dados - Cliente'!AH337</f>
        <v>0</v>
      </c>
      <c r="AT337" s="33">
        <f>'Dados - Cliente'!AI337</f>
        <v>0</v>
      </c>
      <c r="AU337" s="33" t="e">
        <f>INDEX('Dados - Placas'!$N:$N,MATCH('1'!AG337,'Dados - Placas'!$D:$D,0))-1</f>
        <v>#N/A</v>
      </c>
      <c r="AV337" s="33" t="e">
        <f>INDEX('Dados - Placas'!$O:$O,MATCH('1'!AG337,'Dados - Placas'!$D:$D,0))</f>
        <v>#N/A</v>
      </c>
      <c r="AW337" s="33" t="e">
        <f>INDEX('Dados - Inversores'!AM:AM,MATCH('1'!AL337,'Dados - Inversores'!$C:$C,0))-1</f>
        <v>#N/A</v>
      </c>
      <c r="AX337" s="33" t="e">
        <f>INDEX('Dados - Inversores'!AN:AN,MATCH('1'!AL337,'Dados - Inversores'!$C:$C,0))-1</f>
        <v>#N/A</v>
      </c>
      <c r="AY337" s="33" t="e">
        <f>MATCH('1'!H337,Dados!$D$89:$D$167,0)+1</f>
        <v>#N/A</v>
      </c>
      <c r="AZ337" s="33" t="e">
        <f>MATCH('1'!N337,'Dados - Solicitação de acesso'!$N$2:$N$8,0)</f>
        <v>#N/A</v>
      </c>
      <c r="BA337" s="33" t="e">
        <f>MATCH('1'!T337,'Dados - Solicitação de acesso'!$T$2:$T$20,0)</f>
        <v>#N/A</v>
      </c>
    </row>
    <row r="338" spans="1:53" x14ac:dyDescent="0.35">
      <c r="A338" s="33">
        <f>'Dados - Cliente'!A338</f>
        <v>0</v>
      </c>
      <c r="B338" s="33">
        <f>'Dados - Cliente'!B338</f>
        <v>0</v>
      </c>
      <c r="C338" s="33">
        <f>'Dados - Cliente'!C338</f>
        <v>0</v>
      </c>
      <c r="D338" s="33">
        <f>'Dados - Cliente'!D338</f>
        <v>0</v>
      </c>
      <c r="E338" s="33">
        <f>'Dados - Cliente'!E338</f>
        <v>0</v>
      </c>
      <c r="F338" s="33">
        <f>'Dados - Cliente'!F338</f>
        <v>0</v>
      </c>
      <c r="G338" s="33">
        <f>'Dados - Cliente'!G338</f>
        <v>0</v>
      </c>
      <c r="H338" s="33">
        <f>'Dados - Cliente'!H338</f>
        <v>0</v>
      </c>
      <c r="I338" s="75" t="s">
        <v>4313</v>
      </c>
      <c r="J338" s="52" t="s">
        <v>4314</v>
      </c>
      <c r="K338" s="52" t="s">
        <v>4314</v>
      </c>
      <c r="L338" s="33">
        <f>'Dados - Cliente'!I338</f>
        <v>0</v>
      </c>
      <c r="M338" s="33">
        <f>'Dados - Cliente'!K338</f>
        <v>0</v>
      </c>
      <c r="N338" s="33">
        <f>'Dados - Cliente'!L338</f>
        <v>0</v>
      </c>
      <c r="O338" s="33">
        <f>'Dados - Cliente'!M338</f>
        <v>0</v>
      </c>
      <c r="P338" s="33">
        <f>'Dados - Cliente'!N338</f>
        <v>0</v>
      </c>
      <c r="Q338" s="33">
        <f>'Dados - Cliente'!O338</f>
        <v>0</v>
      </c>
      <c r="R338" s="33">
        <f>'Dados - Cliente'!P338</f>
        <v>0</v>
      </c>
      <c r="S338" s="33">
        <f>'Dados - Cliente'!Q338</f>
        <v>0</v>
      </c>
      <c r="T338" s="33">
        <f>'Dados - Cliente'!R338</f>
        <v>0</v>
      </c>
      <c r="U338" s="34">
        <f>'Dados - Cliente'!S338</f>
        <v>0</v>
      </c>
      <c r="V338" s="34">
        <f>'Dados - Cliente'!T338</f>
        <v>0</v>
      </c>
      <c r="W338" s="34">
        <f>'Dados - Cliente'!U338</f>
        <v>0</v>
      </c>
      <c r="X338" s="34">
        <f>'Dados - Cliente'!V338</f>
        <v>0</v>
      </c>
      <c r="Y338" s="34">
        <f>'Dados - Cliente'!W338</f>
        <v>0</v>
      </c>
      <c r="Z338" s="34">
        <f>'Dados - Cliente'!X338</f>
        <v>0</v>
      </c>
      <c r="AA338" s="33" t="e">
        <f t="shared" si="25"/>
        <v>#N/A</v>
      </c>
      <c r="AB338" s="33">
        <f>'Dados - Cliente'!Y338</f>
        <v>0</v>
      </c>
      <c r="AC338" s="33">
        <f>'Dados - Cliente'!Z338</f>
        <v>0</v>
      </c>
      <c r="AD338" s="33">
        <f>'Dados - Cliente'!AA338</f>
        <v>0</v>
      </c>
      <c r="AE338" s="33">
        <f>'Dados - Cliente'!AB338</f>
        <v>0</v>
      </c>
      <c r="AF338" s="33">
        <f>'Dados - Cliente'!AC338</f>
        <v>0</v>
      </c>
      <c r="AG338" s="35">
        <f>'Dados - Cliente'!AD338</f>
        <v>0</v>
      </c>
      <c r="AH338" s="33" t="e">
        <f>INDEX('Dados - Placas'!$A:$A,MATCH('1'!AG338,'Dados - Placas'!$D:$D,0))</f>
        <v>#N/A</v>
      </c>
      <c r="AI338" s="35" t="e">
        <f>INDEX('Dados - Placas'!$E:$E,MATCH('1'!AG338,'Dados - Placas'!$D:$D,0))</f>
        <v>#N/A</v>
      </c>
      <c r="AJ338" s="34" t="e">
        <f>INDEX('Dados - Placas'!$F:$F,MATCH('1'!AG338,'Dados - Placas'!$D:$D,0))*AF338</f>
        <v>#N/A</v>
      </c>
      <c r="AK338" s="33">
        <f>'Dados - Cliente'!AE338</f>
        <v>0</v>
      </c>
      <c r="AL338" s="33">
        <f>'Dados - Cliente'!AF338</f>
        <v>0</v>
      </c>
      <c r="AM338" s="36" t="e">
        <f>INDEX('Dados - Inversores'!$A:$A,MATCH('1'!AL338,'Dados - Inversores'!$C:$C,0))</f>
        <v>#N/A</v>
      </c>
      <c r="AN338" s="33">
        <f>'Dados - Cliente'!AG338</f>
        <v>0</v>
      </c>
      <c r="AO338" s="33" t="e">
        <f>AA338*1.25/(0.22*SQRT(INDEX('Dados - Inversores'!AK:AK,MATCH('1'!AL338,'Dados - Inversores'!C:C,0))))</f>
        <v>#N/A</v>
      </c>
      <c r="AP338" s="34">
        <f>INDEX(Dados!$E$2:$E$33,COUNTIF(Dados!$E$2:$E$33,"&lt;="&amp;AN338*1.25/(INDEX('Dados - Inversores'!AL:AL,MATCH('1'!AL338,'Dados - Inversores'!C:C,0))*SQRT(INDEX('Dados - Inversores'!AK:AK,MATCH('1'!AL338,'Dados - Inversores'!C:C,0)))))+1)</f>
        <v>2</v>
      </c>
      <c r="AQ338" s="33" t="s">
        <v>59</v>
      </c>
      <c r="AR338" s="33" t="str">
        <f t="shared" si="26"/>
        <v>Micro</v>
      </c>
      <c r="AS338" s="33">
        <f>'Dados - Cliente'!AH338</f>
        <v>0</v>
      </c>
      <c r="AT338" s="33">
        <f>'Dados - Cliente'!AI338</f>
        <v>0</v>
      </c>
      <c r="AU338" s="33" t="e">
        <f>INDEX('Dados - Placas'!$N:$N,MATCH('1'!AG338,'Dados - Placas'!$D:$D,0))-1</f>
        <v>#N/A</v>
      </c>
      <c r="AV338" s="33" t="e">
        <f>INDEX('Dados - Placas'!$O:$O,MATCH('1'!AG338,'Dados - Placas'!$D:$D,0))</f>
        <v>#N/A</v>
      </c>
      <c r="AW338" s="33" t="e">
        <f>INDEX('Dados - Inversores'!AM:AM,MATCH('1'!AL338,'Dados - Inversores'!$C:$C,0))-1</f>
        <v>#N/A</v>
      </c>
      <c r="AX338" s="33" t="e">
        <f>INDEX('Dados - Inversores'!AN:AN,MATCH('1'!AL338,'Dados - Inversores'!$C:$C,0))-1</f>
        <v>#N/A</v>
      </c>
      <c r="AY338" s="33" t="e">
        <f>MATCH('1'!H338,Dados!$D$89:$D$167,0)+1</f>
        <v>#N/A</v>
      </c>
      <c r="AZ338" s="33" t="e">
        <f>MATCH('1'!N338,'Dados - Solicitação de acesso'!$N$2:$N$8,0)</f>
        <v>#N/A</v>
      </c>
      <c r="BA338" s="33" t="e">
        <f>MATCH('1'!T338,'Dados - Solicitação de acesso'!$T$2:$T$20,0)</f>
        <v>#N/A</v>
      </c>
    </row>
    <row r="339" spans="1:53" x14ac:dyDescent="0.35">
      <c r="A339" s="33">
        <f>'Dados - Cliente'!A339</f>
        <v>0</v>
      </c>
      <c r="B339" s="33">
        <f>'Dados - Cliente'!B339</f>
        <v>0</v>
      </c>
      <c r="C339" s="33">
        <f>'Dados - Cliente'!C339</f>
        <v>0</v>
      </c>
      <c r="D339" s="33">
        <f>'Dados - Cliente'!D339</f>
        <v>0</v>
      </c>
      <c r="E339" s="33">
        <f>'Dados - Cliente'!E339</f>
        <v>0</v>
      </c>
      <c r="F339" s="33">
        <f>'Dados - Cliente'!F339</f>
        <v>0</v>
      </c>
      <c r="G339" s="33">
        <f>'Dados - Cliente'!G339</f>
        <v>0</v>
      </c>
      <c r="H339" s="33">
        <f>'Dados - Cliente'!H339</f>
        <v>0</v>
      </c>
      <c r="I339" s="75" t="s">
        <v>4313</v>
      </c>
      <c r="J339" s="52" t="s">
        <v>4314</v>
      </c>
      <c r="K339" s="52" t="s">
        <v>4314</v>
      </c>
      <c r="L339" s="33">
        <f>'Dados - Cliente'!I339</f>
        <v>0</v>
      </c>
      <c r="M339" s="33">
        <f>'Dados - Cliente'!K339</f>
        <v>0</v>
      </c>
      <c r="N339" s="33">
        <f>'Dados - Cliente'!L339</f>
        <v>0</v>
      </c>
      <c r="O339" s="33">
        <f>'Dados - Cliente'!M339</f>
        <v>0</v>
      </c>
      <c r="P339" s="33">
        <f>'Dados - Cliente'!N339</f>
        <v>0</v>
      </c>
      <c r="Q339" s="33">
        <f>'Dados - Cliente'!O339</f>
        <v>0</v>
      </c>
      <c r="R339" s="33">
        <f>'Dados - Cliente'!P339</f>
        <v>0</v>
      </c>
      <c r="S339" s="33">
        <f>'Dados - Cliente'!Q339</f>
        <v>0</v>
      </c>
      <c r="T339" s="33">
        <f>'Dados - Cliente'!R339</f>
        <v>0</v>
      </c>
      <c r="U339" s="34">
        <f>'Dados - Cliente'!S339</f>
        <v>0</v>
      </c>
      <c r="V339" s="34">
        <f>'Dados - Cliente'!T339</f>
        <v>0</v>
      </c>
      <c r="W339" s="34">
        <f>'Dados - Cliente'!U339</f>
        <v>0</v>
      </c>
      <c r="X339" s="34">
        <f>'Dados - Cliente'!V339</f>
        <v>0</v>
      </c>
      <c r="Y339" s="34">
        <f>'Dados - Cliente'!W339</f>
        <v>0</v>
      </c>
      <c r="Z339" s="34">
        <f>'Dados - Cliente'!X339</f>
        <v>0</v>
      </c>
      <c r="AA339" s="33" t="e">
        <f t="shared" si="25"/>
        <v>#N/A</v>
      </c>
      <c r="AB339" s="33">
        <f>'Dados - Cliente'!Y339</f>
        <v>0</v>
      </c>
      <c r="AC339" s="33">
        <f>'Dados - Cliente'!Z339</f>
        <v>0</v>
      </c>
      <c r="AD339" s="33">
        <f>'Dados - Cliente'!AA339</f>
        <v>0</v>
      </c>
      <c r="AE339" s="33">
        <f>'Dados - Cliente'!AB339</f>
        <v>0</v>
      </c>
      <c r="AF339" s="33">
        <f>'Dados - Cliente'!AC339</f>
        <v>0</v>
      </c>
      <c r="AG339" s="35">
        <f>'Dados - Cliente'!AD339</f>
        <v>0</v>
      </c>
      <c r="AH339" s="33" t="e">
        <f>INDEX('Dados - Placas'!$A:$A,MATCH('1'!AG339,'Dados - Placas'!$D:$D,0))</f>
        <v>#N/A</v>
      </c>
      <c r="AI339" s="35" t="e">
        <f>INDEX('Dados - Placas'!$E:$E,MATCH('1'!AG339,'Dados - Placas'!$D:$D,0))</f>
        <v>#N/A</v>
      </c>
      <c r="AJ339" s="34" t="e">
        <f>INDEX('Dados - Placas'!$F:$F,MATCH('1'!AG339,'Dados - Placas'!$D:$D,0))*AF339</f>
        <v>#N/A</v>
      </c>
      <c r="AK339" s="33">
        <f>'Dados - Cliente'!AE339</f>
        <v>0</v>
      </c>
      <c r="AL339" s="33">
        <f>'Dados - Cliente'!AF339</f>
        <v>0</v>
      </c>
      <c r="AM339" s="36" t="e">
        <f>INDEX('Dados - Inversores'!$A:$A,MATCH('1'!AL339,'Dados - Inversores'!$C:$C,0))</f>
        <v>#N/A</v>
      </c>
      <c r="AN339" s="33">
        <f>'Dados - Cliente'!AG339</f>
        <v>0</v>
      </c>
      <c r="AO339" s="33" t="e">
        <f>AA339*1.25/(0.22*SQRT(INDEX('Dados - Inversores'!AK:AK,MATCH('1'!AL339,'Dados - Inversores'!C:C,0))))</f>
        <v>#N/A</v>
      </c>
      <c r="AP339" s="34">
        <f>INDEX(Dados!$E$2:$E$33,COUNTIF(Dados!$E$2:$E$33,"&lt;="&amp;AN339*1.25/(INDEX('Dados - Inversores'!AL:AL,MATCH('1'!AL339,'Dados - Inversores'!C:C,0))*SQRT(INDEX('Dados - Inversores'!AK:AK,MATCH('1'!AL339,'Dados - Inversores'!C:C,0)))))+1)</f>
        <v>2</v>
      </c>
      <c r="AQ339" s="33" t="s">
        <v>59</v>
      </c>
      <c r="AR339" s="33" t="str">
        <f t="shared" si="26"/>
        <v>Micro</v>
      </c>
      <c r="AS339" s="33">
        <f>'Dados - Cliente'!AH339</f>
        <v>0</v>
      </c>
      <c r="AT339" s="33">
        <f>'Dados - Cliente'!AI339</f>
        <v>0</v>
      </c>
      <c r="AU339" s="33" t="e">
        <f>INDEX('Dados - Placas'!$N:$N,MATCH('1'!AG339,'Dados - Placas'!$D:$D,0))-1</f>
        <v>#N/A</v>
      </c>
      <c r="AV339" s="33" t="e">
        <f>INDEX('Dados - Placas'!$O:$O,MATCH('1'!AG339,'Dados - Placas'!$D:$D,0))</f>
        <v>#N/A</v>
      </c>
      <c r="AW339" s="33" t="e">
        <f>INDEX('Dados - Inversores'!AM:AM,MATCH('1'!AL339,'Dados - Inversores'!$C:$C,0))-1</f>
        <v>#N/A</v>
      </c>
      <c r="AX339" s="33" t="e">
        <f>INDEX('Dados - Inversores'!AN:AN,MATCH('1'!AL339,'Dados - Inversores'!$C:$C,0))-1</f>
        <v>#N/A</v>
      </c>
      <c r="AY339" s="33" t="e">
        <f>MATCH('1'!H339,Dados!$D$89:$D$167,0)+1</f>
        <v>#N/A</v>
      </c>
      <c r="AZ339" s="33" t="e">
        <f>MATCH('1'!N339,'Dados - Solicitação de acesso'!$N$2:$N$8,0)</f>
        <v>#N/A</v>
      </c>
      <c r="BA339" s="33" t="e">
        <f>MATCH('1'!T339,'Dados - Solicitação de acesso'!$T$2:$T$20,0)</f>
        <v>#N/A</v>
      </c>
    </row>
    <row r="340" spans="1:53" x14ac:dyDescent="0.35">
      <c r="A340" s="33">
        <f>'Dados - Cliente'!A340</f>
        <v>0</v>
      </c>
      <c r="B340" s="33">
        <f>'Dados - Cliente'!B340</f>
        <v>0</v>
      </c>
      <c r="C340" s="33">
        <f>'Dados - Cliente'!C340</f>
        <v>0</v>
      </c>
      <c r="D340" s="33">
        <f>'Dados - Cliente'!D340</f>
        <v>0</v>
      </c>
      <c r="E340" s="33">
        <f>'Dados - Cliente'!E340</f>
        <v>0</v>
      </c>
      <c r="F340" s="33">
        <f>'Dados - Cliente'!F340</f>
        <v>0</v>
      </c>
      <c r="G340" s="33">
        <f>'Dados - Cliente'!G340</f>
        <v>0</v>
      </c>
      <c r="H340" s="33">
        <f>'Dados - Cliente'!H340</f>
        <v>0</v>
      </c>
      <c r="I340" s="75" t="s">
        <v>4313</v>
      </c>
      <c r="J340" s="52" t="s">
        <v>4314</v>
      </c>
      <c r="K340" s="52" t="s">
        <v>4314</v>
      </c>
      <c r="L340" s="33">
        <f>'Dados - Cliente'!I340</f>
        <v>0</v>
      </c>
      <c r="M340" s="33">
        <f>'Dados - Cliente'!K340</f>
        <v>0</v>
      </c>
      <c r="N340" s="33">
        <f>'Dados - Cliente'!L340</f>
        <v>0</v>
      </c>
      <c r="O340" s="33">
        <f>'Dados - Cliente'!M340</f>
        <v>0</v>
      </c>
      <c r="P340" s="33">
        <f>'Dados - Cliente'!N340</f>
        <v>0</v>
      </c>
      <c r="Q340" s="33">
        <f>'Dados - Cliente'!O340</f>
        <v>0</v>
      </c>
      <c r="R340" s="33">
        <f>'Dados - Cliente'!P340</f>
        <v>0</v>
      </c>
      <c r="S340" s="33">
        <f>'Dados - Cliente'!Q340</f>
        <v>0</v>
      </c>
      <c r="T340" s="33">
        <f>'Dados - Cliente'!R340</f>
        <v>0</v>
      </c>
      <c r="U340" s="34">
        <f>'Dados - Cliente'!S340</f>
        <v>0</v>
      </c>
      <c r="V340" s="34">
        <f>'Dados - Cliente'!T340</f>
        <v>0</v>
      </c>
      <c r="W340" s="34">
        <f>'Dados - Cliente'!U340</f>
        <v>0</v>
      </c>
      <c r="X340" s="34">
        <f>'Dados - Cliente'!V340</f>
        <v>0</v>
      </c>
      <c r="Y340" s="34">
        <f>'Dados - Cliente'!W340</f>
        <v>0</v>
      </c>
      <c r="Z340" s="34">
        <f>'Dados - Cliente'!X340</f>
        <v>0</v>
      </c>
      <c r="AA340" s="33" t="e">
        <f t="shared" si="25"/>
        <v>#N/A</v>
      </c>
      <c r="AB340" s="33">
        <f>'Dados - Cliente'!Y340</f>
        <v>0</v>
      </c>
      <c r="AC340" s="33">
        <f>'Dados - Cliente'!Z340</f>
        <v>0</v>
      </c>
      <c r="AD340" s="33">
        <f>'Dados - Cliente'!AA340</f>
        <v>0</v>
      </c>
      <c r="AE340" s="33">
        <f>'Dados - Cliente'!AB340</f>
        <v>0</v>
      </c>
      <c r="AF340" s="33">
        <f>'Dados - Cliente'!AC340</f>
        <v>0</v>
      </c>
      <c r="AG340" s="35">
        <f>'Dados - Cliente'!AD340</f>
        <v>0</v>
      </c>
      <c r="AH340" s="33" t="e">
        <f>INDEX('Dados - Placas'!$A:$A,MATCH('1'!AG340,'Dados - Placas'!$D:$D,0))</f>
        <v>#N/A</v>
      </c>
      <c r="AI340" s="35" t="e">
        <f>INDEX('Dados - Placas'!$E:$E,MATCH('1'!AG340,'Dados - Placas'!$D:$D,0))</f>
        <v>#N/A</v>
      </c>
      <c r="AJ340" s="34" t="e">
        <f>INDEX('Dados - Placas'!$F:$F,MATCH('1'!AG340,'Dados - Placas'!$D:$D,0))*AF340</f>
        <v>#N/A</v>
      </c>
      <c r="AK340" s="33">
        <f>'Dados - Cliente'!AE340</f>
        <v>0</v>
      </c>
      <c r="AL340" s="33">
        <f>'Dados - Cliente'!AF340</f>
        <v>0</v>
      </c>
      <c r="AM340" s="36" t="e">
        <f>INDEX('Dados - Inversores'!$A:$A,MATCH('1'!AL340,'Dados - Inversores'!$C:$C,0))</f>
        <v>#N/A</v>
      </c>
      <c r="AN340" s="33">
        <f>'Dados - Cliente'!AG340</f>
        <v>0</v>
      </c>
      <c r="AO340" s="33" t="e">
        <f>AA340*1.25/(0.22*SQRT(INDEX('Dados - Inversores'!AK:AK,MATCH('1'!AL340,'Dados - Inversores'!C:C,0))))</f>
        <v>#N/A</v>
      </c>
      <c r="AP340" s="34">
        <f>INDEX(Dados!$E$2:$E$33,COUNTIF(Dados!$E$2:$E$33,"&lt;="&amp;AN340*1.25/(INDEX('Dados - Inversores'!AL:AL,MATCH('1'!AL340,'Dados - Inversores'!C:C,0))*SQRT(INDEX('Dados - Inversores'!AK:AK,MATCH('1'!AL340,'Dados - Inversores'!C:C,0)))))+1)</f>
        <v>2</v>
      </c>
      <c r="AQ340" s="33" t="s">
        <v>59</v>
      </c>
      <c r="AR340" s="33" t="str">
        <f t="shared" si="26"/>
        <v>Micro</v>
      </c>
      <c r="AS340" s="33">
        <f>'Dados - Cliente'!AH340</f>
        <v>0</v>
      </c>
      <c r="AT340" s="33">
        <f>'Dados - Cliente'!AI340</f>
        <v>0</v>
      </c>
      <c r="AU340" s="33" t="e">
        <f>INDEX('Dados - Placas'!$N:$N,MATCH('1'!AG340,'Dados - Placas'!$D:$D,0))-1</f>
        <v>#N/A</v>
      </c>
      <c r="AV340" s="33" t="e">
        <f>INDEX('Dados - Placas'!$O:$O,MATCH('1'!AG340,'Dados - Placas'!$D:$D,0))</f>
        <v>#N/A</v>
      </c>
      <c r="AW340" s="33" t="e">
        <f>INDEX('Dados - Inversores'!AM:AM,MATCH('1'!AL340,'Dados - Inversores'!$C:$C,0))-1</f>
        <v>#N/A</v>
      </c>
      <c r="AX340" s="33" t="e">
        <f>INDEX('Dados - Inversores'!AN:AN,MATCH('1'!AL340,'Dados - Inversores'!$C:$C,0))-1</f>
        <v>#N/A</v>
      </c>
      <c r="AY340" s="33" t="e">
        <f>MATCH('1'!H340,Dados!$D$89:$D$167,0)+1</f>
        <v>#N/A</v>
      </c>
      <c r="AZ340" s="33" t="e">
        <f>MATCH('1'!N340,'Dados - Solicitação de acesso'!$N$2:$N$8,0)</f>
        <v>#N/A</v>
      </c>
      <c r="BA340" s="33" t="e">
        <f>MATCH('1'!T340,'Dados - Solicitação de acesso'!$T$2:$T$20,0)</f>
        <v>#N/A</v>
      </c>
    </row>
    <row r="341" spans="1:53" x14ac:dyDescent="0.35">
      <c r="A341" s="33">
        <f>'Dados - Cliente'!A341</f>
        <v>0</v>
      </c>
      <c r="B341" s="33">
        <f>'Dados - Cliente'!B341</f>
        <v>0</v>
      </c>
      <c r="C341" s="33">
        <f>'Dados - Cliente'!C341</f>
        <v>0</v>
      </c>
      <c r="D341" s="33">
        <f>'Dados - Cliente'!D341</f>
        <v>0</v>
      </c>
      <c r="E341" s="33">
        <f>'Dados - Cliente'!E341</f>
        <v>0</v>
      </c>
      <c r="F341" s="33">
        <f>'Dados - Cliente'!F341</f>
        <v>0</v>
      </c>
      <c r="G341" s="33">
        <f>'Dados - Cliente'!G341</f>
        <v>0</v>
      </c>
      <c r="H341" s="33">
        <f>'Dados - Cliente'!H341</f>
        <v>0</v>
      </c>
      <c r="I341" s="75" t="s">
        <v>4313</v>
      </c>
      <c r="J341" s="52" t="s">
        <v>4314</v>
      </c>
      <c r="K341" s="52" t="s">
        <v>4314</v>
      </c>
      <c r="L341" s="33">
        <f>'Dados - Cliente'!I341</f>
        <v>0</v>
      </c>
      <c r="M341" s="33">
        <f>'Dados - Cliente'!K341</f>
        <v>0</v>
      </c>
      <c r="N341" s="33">
        <f>'Dados - Cliente'!L341</f>
        <v>0</v>
      </c>
      <c r="O341" s="33">
        <f>'Dados - Cliente'!M341</f>
        <v>0</v>
      </c>
      <c r="P341" s="33">
        <f>'Dados - Cliente'!N341</f>
        <v>0</v>
      </c>
      <c r="Q341" s="33">
        <f>'Dados - Cliente'!O341</f>
        <v>0</v>
      </c>
      <c r="R341" s="33">
        <f>'Dados - Cliente'!P341</f>
        <v>0</v>
      </c>
      <c r="S341" s="33">
        <f>'Dados - Cliente'!Q341</f>
        <v>0</v>
      </c>
      <c r="T341" s="33">
        <f>'Dados - Cliente'!R341</f>
        <v>0</v>
      </c>
      <c r="U341" s="34">
        <f>'Dados - Cliente'!S341</f>
        <v>0</v>
      </c>
      <c r="V341" s="34">
        <f>'Dados - Cliente'!T341</f>
        <v>0</v>
      </c>
      <c r="W341" s="34">
        <f>'Dados - Cliente'!U341</f>
        <v>0</v>
      </c>
      <c r="X341" s="34">
        <f>'Dados - Cliente'!V341</f>
        <v>0</v>
      </c>
      <c r="Y341" s="34">
        <f>'Dados - Cliente'!W341</f>
        <v>0</v>
      </c>
      <c r="Z341" s="34">
        <f>'Dados - Cliente'!X341</f>
        <v>0</v>
      </c>
      <c r="AA341" s="33" t="e">
        <f t="shared" si="25"/>
        <v>#N/A</v>
      </c>
      <c r="AB341" s="33">
        <f>'Dados - Cliente'!Y341</f>
        <v>0</v>
      </c>
      <c r="AC341" s="33">
        <f>'Dados - Cliente'!Z341</f>
        <v>0</v>
      </c>
      <c r="AD341" s="33">
        <f>'Dados - Cliente'!AA341</f>
        <v>0</v>
      </c>
      <c r="AE341" s="33">
        <f>'Dados - Cliente'!AB341</f>
        <v>0</v>
      </c>
      <c r="AF341" s="33">
        <f>'Dados - Cliente'!AC341</f>
        <v>0</v>
      </c>
      <c r="AG341" s="35">
        <f>'Dados - Cliente'!AD341</f>
        <v>0</v>
      </c>
      <c r="AH341" s="33" t="e">
        <f>INDEX('Dados - Placas'!$A:$A,MATCH('1'!AG341,'Dados - Placas'!$D:$D,0))</f>
        <v>#N/A</v>
      </c>
      <c r="AI341" s="35" t="e">
        <f>INDEX('Dados - Placas'!$E:$E,MATCH('1'!AG341,'Dados - Placas'!$D:$D,0))</f>
        <v>#N/A</v>
      </c>
      <c r="AJ341" s="34" t="e">
        <f>INDEX('Dados - Placas'!$F:$F,MATCH('1'!AG341,'Dados - Placas'!$D:$D,0))*AF341</f>
        <v>#N/A</v>
      </c>
      <c r="AK341" s="33">
        <f>'Dados - Cliente'!AE341</f>
        <v>0</v>
      </c>
      <c r="AL341" s="33">
        <f>'Dados - Cliente'!AF341</f>
        <v>0</v>
      </c>
      <c r="AM341" s="36" t="e">
        <f>INDEX('Dados - Inversores'!$A:$A,MATCH('1'!AL341,'Dados - Inversores'!$C:$C,0))</f>
        <v>#N/A</v>
      </c>
      <c r="AN341" s="33">
        <f>'Dados - Cliente'!AG341</f>
        <v>0</v>
      </c>
      <c r="AO341" s="33" t="e">
        <f>AA341*1.25/(0.22*SQRT(INDEX('Dados - Inversores'!AK:AK,MATCH('1'!AL341,'Dados - Inversores'!C:C,0))))</f>
        <v>#N/A</v>
      </c>
      <c r="AP341" s="34">
        <f>INDEX(Dados!$E$2:$E$33,COUNTIF(Dados!$E$2:$E$33,"&lt;="&amp;AN341*1.25/(INDEX('Dados - Inversores'!AL:AL,MATCH('1'!AL341,'Dados - Inversores'!C:C,0))*SQRT(INDEX('Dados - Inversores'!AK:AK,MATCH('1'!AL341,'Dados - Inversores'!C:C,0)))))+1)</f>
        <v>2</v>
      </c>
      <c r="AQ341" s="33" t="s">
        <v>59</v>
      </c>
      <c r="AR341" s="33" t="str">
        <f t="shared" si="26"/>
        <v>Micro</v>
      </c>
      <c r="AS341" s="33">
        <f>'Dados - Cliente'!AH341</f>
        <v>0</v>
      </c>
      <c r="AT341" s="33">
        <f>'Dados - Cliente'!AI341</f>
        <v>0</v>
      </c>
      <c r="AU341" s="33" t="e">
        <f>INDEX('Dados - Placas'!$N:$N,MATCH('1'!AG341,'Dados - Placas'!$D:$D,0))-1</f>
        <v>#N/A</v>
      </c>
      <c r="AV341" s="33" t="e">
        <f>INDEX('Dados - Placas'!$O:$O,MATCH('1'!AG341,'Dados - Placas'!$D:$D,0))</f>
        <v>#N/A</v>
      </c>
      <c r="AW341" s="33" t="e">
        <f>INDEX('Dados - Inversores'!AM:AM,MATCH('1'!AL341,'Dados - Inversores'!$C:$C,0))-1</f>
        <v>#N/A</v>
      </c>
      <c r="AX341" s="33" t="e">
        <f>INDEX('Dados - Inversores'!AN:AN,MATCH('1'!AL341,'Dados - Inversores'!$C:$C,0))-1</f>
        <v>#N/A</v>
      </c>
      <c r="AY341" s="33" t="e">
        <f>MATCH('1'!H341,Dados!$D$89:$D$167,0)+1</f>
        <v>#N/A</v>
      </c>
      <c r="AZ341" s="33" t="e">
        <f>MATCH('1'!N341,'Dados - Solicitação de acesso'!$N$2:$N$8,0)</f>
        <v>#N/A</v>
      </c>
      <c r="BA341" s="33" t="e">
        <f>MATCH('1'!T341,'Dados - Solicitação de acesso'!$T$2:$T$20,0)</f>
        <v>#N/A</v>
      </c>
    </row>
    <row r="342" spans="1:53" x14ac:dyDescent="0.35">
      <c r="A342" s="33">
        <f>'Dados - Cliente'!A342</f>
        <v>0</v>
      </c>
      <c r="B342" s="33">
        <f>'Dados - Cliente'!B342</f>
        <v>0</v>
      </c>
      <c r="C342" s="33">
        <f>'Dados - Cliente'!C342</f>
        <v>0</v>
      </c>
      <c r="D342" s="33">
        <f>'Dados - Cliente'!D342</f>
        <v>0</v>
      </c>
      <c r="E342" s="33">
        <f>'Dados - Cliente'!E342</f>
        <v>0</v>
      </c>
      <c r="F342" s="33">
        <f>'Dados - Cliente'!F342</f>
        <v>0</v>
      </c>
      <c r="G342" s="33">
        <f>'Dados - Cliente'!G342</f>
        <v>0</v>
      </c>
      <c r="H342" s="33">
        <f>'Dados - Cliente'!H342</f>
        <v>0</v>
      </c>
      <c r="I342" s="75" t="s">
        <v>4313</v>
      </c>
      <c r="J342" s="52" t="s">
        <v>4314</v>
      </c>
      <c r="K342" s="52" t="s">
        <v>4314</v>
      </c>
      <c r="L342" s="33">
        <f>'Dados - Cliente'!I342</f>
        <v>0</v>
      </c>
      <c r="M342" s="33">
        <f>'Dados - Cliente'!K342</f>
        <v>0</v>
      </c>
      <c r="N342" s="33">
        <f>'Dados - Cliente'!L342</f>
        <v>0</v>
      </c>
      <c r="O342" s="33">
        <f>'Dados - Cliente'!M342</f>
        <v>0</v>
      </c>
      <c r="P342" s="33">
        <f>'Dados - Cliente'!N342</f>
        <v>0</v>
      </c>
      <c r="Q342" s="33">
        <f>'Dados - Cliente'!O342</f>
        <v>0</v>
      </c>
      <c r="R342" s="33">
        <f>'Dados - Cliente'!P342</f>
        <v>0</v>
      </c>
      <c r="S342" s="33">
        <f>'Dados - Cliente'!Q342</f>
        <v>0</v>
      </c>
      <c r="T342" s="33">
        <f>'Dados - Cliente'!R342</f>
        <v>0</v>
      </c>
      <c r="U342" s="34">
        <f>'Dados - Cliente'!S342</f>
        <v>0</v>
      </c>
      <c r="V342" s="34">
        <f>'Dados - Cliente'!T342</f>
        <v>0</v>
      </c>
      <c r="W342" s="34">
        <f>'Dados - Cliente'!U342</f>
        <v>0</v>
      </c>
      <c r="X342" s="34">
        <f>'Dados - Cliente'!V342</f>
        <v>0</v>
      </c>
      <c r="Y342" s="34">
        <f>'Dados - Cliente'!W342</f>
        <v>0</v>
      </c>
      <c r="Z342" s="34">
        <f>'Dados - Cliente'!X342</f>
        <v>0</v>
      </c>
      <c r="AA342" s="33" t="e">
        <f t="shared" si="25"/>
        <v>#N/A</v>
      </c>
      <c r="AB342" s="33">
        <f>'Dados - Cliente'!Y342</f>
        <v>0</v>
      </c>
      <c r="AC342" s="33">
        <f>'Dados - Cliente'!Z342</f>
        <v>0</v>
      </c>
      <c r="AD342" s="33">
        <f>'Dados - Cliente'!AA342</f>
        <v>0</v>
      </c>
      <c r="AE342" s="33">
        <f>'Dados - Cliente'!AB342</f>
        <v>0</v>
      </c>
      <c r="AF342" s="33">
        <f>'Dados - Cliente'!AC342</f>
        <v>0</v>
      </c>
      <c r="AG342" s="35">
        <f>'Dados - Cliente'!AD342</f>
        <v>0</v>
      </c>
      <c r="AH342" s="33" t="e">
        <f>INDEX('Dados - Placas'!$A:$A,MATCH('1'!AG342,'Dados - Placas'!$D:$D,0))</f>
        <v>#N/A</v>
      </c>
      <c r="AI342" s="35" t="e">
        <f>INDEX('Dados - Placas'!$E:$E,MATCH('1'!AG342,'Dados - Placas'!$D:$D,0))</f>
        <v>#N/A</v>
      </c>
      <c r="AJ342" s="34" t="e">
        <f>INDEX('Dados - Placas'!$F:$F,MATCH('1'!AG342,'Dados - Placas'!$D:$D,0))*AF342</f>
        <v>#N/A</v>
      </c>
      <c r="AK342" s="33">
        <f>'Dados - Cliente'!AE342</f>
        <v>0</v>
      </c>
      <c r="AL342" s="33">
        <f>'Dados - Cliente'!AF342</f>
        <v>0</v>
      </c>
      <c r="AM342" s="36" t="e">
        <f>INDEX('Dados - Inversores'!$A:$A,MATCH('1'!AL342,'Dados - Inversores'!$C:$C,0))</f>
        <v>#N/A</v>
      </c>
      <c r="AN342" s="33">
        <f>'Dados - Cliente'!AG342</f>
        <v>0</v>
      </c>
      <c r="AO342" s="33" t="e">
        <f>AA342*1.25/(0.22*SQRT(INDEX('Dados - Inversores'!AK:AK,MATCH('1'!AL342,'Dados - Inversores'!C:C,0))))</f>
        <v>#N/A</v>
      </c>
      <c r="AP342" s="34">
        <f>INDEX(Dados!$E$2:$E$33,COUNTIF(Dados!$E$2:$E$33,"&lt;="&amp;AN342*1.25/(INDEX('Dados - Inversores'!AL:AL,MATCH('1'!AL342,'Dados - Inversores'!C:C,0))*SQRT(INDEX('Dados - Inversores'!AK:AK,MATCH('1'!AL342,'Dados - Inversores'!C:C,0)))))+1)</f>
        <v>2</v>
      </c>
      <c r="AQ342" s="33" t="s">
        <v>59</v>
      </c>
      <c r="AR342" s="33" t="str">
        <f t="shared" si="26"/>
        <v>Micro</v>
      </c>
      <c r="AS342" s="33">
        <f>'Dados - Cliente'!AH342</f>
        <v>0</v>
      </c>
      <c r="AT342" s="33">
        <f>'Dados - Cliente'!AI342</f>
        <v>0</v>
      </c>
      <c r="AU342" s="33" t="e">
        <f>INDEX('Dados - Placas'!$N:$N,MATCH('1'!AG342,'Dados - Placas'!$D:$D,0))-1</f>
        <v>#N/A</v>
      </c>
      <c r="AV342" s="33" t="e">
        <f>INDEX('Dados - Placas'!$O:$O,MATCH('1'!AG342,'Dados - Placas'!$D:$D,0))</f>
        <v>#N/A</v>
      </c>
      <c r="AW342" s="33" t="e">
        <f>INDEX('Dados - Inversores'!AM:AM,MATCH('1'!AL342,'Dados - Inversores'!$C:$C,0))-1</f>
        <v>#N/A</v>
      </c>
      <c r="AX342" s="33" t="e">
        <f>INDEX('Dados - Inversores'!AN:AN,MATCH('1'!AL342,'Dados - Inversores'!$C:$C,0))-1</f>
        <v>#N/A</v>
      </c>
      <c r="AY342" s="33" t="e">
        <f>MATCH('1'!H342,Dados!$D$89:$D$167,0)+1</f>
        <v>#N/A</v>
      </c>
      <c r="AZ342" s="33" t="e">
        <f>MATCH('1'!N342,'Dados - Solicitação de acesso'!$N$2:$N$8,0)</f>
        <v>#N/A</v>
      </c>
      <c r="BA342" s="33" t="e">
        <f>MATCH('1'!T342,'Dados - Solicitação de acesso'!$T$2:$T$20,0)</f>
        <v>#N/A</v>
      </c>
    </row>
    <row r="343" spans="1:53" x14ac:dyDescent="0.35">
      <c r="A343" s="33">
        <f>'Dados - Cliente'!A343</f>
        <v>0</v>
      </c>
      <c r="B343" s="33">
        <f>'Dados - Cliente'!B343</f>
        <v>0</v>
      </c>
      <c r="C343" s="33">
        <f>'Dados - Cliente'!C343</f>
        <v>0</v>
      </c>
      <c r="D343" s="33">
        <f>'Dados - Cliente'!D343</f>
        <v>0</v>
      </c>
      <c r="E343" s="33">
        <f>'Dados - Cliente'!E343</f>
        <v>0</v>
      </c>
      <c r="F343" s="33">
        <f>'Dados - Cliente'!F343</f>
        <v>0</v>
      </c>
      <c r="G343" s="33">
        <f>'Dados - Cliente'!G343</f>
        <v>0</v>
      </c>
      <c r="H343" s="33">
        <f>'Dados - Cliente'!H343</f>
        <v>0</v>
      </c>
      <c r="I343" s="75" t="s">
        <v>4313</v>
      </c>
      <c r="J343" s="52" t="s">
        <v>4314</v>
      </c>
      <c r="K343" s="52" t="s">
        <v>4314</v>
      </c>
      <c r="L343" s="33">
        <f>'Dados - Cliente'!I343</f>
        <v>0</v>
      </c>
      <c r="M343" s="33">
        <f>'Dados - Cliente'!K343</f>
        <v>0</v>
      </c>
      <c r="N343" s="33">
        <f>'Dados - Cliente'!L343</f>
        <v>0</v>
      </c>
      <c r="O343" s="33">
        <f>'Dados - Cliente'!M343</f>
        <v>0</v>
      </c>
      <c r="P343" s="33">
        <f>'Dados - Cliente'!N343</f>
        <v>0</v>
      </c>
      <c r="Q343" s="33">
        <f>'Dados - Cliente'!O343</f>
        <v>0</v>
      </c>
      <c r="R343" s="33">
        <f>'Dados - Cliente'!P343</f>
        <v>0</v>
      </c>
      <c r="S343" s="33">
        <f>'Dados - Cliente'!Q343</f>
        <v>0</v>
      </c>
      <c r="T343" s="33">
        <f>'Dados - Cliente'!R343</f>
        <v>0</v>
      </c>
      <c r="U343" s="34">
        <f>'Dados - Cliente'!S343</f>
        <v>0</v>
      </c>
      <c r="V343" s="34">
        <f>'Dados - Cliente'!T343</f>
        <v>0</v>
      </c>
      <c r="W343" s="34">
        <f>'Dados - Cliente'!U343</f>
        <v>0</v>
      </c>
      <c r="X343" s="34">
        <f>'Dados - Cliente'!V343</f>
        <v>0</v>
      </c>
      <c r="Y343" s="34">
        <f>'Dados - Cliente'!W343</f>
        <v>0</v>
      </c>
      <c r="Z343" s="34">
        <f>'Dados - Cliente'!X343</f>
        <v>0</v>
      </c>
      <c r="AA343" s="33" t="e">
        <f t="shared" si="25"/>
        <v>#N/A</v>
      </c>
      <c r="AB343" s="33">
        <f>'Dados - Cliente'!Y343</f>
        <v>0</v>
      </c>
      <c r="AC343" s="33">
        <f>'Dados - Cliente'!Z343</f>
        <v>0</v>
      </c>
      <c r="AD343" s="33">
        <f>'Dados - Cliente'!AA343</f>
        <v>0</v>
      </c>
      <c r="AE343" s="33">
        <f>'Dados - Cliente'!AB343</f>
        <v>0</v>
      </c>
      <c r="AF343" s="33">
        <f>'Dados - Cliente'!AC343</f>
        <v>0</v>
      </c>
      <c r="AG343" s="35">
        <f>'Dados - Cliente'!AD343</f>
        <v>0</v>
      </c>
      <c r="AH343" s="33" t="e">
        <f>INDEX('Dados - Placas'!$A:$A,MATCH('1'!AG343,'Dados - Placas'!$D:$D,0))</f>
        <v>#N/A</v>
      </c>
      <c r="AI343" s="35" t="e">
        <f>INDEX('Dados - Placas'!$E:$E,MATCH('1'!AG343,'Dados - Placas'!$D:$D,0))</f>
        <v>#N/A</v>
      </c>
      <c r="AJ343" s="34" t="e">
        <f>INDEX('Dados - Placas'!$F:$F,MATCH('1'!AG343,'Dados - Placas'!$D:$D,0))*AF343</f>
        <v>#N/A</v>
      </c>
      <c r="AK343" s="33">
        <f>'Dados - Cliente'!AE343</f>
        <v>0</v>
      </c>
      <c r="AL343" s="33">
        <f>'Dados - Cliente'!AF343</f>
        <v>0</v>
      </c>
      <c r="AM343" s="36" t="e">
        <f>INDEX('Dados - Inversores'!$A:$A,MATCH('1'!AL343,'Dados - Inversores'!$C:$C,0))</f>
        <v>#N/A</v>
      </c>
      <c r="AN343" s="33">
        <f>'Dados - Cliente'!AG343</f>
        <v>0</v>
      </c>
      <c r="AO343" s="33" t="e">
        <f>AA343*1.25/(0.22*SQRT(INDEX('Dados - Inversores'!AK:AK,MATCH('1'!AL343,'Dados - Inversores'!C:C,0))))</f>
        <v>#N/A</v>
      </c>
      <c r="AP343" s="34">
        <f>INDEX(Dados!$E$2:$E$33,COUNTIF(Dados!$E$2:$E$33,"&lt;="&amp;AN343*1.25/(INDEX('Dados - Inversores'!AL:AL,MATCH('1'!AL343,'Dados - Inversores'!C:C,0))*SQRT(INDEX('Dados - Inversores'!AK:AK,MATCH('1'!AL343,'Dados - Inversores'!C:C,0)))))+1)</f>
        <v>2</v>
      </c>
      <c r="AQ343" s="33" t="s">
        <v>59</v>
      </c>
      <c r="AR343" s="33" t="str">
        <f t="shared" si="26"/>
        <v>Micro</v>
      </c>
      <c r="AS343" s="33">
        <f>'Dados - Cliente'!AH343</f>
        <v>0</v>
      </c>
      <c r="AT343" s="33">
        <f>'Dados - Cliente'!AI343</f>
        <v>0</v>
      </c>
      <c r="AU343" s="33" t="e">
        <f>INDEX('Dados - Placas'!$N:$N,MATCH('1'!AG343,'Dados - Placas'!$D:$D,0))-1</f>
        <v>#N/A</v>
      </c>
      <c r="AV343" s="33" t="e">
        <f>INDEX('Dados - Placas'!$O:$O,MATCH('1'!AG343,'Dados - Placas'!$D:$D,0))</f>
        <v>#N/A</v>
      </c>
      <c r="AW343" s="33" t="e">
        <f>INDEX('Dados - Inversores'!AM:AM,MATCH('1'!AL343,'Dados - Inversores'!$C:$C,0))-1</f>
        <v>#N/A</v>
      </c>
      <c r="AX343" s="33" t="e">
        <f>INDEX('Dados - Inversores'!AN:AN,MATCH('1'!AL343,'Dados - Inversores'!$C:$C,0))-1</f>
        <v>#N/A</v>
      </c>
      <c r="AY343" s="33" t="e">
        <f>MATCH('1'!H343,Dados!$D$89:$D$167,0)+1</f>
        <v>#N/A</v>
      </c>
      <c r="AZ343" s="33" t="e">
        <f>MATCH('1'!N343,'Dados - Solicitação de acesso'!$N$2:$N$8,0)</f>
        <v>#N/A</v>
      </c>
      <c r="BA343" s="33" t="e">
        <f>MATCH('1'!T343,'Dados - Solicitação de acesso'!$T$2:$T$20,0)</f>
        <v>#N/A</v>
      </c>
    </row>
    <row r="344" spans="1:53" x14ac:dyDescent="0.35">
      <c r="A344" s="33">
        <f>'Dados - Cliente'!A344</f>
        <v>0</v>
      </c>
      <c r="B344" s="33">
        <f>'Dados - Cliente'!B344</f>
        <v>0</v>
      </c>
      <c r="C344" s="33">
        <f>'Dados - Cliente'!C344</f>
        <v>0</v>
      </c>
      <c r="D344" s="33">
        <f>'Dados - Cliente'!D344</f>
        <v>0</v>
      </c>
      <c r="E344" s="33">
        <f>'Dados - Cliente'!E344</f>
        <v>0</v>
      </c>
      <c r="F344" s="33">
        <f>'Dados - Cliente'!F344</f>
        <v>0</v>
      </c>
      <c r="G344" s="33">
        <f>'Dados - Cliente'!G344</f>
        <v>0</v>
      </c>
      <c r="H344" s="33">
        <f>'Dados - Cliente'!H344</f>
        <v>0</v>
      </c>
      <c r="I344" s="75" t="s">
        <v>4313</v>
      </c>
      <c r="J344" s="52" t="s">
        <v>4314</v>
      </c>
      <c r="K344" s="52" t="s">
        <v>4314</v>
      </c>
      <c r="L344" s="33">
        <f>'Dados - Cliente'!I344</f>
        <v>0</v>
      </c>
      <c r="M344" s="33">
        <f>'Dados - Cliente'!K344</f>
        <v>0</v>
      </c>
      <c r="N344" s="33">
        <f>'Dados - Cliente'!L344</f>
        <v>0</v>
      </c>
      <c r="O344" s="33">
        <f>'Dados - Cliente'!M344</f>
        <v>0</v>
      </c>
      <c r="P344" s="33">
        <f>'Dados - Cliente'!N344</f>
        <v>0</v>
      </c>
      <c r="Q344" s="33">
        <f>'Dados - Cliente'!O344</f>
        <v>0</v>
      </c>
      <c r="R344" s="33">
        <f>'Dados - Cliente'!P344</f>
        <v>0</v>
      </c>
      <c r="S344" s="33">
        <f>'Dados - Cliente'!Q344</f>
        <v>0</v>
      </c>
      <c r="T344" s="33">
        <f>'Dados - Cliente'!R344</f>
        <v>0</v>
      </c>
      <c r="U344" s="34">
        <f>'Dados - Cliente'!S344</f>
        <v>0</v>
      </c>
      <c r="V344" s="34">
        <f>'Dados - Cliente'!T344</f>
        <v>0</v>
      </c>
      <c r="W344" s="34">
        <f>'Dados - Cliente'!U344</f>
        <v>0</v>
      </c>
      <c r="X344" s="34">
        <f>'Dados - Cliente'!V344</f>
        <v>0</v>
      </c>
      <c r="Y344" s="34">
        <f>'Dados - Cliente'!W344</f>
        <v>0</v>
      </c>
      <c r="Z344" s="34">
        <f>'Dados - Cliente'!X344</f>
        <v>0</v>
      </c>
      <c r="AA344" s="33" t="e">
        <f t="shared" si="25"/>
        <v>#N/A</v>
      </c>
      <c r="AB344" s="33">
        <f>'Dados - Cliente'!Y344</f>
        <v>0</v>
      </c>
      <c r="AC344" s="33">
        <f>'Dados - Cliente'!Z344</f>
        <v>0</v>
      </c>
      <c r="AD344" s="33">
        <f>'Dados - Cliente'!AA344</f>
        <v>0</v>
      </c>
      <c r="AE344" s="33">
        <f>'Dados - Cliente'!AB344</f>
        <v>0</v>
      </c>
      <c r="AF344" s="33">
        <f>'Dados - Cliente'!AC344</f>
        <v>0</v>
      </c>
      <c r="AG344" s="35">
        <f>'Dados - Cliente'!AD344</f>
        <v>0</v>
      </c>
      <c r="AH344" s="33" t="e">
        <f>INDEX('Dados - Placas'!$A:$A,MATCH('1'!AG344,'Dados - Placas'!$D:$D,0))</f>
        <v>#N/A</v>
      </c>
      <c r="AI344" s="35" t="e">
        <f>INDEX('Dados - Placas'!$E:$E,MATCH('1'!AG344,'Dados - Placas'!$D:$D,0))</f>
        <v>#N/A</v>
      </c>
      <c r="AJ344" s="34" t="e">
        <f>INDEX('Dados - Placas'!$F:$F,MATCH('1'!AG344,'Dados - Placas'!$D:$D,0))*AF344</f>
        <v>#N/A</v>
      </c>
      <c r="AK344" s="33">
        <f>'Dados - Cliente'!AE344</f>
        <v>0</v>
      </c>
      <c r="AL344" s="33">
        <f>'Dados - Cliente'!AF344</f>
        <v>0</v>
      </c>
      <c r="AM344" s="36" t="e">
        <f>INDEX('Dados - Inversores'!$A:$A,MATCH('1'!AL344,'Dados - Inversores'!$C:$C,0))</f>
        <v>#N/A</v>
      </c>
      <c r="AN344" s="33">
        <f>'Dados - Cliente'!AG344</f>
        <v>0</v>
      </c>
      <c r="AO344" s="33" t="e">
        <f>AA344*1.25/(0.22*SQRT(INDEX('Dados - Inversores'!AK:AK,MATCH('1'!AL344,'Dados - Inversores'!C:C,0))))</f>
        <v>#N/A</v>
      </c>
      <c r="AP344" s="34">
        <f>INDEX(Dados!$E$2:$E$33,COUNTIF(Dados!$E$2:$E$33,"&lt;="&amp;AN344*1.25/(INDEX('Dados - Inversores'!AL:AL,MATCH('1'!AL344,'Dados - Inversores'!C:C,0))*SQRT(INDEX('Dados - Inversores'!AK:AK,MATCH('1'!AL344,'Dados - Inversores'!C:C,0)))))+1)</f>
        <v>2</v>
      </c>
      <c r="AQ344" s="33" t="s">
        <v>59</v>
      </c>
      <c r="AR344" s="33" t="str">
        <f t="shared" si="26"/>
        <v>Micro</v>
      </c>
      <c r="AS344" s="33">
        <f>'Dados - Cliente'!AH344</f>
        <v>0</v>
      </c>
      <c r="AT344" s="33">
        <f>'Dados - Cliente'!AI344</f>
        <v>0</v>
      </c>
      <c r="AU344" s="33" t="e">
        <f>INDEX('Dados - Placas'!$N:$N,MATCH('1'!AG344,'Dados - Placas'!$D:$D,0))-1</f>
        <v>#N/A</v>
      </c>
      <c r="AV344" s="33" t="e">
        <f>INDEX('Dados - Placas'!$O:$O,MATCH('1'!AG344,'Dados - Placas'!$D:$D,0))</f>
        <v>#N/A</v>
      </c>
      <c r="AW344" s="33" t="e">
        <f>INDEX('Dados - Inversores'!AM:AM,MATCH('1'!AL344,'Dados - Inversores'!$C:$C,0))-1</f>
        <v>#N/A</v>
      </c>
      <c r="AX344" s="33" t="e">
        <f>INDEX('Dados - Inversores'!AN:AN,MATCH('1'!AL344,'Dados - Inversores'!$C:$C,0))-1</f>
        <v>#N/A</v>
      </c>
      <c r="AY344" s="33" t="e">
        <f>MATCH('1'!H344,Dados!$D$89:$D$167,0)+1</f>
        <v>#N/A</v>
      </c>
      <c r="AZ344" s="33" t="e">
        <f>MATCH('1'!N344,'Dados - Solicitação de acesso'!$N$2:$N$8,0)</f>
        <v>#N/A</v>
      </c>
      <c r="BA344" s="33" t="e">
        <f>MATCH('1'!T344,'Dados - Solicitação de acesso'!$T$2:$T$20,0)</f>
        <v>#N/A</v>
      </c>
    </row>
    <row r="345" spans="1:53" x14ac:dyDescent="0.35">
      <c r="A345" s="33">
        <f>'Dados - Cliente'!A345</f>
        <v>0</v>
      </c>
      <c r="B345" s="33">
        <f>'Dados - Cliente'!B345</f>
        <v>0</v>
      </c>
      <c r="C345" s="33">
        <f>'Dados - Cliente'!C345</f>
        <v>0</v>
      </c>
      <c r="D345" s="33">
        <f>'Dados - Cliente'!D345</f>
        <v>0</v>
      </c>
      <c r="E345" s="33">
        <f>'Dados - Cliente'!E345</f>
        <v>0</v>
      </c>
      <c r="F345" s="33">
        <f>'Dados - Cliente'!F345</f>
        <v>0</v>
      </c>
      <c r="G345" s="33">
        <f>'Dados - Cliente'!G345</f>
        <v>0</v>
      </c>
      <c r="H345" s="33">
        <f>'Dados - Cliente'!H345</f>
        <v>0</v>
      </c>
      <c r="I345" s="75" t="s">
        <v>4313</v>
      </c>
      <c r="J345" s="52" t="s">
        <v>4314</v>
      </c>
      <c r="K345" s="52" t="s">
        <v>4314</v>
      </c>
      <c r="L345" s="33">
        <f>'Dados - Cliente'!I345</f>
        <v>0</v>
      </c>
      <c r="M345" s="33">
        <f>'Dados - Cliente'!K345</f>
        <v>0</v>
      </c>
      <c r="N345" s="33">
        <f>'Dados - Cliente'!L345</f>
        <v>0</v>
      </c>
      <c r="O345" s="33">
        <f>'Dados - Cliente'!M345</f>
        <v>0</v>
      </c>
      <c r="P345" s="33">
        <f>'Dados - Cliente'!N345</f>
        <v>0</v>
      </c>
      <c r="Q345" s="33">
        <f>'Dados - Cliente'!O345</f>
        <v>0</v>
      </c>
      <c r="R345" s="33">
        <f>'Dados - Cliente'!P345</f>
        <v>0</v>
      </c>
      <c r="S345" s="33">
        <f>'Dados - Cliente'!Q345</f>
        <v>0</v>
      </c>
      <c r="T345" s="33">
        <f>'Dados - Cliente'!R345</f>
        <v>0</v>
      </c>
      <c r="U345" s="34">
        <f>'Dados - Cliente'!S345</f>
        <v>0</v>
      </c>
      <c r="V345" s="34">
        <f>'Dados - Cliente'!T345</f>
        <v>0</v>
      </c>
      <c r="W345" s="34">
        <f>'Dados - Cliente'!U345</f>
        <v>0</v>
      </c>
      <c r="X345" s="34">
        <f>'Dados - Cliente'!V345</f>
        <v>0</v>
      </c>
      <c r="Y345" s="34">
        <f>'Dados - Cliente'!W345</f>
        <v>0</v>
      </c>
      <c r="Z345" s="34">
        <f>'Dados - Cliente'!X345</f>
        <v>0</v>
      </c>
      <c r="AA345" s="33" t="e">
        <f t="shared" si="25"/>
        <v>#N/A</v>
      </c>
      <c r="AB345" s="33">
        <f>'Dados - Cliente'!Y345</f>
        <v>0</v>
      </c>
      <c r="AC345" s="33">
        <f>'Dados - Cliente'!Z345</f>
        <v>0</v>
      </c>
      <c r="AD345" s="33">
        <f>'Dados - Cliente'!AA345</f>
        <v>0</v>
      </c>
      <c r="AE345" s="33">
        <f>'Dados - Cliente'!AB345</f>
        <v>0</v>
      </c>
      <c r="AF345" s="33">
        <f>'Dados - Cliente'!AC345</f>
        <v>0</v>
      </c>
      <c r="AG345" s="35">
        <f>'Dados - Cliente'!AD345</f>
        <v>0</v>
      </c>
      <c r="AH345" s="33" t="e">
        <f>INDEX('Dados - Placas'!$A:$A,MATCH('1'!AG345,'Dados - Placas'!$D:$D,0))</f>
        <v>#N/A</v>
      </c>
      <c r="AI345" s="35" t="e">
        <f>INDEX('Dados - Placas'!$E:$E,MATCH('1'!AG345,'Dados - Placas'!$D:$D,0))</f>
        <v>#N/A</v>
      </c>
      <c r="AJ345" s="34" t="e">
        <f>INDEX('Dados - Placas'!$F:$F,MATCH('1'!AG345,'Dados - Placas'!$D:$D,0))*AF345</f>
        <v>#N/A</v>
      </c>
      <c r="AK345" s="33">
        <f>'Dados - Cliente'!AE345</f>
        <v>0</v>
      </c>
      <c r="AL345" s="33">
        <f>'Dados - Cliente'!AF345</f>
        <v>0</v>
      </c>
      <c r="AM345" s="36" t="e">
        <f>INDEX('Dados - Inversores'!$A:$A,MATCH('1'!AL345,'Dados - Inversores'!$C:$C,0))</f>
        <v>#N/A</v>
      </c>
      <c r="AN345" s="33">
        <f>'Dados - Cliente'!AG345</f>
        <v>0</v>
      </c>
      <c r="AO345" s="33" t="e">
        <f>AA345*1.25/(0.22*SQRT(INDEX('Dados - Inversores'!AK:AK,MATCH('1'!AL345,'Dados - Inversores'!C:C,0))))</f>
        <v>#N/A</v>
      </c>
      <c r="AP345" s="34">
        <f>INDEX(Dados!$E$2:$E$33,COUNTIF(Dados!$E$2:$E$33,"&lt;="&amp;AN345*1.25/(INDEX('Dados - Inversores'!AL:AL,MATCH('1'!AL345,'Dados - Inversores'!C:C,0))*SQRT(INDEX('Dados - Inversores'!AK:AK,MATCH('1'!AL345,'Dados - Inversores'!C:C,0)))))+1)</f>
        <v>2</v>
      </c>
      <c r="AQ345" s="33" t="s">
        <v>59</v>
      </c>
      <c r="AR345" s="33" t="str">
        <f t="shared" si="26"/>
        <v>Micro</v>
      </c>
      <c r="AS345" s="33">
        <f>'Dados - Cliente'!AH345</f>
        <v>0</v>
      </c>
      <c r="AT345" s="33">
        <f>'Dados - Cliente'!AI345</f>
        <v>0</v>
      </c>
      <c r="AU345" s="33" t="e">
        <f>INDEX('Dados - Placas'!$N:$N,MATCH('1'!AG345,'Dados - Placas'!$D:$D,0))-1</f>
        <v>#N/A</v>
      </c>
      <c r="AV345" s="33" t="e">
        <f>INDEX('Dados - Placas'!$O:$O,MATCH('1'!AG345,'Dados - Placas'!$D:$D,0))</f>
        <v>#N/A</v>
      </c>
      <c r="AW345" s="33" t="e">
        <f>INDEX('Dados - Inversores'!AM:AM,MATCH('1'!AL345,'Dados - Inversores'!$C:$C,0))-1</f>
        <v>#N/A</v>
      </c>
      <c r="AX345" s="33" t="e">
        <f>INDEX('Dados - Inversores'!AN:AN,MATCH('1'!AL345,'Dados - Inversores'!$C:$C,0))-1</f>
        <v>#N/A</v>
      </c>
      <c r="AY345" s="33" t="e">
        <f>MATCH('1'!H345,Dados!$D$89:$D$167,0)+1</f>
        <v>#N/A</v>
      </c>
      <c r="AZ345" s="33" t="e">
        <f>MATCH('1'!N345,'Dados - Solicitação de acesso'!$N$2:$N$8,0)</f>
        <v>#N/A</v>
      </c>
      <c r="BA345" s="33" t="e">
        <f>MATCH('1'!T345,'Dados - Solicitação de acesso'!$T$2:$T$20,0)</f>
        <v>#N/A</v>
      </c>
    </row>
    <row r="346" spans="1:53" x14ac:dyDescent="0.35">
      <c r="A346" s="33">
        <f>'Dados - Cliente'!A346</f>
        <v>0</v>
      </c>
      <c r="B346" s="33">
        <f>'Dados - Cliente'!B346</f>
        <v>0</v>
      </c>
      <c r="C346" s="33">
        <f>'Dados - Cliente'!C346</f>
        <v>0</v>
      </c>
      <c r="D346" s="33">
        <f>'Dados - Cliente'!D346</f>
        <v>0</v>
      </c>
      <c r="E346" s="33">
        <f>'Dados - Cliente'!E346</f>
        <v>0</v>
      </c>
      <c r="F346" s="33">
        <f>'Dados - Cliente'!F346</f>
        <v>0</v>
      </c>
      <c r="G346" s="33">
        <f>'Dados - Cliente'!G346</f>
        <v>0</v>
      </c>
      <c r="H346" s="33">
        <f>'Dados - Cliente'!H346</f>
        <v>0</v>
      </c>
      <c r="I346" s="75" t="s">
        <v>4313</v>
      </c>
      <c r="J346" s="52" t="s">
        <v>4314</v>
      </c>
      <c r="K346" s="52" t="s">
        <v>4314</v>
      </c>
      <c r="L346" s="33">
        <f>'Dados - Cliente'!I346</f>
        <v>0</v>
      </c>
      <c r="M346" s="33">
        <f>'Dados - Cliente'!K346</f>
        <v>0</v>
      </c>
      <c r="N346" s="33">
        <f>'Dados - Cliente'!L346</f>
        <v>0</v>
      </c>
      <c r="O346" s="33">
        <f>'Dados - Cliente'!M346</f>
        <v>0</v>
      </c>
      <c r="P346" s="33">
        <f>'Dados - Cliente'!N346</f>
        <v>0</v>
      </c>
      <c r="Q346" s="33">
        <f>'Dados - Cliente'!O346</f>
        <v>0</v>
      </c>
      <c r="R346" s="33">
        <f>'Dados - Cliente'!P346</f>
        <v>0</v>
      </c>
      <c r="S346" s="33">
        <f>'Dados - Cliente'!Q346</f>
        <v>0</v>
      </c>
      <c r="T346" s="33">
        <f>'Dados - Cliente'!R346</f>
        <v>0</v>
      </c>
      <c r="U346" s="34">
        <f>'Dados - Cliente'!S346</f>
        <v>0</v>
      </c>
      <c r="V346" s="34">
        <f>'Dados - Cliente'!T346</f>
        <v>0</v>
      </c>
      <c r="W346" s="34">
        <f>'Dados - Cliente'!U346</f>
        <v>0</v>
      </c>
      <c r="X346" s="34">
        <f>'Dados - Cliente'!V346</f>
        <v>0</v>
      </c>
      <c r="Y346" s="34">
        <f>'Dados - Cliente'!W346</f>
        <v>0</v>
      </c>
      <c r="Z346" s="34">
        <f>'Dados - Cliente'!X346</f>
        <v>0</v>
      </c>
      <c r="AA346" s="33" t="e">
        <f t="shared" si="25"/>
        <v>#N/A</v>
      </c>
      <c r="AB346" s="33">
        <f>'Dados - Cliente'!Y346</f>
        <v>0</v>
      </c>
      <c r="AC346" s="33">
        <f>'Dados - Cliente'!Z346</f>
        <v>0</v>
      </c>
      <c r="AD346" s="33">
        <f>'Dados - Cliente'!AA346</f>
        <v>0</v>
      </c>
      <c r="AE346" s="33">
        <f>'Dados - Cliente'!AB346</f>
        <v>0</v>
      </c>
      <c r="AF346" s="33">
        <f>'Dados - Cliente'!AC346</f>
        <v>0</v>
      </c>
      <c r="AG346" s="35">
        <f>'Dados - Cliente'!AD346</f>
        <v>0</v>
      </c>
      <c r="AH346" s="33" t="e">
        <f>INDEX('Dados - Placas'!$A:$A,MATCH('1'!AG346,'Dados - Placas'!$D:$D,0))</f>
        <v>#N/A</v>
      </c>
      <c r="AI346" s="35" t="e">
        <f>INDEX('Dados - Placas'!$E:$E,MATCH('1'!AG346,'Dados - Placas'!$D:$D,0))</f>
        <v>#N/A</v>
      </c>
      <c r="AJ346" s="34" t="e">
        <f>INDEX('Dados - Placas'!$F:$F,MATCH('1'!AG346,'Dados - Placas'!$D:$D,0))*AF346</f>
        <v>#N/A</v>
      </c>
      <c r="AK346" s="33">
        <f>'Dados - Cliente'!AE346</f>
        <v>0</v>
      </c>
      <c r="AL346" s="33">
        <f>'Dados - Cliente'!AF346</f>
        <v>0</v>
      </c>
      <c r="AM346" s="36" t="e">
        <f>INDEX('Dados - Inversores'!$A:$A,MATCH('1'!AL346,'Dados - Inversores'!$C:$C,0))</f>
        <v>#N/A</v>
      </c>
      <c r="AN346" s="33">
        <f>'Dados - Cliente'!AG346</f>
        <v>0</v>
      </c>
      <c r="AO346" s="33" t="e">
        <f>AA346*1.25/(0.22*SQRT(INDEX('Dados - Inversores'!AK:AK,MATCH('1'!AL346,'Dados - Inversores'!C:C,0))))</f>
        <v>#N/A</v>
      </c>
      <c r="AP346" s="34">
        <f>INDEX(Dados!$E$2:$E$33,COUNTIF(Dados!$E$2:$E$33,"&lt;="&amp;AN346*1.25/(INDEX('Dados - Inversores'!AL:AL,MATCH('1'!AL346,'Dados - Inversores'!C:C,0))*SQRT(INDEX('Dados - Inversores'!AK:AK,MATCH('1'!AL346,'Dados - Inversores'!C:C,0)))))+1)</f>
        <v>2</v>
      </c>
      <c r="AQ346" s="33" t="s">
        <v>59</v>
      </c>
      <c r="AR346" s="33" t="str">
        <f t="shared" si="26"/>
        <v>Micro</v>
      </c>
      <c r="AS346" s="33">
        <f>'Dados - Cliente'!AH346</f>
        <v>0</v>
      </c>
      <c r="AT346" s="33">
        <f>'Dados - Cliente'!AI346</f>
        <v>0</v>
      </c>
      <c r="AU346" s="33" t="e">
        <f>INDEX('Dados - Placas'!$N:$N,MATCH('1'!AG346,'Dados - Placas'!$D:$D,0))-1</f>
        <v>#N/A</v>
      </c>
      <c r="AV346" s="33" t="e">
        <f>INDEX('Dados - Placas'!$O:$O,MATCH('1'!AG346,'Dados - Placas'!$D:$D,0))</f>
        <v>#N/A</v>
      </c>
      <c r="AW346" s="33" t="e">
        <f>INDEX('Dados - Inversores'!AM:AM,MATCH('1'!AL346,'Dados - Inversores'!$C:$C,0))-1</f>
        <v>#N/A</v>
      </c>
      <c r="AX346" s="33" t="e">
        <f>INDEX('Dados - Inversores'!AN:AN,MATCH('1'!AL346,'Dados - Inversores'!$C:$C,0))-1</f>
        <v>#N/A</v>
      </c>
      <c r="AY346" s="33" t="e">
        <f>MATCH('1'!H346,Dados!$D$89:$D$167,0)+1</f>
        <v>#N/A</v>
      </c>
      <c r="AZ346" s="33" t="e">
        <f>MATCH('1'!N346,'Dados - Solicitação de acesso'!$N$2:$N$8,0)</f>
        <v>#N/A</v>
      </c>
      <c r="BA346" s="33" t="e">
        <f>MATCH('1'!T346,'Dados - Solicitação de acesso'!$T$2:$T$20,0)</f>
        <v>#N/A</v>
      </c>
    </row>
    <row r="347" spans="1:53" x14ac:dyDescent="0.35">
      <c r="A347" s="33">
        <f>'Dados - Cliente'!A347</f>
        <v>0</v>
      </c>
      <c r="B347" s="33">
        <f>'Dados - Cliente'!B347</f>
        <v>0</v>
      </c>
      <c r="C347" s="33">
        <f>'Dados - Cliente'!C347</f>
        <v>0</v>
      </c>
      <c r="D347" s="33">
        <f>'Dados - Cliente'!D347</f>
        <v>0</v>
      </c>
      <c r="E347" s="33">
        <f>'Dados - Cliente'!E347</f>
        <v>0</v>
      </c>
      <c r="F347" s="33">
        <f>'Dados - Cliente'!F347</f>
        <v>0</v>
      </c>
      <c r="G347" s="33">
        <f>'Dados - Cliente'!G347</f>
        <v>0</v>
      </c>
      <c r="H347" s="33">
        <f>'Dados - Cliente'!H347</f>
        <v>0</v>
      </c>
      <c r="I347" s="75" t="s">
        <v>4313</v>
      </c>
      <c r="J347" s="52" t="s">
        <v>4314</v>
      </c>
      <c r="K347" s="52" t="s">
        <v>4314</v>
      </c>
      <c r="L347" s="33">
        <f>'Dados - Cliente'!I347</f>
        <v>0</v>
      </c>
      <c r="M347" s="33">
        <f>'Dados - Cliente'!K347</f>
        <v>0</v>
      </c>
      <c r="N347" s="33">
        <f>'Dados - Cliente'!L347</f>
        <v>0</v>
      </c>
      <c r="O347" s="33">
        <f>'Dados - Cliente'!M347</f>
        <v>0</v>
      </c>
      <c r="P347" s="33">
        <f>'Dados - Cliente'!N347</f>
        <v>0</v>
      </c>
      <c r="Q347" s="33">
        <f>'Dados - Cliente'!O347</f>
        <v>0</v>
      </c>
      <c r="R347" s="33">
        <f>'Dados - Cliente'!P347</f>
        <v>0</v>
      </c>
      <c r="S347" s="33">
        <f>'Dados - Cliente'!Q347</f>
        <v>0</v>
      </c>
      <c r="T347" s="33">
        <f>'Dados - Cliente'!R347</f>
        <v>0</v>
      </c>
      <c r="U347" s="34">
        <f>'Dados - Cliente'!S347</f>
        <v>0</v>
      </c>
      <c r="V347" s="34">
        <f>'Dados - Cliente'!T347</f>
        <v>0</v>
      </c>
      <c r="W347" s="34">
        <f>'Dados - Cliente'!U347</f>
        <v>0</v>
      </c>
      <c r="X347" s="34">
        <f>'Dados - Cliente'!V347</f>
        <v>0</v>
      </c>
      <c r="Y347" s="34">
        <f>'Dados - Cliente'!W347</f>
        <v>0</v>
      </c>
      <c r="Z347" s="34">
        <f>'Dados - Cliente'!X347</f>
        <v>0</v>
      </c>
      <c r="AA347" s="33" t="e">
        <f t="shared" si="25"/>
        <v>#N/A</v>
      </c>
      <c r="AB347" s="33">
        <f>'Dados - Cliente'!Y347</f>
        <v>0</v>
      </c>
      <c r="AC347" s="33">
        <f>'Dados - Cliente'!Z347</f>
        <v>0</v>
      </c>
      <c r="AD347" s="33">
        <f>'Dados - Cliente'!AA347</f>
        <v>0</v>
      </c>
      <c r="AE347" s="33">
        <f>'Dados - Cliente'!AB347</f>
        <v>0</v>
      </c>
      <c r="AF347" s="33">
        <f>'Dados - Cliente'!AC347</f>
        <v>0</v>
      </c>
      <c r="AG347" s="35">
        <f>'Dados - Cliente'!AD347</f>
        <v>0</v>
      </c>
      <c r="AH347" s="33" t="e">
        <f>INDEX('Dados - Placas'!$A:$A,MATCH('1'!AG347,'Dados - Placas'!$D:$D,0))</f>
        <v>#N/A</v>
      </c>
      <c r="AI347" s="35" t="e">
        <f>INDEX('Dados - Placas'!$E:$E,MATCH('1'!AG347,'Dados - Placas'!$D:$D,0))</f>
        <v>#N/A</v>
      </c>
      <c r="AJ347" s="34" t="e">
        <f>INDEX('Dados - Placas'!$F:$F,MATCH('1'!AG347,'Dados - Placas'!$D:$D,0))*AF347</f>
        <v>#N/A</v>
      </c>
      <c r="AK347" s="33">
        <f>'Dados - Cliente'!AE347</f>
        <v>0</v>
      </c>
      <c r="AL347" s="33">
        <f>'Dados - Cliente'!AF347</f>
        <v>0</v>
      </c>
      <c r="AM347" s="36" t="e">
        <f>INDEX('Dados - Inversores'!$A:$A,MATCH('1'!AL347,'Dados - Inversores'!$C:$C,0))</f>
        <v>#N/A</v>
      </c>
      <c r="AN347" s="33">
        <f>'Dados - Cliente'!AG347</f>
        <v>0</v>
      </c>
      <c r="AO347" s="33" t="e">
        <f>AA347*1.25/(0.22*SQRT(INDEX('Dados - Inversores'!AK:AK,MATCH('1'!AL347,'Dados - Inversores'!C:C,0))))</f>
        <v>#N/A</v>
      </c>
      <c r="AP347" s="34">
        <f>INDEX(Dados!$E$2:$E$33,COUNTIF(Dados!$E$2:$E$33,"&lt;="&amp;AN347*1.25/(INDEX('Dados - Inversores'!AL:AL,MATCH('1'!AL347,'Dados - Inversores'!C:C,0))*SQRT(INDEX('Dados - Inversores'!AK:AK,MATCH('1'!AL347,'Dados - Inversores'!C:C,0)))))+1)</f>
        <v>2</v>
      </c>
      <c r="AQ347" s="33" t="s">
        <v>59</v>
      </c>
      <c r="AR347" s="33" t="str">
        <f t="shared" si="26"/>
        <v>Micro</v>
      </c>
      <c r="AS347" s="33">
        <f>'Dados - Cliente'!AH347</f>
        <v>0</v>
      </c>
      <c r="AT347" s="33">
        <f>'Dados - Cliente'!AI347</f>
        <v>0</v>
      </c>
      <c r="AU347" s="33" t="e">
        <f>INDEX('Dados - Placas'!$N:$N,MATCH('1'!AG347,'Dados - Placas'!$D:$D,0))-1</f>
        <v>#N/A</v>
      </c>
      <c r="AV347" s="33" t="e">
        <f>INDEX('Dados - Placas'!$O:$O,MATCH('1'!AG347,'Dados - Placas'!$D:$D,0))</f>
        <v>#N/A</v>
      </c>
      <c r="AW347" s="33" t="e">
        <f>INDEX('Dados - Inversores'!AM:AM,MATCH('1'!AL347,'Dados - Inversores'!$C:$C,0))-1</f>
        <v>#N/A</v>
      </c>
      <c r="AX347" s="33" t="e">
        <f>INDEX('Dados - Inversores'!AN:AN,MATCH('1'!AL347,'Dados - Inversores'!$C:$C,0))-1</f>
        <v>#N/A</v>
      </c>
      <c r="AY347" s="33" t="e">
        <f>MATCH('1'!H347,Dados!$D$89:$D$167,0)+1</f>
        <v>#N/A</v>
      </c>
      <c r="AZ347" s="33" t="e">
        <f>MATCH('1'!N347,'Dados - Solicitação de acesso'!$N$2:$N$8,0)</f>
        <v>#N/A</v>
      </c>
      <c r="BA347" s="33" t="e">
        <f>MATCH('1'!T347,'Dados - Solicitação de acesso'!$T$2:$T$20,0)</f>
        <v>#N/A</v>
      </c>
    </row>
    <row r="348" spans="1:53" x14ac:dyDescent="0.35">
      <c r="A348" s="33">
        <f>'Dados - Cliente'!A348</f>
        <v>0</v>
      </c>
      <c r="B348" s="33">
        <f>'Dados - Cliente'!B348</f>
        <v>0</v>
      </c>
      <c r="C348" s="33">
        <f>'Dados - Cliente'!C348</f>
        <v>0</v>
      </c>
      <c r="D348" s="33">
        <f>'Dados - Cliente'!D348</f>
        <v>0</v>
      </c>
      <c r="E348" s="33">
        <f>'Dados - Cliente'!E348</f>
        <v>0</v>
      </c>
      <c r="F348" s="33">
        <f>'Dados - Cliente'!F348</f>
        <v>0</v>
      </c>
      <c r="G348" s="33">
        <f>'Dados - Cliente'!G348</f>
        <v>0</v>
      </c>
      <c r="H348" s="33">
        <f>'Dados - Cliente'!H348</f>
        <v>0</v>
      </c>
      <c r="I348" s="75" t="s">
        <v>4313</v>
      </c>
      <c r="J348" s="52" t="s">
        <v>4314</v>
      </c>
      <c r="K348" s="52" t="s">
        <v>4314</v>
      </c>
      <c r="L348" s="33">
        <f>'Dados - Cliente'!I348</f>
        <v>0</v>
      </c>
      <c r="M348" s="33">
        <f>'Dados - Cliente'!K348</f>
        <v>0</v>
      </c>
      <c r="N348" s="33">
        <f>'Dados - Cliente'!L348</f>
        <v>0</v>
      </c>
      <c r="O348" s="33">
        <f>'Dados - Cliente'!M348</f>
        <v>0</v>
      </c>
      <c r="P348" s="33">
        <f>'Dados - Cliente'!N348</f>
        <v>0</v>
      </c>
      <c r="Q348" s="33">
        <f>'Dados - Cliente'!O348</f>
        <v>0</v>
      </c>
      <c r="R348" s="33">
        <f>'Dados - Cliente'!P348</f>
        <v>0</v>
      </c>
      <c r="S348" s="33">
        <f>'Dados - Cliente'!Q348</f>
        <v>0</v>
      </c>
      <c r="T348" s="33">
        <f>'Dados - Cliente'!R348</f>
        <v>0</v>
      </c>
      <c r="U348" s="34">
        <f>'Dados - Cliente'!S348</f>
        <v>0</v>
      </c>
      <c r="V348" s="34">
        <f>'Dados - Cliente'!T348</f>
        <v>0</v>
      </c>
      <c r="W348" s="34">
        <f>'Dados - Cliente'!U348</f>
        <v>0</v>
      </c>
      <c r="X348" s="34">
        <f>'Dados - Cliente'!V348</f>
        <v>0</v>
      </c>
      <c r="Y348" s="34">
        <f>'Dados - Cliente'!W348</f>
        <v>0</v>
      </c>
      <c r="Z348" s="34">
        <f>'Dados - Cliente'!X348</f>
        <v>0</v>
      </c>
      <c r="AA348" s="33" t="e">
        <f t="shared" si="25"/>
        <v>#N/A</v>
      </c>
      <c r="AB348" s="33">
        <f>'Dados - Cliente'!Y348</f>
        <v>0</v>
      </c>
      <c r="AC348" s="33">
        <f>'Dados - Cliente'!Z348</f>
        <v>0</v>
      </c>
      <c r="AD348" s="33">
        <f>'Dados - Cliente'!AA348</f>
        <v>0</v>
      </c>
      <c r="AE348" s="33">
        <f>'Dados - Cliente'!AB348</f>
        <v>0</v>
      </c>
      <c r="AF348" s="33">
        <f>'Dados - Cliente'!AC348</f>
        <v>0</v>
      </c>
      <c r="AG348" s="35">
        <f>'Dados - Cliente'!AD348</f>
        <v>0</v>
      </c>
      <c r="AH348" s="33" t="e">
        <f>INDEX('Dados - Placas'!$A:$A,MATCH('1'!AG348,'Dados - Placas'!$D:$D,0))</f>
        <v>#N/A</v>
      </c>
      <c r="AI348" s="35" t="e">
        <f>INDEX('Dados - Placas'!$E:$E,MATCH('1'!AG348,'Dados - Placas'!$D:$D,0))</f>
        <v>#N/A</v>
      </c>
      <c r="AJ348" s="34" t="e">
        <f>INDEX('Dados - Placas'!$F:$F,MATCH('1'!AG348,'Dados - Placas'!$D:$D,0))*AF348</f>
        <v>#N/A</v>
      </c>
      <c r="AK348" s="33">
        <f>'Dados - Cliente'!AE348</f>
        <v>0</v>
      </c>
      <c r="AL348" s="33">
        <f>'Dados - Cliente'!AF348</f>
        <v>0</v>
      </c>
      <c r="AM348" s="36" t="e">
        <f>INDEX('Dados - Inversores'!$A:$A,MATCH('1'!AL348,'Dados - Inversores'!$C:$C,0))</f>
        <v>#N/A</v>
      </c>
      <c r="AN348" s="33">
        <f>'Dados - Cliente'!AG348</f>
        <v>0</v>
      </c>
      <c r="AO348" s="33" t="e">
        <f>AA348*1.25/(0.22*SQRT(INDEX('Dados - Inversores'!AK:AK,MATCH('1'!AL348,'Dados - Inversores'!C:C,0))))</f>
        <v>#N/A</v>
      </c>
      <c r="AP348" s="34">
        <f>INDEX(Dados!$E$2:$E$33,COUNTIF(Dados!$E$2:$E$33,"&lt;="&amp;AN348*1.25/(INDEX('Dados - Inversores'!AL:AL,MATCH('1'!AL348,'Dados - Inversores'!C:C,0))*SQRT(INDEX('Dados - Inversores'!AK:AK,MATCH('1'!AL348,'Dados - Inversores'!C:C,0)))))+1)</f>
        <v>2</v>
      </c>
      <c r="AQ348" s="33" t="s">
        <v>59</v>
      </c>
      <c r="AR348" s="33" t="str">
        <f t="shared" si="26"/>
        <v>Micro</v>
      </c>
      <c r="AS348" s="33">
        <f>'Dados - Cliente'!AH348</f>
        <v>0</v>
      </c>
      <c r="AT348" s="33">
        <f>'Dados - Cliente'!AI348</f>
        <v>0</v>
      </c>
      <c r="AU348" s="33" t="e">
        <f>INDEX('Dados - Placas'!$N:$N,MATCH('1'!AG348,'Dados - Placas'!$D:$D,0))-1</f>
        <v>#N/A</v>
      </c>
      <c r="AV348" s="33" t="e">
        <f>INDEX('Dados - Placas'!$O:$O,MATCH('1'!AG348,'Dados - Placas'!$D:$D,0))</f>
        <v>#N/A</v>
      </c>
      <c r="AW348" s="33" t="e">
        <f>INDEX('Dados - Inversores'!AM:AM,MATCH('1'!AL348,'Dados - Inversores'!$C:$C,0))-1</f>
        <v>#N/A</v>
      </c>
      <c r="AX348" s="33" t="e">
        <f>INDEX('Dados - Inversores'!AN:AN,MATCH('1'!AL348,'Dados - Inversores'!$C:$C,0))-1</f>
        <v>#N/A</v>
      </c>
      <c r="AY348" s="33" t="e">
        <f>MATCH('1'!H348,Dados!$D$89:$D$167,0)+1</f>
        <v>#N/A</v>
      </c>
      <c r="AZ348" s="33" t="e">
        <f>MATCH('1'!N348,'Dados - Solicitação de acesso'!$N$2:$N$8,0)</f>
        <v>#N/A</v>
      </c>
      <c r="BA348" s="33" t="e">
        <f>MATCH('1'!T348,'Dados - Solicitação de acesso'!$T$2:$T$20,0)</f>
        <v>#N/A</v>
      </c>
    </row>
    <row r="349" spans="1:53" x14ac:dyDescent="0.35">
      <c r="A349" s="33">
        <f>'Dados - Cliente'!A349</f>
        <v>0</v>
      </c>
      <c r="B349" s="33">
        <f>'Dados - Cliente'!B349</f>
        <v>0</v>
      </c>
      <c r="C349" s="33">
        <f>'Dados - Cliente'!C349</f>
        <v>0</v>
      </c>
      <c r="D349" s="33">
        <f>'Dados - Cliente'!D349</f>
        <v>0</v>
      </c>
      <c r="E349" s="33">
        <f>'Dados - Cliente'!E349</f>
        <v>0</v>
      </c>
      <c r="F349" s="33">
        <f>'Dados - Cliente'!F349</f>
        <v>0</v>
      </c>
      <c r="G349" s="33">
        <f>'Dados - Cliente'!G349</f>
        <v>0</v>
      </c>
      <c r="H349" s="33">
        <f>'Dados - Cliente'!H349</f>
        <v>0</v>
      </c>
      <c r="I349" s="75" t="s">
        <v>4313</v>
      </c>
      <c r="J349" s="52" t="s">
        <v>4314</v>
      </c>
      <c r="K349" s="52" t="s">
        <v>4314</v>
      </c>
      <c r="L349" s="33">
        <f>'Dados - Cliente'!I349</f>
        <v>0</v>
      </c>
      <c r="M349" s="33">
        <f>'Dados - Cliente'!K349</f>
        <v>0</v>
      </c>
      <c r="N349" s="33">
        <f>'Dados - Cliente'!L349</f>
        <v>0</v>
      </c>
      <c r="O349" s="33">
        <f>'Dados - Cliente'!M349</f>
        <v>0</v>
      </c>
      <c r="P349" s="33">
        <f>'Dados - Cliente'!N349</f>
        <v>0</v>
      </c>
      <c r="Q349" s="33">
        <f>'Dados - Cliente'!O349</f>
        <v>0</v>
      </c>
      <c r="R349" s="33">
        <f>'Dados - Cliente'!P349</f>
        <v>0</v>
      </c>
      <c r="S349" s="33">
        <f>'Dados - Cliente'!Q349</f>
        <v>0</v>
      </c>
      <c r="T349" s="33">
        <f>'Dados - Cliente'!R349</f>
        <v>0</v>
      </c>
      <c r="U349" s="34">
        <f>'Dados - Cliente'!S349</f>
        <v>0</v>
      </c>
      <c r="V349" s="34">
        <f>'Dados - Cliente'!T349</f>
        <v>0</v>
      </c>
      <c r="W349" s="34">
        <f>'Dados - Cliente'!U349</f>
        <v>0</v>
      </c>
      <c r="X349" s="34">
        <f>'Dados - Cliente'!V349</f>
        <v>0</v>
      </c>
      <c r="Y349" s="34">
        <f>'Dados - Cliente'!W349</f>
        <v>0</v>
      </c>
      <c r="Z349" s="34">
        <f>'Dados - Cliente'!X349</f>
        <v>0</v>
      </c>
      <c r="AA349" s="33" t="e">
        <f t="shared" si="25"/>
        <v>#N/A</v>
      </c>
      <c r="AB349" s="33">
        <f>'Dados - Cliente'!Y349</f>
        <v>0</v>
      </c>
      <c r="AC349" s="33">
        <f>'Dados - Cliente'!Z349</f>
        <v>0</v>
      </c>
      <c r="AD349" s="33">
        <f>'Dados - Cliente'!AA349</f>
        <v>0</v>
      </c>
      <c r="AE349" s="33">
        <f>'Dados - Cliente'!AB349</f>
        <v>0</v>
      </c>
      <c r="AF349" s="33">
        <f>'Dados - Cliente'!AC349</f>
        <v>0</v>
      </c>
      <c r="AG349" s="35">
        <f>'Dados - Cliente'!AD349</f>
        <v>0</v>
      </c>
      <c r="AH349" s="33" t="e">
        <f>INDEX('Dados - Placas'!$A:$A,MATCH('1'!AG349,'Dados - Placas'!$D:$D,0))</f>
        <v>#N/A</v>
      </c>
      <c r="AI349" s="35" t="e">
        <f>INDEX('Dados - Placas'!$E:$E,MATCH('1'!AG349,'Dados - Placas'!$D:$D,0))</f>
        <v>#N/A</v>
      </c>
      <c r="AJ349" s="34" t="e">
        <f>INDEX('Dados - Placas'!$F:$F,MATCH('1'!AG349,'Dados - Placas'!$D:$D,0))*AF349</f>
        <v>#N/A</v>
      </c>
      <c r="AK349" s="33">
        <f>'Dados - Cliente'!AE349</f>
        <v>0</v>
      </c>
      <c r="AL349" s="33">
        <f>'Dados - Cliente'!AF349</f>
        <v>0</v>
      </c>
      <c r="AM349" s="36" t="e">
        <f>INDEX('Dados - Inversores'!$A:$A,MATCH('1'!AL349,'Dados - Inversores'!$C:$C,0))</f>
        <v>#N/A</v>
      </c>
      <c r="AN349" s="33">
        <f>'Dados - Cliente'!AG349</f>
        <v>0</v>
      </c>
      <c r="AO349" s="33" t="e">
        <f>AA349*1.25/(0.22*SQRT(INDEX('Dados - Inversores'!AK:AK,MATCH('1'!AL349,'Dados - Inversores'!C:C,0))))</f>
        <v>#N/A</v>
      </c>
      <c r="AP349" s="34">
        <f>INDEX(Dados!$E$2:$E$33,COUNTIF(Dados!$E$2:$E$33,"&lt;="&amp;AN349*1.25/(INDEX('Dados - Inversores'!AL:AL,MATCH('1'!AL349,'Dados - Inversores'!C:C,0))*SQRT(INDEX('Dados - Inversores'!AK:AK,MATCH('1'!AL349,'Dados - Inversores'!C:C,0)))))+1)</f>
        <v>2</v>
      </c>
      <c r="AQ349" s="33" t="s">
        <v>59</v>
      </c>
      <c r="AR349" s="33" t="str">
        <f t="shared" si="26"/>
        <v>Micro</v>
      </c>
      <c r="AS349" s="33">
        <f>'Dados - Cliente'!AH349</f>
        <v>0</v>
      </c>
      <c r="AT349" s="33">
        <f>'Dados - Cliente'!AI349</f>
        <v>0</v>
      </c>
      <c r="AU349" s="33" t="e">
        <f>INDEX('Dados - Placas'!$N:$N,MATCH('1'!AG349,'Dados - Placas'!$D:$D,0))-1</f>
        <v>#N/A</v>
      </c>
      <c r="AV349" s="33" t="e">
        <f>INDEX('Dados - Placas'!$O:$O,MATCH('1'!AG349,'Dados - Placas'!$D:$D,0))</f>
        <v>#N/A</v>
      </c>
      <c r="AW349" s="33" t="e">
        <f>INDEX('Dados - Inversores'!AM:AM,MATCH('1'!AL349,'Dados - Inversores'!$C:$C,0))-1</f>
        <v>#N/A</v>
      </c>
      <c r="AX349" s="33" t="e">
        <f>INDEX('Dados - Inversores'!AN:AN,MATCH('1'!AL349,'Dados - Inversores'!$C:$C,0))-1</f>
        <v>#N/A</v>
      </c>
      <c r="AY349" s="33" t="e">
        <f>MATCH('1'!H349,Dados!$D$89:$D$167,0)+1</f>
        <v>#N/A</v>
      </c>
      <c r="AZ349" s="33" t="e">
        <f>MATCH('1'!N349,'Dados - Solicitação de acesso'!$N$2:$N$8,0)</f>
        <v>#N/A</v>
      </c>
      <c r="BA349" s="33" t="e">
        <f>MATCH('1'!T349,'Dados - Solicitação de acesso'!$T$2:$T$20,0)</f>
        <v>#N/A</v>
      </c>
    </row>
    <row r="350" spans="1:53" x14ac:dyDescent="0.35">
      <c r="A350" s="33">
        <f>'Dados - Cliente'!A350</f>
        <v>0</v>
      </c>
      <c r="B350" s="33">
        <f>'Dados - Cliente'!B350</f>
        <v>0</v>
      </c>
      <c r="C350" s="33">
        <f>'Dados - Cliente'!C350</f>
        <v>0</v>
      </c>
      <c r="D350" s="33">
        <f>'Dados - Cliente'!D350</f>
        <v>0</v>
      </c>
      <c r="E350" s="33">
        <f>'Dados - Cliente'!E350</f>
        <v>0</v>
      </c>
      <c r="F350" s="33">
        <f>'Dados - Cliente'!F350</f>
        <v>0</v>
      </c>
      <c r="G350" s="33">
        <f>'Dados - Cliente'!G350</f>
        <v>0</v>
      </c>
      <c r="H350" s="33">
        <f>'Dados - Cliente'!H350</f>
        <v>0</v>
      </c>
      <c r="I350" s="75" t="s">
        <v>4313</v>
      </c>
      <c r="J350" s="52" t="s">
        <v>4314</v>
      </c>
      <c r="K350" s="52" t="s">
        <v>4314</v>
      </c>
      <c r="L350" s="33">
        <f>'Dados - Cliente'!I350</f>
        <v>0</v>
      </c>
      <c r="M350" s="33">
        <f>'Dados - Cliente'!K350</f>
        <v>0</v>
      </c>
      <c r="N350" s="33">
        <f>'Dados - Cliente'!L350</f>
        <v>0</v>
      </c>
      <c r="O350" s="33">
        <f>'Dados - Cliente'!M350</f>
        <v>0</v>
      </c>
      <c r="P350" s="33">
        <f>'Dados - Cliente'!N350</f>
        <v>0</v>
      </c>
      <c r="Q350" s="33">
        <f>'Dados - Cliente'!O350</f>
        <v>0</v>
      </c>
      <c r="R350" s="33">
        <f>'Dados - Cliente'!P350</f>
        <v>0</v>
      </c>
      <c r="S350" s="33">
        <f>'Dados - Cliente'!Q350</f>
        <v>0</v>
      </c>
      <c r="T350" s="33">
        <f>'Dados - Cliente'!R350</f>
        <v>0</v>
      </c>
      <c r="U350" s="34">
        <f>'Dados - Cliente'!S350</f>
        <v>0</v>
      </c>
      <c r="V350" s="34">
        <f>'Dados - Cliente'!T350</f>
        <v>0</v>
      </c>
      <c r="W350" s="34">
        <f>'Dados - Cliente'!U350</f>
        <v>0</v>
      </c>
      <c r="X350" s="34">
        <f>'Dados - Cliente'!V350</f>
        <v>0</v>
      </c>
      <c r="Y350" s="34">
        <f>'Dados - Cliente'!W350</f>
        <v>0</v>
      </c>
      <c r="Z350" s="34">
        <f>'Dados - Cliente'!X350</f>
        <v>0</v>
      </c>
      <c r="AA350" s="33" t="e">
        <f t="shared" si="25"/>
        <v>#N/A</v>
      </c>
      <c r="AB350" s="33">
        <f>'Dados - Cliente'!Y350</f>
        <v>0</v>
      </c>
      <c r="AC350" s="33">
        <f>'Dados - Cliente'!Z350</f>
        <v>0</v>
      </c>
      <c r="AD350" s="33">
        <f>'Dados - Cliente'!AA350</f>
        <v>0</v>
      </c>
      <c r="AE350" s="33">
        <f>'Dados - Cliente'!AB350</f>
        <v>0</v>
      </c>
      <c r="AF350" s="33">
        <f>'Dados - Cliente'!AC350</f>
        <v>0</v>
      </c>
      <c r="AG350" s="35">
        <f>'Dados - Cliente'!AD350</f>
        <v>0</v>
      </c>
      <c r="AH350" s="33" t="e">
        <f>INDEX('Dados - Placas'!$A:$A,MATCH('1'!AG350,'Dados - Placas'!$D:$D,0))</f>
        <v>#N/A</v>
      </c>
      <c r="AI350" s="35" t="e">
        <f>INDEX('Dados - Placas'!$E:$E,MATCH('1'!AG350,'Dados - Placas'!$D:$D,0))</f>
        <v>#N/A</v>
      </c>
      <c r="AJ350" s="34" t="e">
        <f>INDEX('Dados - Placas'!$F:$F,MATCH('1'!AG350,'Dados - Placas'!$D:$D,0))*AF350</f>
        <v>#N/A</v>
      </c>
      <c r="AK350" s="33">
        <f>'Dados - Cliente'!AE350</f>
        <v>0</v>
      </c>
      <c r="AL350" s="33">
        <f>'Dados - Cliente'!AF350</f>
        <v>0</v>
      </c>
      <c r="AM350" s="36" t="e">
        <f>INDEX('Dados - Inversores'!$A:$A,MATCH('1'!AL350,'Dados - Inversores'!$C:$C,0))</f>
        <v>#N/A</v>
      </c>
      <c r="AN350" s="33">
        <f>'Dados - Cliente'!AG350</f>
        <v>0</v>
      </c>
      <c r="AO350" s="33" t="e">
        <f>AA350*1.25/(0.22*SQRT(INDEX('Dados - Inversores'!AK:AK,MATCH('1'!AL350,'Dados - Inversores'!C:C,0))))</f>
        <v>#N/A</v>
      </c>
      <c r="AP350" s="34">
        <f>INDEX(Dados!$E$2:$E$33,COUNTIF(Dados!$E$2:$E$33,"&lt;="&amp;AN350*1.25/(INDEX('Dados - Inversores'!AL:AL,MATCH('1'!AL350,'Dados - Inversores'!C:C,0))*SQRT(INDEX('Dados - Inversores'!AK:AK,MATCH('1'!AL350,'Dados - Inversores'!C:C,0)))))+1)</f>
        <v>2</v>
      </c>
      <c r="AQ350" s="33" t="s">
        <v>59</v>
      </c>
      <c r="AR350" s="33" t="str">
        <f t="shared" si="26"/>
        <v>Micro</v>
      </c>
      <c r="AS350" s="33">
        <f>'Dados - Cliente'!AH350</f>
        <v>0</v>
      </c>
      <c r="AT350" s="33">
        <f>'Dados - Cliente'!AI350</f>
        <v>0</v>
      </c>
      <c r="AU350" s="33" t="e">
        <f>INDEX('Dados - Placas'!$N:$N,MATCH('1'!AG350,'Dados - Placas'!$D:$D,0))-1</f>
        <v>#N/A</v>
      </c>
      <c r="AV350" s="33" t="e">
        <f>INDEX('Dados - Placas'!$O:$O,MATCH('1'!AG350,'Dados - Placas'!$D:$D,0))</f>
        <v>#N/A</v>
      </c>
      <c r="AW350" s="33" t="e">
        <f>INDEX('Dados - Inversores'!AM:AM,MATCH('1'!AL350,'Dados - Inversores'!$C:$C,0))-1</f>
        <v>#N/A</v>
      </c>
      <c r="AX350" s="33" t="e">
        <f>INDEX('Dados - Inversores'!AN:AN,MATCH('1'!AL350,'Dados - Inversores'!$C:$C,0))-1</f>
        <v>#N/A</v>
      </c>
      <c r="AY350" s="33" t="e">
        <f>MATCH('1'!H350,Dados!$D$89:$D$167,0)+1</f>
        <v>#N/A</v>
      </c>
      <c r="AZ350" s="33" t="e">
        <f>MATCH('1'!N350,'Dados - Solicitação de acesso'!$N$2:$N$8,0)</f>
        <v>#N/A</v>
      </c>
      <c r="BA350" s="33" t="e">
        <f>MATCH('1'!T350,'Dados - Solicitação de acesso'!$T$2:$T$20,0)</f>
        <v>#N/A</v>
      </c>
    </row>
    <row r="351" spans="1:53" x14ac:dyDescent="0.35">
      <c r="A351" s="33">
        <f>'Dados - Cliente'!A351</f>
        <v>0</v>
      </c>
      <c r="B351" s="33">
        <f>'Dados - Cliente'!B351</f>
        <v>0</v>
      </c>
      <c r="C351" s="33">
        <f>'Dados - Cliente'!C351</f>
        <v>0</v>
      </c>
      <c r="D351" s="33">
        <f>'Dados - Cliente'!D351</f>
        <v>0</v>
      </c>
      <c r="E351" s="33">
        <f>'Dados - Cliente'!E351</f>
        <v>0</v>
      </c>
      <c r="F351" s="33">
        <f>'Dados - Cliente'!F351</f>
        <v>0</v>
      </c>
      <c r="G351" s="33">
        <f>'Dados - Cliente'!G351</f>
        <v>0</v>
      </c>
      <c r="H351" s="33">
        <f>'Dados - Cliente'!H351</f>
        <v>0</v>
      </c>
      <c r="I351" s="75" t="s">
        <v>4313</v>
      </c>
      <c r="J351" s="52" t="s">
        <v>4314</v>
      </c>
      <c r="K351" s="52" t="s">
        <v>4314</v>
      </c>
      <c r="L351" s="33">
        <f>'Dados - Cliente'!I351</f>
        <v>0</v>
      </c>
      <c r="M351" s="33">
        <f>'Dados - Cliente'!K351</f>
        <v>0</v>
      </c>
      <c r="N351" s="33">
        <f>'Dados - Cliente'!L351</f>
        <v>0</v>
      </c>
      <c r="O351" s="33">
        <f>'Dados - Cliente'!M351</f>
        <v>0</v>
      </c>
      <c r="P351" s="33">
        <f>'Dados - Cliente'!N351</f>
        <v>0</v>
      </c>
      <c r="Q351" s="33">
        <f>'Dados - Cliente'!O351</f>
        <v>0</v>
      </c>
      <c r="R351" s="33">
        <f>'Dados - Cliente'!P351</f>
        <v>0</v>
      </c>
      <c r="S351" s="33">
        <f>'Dados - Cliente'!Q351</f>
        <v>0</v>
      </c>
      <c r="T351" s="33">
        <f>'Dados - Cliente'!R351</f>
        <v>0</v>
      </c>
      <c r="U351" s="34">
        <f>'Dados - Cliente'!S351</f>
        <v>0</v>
      </c>
      <c r="V351" s="34">
        <f>'Dados - Cliente'!T351</f>
        <v>0</v>
      </c>
      <c r="W351" s="34">
        <f>'Dados - Cliente'!U351</f>
        <v>0</v>
      </c>
      <c r="X351" s="34">
        <f>'Dados - Cliente'!V351</f>
        <v>0</v>
      </c>
      <c r="Y351" s="34">
        <f>'Dados - Cliente'!W351</f>
        <v>0</v>
      </c>
      <c r="Z351" s="34">
        <f>'Dados - Cliente'!X351</f>
        <v>0</v>
      </c>
      <c r="AA351" s="33" t="e">
        <f t="shared" si="25"/>
        <v>#N/A</v>
      </c>
      <c r="AB351" s="33">
        <f>'Dados - Cliente'!Y351</f>
        <v>0</v>
      </c>
      <c r="AC351" s="33">
        <f>'Dados - Cliente'!Z351</f>
        <v>0</v>
      </c>
      <c r="AD351" s="33">
        <f>'Dados - Cliente'!AA351</f>
        <v>0</v>
      </c>
      <c r="AE351" s="33">
        <f>'Dados - Cliente'!AB351</f>
        <v>0</v>
      </c>
      <c r="AF351" s="33">
        <f>'Dados - Cliente'!AC351</f>
        <v>0</v>
      </c>
      <c r="AG351" s="35">
        <f>'Dados - Cliente'!AD351</f>
        <v>0</v>
      </c>
      <c r="AH351" s="33" t="e">
        <f>INDEX('Dados - Placas'!$A:$A,MATCH('1'!AG351,'Dados - Placas'!$D:$D,0))</f>
        <v>#N/A</v>
      </c>
      <c r="AI351" s="35" t="e">
        <f>INDEX('Dados - Placas'!$E:$E,MATCH('1'!AG351,'Dados - Placas'!$D:$D,0))</f>
        <v>#N/A</v>
      </c>
      <c r="AJ351" s="34" t="e">
        <f>INDEX('Dados - Placas'!$F:$F,MATCH('1'!AG351,'Dados - Placas'!$D:$D,0))*AF351</f>
        <v>#N/A</v>
      </c>
      <c r="AK351" s="33">
        <f>'Dados - Cliente'!AE351</f>
        <v>0</v>
      </c>
      <c r="AL351" s="33">
        <f>'Dados - Cliente'!AF351</f>
        <v>0</v>
      </c>
      <c r="AM351" s="36" t="e">
        <f>INDEX('Dados - Inversores'!$A:$A,MATCH('1'!AL351,'Dados - Inversores'!$C:$C,0))</f>
        <v>#N/A</v>
      </c>
      <c r="AN351" s="33">
        <f>'Dados - Cliente'!AG351</f>
        <v>0</v>
      </c>
      <c r="AO351" s="33" t="e">
        <f>AA351*1.25/(0.22*SQRT(INDEX('Dados - Inversores'!AK:AK,MATCH('1'!AL351,'Dados - Inversores'!C:C,0))))</f>
        <v>#N/A</v>
      </c>
      <c r="AP351" s="34">
        <f>INDEX(Dados!$E$2:$E$33,COUNTIF(Dados!$E$2:$E$33,"&lt;="&amp;AN351*1.25/(INDEX('Dados - Inversores'!AL:AL,MATCH('1'!AL351,'Dados - Inversores'!C:C,0))*SQRT(INDEX('Dados - Inversores'!AK:AK,MATCH('1'!AL351,'Dados - Inversores'!C:C,0)))))+1)</f>
        <v>2</v>
      </c>
      <c r="AQ351" s="33" t="s">
        <v>59</v>
      </c>
      <c r="AR351" s="33" t="str">
        <f t="shared" si="26"/>
        <v>Micro</v>
      </c>
      <c r="AS351" s="33">
        <f>'Dados - Cliente'!AH351</f>
        <v>0</v>
      </c>
      <c r="AT351" s="33">
        <f>'Dados - Cliente'!AI351</f>
        <v>0</v>
      </c>
      <c r="AU351" s="33" t="e">
        <f>INDEX('Dados - Placas'!$N:$N,MATCH('1'!AG351,'Dados - Placas'!$D:$D,0))-1</f>
        <v>#N/A</v>
      </c>
      <c r="AV351" s="33" t="e">
        <f>INDEX('Dados - Placas'!$O:$O,MATCH('1'!AG351,'Dados - Placas'!$D:$D,0))</f>
        <v>#N/A</v>
      </c>
      <c r="AW351" s="33" t="e">
        <f>INDEX('Dados - Inversores'!AM:AM,MATCH('1'!AL351,'Dados - Inversores'!$C:$C,0))-1</f>
        <v>#N/A</v>
      </c>
      <c r="AX351" s="33" t="e">
        <f>INDEX('Dados - Inversores'!AN:AN,MATCH('1'!AL351,'Dados - Inversores'!$C:$C,0))-1</f>
        <v>#N/A</v>
      </c>
      <c r="AY351" s="33" t="e">
        <f>MATCH('1'!H351,Dados!$D$89:$D$167,0)+1</f>
        <v>#N/A</v>
      </c>
      <c r="AZ351" s="33" t="e">
        <f>MATCH('1'!N351,'Dados - Solicitação de acesso'!$N$2:$N$8,0)</f>
        <v>#N/A</v>
      </c>
      <c r="BA351" s="33" t="e">
        <f>MATCH('1'!T351,'Dados - Solicitação de acesso'!$T$2:$T$20,0)</f>
        <v>#N/A</v>
      </c>
    </row>
    <row r="352" spans="1:53" x14ac:dyDescent="0.35">
      <c r="A352" s="33">
        <f>'Dados - Cliente'!A352</f>
        <v>0</v>
      </c>
      <c r="B352" s="33">
        <f>'Dados - Cliente'!B352</f>
        <v>0</v>
      </c>
      <c r="C352" s="33">
        <f>'Dados - Cliente'!C352</f>
        <v>0</v>
      </c>
      <c r="D352" s="33">
        <f>'Dados - Cliente'!D352</f>
        <v>0</v>
      </c>
      <c r="E352" s="33">
        <f>'Dados - Cliente'!E352</f>
        <v>0</v>
      </c>
      <c r="F352" s="33">
        <f>'Dados - Cliente'!F352</f>
        <v>0</v>
      </c>
      <c r="G352" s="33">
        <f>'Dados - Cliente'!G352</f>
        <v>0</v>
      </c>
      <c r="H352" s="33">
        <f>'Dados - Cliente'!H352</f>
        <v>0</v>
      </c>
      <c r="I352" s="75" t="s">
        <v>4313</v>
      </c>
      <c r="J352" s="52" t="s">
        <v>4314</v>
      </c>
      <c r="K352" s="52" t="s">
        <v>4314</v>
      </c>
      <c r="L352" s="33">
        <f>'Dados - Cliente'!I352</f>
        <v>0</v>
      </c>
      <c r="M352" s="33">
        <f>'Dados - Cliente'!K352</f>
        <v>0</v>
      </c>
      <c r="N352" s="33">
        <f>'Dados - Cliente'!L352</f>
        <v>0</v>
      </c>
      <c r="O352" s="33">
        <f>'Dados - Cliente'!M352</f>
        <v>0</v>
      </c>
      <c r="P352" s="33">
        <f>'Dados - Cliente'!N352</f>
        <v>0</v>
      </c>
      <c r="Q352" s="33">
        <f>'Dados - Cliente'!O352</f>
        <v>0</v>
      </c>
      <c r="R352" s="33">
        <f>'Dados - Cliente'!P352</f>
        <v>0</v>
      </c>
      <c r="S352" s="33">
        <f>'Dados - Cliente'!Q352</f>
        <v>0</v>
      </c>
      <c r="T352" s="33">
        <f>'Dados - Cliente'!R352</f>
        <v>0</v>
      </c>
      <c r="U352" s="34">
        <f>'Dados - Cliente'!S352</f>
        <v>0</v>
      </c>
      <c r="V352" s="34">
        <f>'Dados - Cliente'!T352</f>
        <v>0</v>
      </c>
      <c r="W352" s="34">
        <f>'Dados - Cliente'!U352</f>
        <v>0</v>
      </c>
      <c r="X352" s="34">
        <f>'Dados - Cliente'!V352</f>
        <v>0</v>
      </c>
      <c r="Y352" s="34">
        <f>'Dados - Cliente'!W352</f>
        <v>0</v>
      </c>
      <c r="Z352" s="34">
        <f>'Dados - Cliente'!X352</f>
        <v>0</v>
      </c>
      <c r="AA352" s="33" t="e">
        <f t="shared" si="25"/>
        <v>#N/A</v>
      </c>
      <c r="AB352" s="33">
        <f>'Dados - Cliente'!Y352</f>
        <v>0</v>
      </c>
      <c r="AC352" s="33">
        <f>'Dados - Cliente'!Z352</f>
        <v>0</v>
      </c>
      <c r="AD352" s="33">
        <f>'Dados - Cliente'!AA352</f>
        <v>0</v>
      </c>
      <c r="AE352" s="33">
        <f>'Dados - Cliente'!AB352</f>
        <v>0</v>
      </c>
      <c r="AF352" s="33">
        <f>'Dados - Cliente'!AC352</f>
        <v>0</v>
      </c>
      <c r="AG352" s="35">
        <f>'Dados - Cliente'!AD352</f>
        <v>0</v>
      </c>
      <c r="AH352" s="33" t="e">
        <f>INDEX('Dados - Placas'!$A:$A,MATCH('1'!AG352,'Dados - Placas'!$D:$D,0))</f>
        <v>#N/A</v>
      </c>
      <c r="AI352" s="35" t="e">
        <f>INDEX('Dados - Placas'!$E:$E,MATCH('1'!AG352,'Dados - Placas'!$D:$D,0))</f>
        <v>#N/A</v>
      </c>
      <c r="AJ352" s="34" t="e">
        <f>INDEX('Dados - Placas'!$F:$F,MATCH('1'!AG352,'Dados - Placas'!$D:$D,0))*AF352</f>
        <v>#N/A</v>
      </c>
      <c r="AK352" s="33">
        <f>'Dados - Cliente'!AE352</f>
        <v>0</v>
      </c>
      <c r="AL352" s="33">
        <f>'Dados - Cliente'!AF352</f>
        <v>0</v>
      </c>
      <c r="AM352" s="36" t="e">
        <f>INDEX('Dados - Inversores'!$A:$A,MATCH('1'!AL352,'Dados - Inversores'!$C:$C,0))</f>
        <v>#N/A</v>
      </c>
      <c r="AN352" s="33">
        <f>'Dados - Cliente'!AG352</f>
        <v>0</v>
      </c>
      <c r="AO352" s="33" t="e">
        <f>AA352*1.25/(0.22*SQRT(INDEX('Dados - Inversores'!AK:AK,MATCH('1'!AL352,'Dados - Inversores'!C:C,0))))</f>
        <v>#N/A</v>
      </c>
      <c r="AP352" s="34">
        <f>INDEX(Dados!$E$2:$E$33,COUNTIF(Dados!$E$2:$E$33,"&lt;="&amp;AN352*1.25/(INDEX('Dados - Inversores'!AL:AL,MATCH('1'!AL352,'Dados - Inversores'!C:C,0))*SQRT(INDEX('Dados - Inversores'!AK:AK,MATCH('1'!AL352,'Dados - Inversores'!C:C,0)))))+1)</f>
        <v>2</v>
      </c>
      <c r="AQ352" s="33" t="s">
        <v>59</v>
      </c>
      <c r="AR352" s="33" t="str">
        <f t="shared" si="26"/>
        <v>Micro</v>
      </c>
      <c r="AS352" s="33">
        <f>'Dados - Cliente'!AH352</f>
        <v>0</v>
      </c>
      <c r="AT352" s="33">
        <f>'Dados - Cliente'!AI352</f>
        <v>0</v>
      </c>
      <c r="AU352" s="33" t="e">
        <f>INDEX('Dados - Placas'!$N:$N,MATCH('1'!AG352,'Dados - Placas'!$D:$D,0))-1</f>
        <v>#N/A</v>
      </c>
      <c r="AV352" s="33" t="e">
        <f>INDEX('Dados - Placas'!$O:$O,MATCH('1'!AG352,'Dados - Placas'!$D:$D,0))</f>
        <v>#N/A</v>
      </c>
      <c r="AW352" s="33" t="e">
        <f>INDEX('Dados - Inversores'!AM:AM,MATCH('1'!AL352,'Dados - Inversores'!$C:$C,0))-1</f>
        <v>#N/A</v>
      </c>
      <c r="AX352" s="33" t="e">
        <f>INDEX('Dados - Inversores'!AN:AN,MATCH('1'!AL352,'Dados - Inversores'!$C:$C,0))-1</f>
        <v>#N/A</v>
      </c>
      <c r="AY352" s="33" t="e">
        <f>MATCH('1'!H352,Dados!$D$89:$D$167,0)+1</f>
        <v>#N/A</v>
      </c>
      <c r="AZ352" s="33" t="e">
        <f>MATCH('1'!N352,'Dados - Solicitação de acesso'!$N$2:$N$8,0)</f>
        <v>#N/A</v>
      </c>
      <c r="BA352" s="33" t="e">
        <f>MATCH('1'!T352,'Dados - Solicitação de acesso'!$T$2:$T$20,0)</f>
        <v>#N/A</v>
      </c>
    </row>
    <row r="353" spans="1:53" x14ac:dyDescent="0.35">
      <c r="A353" s="33">
        <f>'Dados - Cliente'!A353</f>
        <v>0</v>
      </c>
      <c r="B353" s="33">
        <f>'Dados - Cliente'!B353</f>
        <v>0</v>
      </c>
      <c r="C353" s="33">
        <f>'Dados - Cliente'!C353</f>
        <v>0</v>
      </c>
      <c r="D353" s="33">
        <f>'Dados - Cliente'!D353</f>
        <v>0</v>
      </c>
      <c r="E353" s="33">
        <f>'Dados - Cliente'!E353</f>
        <v>0</v>
      </c>
      <c r="F353" s="33">
        <f>'Dados - Cliente'!F353</f>
        <v>0</v>
      </c>
      <c r="G353" s="33">
        <f>'Dados - Cliente'!G353</f>
        <v>0</v>
      </c>
      <c r="H353" s="33">
        <f>'Dados - Cliente'!H353</f>
        <v>0</v>
      </c>
      <c r="I353" s="75" t="s">
        <v>4313</v>
      </c>
      <c r="J353" s="52" t="s">
        <v>4314</v>
      </c>
      <c r="K353" s="52" t="s">
        <v>4314</v>
      </c>
      <c r="L353" s="33">
        <f>'Dados - Cliente'!I353</f>
        <v>0</v>
      </c>
      <c r="M353" s="33">
        <f>'Dados - Cliente'!K353</f>
        <v>0</v>
      </c>
      <c r="N353" s="33">
        <f>'Dados - Cliente'!L353</f>
        <v>0</v>
      </c>
      <c r="O353" s="33">
        <f>'Dados - Cliente'!M353</f>
        <v>0</v>
      </c>
      <c r="P353" s="33">
        <f>'Dados - Cliente'!N353</f>
        <v>0</v>
      </c>
      <c r="Q353" s="33">
        <f>'Dados - Cliente'!O353</f>
        <v>0</v>
      </c>
      <c r="R353" s="33">
        <f>'Dados - Cliente'!P353</f>
        <v>0</v>
      </c>
      <c r="S353" s="33">
        <f>'Dados - Cliente'!Q353</f>
        <v>0</v>
      </c>
      <c r="T353" s="33">
        <f>'Dados - Cliente'!R353</f>
        <v>0</v>
      </c>
      <c r="U353" s="34">
        <f>'Dados - Cliente'!S353</f>
        <v>0</v>
      </c>
      <c r="V353" s="34">
        <f>'Dados - Cliente'!T353</f>
        <v>0</v>
      </c>
      <c r="W353" s="34">
        <f>'Dados - Cliente'!U353</f>
        <v>0</v>
      </c>
      <c r="X353" s="34">
        <f>'Dados - Cliente'!V353</f>
        <v>0</v>
      </c>
      <c r="Y353" s="34">
        <f>'Dados - Cliente'!W353</f>
        <v>0</v>
      </c>
      <c r="Z353" s="34">
        <f>'Dados - Cliente'!X353</f>
        <v>0</v>
      </c>
      <c r="AA353" s="33" t="e">
        <f t="shared" si="25"/>
        <v>#N/A</v>
      </c>
      <c r="AB353" s="33">
        <f>'Dados - Cliente'!Y353</f>
        <v>0</v>
      </c>
      <c r="AC353" s="33">
        <f>'Dados - Cliente'!Z353</f>
        <v>0</v>
      </c>
      <c r="AD353" s="33">
        <f>'Dados - Cliente'!AA353</f>
        <v>0</v>
      </c>
      <c r="AE353" s="33">
        <f>'Dados - Cliente'!AB353</f>
        <v>0</v>
      </c>
      <c r="AF353" s="33">
        <f>'Dados - Cliente'!AC353</f>
        <v>0</v>
      </c>
      <c r="AG353" s="35">
        <f>'Dados - Cliente'!AD353</f>
        <v>0</v>
      </c>
      <c r="AH353" s="33" t="e">
        <f>INDEX('Dados - Placas'!$A:$A,MATCH('1'!AG353,'Dados - Placas'!$D:$D,0))</f>
        <v>#N/A</v>
      </c>
      <c r="AI353" s="35" t="e">
        <f>INDEX('Dados - Placas'!$E:$E,MATCH('1'!AG353,'Dados - Placas'!$D:$D,0))</f>
        <v>#N/A</v>
      </c>
      <c r="AJ353" s="34" t="e">
        <f>INDEX('Dados - Placas'!$F:$F,MATCH('1'!AG353,'Dados - Placas'!$D:$D,0))*AF353</f>
        <v>#N/A</v>
      </c>
      <c r="AK353" s="33">
        <f>'Dados - Cliente'!AE353</f>
        <v>0</v>
      </c>
      <c r="AL353" s="33">
        <f>'Dados - Cliente'!AF353</f>
        <v>0</v>
      </c>
      <c r="AM353" s="36" t="e">
        <f>INDEX('Dados - Inversores'!$A:$A,MATCH('1'!AL353,'Dados - Inversores'!$C:$C,0))</f>
        <v>#N/A</v>
      </c>
      <c r="AN353" s="33">
        <f>'Dados - Cliente'!AG353</f>
        <v>0</v>
      </c>
      <c r="AO353" s="33" t="e">
        <f>AA353*1.25/(0.22*SQRT(INDEX('Dados - Inversores'!AK:AK,MATCH('1'!AL353,'Dados - Inversores'!C:C,0))))</f>
        <v>#N/A</v>
      </c>
      <c r="AP353" s="34">
        <f>INDEX(Dados!$E$2:$E$33,COUNTIF(Dados!$E$2:$E$33,"&lt;="&amp;AN353*1.25/(INDEX('Dados - Inversores'!AL:AL,MATCH('1'!AL353,'Dados - Inversores'!C:C,0))*SQRT(INDEX('Dados - Inversores'!AK:AK,MATCH('1'!AL353,'Dados - Inversores'!C:C,0)))))+1)</f>
        <v>2</v>
      </c>
      <c r="AQ353" s="33" t="s">
        <v>59</v>
      </c>
      <c r="AR353" s="33" t="str">
        <f t="shared" si="26"/>
        <v>Micro</v>
      </c>
      <c r="AS353" s="33">
        <f>'Dados - Cliente'!AH353</f>
        <v>0</v>
      </c>
      <c r="AT353" s="33">
        <f>'Dados - Cliente'!AI353</f>
        <v>0</v>
      </c>
      <c r="AU353" s="33" t="e">
        <f>INDEX('Dados - Placas'!$N:$N,MATCH('1'!AG353,'Dados - Placas'!$D:$D,0))-1</f>
        <v>#N/A</v>
      </c>
      <c r="AV353" s="33" t="e">
        <f>INDEX('Dados - Placas'!$O:$O,MATCH('1'!AG353,'Dados - Placas'!$D:$D,0))</f>
        <v>#N/A</v>
      </c>
      <c r="AW353" s="33" t="e">
        <f>INDEX('Dados - Inversores'!AM:AM,MATCH('1'!AL353,'Dados - Inversores'!$C:$C,0))-1</f>
        <v>#N/A</v>
      </c>
      <c r="AX353" s="33" t="e">
        <f>INDEX('Dados - Inversores'!AN:AN,MATCH('1'!AL353,'Dados - Inversores'!$C:$C,0))-1</f>
        <v>#N/A</v>
      </c>
      <c r="AY353" s="33" t="e">
        <f>MATCH('1'!H353,Dados!$D$89:$D$167,0)+1</f>
        <v>#N/A</v>
      </c>
      <c r="AZ353" s="33" t="e">
        <f>MATCH('1'!N353,'Dados - Solicitação de acesso'!$N$2:$N$8,0)</f>
        <v>#N/A</v>
      </c>
      <c r="BA353" s="33" t="e">
        <f>MATCH('1'!T353,'Dados - Solicitação de acesso'!$T$2:$T$20,0)</f>
        <v>#N/A</v>
      </c>
    </row>
    <row r="354" spans="1:53" x14ac:dyDescent="0.35">
      <c r="A354" s="33">
        <f>'Dados - Cliente'!A354</f>
        <v>0</v>
      </c>
      <c r="B354" s="33">
        <f>'Dados - Cliente'!B354</f>
        <v>0</v>
      </c>
      <c r="C354" s="33">
        <f>'Dados - Cliente'!C354</f>
        <v>0</v>
      </c>
      <c r="D354" s="33">
        <f>'Dados - Cliente'!D354</f>
        <v>0</v>
      </c>
      <c r="E354" s="33">
        <f>'Dados - Cliente'!E354</f>
        <v>0</v>
      </c>
      <c r="F354" s="33">
        <f>'Dados - Cliente'!F354</f>
        <v>0</v>
      </c>
      <c r="G354" s="33">
        <f>'Dados - Cliente'!G354</f>
        <v>0</v>
      </c>
      <c r="H354" s="33">
        <f>'Dados - Cliente'!H354</f>
        <v>0</v>
      </c>
      <c r="I354" s="75" t="s">
        <v>4313</v>
      </c>
      <c r="J354" s="52" t="s">
        <v>4314</v>
      </c>
      <c r="K354" s="52" t="s">
        <v>4314</v>
      </c>
      <c r="L354" s="33">
        <f>'Dados - Cliente'!I354</f>
        <v>0</v>
      </c>
      <c r="M354" s="33">
        <f>'Dados - Cliente'!K354</f>
        <v>0</v>
      </c>
      <c r="N354" s="33">
        <f>'Dados - Cliente'!L354</f>
        <v>0</v>
      </c>
      <c r="O354" s="33">
        <f>'Dados - Cliente'!M354</f>
        <v>0</v>
      </c>
      <c r="P354" s="33">
        <f>'Dados - Cliente'!N354</f>
        <v>0</v>
      </c>
      <c r="Q354" s="33">
        <f>'Dados - Cliente'!O354</f>
        <v>0</v>
      </c>
      <c r="R354" s="33">
        <f>'Dados - Cliente'!P354</f>
        <v>0</v>
      </c>
      <c r="S354" s="33">
        <f>'Dados - Cliente'!Q354</f>
        <v>0</v>
      </c>
      <c r="T354" s="33">
        <f>'Dados - Cliente'!R354</f>
        <v>0</v>
      </c>
      <c r="U354" s="34">
        <f>'Dados - Cliente'!S354</f>
        <v>0</v>
      </c>
      <c r="V354" s="34">
        <f>'Dados - Cliente'!T354</f>
        <v>0</v>
      </c>
      <c r="W354" s="34">
        <f>'Dados - Cliente'!U354</f>
        <v>0</v>
      </c>
      <c r="X354" s="34">
        <f>'Dados - Cliente'!V354</f>
        <v>0</v>
      </c>
      <c r="Y354" s="34">
        <f>'Dados - Cliente'!W354</f>
        <v>0</v>
      </c>
      <c r="Z354" s="34">
        <f>'Dados - Cliente'!X354</f>
        <v>0</v>
      </c>
      <c r="AA354" s="33" t="e">
        <f t="shared" si="25"/>
        <v>#N/A</v>
      </c>
      <c r="AB354" s="33">
        <f>'Dados - Cliente'!Y354</f>
        <v>0</v>
      </c>
      <c r="AC354" s="33">
        <f>'Dados - Cliente'!Z354</f>
        <v>0</v>
      </c>
      <c r="AD354" s="33">
        <f>'Dados - Cliente'!AA354</f>
        <v>0</v>
      </c>
      <c r="AE354" s="33">
        <f>'Dados - Cliente'!AB354</f>
        <v>0</v>
      </c>
      <c r="AF354" s="33">
        <f>'Dados - Cliente'!AC354</f>
        <v>0</v>
      </c>
      <c r="AG354" s="35">
        <f>'Dados - Cliente'!AD354</f>
        <v>0</v>
      </c>
      <c r="AH354" s="33" t="e">
        <f>INDEX('Dados - Placas'!$A:$A,MATCH('1'!AG354,'Dados - Placas'!$D:$D,0))</f>
        <v>#N/A</v>
      </c>
      <c r="AI354" s="35" t="e">
        <f>INDEX('Dados - Placas'!$E:$E,MATCH('1'!AG354,'Dados - Placas'!$D:$D,0))</f>
        <v>#N/A</v>
      </c>
      <c r="AJ354" s="34" t="e">
        <f>INDEX('Dados - Placas'!$F:$F,MATCH('1'!AG354,'Dados - Placas'!$D:$D,0))*AF354</f>
        <v>#N/A</v>
      </c>
      <c r="AK354" s="33">
        <f>'Dados - Cliente'!AE354</f>
        <v>0</v>
      </c>
      <c r="AL354" s="33">
        <f>'Dados - Cliente'!AF354</f>
        <v>0</v>
      </c>
      <c r="AM354" s="36" t="e">
        <f>INDEX('Dados - Inversores'!$A:$A,MATCH('1'!AL354,'Dados - Inversores'!$C:$C,0))</f>
        <v>#N/A</v>
      </c>
      <c r="AN354" s="33">
        <f>'Dados - Cliente'!AG354</f>
        <v>0</v>
      </c>
      <c r="AO354" s="33" t="e">
        <f>AA354*1.25/(0.22*SQRT(INDEX('Dados - Inversores'!AK:AK,MATCH('1'!AL354,'Dados - Inversores'!C:C,0))))</f>
        <v>#N/A</v>
      </c>
      <c r="AP354" s="34">
        <f>INDEX(Dados!$E$2:$E$33,COUNTIF(Dados!$E$2:$E$33,"&lt;="&amp;AN354*1.25/(INDEX('Dados - Inversores'!AL:AL,MATCH('1'!AL354,'Dados - Inversores'!C:C,0))*SQRT(INDEX('Dados - Inversores'!AK:AK,MATCH('1'!AL354,'Dados - Inversores'!C:C,0)))))+1)</f>
        <v>2</v>
      </c>
      <c r="AQ354" s="33" t="s">
        <v>59</v>
      </c>
      <c r="AR354" s="33" t="str">
        <f t="shared" si="26"/>
        <v>Micro</v>
      </c>
      <c r="AS354" s="33">
        <f>'Dados - Cliente'!AH354</f>
        <v>0</v>
      </c>
      <c r="AT354" s="33">
        <f>'Dados - Cliente'!AI354</f>
        <v>0</v>
      </c>
      <c r="AU354" s="33" t="e">
        <f>INDEX('Dados - Placas'!$N:$N,MATCH('1'!AG354,'Dados - Placas'!$D:$D,0))-1</f>
        <v>#N/A</v>
      </c>
      <c r="AV354" s="33" t="e">
        <f>INDEX('Dados - Placas'!$O:$O,MATCH('1'!AG354,'Dados - Placas'!$D:$D,0))</f>
        <v>#N/A</v>
      </c>
      <c r="AW354" s="33" t="e">
        <f>INDEX('Dados - Inversores'!AM:AM,MATCH('1'!AL354,'Dados - Inversores'!$C:$C,0))-1</f>
        <v>#N/A</v>
      </c>
      <c r="AX354" s="33" t="e">
        <f>INDEX('Dados - Inversores'!AN:AN,MATCH('1'!AL354,'Dados - Inversores'!$C:$C,0))-1</f>
        <v>#N/A</v>
      </c>
      <c r="AY354" s="33" t="e">
        <f>MATCH('1'!H354,Dados!$D$89:$D$167,0)+1</f>
        <v>#N/A</v>
      </c>
      <c r="AZ354" s="33" t="e">
        <f>MATCH('1'!N354,'Dados - Solicitação de acesso'!$N$2:$N$8,0)</f>
        <v>#N/A</v>
      </c>
      <c r="BA354" s="33" t="e">
        <f>MATCH('1'!T354,'Dados - Solicitação de acesso'!$T$2:$T$20,0)</f>
        <v>#N/A</v>
      </c>
    </row>
    <row r="355" spans="1:53" x14ac:dyDescent="0.35">
      <c r="A355" s="33">
        <f>'Dados - Cliente'!A355</f>
        <v>0</v>
      </c>
      <c r="B355" s="33">
        <f>'Dados - Cliente'!B355</f>
        <v>0</v>
      </c>
      <c r="C355" s="33">
        <f>'Dados - Cliente'!C355</f>
        <v>0</v>
      </c>
      <c r="D355" s="33">
        <f>'Dados - Cliente'!D355</f>
        <v>0</v>
      </c>
      <c r="E355" s="33">
        <f>'Dados - Cliente'!E355</f>
        <v>0</v>
      </c>
      <c r="F355" s="33">
        <f>'Dados - Cliente'!F355</f>
        <v>0</v>
      </c>
      <c r="G355" s="33">
        <f>'Dados - Cliente'!G355</f>
        <v>0</v>
      </c>
      <c r="H355" s="33">
        <f>'Dados - Cliente'!H355</f>
        <v>0</v>
      </c>
      <c r="I355" s="75" t="s">
        <v>4313</v>
      </c>
      <c r="J355" s="52" t="s">
        <v>4314</v>
      </c>
      <c r="K355" s="52" t="s">
        <v>4314</v>
      </c>
      <c r="L355" s="33">
        <f>'Dados - Cliente'!I355</f>
        <v>0</v>
      </c>
      <c r="M355" s="33">
        <f>'Dados - Cliente'!K355</f>
        <v>0</v>
      </c>
      <c r="N355" s="33">
        <f>'Dados - Cliente'!L355</f>
        <v>0</v>
      </c>
      <c r="O355" s="33">
        <f>'Dados - Cliente'!M355</f>
        <v>0</v>
      </c>
      <c r="P355" s="33">
        <f>'Dados - Cliente'!N355</f>
        <v>0</v>
      </c>
      <c r="Q355" s="33">
        <f>'Dados - Cliente'!O355</f>
        <v>0</v>
      </c>
      <c r="R355" s="33">
        <f>'Dados - Cliente'!P355</f>
        <v>0</v>
      </c>
      <c r="S355" s="33">
        <f>'Dados - Cliente'!Q355</f>
        <v>0</v>
      </c>
      <c r="T355" s="33">
        <f>'Dados - Cliente'!R355</f>
        <v>0</v>
      </c>
      <c r="U355" s="34">
        <f>'Dados - Cliente'!S355</f>
        <v>0</v>
      </c>
      <c r="V355" s="34">
        <f>'Dados - Cliente'!T355</f>
        <v>0</v>
      </c>
      <c r="W355" s="34">
        <f>'Dados - Cliente'!U355</f>
        <v>0</v>
      </c>
      <c r="X355" s="34">
        <f>'Dados - Cliente'!V355</f>
        <v>0</v>
      </c>
      <c r="Y355" s="34">
        <f>'Dados - Cliente'!W355</f>
        <v>0</v>
      </c>
      <c r="Z355" s="34">
        <f>'Dados - Cliente'!X355</f>
        <v>0</v>
      </c>
      <c r="AA355" s="33" t="e">
        <f t="shared" si="25"/>
        <v>#N/A</v>
      </c>
      <c r="AB355" s="33">
        <f>'Dados - Cliente'!Y355</f>
        <v>0</v>
      </c>
      <c r="AC355" s="33">
        <f>'Dados - Cliente'!Z355</f>
        <v>0</v>
      </c>
      <c r="AD355" s="33">
        <f>'Dados - Cliente'!AA355</f>
        <v>0</v>
      </c>
      <c r="AE355" s="33">
        <f>'Dados - Cliente'!AB355</f>
        <v>0</v>
      </c>
      <c r="AF355" s="33">
        <f>'Dados - Cliente'!AC355</f>
        <v>0</v>
      </c>
      <c r="AG355" s="35">
        <f>'Dados - Cliente'!AD355</f>
        <v>0</v>
      </c>
      <c r="AH355" s="33" t="e">
        <f>INDEX('Dados - Placas'!$A:$A,MATCH('1'!AG355,'Dados - Placas'!$D:$D,0))</f>
        <v>#N/A</v>
      </c>
      <c r="AI355" s="35" t="e">
        <f>INDEX('Dados - Placas'!$E:$E,MATCH('1'!AG355,'Dados - Placas'!$D:$D,0))</f>
        <v>#N/A</v>
      </c>
      <c r="AJ355" s="34" t="e">
        <f>INDEX('Dados - Placas'!$F:$F,MATCH('1'!AG355,'Dados - Placas'!$D:$D,0))*AF355</f>
        <v>#N/A</v>
      </c>
      <c r="AK355" s="33">
        <f>'Dados - Cliente'!AE355</f>
        <v>0</v>
      </c>
      <c r="AL355" s="33">
        <f>'Dados - Cliente'!AF355</f>
        <v>0</v>
      </c>
      <c r="AM355" s="36" t="e">
        <f>INDEX('Dados - Inversores'!$A:$A,MATCH('1'!AL355,'Dados - Inversores'!$C:$C,0))</f>
        <v>#N/A</v>
      </c>
      <c r="AN355" s="33">
        <f>'Dados - Cliente'!AG355</f>
        <v>0</v>
      </c>
      <c r="AO355" s="33" t="e">
        <f>AA355*1.25/(0.22*SQRT(INDEX('Dados - Inversores'!AK:AK,MATCH('1'!AL355,'Dados - Inversores'!C:C,0))))</f>
        <v>#N/A</v>
      </c>
      <c r="AP355" s="34">
        <f>INDEX(Dados!$E$2:$E$33,COUNTIF(Dados!$E$2:$E$33,"&lt;="&amp;AN355*1.25/(INDEX('Dados - Inversores'!AL:AL,MATCH('1'!AL355,'Dados - Inversores'!C:C,0))*SQRT(INDEX('Dados - Inversores'!AK:AK,MATCH('1'!AL355,'Dados - Inversores'!C:C,0)))))+1)</f>
        <v>2</v>
      </c>
      <c r="AQ355" s="33" t="s">
        <v>59</v>
      </c>
      <c r="AR355" s="33" t="str">
        <f t="shared" si="26"/>
        <v>Micro</v>
      </c>
      <c r="AS355" s="33">
        <f>'Dados - Cliente'!AH355</f>
        <v>0</v>
      </c>
      <c r="AT355" s="33">
        <f>'Dados - Cliente'!AI355</f>
        <v>0</v>
      </c>
      <c r="AU355" s="33" t="e">
        <f>INDEX('Dados - Placas'!$N:$N,MATCH('1'!AG355,'Dados - Placas'!$D:$D,0))-1</f>
        <v>#N/A</v>
      </c>
      <c r="AV355" s="33" t="e">
        <f>INDEX('Dados - Placas'!$O:$O,MATCH('1'!AG355,'Dados - Placas'!$D:$D,0))</f>
        <v>#N/A</v>
      </c>
      <c r="AW355" s="33" t="e">
        <f>INDEX('Dados - Inversores'!AM:AM,MATCH('1'!AL355,'Dados - Inversores'!$C:$C,0))-1</f>
        <v>#N/A</v>
      </c>
      <c r="AX355" s="33" t="e">
        <f>INDEX('Dados - Inversores'!AN:AN,MATCH('1'!AL355,'Dados - Inversores'!$C:$C,0))-1</f>
        <v>#N/A</v>
      </c>
      <c r="AY355" s="33" t="e">
        <f>MATCH('1'!H355,Dados!$D$89:$D$167,0)+1</f>
        <v>#N/A</v>
      </c>
      <c r="AZ355" s="33" t="e">
        <f>MATCH('1'!N355,'Dados - Solicitação de acesso'!$N$2:$N$8,0)</f>
        <v>#N/A</v>
      </c>
      <c r="BA355" s="33" t="e">
        <f>MATCH('1'!T355,'Dados - Solicitação de acesso'!$T$2:$T$20,0)</f>
        <v>#N/A</v>
      </c>
    </row>
    <row r="356" spans="1:53" x14ac:dyDescent="0.35">
      <c r="A356" s="33">
        <f>'Dados - Cliente'!A356</f>
        <v>0</v>
      </c>
      <c r="B356" s="33">
        <f>'Dados - Cliente'!B356</f>
        <v>0</v>
      </c>
      <c r="C356" s="33">
        <f>'Dados - Cliente'!C356</f>
        <v>0</v>
      </c>
      <c r="D356" s="33">
        <f>'Dados - Cliente'!D356</f>
        <v>0</v>
      </c>
      <c r="E356" s="33">
        <f>'Dados - Cliente'!E356</f>
        <v>0</v>
      </c>
      <c r="F356" s="33">
        <f>'Dados - Cliente'!F356</f>
        <v>0</v>
      </c>
      <c r="G356" s="33">
        <f>'Dados - Cliente'!G356</f>
        <v>0</v>
      </c>
      <c r="H356" s="33">
        <f>'Dados - Cliente'!H356</f>
        <v>0</v>
      </c>
      <c r="I356" s="75" t="s">
        <v>4313</v>
      </c>
      <c r="J356" s="52" t="s">
        <v>4314</v>
      </c>
      <c r="K356" s="52" t="s">
        <v>4314</v>
      </c>
      <c r="L356" s="33">
        <f>'Dados - Cliente'!I356</f>
        <v>0</v>
      </c>
      <c r="M356" s="33">
        <f>'Dados - Cliente'!K356</f>
        <v>0</v>
      </c>
      <c r="N356" s="33">
        <f>'Dados - Cliente'!L356</f>
        <v>0</v>
      </c>
      <c r="O356" s="33">
        <f>'Dados - Cliente'!M356</f>
        <v>0</v>
      </c>
      <c r="P356" s="33">
        <f>'Dados - Cliente'!N356</f>
        <v>0</v>
      </c>
      <c r="Q356" s="33">
        <f>'Dados - Cliente'!O356</f>
        <v>0</v>
      </c>
      <c r="R356" s="33">
        <f>'Dados - Cliente'!P356</f>
        <v>0</v>
      </c>
      <c r="S356" s="33">
        <f>'Dados - Cliente'!Q356</f>
        <v>0</v>
      </c>
      <c r="T356" s="33">
        <f>'Dados - Cliente'!R356</f>
        <v>0</v>
      </c>
      <c r="U356" s="34">
        <f>'Dados - Cliente'!S356</f>
        <v>0</v>
      </c>
      <c r="V356" s="34">
        <f>'Dados - Cliente'!T356</f>
        <v>0</v>
      </c>
      <c r="W356" s="34">
        <f>'Dados - Cliente'!U356</f>
        <v>0</v>
      </c>
      <c r="X356" s="34">
        <f>'Dados - Cliente'!V356</f>
        <v>0</v>
      </c>
      <c r="Y356" s="34">
        <f>'Dados - Cliente'!W356</f>
        <v>0</v>
      </c>
      <c r="Z356" s="34">
        <f>'Dados - Cliente'!X356</f>
        <v>0</v>
      </c>
      <c r="AA356" s="33" t="e">
        <f t="shared" si="25"/>
        <v>#N/A</v>
      </c>
      <c r="AB356" s="33">
        <f>'Dados - Cliente'!Y356</f>
        <v>0</v>
      </c>
      <c r="AC356" s="33">
        <f>'Dados - Cliente'!Z356</f>
        <v>0</v>
      </c>
      <c r="AD356" s="33">
        <f>'Dados - Cliente'!AA356</f>
        <v>0</v>
      </c>
      <c r="AE356" s="33">
        <f>'Dados - Cliente'!AB356</f>
        <v>0</v>
      </c>
      <c r="AF356" s="33">
        <f>'Dados - Cliente'!AC356</f>
        <v>0</v>
      </c>
      <c r="AG356" s="35">
        <f>'Dados - Cliente'!AD356</f>
        <v>0</v>
      </c>
      <c r="AH356" s="33" t="e">
        <f>INDEX('Dados - Placas'!$A:$A,MATCH('1'!AG356,'Dados - Placas'!$D:$D,0))</f>
        <v>#N/A</v>
      </c>
      <c r="AI356" s="35" t="e">
        <f>INDEX('Dados - Placas'!$E:$E,MATCH('1'!AG356,'Dados - Placas'!$D:$D,0))</f>
        <v>#N/A</v>
      </c>
      <c r="AJ356" s="34" t="e">
        <f>INDEX('Dados - Placas'!$F:$F,MATCH('1'!AG356,'Dados - Placas'!$D:$D,0))*AF356</f>
        <v>#N/A</v>
      </c>
      <c r="AK356" s="33">
        <f>'Dados - Cliente'!AE356</f>
        <v>0</v>
      </c>
      <c r="AL356" s="33">
        <f>'Dados - Cliente'!AF356</f>
        <v>0</v>
      </c>
      <c r="AM356" s="36" t="e">
        <f>INDEX('Dados - Inversores'!$A:$A,MATCH('1'!AL356,'Dados - Inversores'!$C:$C,0))</f>
        <v>#N/A</v>
      </c>
      <c r="AN356" s="33">
        <f>'Dados - Cliente'!AG356</f>
        <v>0</v>
      </c>
      <c r="AO356" s="33" t="e">
        <f>AA356*1.25/(0.22*SQRT(INDEX('Dados - Inversores'!AK:AK,MATCH('1'!AL356,'Dados - Inversores'!C:C,0))))</f>
        <v>#N/A</v>
      </c>
      <c r="AP356" s="34">
        <f>INDEX(Dados!$E$2:$E$33,COUNTIF(Dados!$E$2:$E$33,"&lt;="&amp;AN356*1.25/(INDEX('Dados - Inversores'!AL:AL,MATCH('1'!AL356,'Dados - Inversores'!C:C,0))*SQRT(INDEX('Dados - Inversores'!AK:AK,MATCH('1'!AL356,'Dados - Inversores'!C:C,0)))))+1)</f>
        <v>2</v>
      </c>
      <c r="AQ356" s="33" t="s">
        <v>59</v>
      </c>
      <c r="AR356" s="33" t="str">
        <f t="shared" si="26"/>
        <v>Micro</v>
      </c>
      <c r="AS356" s="33">
        <f>'Dados - Cliente'!AH356</f>
        <v>0</v>
      </c>
      <c r="AT356" s="33">
        <f>'Dados - Cliente'!AI356</f>
        <v>0</v>
      </c>
      <c r="AU356" s="33" t="e">
        <f>INDEX('Dados - Placas'!$N:$N,MATCH('1'!AG356,'Dados - Placas'!$D:$D,0))-1</f>
        <v>#N/A</v>
      </c>
      <c r="AV356" s="33" t="e">
        <f>INDEX('Dados - Placas'!$O:$O,MATCH('1'!AG356,'Dados - Placas'!$D:$D,0))</f>
        <v>#N/A</v>
      </c>
      <c r="AW356" s="33" t="e">
        <f>INDEX('Dados - Inversores'!AM:AM,MATCH('1'!AL356,'Dados - Inversores'!$C:$C,0))-1</f>
        <v>#N/A</v>
      </c>
      <c r="AX356" s="33" t="e">
        <f>INDEX('Dados - Inversores'!AN:AN,MATCH('1'!AL356,'Dados - Inversores'!$C:$C,0))-1</f>
        <v>#N/A</v>
      </c>
      <c r="AY356" s="33" t="e">
        <f>MATCH('1'!H356,Dados!$D$89:$D$167,0)+1</f>
        <v>#N/A</v>
      </c>
      <c r="AZ356" s="33" t="e">
        <f>MATCH('1'!N356,'Dados - Solicitação de acesso'!$N$2:$N$8,0)</f>
        <v>#N/A</v>
      </c>
      <c r="BA356" s="33" t="e">
        <f>MATCH('1'!T356,'Dados - Solicitação de acesso'!$T$2:$T$20,0)</f>
        <v>#N/A</v>
      </c>
    </row>
    <row r="357" spans="1:53" x14ac:dyDescent="0.35">
      <c r="A357" s="33">
        <f>'Dados - Cliente'!A357</f>
        <v>0</v>
      </c>
      <c r="B357" s="33">
        <f>'Dados - Cliente'!B357</f>
        <v>0</v>
      </c>
      <c r="C357" s="33">
        <f>'Dados - Cliente'!C357</f>
        <v>0</v>
      </c>
      <c r="D357" s="33">
        <f>'Dados - Cliente'!D357</f>
        <v>0</v>
      </c>
      <c r="E357" s="33">
        <f>'Dados - Cliente'!E357</f>
        <v>0</v>
      </c>
      <c r="F357" s="33">
        <f>'Dados - Cliente'!F357</f>
        <v>0</v>
      </c>
      <c r="G357" s="33">
        <f>'Dados - Cliente'!G357</f>
        <v>0</v>
      </c>
      <c r="H357" s="33">
        <f>'Dados - Cliente'!H357</f>
        <v>0</v>
      </c>
      <c r="I357" s="75" t="s">
        <v>4313</v>
      </c>
      <c r="J357" s="52" t="s">
        <v>4314</v>
      </c>
      <c r="K357" s="52" t="s">
        <v>4314</v>
      </c>
      <c r="L357" s="33">
        <f>'Dados - Cliente'!I357</f>
        <v>0</v>
      </c>
      <c r="M357" s="33">
        <f>'Dados - Cliente'!K357</f>
        <v>0</v>
      </c>
      <c r="N357" s="33">
        <f>'Dados - Cliente'!L357</f>
        <v>0</v>
      </c>
      <c r="O357" s="33">
        <f>'Dados - Cliente'!M357</f>
        <v>0</v>
      </c>
      <c r="P357" s="33">
        <f>'Dados - Cliente'!N357</f>
        <v>0</v>
      </c>
      <c r="Q357" s="33">
        <f>'Dados - Cliente'!O357</f>
        <v>0</v>
      </c>
      <c r="R357" s="33">
        <f>'Dados - Cliente'!P357</f>
        <v>0</v>
      </c>
      <c r="S357" s="33">
        <f>'Dados - Cliente'!Q357</f>
        <v>0</v>
      </c>
      <c r="T357" s="33">
        <f>'Dados - Cliente'!R357</f>
        <v>0</v>
      </c>
      <c r="U357" s="34">
        <f>'Dados - Cliente'!S357</f>
        <v>0</v>
      </c>
      <c r="V357" s="34">
        <f>'Dados - Cliente'!T357</f>
        <v>0</v>
      </c>
      <c r="W357" s="34">
        <f>'Dados - Cliente'!U357</f>
        <v>0</v>
      </c>
      <c r="X357" s="34">
        <f>'Dados - Cliente'!V357</f>
        <v>0</v>
      </c>
      <c r="Y357" s="34">
        <f>'Dados - Cliente'!W357</f>
        <v>0</v>
      </c>
      <c r="Z357" s="34">
        <f>'Dados - Cliente'!X357</f>
        <v>0</v>
      </c>
      <c r="AA357" s="33" t="e">
        <f t="shared" si="25"/>
        <v>#N/A</v>
      </c>
      <c r="AB357" s="33">
        <f>'Dados - Cliente'!Y357</f>
        <v>0</v>
      </c>
      <c r="AC357" s="33">
        <f>'Dados - Cliente'!Z357</f>
        <v>0</v>
      </c>
      <c r="AD357" s="33">
        <f>'Dados - Cliente'!AA357</f>
        <v>0</v>
      </c>
      <c r="AE357" s="33">
        <f>'Dados - Cliente'!AB357</f>
        <v>0</v>
      </c>
      <c r="AF357" s="33">
        <f>'Dados - Cliente'!AC357</f>
        <v>0</v>
      </c>
      <c r="AG357" s="35">
        <f>'Dados - Cliente'!AD357</f>
        <v>0</v>
      </c>
      <c r="AH357" s="33" t="e">
        <f>INDEX('Dados - Placas'!$A:$A,MATCH('1'!AG357,'Dados - Placas'!$D:$D,0))</f>
        <v>#N/A</v>
      </c>
      <c r="AI357" s="35" t="e">
        <f>INDEX('Dados - Placas'!$E:$E,MATCH('1'!AG357,'Dados - Placas'!$D:$D,0))</f>
        <v>#N/A</v>
      </c>
      <c r="AJ357" s="34" t="e">
        <f>INDEX('Dados - Placas'!$F:$F,MATCH('1'!AG357,'Dados - Placas'!$D:$D,0))*AF357</f>
        <v>#N/A</v>
      </c>
      <c r="AK357" s="33">
        <f>'Dados - Cliente'!AE357</f>
        <v>0</v>
      </c>
      <c r="AL357" s="33">
        <f>'Dados - Cliente'!AF357</f>
        <v>0</v>
      </c>
      <c r="AM357" s="36" t="e">
        <f>INDEX('Dados - Inversores'!$A:$A,MATCH('1'!AL357,'Dados - Inversores'!$C:$C,0))</f>
        <v>#N/A</v>
      </c>
      <c r="AN357" s="33">
        <f>'Dados - Cliente'!AG357</f>
        <v>0</v>
      </c>
      <c r="AO357" s="33" t="e">
        <f>AA357*1.25/(0.22*SQRT(INDEX('Dados - Inversores'!AK:AK,MATCH('1'!AL357,'Dados - Inversores'!C:C,0))))</f>
        <v>#N/A</v>
      </c>
      <c r="AP357" s="34">
        <f>INDEX(Dados!$E$2:$E$33,COUNTIF(Dados!$E$2:$E$33,"&lt;="&amp;AN357*1.25/(INDEX('Dados - Inversores'!AL:AL,MATCH('1'!AL357,'Dados - Inversores'!C:C,0))*SQRT(INDEX('Dados - Inversores'!AK:AK,MATCH('1'!AL357,'Dados - Inversores'!C:C,0)))))+1)</f>
        <v>2</v>
      </c>
      <c r="AQ357" s="33" t="s">
        <v>59</v>
      </c>
      <c r="AR357" s="33" t="str">
        <f t="shared" si="26"/>
        <v>Micro</v>
      </c>
      <c r="AS357" s="33">
        <f>'Dados - Cliente'!AH357</f>
        <v>0</v>
      </c>
      <c r="AT357" s="33">
        <f>'Dados - Cliente'!AI357</f>
        <v>0</v>
      </c>
      <c r="AU357" s="33" t="e">
        <f>INDEX('Dados - Placas'!$N:$N,MATCH('1'!AG357,'Dados - Placas'!$D:$D,0))-1</f>
        <v>#N/A</v>
      </c>
      <c r="AV357" s="33" t="e">
        <f>INDEX('Dados - Placas'!$O:$O,MATCH('1'!AG357,'Dados - Placas'!$D:$D,0))</f>
        <v>#N/A</v>
      </c>
      <c r="AW357" s="33" t="e">
        <f>INDEX('Dados - Inversores'!AM:AM,MATCH('1'!AL357,'Dados - Inversores'!$C:$C,0))-1</f>
        <v>#N/A</v>
      </c>
      <c r="AX357" s="33" t="e">
        <f>INDEX('Dados - Inversores'!AN:AN,MATCH('1'!AL357,'Dados - Inversores'!$C:$C,0))-1</f>
        <v>#N/A</v>
      </c>
      <c r="AY357" s="33" t="e">
        <f>MATCH('1'!H357,Dados!$D$89:$D$167,0)+1</f>
        <v>#N/A</v>
      </c>
      <c r="AZ357" s="33" t="e">
        <f>MATCH('1'!N357,'Dados - Solicitação de acesso'!$N$2:$N$8,0)</f>
        <v>#N/A</v>
      </c>
      <c r="BA357" s="33" t="e">
        <f>MATCH('1'!T357,'Dados - Solicitação de acesso'!$T$2:$T$20,0)</f>
        <v>#N/A</v>
      </c>
    </row>
    <row r="358" spans="1:53" x14ac:dyDescent="0.35">
      <c r="A358" s="33">
        <f>'Dados - Cliente'!A358</f>
        <v>0</v>
      </c>
      <c r="B358" s="33">
        <f>'Dados - Cliente'!B358</f>
        <v>0</v>
      </c>
      <c r="C358" s="33">
        <f>'Dados - Cliente'!C358</f>
        <v>0</v>
      </c>
      <c r="D358" s="33">
        <f>'Dados - Cliente'!D358</f>
        <v>0</v>
      </c>
      <c r="E358" s="33">
        <f>'Dados - Cliente'!E358</f>
        <v>0</v>
      </c>
      <c r="F358" s="33">
        <f>'Dados - Cliente'!F358</f>
        <v>0</v>
      </c>
      <c r="G358" s="33">
        <f>'Dados - Cliente'!G358</f>
        <v>0</v>
      </c>
      <c r="H358" s="33">
        <f>'Dados - Cliente'!H358</f>
        <v>0</v>
      </c>
      <c r="I358" s="75" t="s">
        <v>4313</v>
      </c>
      <c r="J358" s="52" t="s">
        <v>4314</v>
      </c>
      <c r="K358" s="52" t="s">
        <v>4314</v>
      </c>
      <c r="L358" s="33">
        <f>'Dados - Cliente'!I358</f>
        <v>0</v>
      </c>
      <c r="M358" s="33">
        <f>'Dados - Cliente'!K358</f>
        <v>0</v>
      </c>
      <c r="N358" s="33">
        <f>'Dados - Cliente'!L358</f>
        <v>0</v>
      </c>
      <c r="O358" s="33">
        <f>'Dados - Cliente'!M358</f>
        <v>0</v>
      </c>
      <c r="P358" s="33">
        <f>'Dados - Cliente'!N358</f>
        <v>0</v>
      </c>
      <c r="Q358" s="33">
        <f>'Dados - Cliente'!O358</f>
        <v>0</v>
      </c>
      <c r="R358" s="33">
        <f>'Dados - Cliente'!P358</f>
        <v>0</v>
      </c>
      <c r="S358" s="33">
        <f>'Dados - Cliente'!Q358</f>
        <v>0</v>
      </c>
      <c r="T358" s="33">
        <f>'Dados - Cliente'!R358</f>
        <v>0</v>
      </c>
      <c r="U358" s="34">
        <f>'Dados - Cliente'!S358</f>
        <v>0</v>
      </c>
      <c r="V358" s="34">
        <f>'Dados - Cliente'!T358</f>
        <v>0</v>
      </c>
      <c r="W358" s="34">
        <f>'Dados - Cliente'!U358</f>
        <v>0</v>
      </c>
      <c r="X358" s="34">
        <f>'Dados - Cliente'!V358</f>
        <v>0</v>
      </c>
      <c r="Y358" s="34">
        <f>'Dados - Cliente'!W358</f>
        <v>0</v>
      </c>
      <c r="Z358" s="34">
        <f>'Dados - Cliente'!X358</f>
        <v>0</v>
      </c>
      <c r="AA358" s="33" t="e">
        <f t="shared" si="25"/>
        <v>#N/A</v>
      </c>
      <c r="AB358" s="33">
        <f>'Dados - Cliente'!Y358</f>
        <v>0</v>
      </c>
      <c r="AC358" s="33">
        <f>'Dados - Cliente'!Z358</f>
        <v>0</v>
      </c>
      <c r="AD358" s="33">
        <f>'Dados - Cliente'!AA358</f>
        <v>0</v>
      </c>
      <c r="AE358" s="33">
        <f>'Dados - Cliente'!AB358</f>
        <v>0</v>
      </c>
      <c r="AF358" s="33">
        <f>'Dados - Cliente'!AC358</f>
        <v>0</v>
      </c>
      <c r="AG358" s="35">
        <f>'Dados - Cliente'!AD358</f>
        <v>0</v>
      </c>
      <c r="AH358" s="33" t="e">
        <f>INDEX('Dados - Placas'!$A:$A,MATCH('1'!AG358,'Dados - Placas'!$D:$D,0))</f>
        <v>#N/A</v>
      </c>
      <c r="AI358" s="35" t="e">
        <f>INDEX('Dados - Placas'!$E:$E,MATCH('1'!AG358,'Dados - Placas'!$D:$D,0))</f>
        <v>#N/A</v>
      </c>
      <c r="AJ358" s="34" t="e">
        <f>INDEX('Dados - Placas'!$F:$F,MATCH('1'!AG358,'Dados - Placas'!$D:$D,0))*AF358</f>
        <v>#N/A</v>
      </c>
      <c r="AK358" s="33">
        <f>'Dados - Cliente'!AE358</f>
        <v>0</v>
      </c>
      <c r="AL358" s="33">
        <f>'Dados - Cliente'!AF358</f>
        <v>0</v>
      </c>
      <c r="AM358" s="36" t="e">
        <f>INDEX('Dados - Inversores'!$A:$A,MATCH('1'!AL358,'Dados - Inversores'!$C:$C,0))</f>
        <v>#N/A</v>
      </c>
      <c r="AN358" s="33">
        <f>'Dados - Cliente'!AG358</f>
        <v>0</v>
      </c>
      <c r="AO358" s="33" t="e">
        <f>AA358*1.25/(0.22*SQRT(INDEX('Dados - Inversores'!AK:AK,MATCH('1'!AL358,'Dados - Inversores'!C:C,0))))</f>
        <v>#N/A</v>
      </c>
      <c r="AP358" s="34">
        <f>INDEX(Dados!$E$2:$E$33,COUNTIF(Dados!$E$2:$E$33,"&lt;="&amp;AN358*1.25/(INDEX('Dados - Inversores'!AL:AL,MATCH('1'!AL358,'Dados - Inversores'!C:C,0))*SQRT(INDEX('Dados - Inversores'!AK:AK,MATCH('1'!AL358,'Dados - Inversores'!C:C,0)))))+1)</f>
        <v>2</v>
      </c>
      <c r="AQ358" s="33" t="s">
        <v>59</v>
      </c>
      <c r="AR358" s="33" t="str">
        <f t="shared" si="26"/>
        <v>Micro</v>
      </c>
      <c r="AS358" s="33">
        <f>'Dados - Cliente'!AH358</f>
        <v>0</v>
      </c>
      <c r="AT358" s="33">
        <f>'Dados - Cliente'!AI358</f>
        <v>0</v>
      </c>
      <c r="AU358" s="33" t="e">
        <f>INDEX('Dados - Placas'!$N:$N,MATCH('1'!AG358,'Dados - Placas'!$D:$D,0))-1</f>
        <v>#N/A</v>
      </c>
      <c r="AV358" s="33" t="e">
        <f>INDEX('Dados - Placas'!$O:$O,MATCH('1'!AG358,'Dados - Placas'!$D:$D,0))</f>
        <v>#N/A</v>
      </c>
      <c r="AW358" s="33" t="e">
        <f>INDEX('Dados - Inversores'!AM:AM,MATCH('1'!AL358,'Dados - Inversores'!$C:$C,0))-1</f>
        <v>#N/A</v>
      </c>
      <c r="AX358" s="33" t="e">
        <f>INDEX('Dados - Inversores'!AN:AN,MATCH('1'!AL358,'Dados - Inversores'!$C:$C,0))-1</f>
        <v>#N/A</v>
      </c>
      <c r="AY358" s="33" t="e">
        <f>MATCH('1'!H358,Dados!$D$89:$D$167,0)+1</f>
        <v>#N/A</v>
      </c>
      <c r="AZ358" s="33" t="e">
        <f>MATCH('1'!N358,'Dados - Solicitação de acesso'!$N$2:$N$8,0)</f>
        <v>#N/A</v>
      </c>
      <c r="BA358" s="33" t="e">
        <f>MATCH('1'!T358,'Dados - Solicitação de acesso'!$T$2:$T$20,0)</f>
        <v>#N/A</v>
      </c>
    </row>
    <row r="359" spans="1:53" x14ac:dyDescent="0.35">
      <c r="A359" s="33">
        <f>'Dados - Cliente'!A359</f>
        <v>0</v>
      </c>
      <c r="B359" s="33">
        <f>'Dados - Cliente'!B359</f>
        <v>0</v>
      </c>
      <c r="C359" s="33">
        <f>'Dados - Cliente'!C359</f>
        <v>0</v>
      </c>
      <c r="D359" s="33">
        <f>'Dados - Cliente'!D359</f>
        <v>0</v>
      </c>
      <c r="E359" s="33">
        <f>'Dados - Cliente'!E359</f>
        <v>0</v>
      </c>
      <c r="F359" s="33">
        <f>'Dados - Cliente'!F359</f>
        <v>0</v>
      </c>
      <c r="G359" s="33">
        <f>'Dados - Cliente'!G359</f>
        <v>0</v>
      </c>
      <c r="H359" s="33">
        <f>'Dados - Cliente'!H359</f>
        <v>0</v>
      </c>
      <c r="I359" s="75" t="s">
        <v>4313</v>
      </c>
      <c r="J359" s="52" t="s">
        <v>4314</v>
      </c>
      <c r="K359" s="52" t="s">
        <v>4314</v>
      </c>
      <c r="L359" s="33">
        <f>'Dados - Cliente'!I359</f>
        <v>0</v>
      </c>
      <c r="M359" s="33">
        <f>'Dados - Cliente'!K359</f>
        <v>0</v>
      </c>
      <c r="N359" s="33">
        <f>'Dados - Cliente'!L359</f>
        <v>0</v>
      </c>
      <c r="O359" s="33">
        <f>'Dados - Cliente'!M359</f>
        <v>0</v>
      </c>
      <c r="P359" s="33">
        <f>'Dados - Cliente'!N359</f>
        <v>0</v>
      </c>
      <c r="Q359" s="33">
        <f>'Dados - Cliente'!O359</f>
        <v>0</v>
      </c>
      <c r="R359" s="33">
        <f>'Dados - Cliente'!P359</f>
        <v>0</v>
      </c>
      <c r="S359" s="33">
        <f>'Dados - Cliente'!Q359</f>
        <v>0</v>
      </c>
      <c r="T359" s="33">
        <f>'Dados - Cliente'!R359</f>
        <v>0</v>
      </c>
      <c r="U359" s="34">
        <f>'Dados - Cliente'!S359</f>
        <v>0</v>
      </c>
      <c r="V359" s="34">
        <f>'Dados - Cliente'!T359</f>
        <v>0</v>
      </c>
      <c r="W359" s="34">
        <f>'Dados - Cliente'!U359</f>
        <v>0</v>
      </c>
      <c r="X359" s="34">
        <f>'Dados - Cliente'!V359</f>
        <v>0</v>
      </c>
      <c r="Y359" s="34">
        <f>'Dados - Cliente'!W359</f>
        <v>0</v>
      </c>
      <c r="Z359" s="34">
        <f>'Dados - Cliente'!X359</f>
        <v>0</v>
      </c>
      <c r="AA359" s="33" t="e">
        <f t="shared" si="25"/>
        <v>#N/A</v>
      </c>
      <c r="AB359" s="33">
        <f>'Dados - Cliente'!Y359</f>
        <v>0</v>
      </c>
      <c r="AC359" s="33">
        <f>'Dados - Cliente'!Z359</f>
        <v>0</v>
      </c>
      <c r="AD359" s="33">
        <f>'Dados - Cliente'!AA359</f>
        <v>0</v>
      </c>
      <c r="AE359" s="33">
        <f>'Dados - Cliente'!AB359</f>
        <v>0</v>
      </c>
      <c r="AF359" s="33">
        <f>'Dados - Cliente'!AC359</f>
        <v>0</v>
      </c>
      <c r="AG359" s="35">
        <f>'Dados - Cliente'!AD359</f>
        <v>0</v>
      </c>
      <c r="AH359" s="33" t="e">
        <f>INDEX('Dados - Placas'!$A:$A,MATCH('1'!AG359,'Dados - Placas'!$D:$D,0))</f>
        <v>#N/A</v>
      </c>
      <c r="AI359" s="35" t="e">
        <f>INDEX('Dados - Placas'!$E:$E,MATCH('1'!AG359,'Dados - Placas'!$D:$D,0))</f>
        <v>#N/A</v>
      </c>
      <c r="AJ359" s="34" t="e">
        <f>INDEX('Dados - Placas'!$F:$F,MATCH('1'!AG359,'Dados - Placas'!$D:$D,0))*AF359</f>
        <v>#N/A</v>
      </c>
      <c r="AK359" s="33">
        <f>'Dados - Cliente'!AE359</f>
        <v>0</v>
      </c>
      <c r="AL359" s="33">
        <f>'Dados - Cliente'!AF359</f>
        <v>0</v>
      </c>
      <c r="AM359" s="36" t="e">
        <f>INDEX('Dados - Inversores'!$A:$A,MATCH('1'!AL359,'Dados - Inversores'!$C:$C,0))</f>
        <v>#N/A</v>
      </c>
      <c r="AN359" s="33">
        <f>'Dados - Cliente'!AG359</f>
        <v>0</v>
      </c>
      <c r="AO359" s="33" t="e">
        <f>AA359*1.25/(0.22*SQRT(INDEX('Dados - Inversores'!AK:AK,MATCH('1'!AL359,'Dados - Inversores'!C:C,0))))</f>
        <v>#N/A</v>
      </c>
      <c r="AP359" s="34">
        <f>INDEX(Dados!$E$2:$E$33,COUNTIF(Dados!$E$2:$E$33,"&lt;="&amp;AN359*1.25/(INDEX('Dados - Inversores'!AL:AL,MATCH('1'!AL359,'Dados - Inversores'!C:C,0))*SQRT(INDEX('Dados - Inversores'!AK:AK,MATCH('1'!AL359,'Dados - Inversores'!C:C,0)))))+1)</f>
        <v>2</v>
      </c>
      <c r="AQ359" s="33" t="s">
        <v>59</v>
      </c>
      <c r="AR359" s="33" t="str">
        <f t="shared" si="26"/>
        <v>Micro</v>
      </c>
      <c r="AS359" s="33">
        <f>'Dados - Cliente'!AH359</f>
        <v>0</v>
      </c>
      <c r="AT359" s="33">
        <f>'Dados - Cliente'!AI359</f>
        <v>0</v>
      </c>
      <c r="AU359" s="33" t="e">
        <f>INDEX('Dados - Placas'!$N:$N,MATCH('1'!AG359,'Dados - Placas'!$D:$D,0))-1</f>
        <v>#N/A</v>
      </c>
      <c r="AV359" s="33" t="e">
        <f>INDEX('Dados - Placas'!$O:$O,MATCH('1'!AG359,'Dados - Placas'!$D:$D,0))</f>
        <v>#N/A</v>
      </c>
      <c r="AW359" s="33" t="e">
        <f>INDEX('Dados - Inversores'!AM:AM,MATCH('1'!AL359,'Dados - Inversores'!$C:$C,0))-1</f>
        <v>#N/A</v>
      </c>
      <c r="AX359" s="33" t="e">
        <f>INDEX('Dados - Inversores'!AN:AN,MATCH('1'!AL359,'Dados - Inversores'!$C:$C,0))-1</f>
        <v>#N/A</v>
      </c>
      <c r="AY359" s="33" t="e">
        <f>MATCH('1'!H359,Dados!$D$89:$D$167,0)+1</f>
        <v>#N/A</v>
      </c>
      <c r="AZ359" s="33" t="e">
        <f>MATCH('1'!N359,'Dados - Solicitação de acesso'!$N$2:$N$8,0)</f>
        <v>#N/A</v>
      </c>
      <c r="BA359" s="33" t="e">
        <f>MATCH('1'!T359,'Dados - Solicitação de acesso'!$T$2:$T$20,0)</f>
        <v>#N/A</v>
      </c>
    </row>
    <row r="360" spans="1:53" x14ac:dyDescent="0.35">
      <c r="A360" s="33">
        <f>'Dados - Cliente'!A360</f>
        <v>0</v>
      </c>
      <c r="B360" s="33">
        <f>'Dados - Cliente'!B360</f>
        <v>0</v>
      </c>
      <c r="C360" s="33">
        <f>'Dados - Cliente'!C360</f>
        <v>0</v>
      </c>
      <c r="D360" s="33">
        <f>'Dados - Cliente'!D360</f>
        <v>0</v>
      </c>
      <c r="E360" s="33">
        <f>'Dados - Cliente'!E360</f>
        <v>0</v>
      </c>
      <c r="F360" s="33">
        <f>'Dados - Cliente'!F360</f>
        <v>0</v>
      </c>
      <c r="G360" s="33">
        <f>'Dados - Cliente'!G360</f>
        <v>0</v>
      </c>
      <c r="H360" s="33">
        <f>'Dados - Cliente'!H360</f>
        <v>0</v>
      </c>
      <c r="I360" s="75" t="s">
        <v>4313</v>
      </c>
      <c r="J360" s="52" t="s">
        <v>4314</v>
      </c>
      <c r="K360" s="52" t="s">
        <v>4314</v>
      </c>
      <c r="L360" s="33">
        <f>'Dados - Cliente'!I360</f>
        <v>0</v>
      </c>
      <c r="M360" s="33">
        <f>'Dados - Cliente'!K360</f>
        <v>0</v>
      </c>
      <c r="N360" s="33">
        <f>'Dados - Cliente'!L360</f>
        <v>0</v>
      </c>
      <c r="O360" s="33">
        <f>'Dados - Cliente'!M360</f>
        <v>0</v>
      </c>
      <c r="P360" s="33">
        <f>'Dados - Cliente'!N360</f>
        <v>0</v>
      </c>
      <c r="Q360" s="33">
        <f>'Dados - Cliente'!O360</f>
        <v>0</v>
      </c>
      <c r="R360" s="33">
        <f>'Dados - Cliente'!P360</f>
        <v>0</v>
      </c>
      <c r="S360" s="33">
        <f>'Dados - Cliente'!Q360</f>
        <v>0</v>
      </c>
      <c r="T360" s="33">
        <f>'Dados - Cliente'!R360</f>
        <v>0</v>
      </c>
      <c r="U360" s="34">
        <f>'Dados - Cliente'!S360</f>
        <v>0</v>
      </c>
      <c r="V360" s="34">
        <f>'Dados - Cliente'!T360</f>
        <v>0</v>
      </c>
      <c r="W360" s="34">
        <f>'Dados - Cliente'!U360</f>
        <v>0</v>
      </c>
      <c r="X360" s="34">
        <f>'Dados - Cliente'!V360</f>
        <v>0</v>
      </c>
      <c r="Y360" s="34">
        <f>'Dados - Cliente'!W360</f>
        <v>0</v>
      </c>
      <c r="Z360" s="34">
        <f>'Dados - Cliente'!X360</f>
        <v>0</v>
      </c>
      <c r="AA360" s="33" t="e">
        <f t="shared" si="25"/>
        <v>#N/A</v>
      </c>
      <c r="AB360" s="33">
        <f>'Dados - Cliente'!Y360</f>
        <v>0</v>
      </c>
      <c r="AC360" s="33">
        <f>'Dados - Cliente'!Z360</f>
        <v>0</v>
      </c>
      <c r="AD360" s="33">
        <f>'Dados - Cliente'!AA360</f>
        <v>0</v>
      </c>
      <c r="AE360" s="33">
        <f>'Dados - Cliente'!AB360</f>
        <v>0</v>
      </c>
      <c r="AF360" s="33">
        <f>'Dados - Cliente'!AC360</f>
        <v>0</v>
      </c>
      <c r="AG360" s="35">
        <f>'Dados - Cliente'!AD360</f>
        <v>0</v>
      </c>
      <c r="AH360" s="33" t="e">
        <f>INDEX('Dados - Placas'!$A:$A,MATCH('1'!AG360,'Dados - Placas'!$D:$D,0))</f>
        <v>#N/A</v>
      </c>
      <c r="AI360" s="35" t="e">
        <f>INDEX('Dados - Placas'!$E:$E,MATCH('1'!AG360,'Dados - Placas'!$D:$D,0))</f>
        <v>#N/A</v>
      </c>
      <c r="AJ360" s="34" t="e">
        <f>INDEX('Dados - Placas'!$F:$F,MATCH('1'!AG360,'Dados - Placas'!$D:$D,0))*AF360</f>
        <v>#N/A</v>
      </c>
      <c r="AK360" s="33">
        <f>'Dados - Cliente'!AE360</f>
        <v>0</v>
      </c>
      <c r="AL360" s="33">
        <f>'Dados - Cliente'!AF360</f>
        <v>0</v>
      </c>
      <c r="AM360" s="36" t="e">
        <f>INDEX('Dados - Inversores'!$A:$A,MATCH('1'!AL360,'Dados - Inversores'!$C:$C,0))</f>
        <v>#N/A</v>
      </c>
      <c r="AN360" s="33">
        <f>'Dados - Cliente'!AG360</f>
        <v>0</v>
      </c>
      <c r="AO360" s="33" t="e">
        <f>AA360*1.25/(0.22*SQRT(INDEX('Dados - Inversores'!AK:AK,MATCH('1'!AL360,'Dados - Inversores'!C:C,0))))</f>
        <v>#N/A</v>
      </c>
      <c r="AP360" s="34">
        <f>INDEX(Dados!$E$2:$E$33,COUNTIF(Dados!$E$2:$E$33,"&lt;="&amp;AN360*1.25/(INDEX('Dados - Inversores'!AL:AL,MATCH('1'!AL360,'Dados - Inversores'!C:C,0))*SQRT(INDEX('Dados - Inversores'!AK:AK,MATCH('1'!AL360,'Dados - Inversores'!C:C,0)))))+1)</f>
        <v>2</v>
      </c>
      <c r="AQ360" s="33" t="s">
        <v>59</v>
      </c>
      <c r="AR360" s="33" t="str">
        <f t="shared" si="26"/>
        <v>Micro</v>
      </c>
      <c r="AS360" s="33">
        <f>'Dados - Cliente'!AH360</f>
        <v>0</v>
      </c>
      <c r="AT360" s="33">
        <f>'Dados - Cliente'!AI360</f>
        <v>0</v>
      </c>
      <c r="AU360" s="33" t="e">
        <f>INDEX('Dados - Placas'!$N:$N,MATCH('1'!AG360,'Dados - Placas'!$D:$D,0))-1</f>
        <v>#N/A</v>
      </c>
      <c r="AV360" s="33" t="e">
        <f>INDEX('Dados - Placas'!$O:$O,MATCH('1'!AG360,'Dados - Placas'!$D:$D,0))</f>
        <v>#N/A</v>
      </c>
      <c r="AW360" s="33" t="e">
        <f>INDEX('Dados - Inversores'!AM:AM,MATCH('1'!AL360,'Dados - Inversores'!$C:$C,0))-1</f>
        <v>#N/A</v>
      </c>
      <c r="AX360" s="33" t="e">
        <f>INDEX('Dados - Inversores'!AN:AN,MATCH('1'!AL360,'Dados - Inversores'!$C:$C,0))-1</f>
        <v>#N/A</v>
      </c>
      <c r="AY360" s="33" t="e">
        <f>MATCH('1'!H360,Dados!$D$89:$D$167,0)+1</f>
        <v>#N/A</v>
      </c>
      <c r="AZ360" s="33" t="e">
        <f>MATCH('1'!N360,'Dados - Solicitação de acesso'!$N$2:$N$8,0)</f>
        <v>#N/A</v>
      </c>
      <c r="BA360" s="33" t="e">
        <f>MATCH('1'!T360,'Dados - Solicitação de acesso'!$T$2:$T$20,0)</f>
        <v>#N/A</v>
      </c>
    </row>
    <row r="361" spans="1:53" x14ac:dyDescent="0.35">
      <c r="A361" s="33">
        <f>'Dados - Cliente'!A361</f>
        <v>0</v>
      </c>
      <c r="B361" s="33">
        <f>'Dados - Cliente'!B361</f>
        <v>0</v>
      </c>
      <c r="C361" s="33">
        <f>'Dados - Cliente'!C361</f>
        <v>0</v>
      </c>
      <c r="D361" s="33">
        <f>'Dados - Cliente'!D361</f>
        <v>0</v>
      </c>
      <c r="E361" s="33">
        <f>'Dados - Cliente'!E361</f>
        <v>0</v>
      </c>
      <c r="F361" s="33">
        <f>'Dados - Cliente'!F361</f>
        <v>0</v>
      </c>
      <c r="G361" s="33">
        <f>'Dados - Cliente'!G361</f>
        <v>0</v>
      </c>
      <c r="H361" s="33">
        <f>'Dados - Cliente'!H361</f>
        <v>0</v>
      </c>
      <c r="I361" s="75" t="s">
        <v>4313</v>
      </c>
      <c r="J361" s="52" t="s">
        <v>4314</v>
      </c>
      <c r="K361" s="52" t="s">
        <v>4314</v>
      </c>
      <c r="L361" s="33">
        <f>'Dados - Cliente'!I361</f>
        <v>0</v>
      </c>
      <c r="M361" s="33">
        <f>'Dados - Cliente'!K361</f>
        <v>0</v>
      </c>
      <c r="N361" s="33">
        <f>'Dados - Cliente'!L361</f>
        <v>0</v>
      </c>
      <c r="O361" s="33">
        <f>'Dados - Cliente'!M361</f>
        <v>0</v>
      </c>
      <c r="P361" s="33">
        <f>'Dados - Cliente'!N361</f>
        <v>0</v>
      </c>
      <c r="Q361" s="33">
        <f>'Dados - Cliente'!O361</f>
        <v>0</v>
      </c>
      <c r="R361" s="33">
        <f>'Dados - Cliente'!P361</f>
        <v>0</v>
      </c>
      <c r="S361" s="33">
        <f>'Dados - Cliente'!Q361</f>
        <v>0</v>
      </c>
      <c r="T361" s="33">
        <f>'Dados - Cliente'!R361</f>
        <v>0</v>
      </c>
      <c r="U361" s="34">
        <f>'Dados - Cliente'!S361</f>
        <v>0</v>
      </c>
      <c r="V361" s="34">
        <f>'Dados - Cliente'!T361</f>
        <v>0</v>
      </c>
      <c r="W361" s="34">
        <f>'Dados - Cliente'!U361</f>
        <v>0</v>
      </c>
      <c r="X361" s="34">
        <f>'Dados - Cliente'!V361</f>
        <v>0</v>
      </c>
      <c r="Y361" s="34">
        <f>'Dados - Cliente'!W361</f>
        <v>0</v>
      </c>
      <c r="Z361" s="34">
        <f>'Dados - Cliente'!X361</f>
        <v>0</v>
      </c>
      <c r="AA361" s="33" t="e">
        <f t="shared" si="25"/>
        <v>#N/A</v>
      </c>
      <c r="AB361" s="33">
        <f>'Dados - Cliente'!Y361</f>
        <v>0</v>
      </c>
      <c r="AC361" s="33">
        <f>'Dados - Cliente'!Z361</f>
        <v>0</v>
      </c>
      <c r="AD361" s="33">
        <f>'Dados - Cliente'!AA361</f>
        <v>0</v>
      </c>
      <c r="AE361" s="33">
        <f>'Dados - Cliente'!AB361</f>
        <v>0</v>
      </c>
      <c r="AF361" s="33">
        <f>'Dados - Cliente'!AC361</f>
        <v>0</v>
      </c>
      <c r="AG361" s="35">
        <f>'Dados - Cliente'!AD361</f>
        <v>0</v>
      </c>
      <c r="AH361" s="33" t="e">
        <f>INDEX('Dados - Placas'!$A:$A,MATCH('1'!AG361,'Dados - Placas'!$D:$D,0))</f>
        <v>#N/A</v>
      </c>
      <c r="AI361" s="35" t="e">
        <f>INDEX('Dados - Placas'!$E:$E,MATCH('1'!AG361,'Dados - Placas'!$D:$D,0))</f>
        <v>#N/A</v>
      </c>
      <c r="AJ361" s="34" t="e">
        <f>INDEX('Dados - Placas'!$F:$F,MATCH('1'!AG361,'Dados - Placas'!$D:$D,0))*AF361</f>
        <v>#N/A</v>
      </c>
      <c r="AK361" s="33">
        <f>'Dados - Cliente'!AE361</f>
        <v>0</v>
      </c>
      <c r="AL361" s="33">
        <f>'Dados - Cliente'!AF361</f>
        <v>0</v>
      </c>
      <c r="AM361" s="36" t="e">
        <f>INDEX('Dados - Inversores'!$A:$A,MATCH('1'!AL361,'Dados - Inversores'!$C:$C,0))</f>
        <v>#N/A</v>
      </c>
      <c r="AN361" s="33">
        <f>'Dados - Cliente'!AG361</f>
        <v>0</v>
      </c>
      <c r="AO361" s="33" t="e">
        <f>AA361*1.25/(0.22*SQRT(INDEX('Dados - Inversores'!AK:AK,MATCH('1'!AL361,'Dados - Inversores'!C:C,0))))</f>
        <v>#N/A</v>
      </c>
      <c r="AP361" s="34">
        <f>INDEX(Dados!$E$2:$E$33,COUNTIF(Dados!$E$2:$E$33,"&lt;="&amp;AN361*1.25/(INDEX('Dados - Inversores'!AL:AL,MATCH('1'!AL361,'Dados - Inversores'!C:C,0))*SQRT(INDEX('Dados - Inversores'!AK:AK,MATCH('1'!AL361,'Dados - Inversores'!C:C,0)))))+1)</f>
        <v>2</v>
      </c>
      <c r="AQ361" s="33" t="s">
        <v>59</v>
      </c>
      <c r="AR361" s="33" t="str">
        <f t="shared" si="26"/>
        <v>Micro</v>
      </c>
      <c r="AS361" s="33">
        <f>'Dados - Cliente'!AH361</f>
        <v>0</v>
      </c>
      <c r="AT361" s="33">
        <f>'Dados - Cliente'!AI361</f>
        <v>0</v>
      </c>
      <c r="AU361" s="33" t="e">
        <f>INDEX('Dados - Placas'!$N:$N,MATCH('1'!AG361,'Dados - Placas'!$D:$D,0))-1</f>
        <v>#N/A</v>
      </c>
      <c r="AV361" s="33" t="e">
        <f>INDEX('Dados - Placas'!$O:$O,MATCH('1'!AG361,'Dados - Placas'!$D:$D,0))</f>
        <v>#N/A</v>
      </c>
      <c r="AW361" s="33" t="e">
        <f>INDEX('Dados - Inversores'!AM:AM,MATCH('1'!AL361,'Dados - Inversores'!$C:$C,0))-1</f>
        <v>#N/A</v>
      </c>
      <c r="AX361" s="33" t="e">
        <f>INDEX('Dados - Inversores'!AN:AN,MATCH('1'!AL361,'Dados - Inversores'!$C:$C,0))-1</f>
        <v>#N/A</v>
      </c>
      <c r="AY361" s="33" t="e">
        <f>MATCH('1'!H361,Dados!$D$89:$D$167,0)+1</f>
        <v>#N/A</v>
      </c>
      <c r="AZ361" s="33" t="e">
        <f>MATCH('1'!N361,'Dados - Solicitação de acesso'!$N$2:$N$8,0)</f>
        <v>#N/A</v>
      </c>
      <c r="BA361" s="33" t="e">
        <f>MATCH('1'!T361,'Dados - Solicitação de acesso'!$T$2:$T$20,0)</f>
        <v>#N/A</v>
      </c>
    </row>
    <row r="362" spans="1:53" x14ac:dyDescent="0.35">
      <c r="A362" s="33">
        <f>'Dados - Cliente'!A362</f>
        <v>0</v>
      </c>
      <c r="B362" s="33">
        <f>'Dados - Cliente'!B362</f>
        <v>0</v>
      </c>
      <c r="C362" s="33">
        <f>'Dados - Cliente'!C362</f>
        <v>0</v>
      </c>
      <c r="D362" s="33">
        <f>'Dados - Cliente'!D362</f>
        <v>0</v>
      </c>
      <c r="E362" s="33">
        <f>'Dados - Cliente'!E362</f>
        <v>0</v>
      </c>
      <c r="F362" s="33">
        <f>'Dados - Cliente'!F362</f>
        <v>0</v>
      </c>
      <c r="G362" s="33">
        <f>'Dados - Cliente'!G362</f>
        <v>0</v>
      </c>
      <c r="H362" s="33">
        <f>'Dados - Cliente'!H362</f>
        <v>0</v>
      </c>
      <c r="I362" s="75" t="s">
        <v>4313</v>
      </c>
      <c r="J362" s="52" t="s">
        <v>4314</v>
      </c>
      <c r="K362" s="52" t="s">
        <v>4314</v>
      </c>
      <c r="L362" s="33">
        <f>'Dados - Cliente'!I362</f>
        <v>0</v>
      </c>
      <c r="M362" s="33">
        <f>'Dados - Cliente'!K362</f>
        <v>0</v>
      </c>
      <c r="N362" s="33">
        <f>'Dados - Cliente'!L362</f>
        <v>0</v>
      </c>
      <c r="O362" s="33">
        <f>'Dados - Cliente'!M362</f>
        <v>0</v>
      </c>
      <c r="P362" s="33">
        <f>'Dados - Cliente'!N362</f>
        <v>0</v>
      </c>
      <c r="Q362" s="33">
        <f>'Dados - Cliente'!O362</f>
        <v>0</v>
      </c>
      <c r="R362" s="33">
        <f>'Dados - Cliente'!P362</f>
        <v>0</v>
      </c>
      <c r="S362" s="33">
        <f>'Dados - Cliente'!Q362</f>
        <v>0</v>
      </c>
      <c r="T362" s="33">
        <f>'Dados - Cliente'!R362</f>
        <v>0</v>
      </c>
      <c r="U362" s="34">
        <f>'Dados - Cliente'!S362</f>
        <v>0</v>
      </c>
      <c r="V362" s="34">
        <f>'Dados - Cliente'!T362</f>
        <v>0</v>
      </c>
      <c r="W362" s="34">
        <f>'Dados - Cliente'!U362</f>
        <v>0</v>
      </c>
      <c r="X362" s="34">
        <f>'Dados - Cliente'!V362</f>
        <v>0</v>
      </c>
      <c r="Y362" s="34">
        <f>'Dados - Cliente'!W362</f>
        <v>0</v>
      </c>
      <c r="Z362" s="34">
        <f>'Dados - Cliente'!X362</f>
        <v>0</v>
      </c>
      <c r="AA362" s="33" t="e">
        <f t="shared" si="25"/>
        <v>#N/A</v>
      </c>
      <c r="AB362" s="33">
        <f>'Dados - Cliente'!Y362</f>
        <v>0</v>
      </c>
      <c r="AC362" s="33">
        <f>'Dados - Cliente'!Z362</f>
        <v>0</v>
      </c>
      <c r="AD362" s="33">
        <f>'Dados - Cliente'!AA362</f>
        <v>0</v>
      </c>
      <c r="AE362" s="33">
        <f>'Dados - Cliente'!AB362</f>
        <v>0</v>
      </c>
      <c r="AF362" s="33">
        <f>'Dados - Cliente'!AC362</f>
        <v>0</v>
      </c>
      <c r="AG362" s="35">
        <f>'Dados - Cliente'!AD362</f>
        <v>0</v>
      </c>
      <c r="AH362" s="33" t="e">
        <f>INDEX('Dados - Placas'!$A:$A,MATCH('1'!AG362,'Dados - Placas'!$D:$D,0))</f>
        <v>#N/A</v>
      </c>
      <c r="AI362" s="35" t="e">
        <f>INDEX('Dados - Placas'!$E:$E,MATCH('1'!AG362,'Dados - Placas'!$D:$D,0))</f>
        <v>#N/A</v>
      </c>
      <c r="AJ362" s="34" t="e">
        <f>INDEX('Dados - Placas'!$F:$F,MATCH('1'!AG362,'Dados - Placas'!$D:$D,0))*AF362</f>
        <v>#N/A</v>
      </c>
      <c r="AK362" s="33">
        <f>'Dados - Cliente'!AE362</f>
        <v>0</v>
      </c>
      <c r="AL362" s="33">
        <f>'Dados - Cliente'!AF362</f>
        <v>0</v>
      </c>
      <c r="AM362" s="36" t="e">
        <f>INDEX('Dados - Inversores'!$A:$A,MATCH('1'!AL362,'Dados - Inversores'!$C:$C,0))</f>
        <v>#N/A</v>
      </c>
      <c r="AN362" s="33">
        <f>'Dados - Cliente'!AG362</f>
        <v>0</v>
      </c>
      <c r="AO362" s="33" t="e">
        <f>AA362*1.25/(0.22*SQRT(INDEX('Dados - Inversores'!AK:AK,MATCH('1'!AL362,'Dados - Inversores'!C:C,0))))</f>
        <v>#N/A</v>
      </c>
      <c r="AP362" s="34">
        <f>INDEX(Dados!$E$2:$E$33,COUNTIF(Dados!$E$2:$E$33,"&lt;="&amp;AN362*1.25/(INDEX('Dados - Inversores'!AL:AL,MATCH('1'!AL362,'Dados - Inversores'!C:C,0))*SQRT(INDEX('Dados - Inversores'!AK:AK,MATCH('1'!AL362,'Dados - Inversores'!C:C,0)))))+1)</f>
        <v>2</v>
      </c>
      <c r="AQ362" s="33" t="s">
        <v>59</v>
      </c>
      <c r="AR362" s="33" t="str">
        <f t="shared" si="26"/>
        <v>Micro</v>
      </c>
      <c r="AS362" s="33">
        <f>'Dados - Cliente'!AH362</f>
        <v>0</v>
      </c>
      <c r="AT362" s="33">
        <f>'Dados - Cliente'!AI362</f>
        <v>0</v>
      </c>
      <c r="AU362" s="33" t="e">
        <f>INDEX('Dados - Placas'!$N:$N,MATCH('1'!AG362,'Dados - Placas'!$D:$D,0))-1</f>
        <v>#N/A</v>
      </c>
      <c r="AV362" s="33" t="e">
        <f>INDEX('Dados - Placas'!$O:$O,MATCH('1'!AG362,'Dados - Placas'!$D:$D,0))</f>
        <v>#N/A</v>
      </c>
      <c r="AW362" s="33" t="e">
        <f>INDEX('Dados - Inversores'!AM:AM,MATCH('1'!AL362,'Dados - Inversores'!$C:$C,0))-1</f>
        <v>#N/A</v>
      </c>
      <c r="AX362" s="33" t="e">
        <f>INDEX('Dados - Inversores'!AN:AN,MATCH('1'!AL362,'Dados - Inversores'!$C:$C,0))-1</f>
        <v>#N/A</v>
      </c>
      <c r="AY362" s="33" t="e">
        <f>MATCH('1'!H362,Dados!$D$89:$D$167,0)+1</f>
        <v>#N/A</v>
      </c>
      <c r="AZ362" s="33" t="e">
        <f>MATCH('1'!N362,'Dados - Solicitação de acesso'!$N$2:$N$8,0)</f>
        <v>#N/A</v>
      </c>
      <c r="BA362" s="33" t="e">
        <f>MATCH('1'!T362,'Dados - Solicitação de acesso'!$T$2:$T$20,0)</f>
        <v>#N/A</v>
      </c>
    </row>
    <row r="363" spans="1:53" x14ac:dyDescent="0.35">
      <c r="A363" s="33">
        <f>'Dados - Cliente'!A363</f>
        <v>0</v>
      </c>
      <c r="B363" s="33">
        <f>'Dados - Cliente'!B363</f>
        <v>0</v>
      </c>
      <c r="C363" s="33">
        <f>'Dados - Cliente'!C363</f>
        <v>0</v>
      </c>
      <c r="D363" s="33">
        <f>'Dados - Cliente'!D363</f>
        <v>0</v>
      </c>
      <c r="E363" s="33">
        <f>'Dados - Cliente'!E363</f>
        <v>0</v>
      </c>
      <c r="F363" s="33">
        <f>'Dados - Cliente'!F363</f>
        <v>0</v>
      </c>
      <c r="G363" s="33">
        <f>'Dados - Cliente'!G363</f>
        <v>0</v>
      </c>
      <c r="H363" s="33">
        <f>'Dados - Cliente'!H363</f>
        <v>0</v>
      </c>
      <c r="I363" s="75" t="s">
        <v>4313</v>
      </c>
      <c r="J363" s="52" t="s">
        <v>4314</v>
      </c>
      <c r="K363" s="52" t="s">
        <v>4314</v>
      </c>
      <c r="L363" s="33">
        <f>'Dados - Cliente'!I363</f>
        <v>0</v>
      </c>
      <c r="M363" s="33">
        <f>'Dados - Cliente'!K363</f>
        <v>0</v>
      </c>
      <c r="N363" s="33">
        <f>'Dados - Cliente'!L363</f>
        <v>0</v>
      </c>
      <c r="O363" s="33">
        <f>'Dados - Cliente'!M363</f>
        <v>0</v>
      </c>
      <c r="P363" s="33">
        <f>'Dados - Cliente'!N363</f>
        <v>0</v>
      </c>
      <c r="Q363" s="33">
        <f>'Dados - Cliente'!O363</f>
        <v>0</v>
      </c>
      <c r="R363" s="33">
        <f>'Dados - Cliente'!P363</f>
        <v>0</v>
      </c>
      <c r="S363" s="33">
        <f>'Dados - Cliente'!Q363</f>
        <v>0</v>
      </c>
      <c r="T363" s="33">
        <f>'Dados - Cliente'!R363</f>
        <v>0</v>
      </c>
      <c r="U363" s="34">
        <f>'Dados - Cliente'!S363</f>
        <v>0</v>
      </c>
      <c r="V363" s="34">
        <f>'Dados - Cliente'!T363</f>
        <v>0</v>
      </c>
      <c r="W363" s="34">
        <f>'Dados - Cliente'!U363</f>
        <v>0</v>
      </c>
      <c r="X363" s="34">
        <f>'Dados - Cliente'!V363</f>
        <v>0</v>
      </c>
      <c r="Y363" s="34">
        <f>'Dados - Cliente'!W363</f>
        <v>0</v>
      </c>
      <c r="Z363" s="34">
        <f>'Dados - Cliente'!X363</f>
        <v>0</v>
      </c>
      <c r="AA363" s="33" t="e">
        <f t="shared" si="25"/>
        <v>#N/A</v>
      </c>
      <c r="AB363" s="33">
        <f>'Dados - Cliente'!Y363</f>
        <v>0</v>
      </c>
      <c r="AC363" s="33">
        <f>'Dados - Cliente'!Z363</f>
        <v>0</v>
      </c>
      <c r="AD363" s="33">
        <f>'Dados - Cliente'!AA363</f>
        <v>0</v>
      </c>
      <c r="AE363" s="33">
        <f>'Dados - Cliente'!AB363</f>
        <v>0</v>
      </c>
      <c r="AF363" s="33">
        <f>'Dados - Cliente'!AC363</f>
        <v>0</v>
      </c>
      <c r="AG363" s="35">
        <f>'Dados - Cliente'!AD363</f>
        <v>0</v>
      </c>
      <c r="AH363" s="33" t="e">
        <f>INDEX('Dados - Placas'!$A:$A,MATCH('1'!AG363,'Dados - Placas'!$D:$D,0))</f>
        <v>#N/A</v>
      </c>
      <c r="AI363" s="35" t="e">
        <f>INDEX('Dados - Placas'!$E:$E,MATCH('1'!AG363,'Dados - Placas'!$D:$D,0))</f>
        <v>#N/A</v>
      </c>
      <c r="AJ363" s="34" t="e">
        <f>INDEX('Dados - Placas'!$F:$F,MATCH('1'!AG363,'Dados - Placas'!$D:$D,0))*AF363</f>
        <v>#N/A</v>
      </c>
      <c r="AK363" s="33">
        <f>'Dados - Cliente'!AE363</f>
        <v>0</v>
      </c>
      <c r="AL363" s="33">
        <f>'Dados - Cliente'!AF363</f>
        <v>0</v>
      </c>
      <c r="AM363" s="36" t="e">
        <f>INDEX('Dados - Inversores'!$A:$A,MATCH('1'!AL363,'Dados - Inversores'!$C:$C,0))</f>
        <v>#N/A</v>
      </c>
      <c r="AN363" s="33">
        <f>'Dados - Cliente'!AG363</f>
        <v>0</v>
      </c>
      <c r="AO363" s="33" t="e">
        <f>AA363*1.25/(0.22*SQRT(INDEX('Dados - Inversores'!AK:AK,MATCH('1'!AL363,'Dados - Inversores'!C:C,0))))</f>
        <v>#N/A</v>
      </c>
      <c r="AP363" s="34">
        <f>INDEX(Dados!$E$2:$E$33,COUNTIF(Dados!$E$2:$E$33,"&lt;="&amp;AN363*1.25/(INDEX('Dados - Inversores'!AL:AL,MATCH('1'!AL363,'Dados - Inversores'!C:C,0))*SQRT(INDEX('Dados - Inversores'!AK:AK,MATCH('1'!AL363,'Dados - Inversores'!C:C,0)))))+1)</f>
        <v>2</v>
      </c>
      <c r="AQ363" s="33" t="s">
        <v>59</v>
      </c>
      <c r="AR363" s="33" t="str">
        <f t="shared" si="26"/>
        <v>Micro</v>
      </c>
      <c r="AS363" s="33">
        <f>'Dados - Cliente'!AH363</f>
        <v>0</v>
      </c>
      <c r="AT363" s="33">
        <f>'Dados - Cliente'!AI363</f>
        <v>0</v>
      </c>
      <c r="AU363" s="33" t="e">
        <f>INDEX('Dados - Placas'!$N:$N,MATCH('1'!AG363,'Dados - Placas'!$D:$D,0))-1</f>
        <v>#N/A</v>
      </c>
      <c r="AV363" s="33" t="e">
        <f>INDEX('Dados - Placas'!$O:$O,MATCH('1'!AG363,'Dados - Placas'!$D:$D,0))</f>
        <v>#N/A</v>
      </c>
      <c r="AW363" s="33" t="e">
        <f>INDEX('Dados - Inversores'!AM:AM,MATCH('1'!AL363,'Dados - Inversores'!$C:$C,0))-1</f>
        <v>#N/A</v>
      </c>
      <c r="AX363" s="33" t="e">
        <f>INDEX('Dados - Inversores'!AN:AN,MATCH('1'!AL363,'Dados - Inversores'!$C:$C,0))-1</f>
        <v>#N/A</v>
      </c>
      <c r="AY363" s="33" t="e">
        <f>MATCH('1'!H363,Dados!$D$89:$D$167,0)+1</f>
        <v>#N/A</v>
      </c>
      <c r="AZ363" s="33" t="e">
        <f>MATCH('1'!N363,'Dados - Solicitação de acesso'!$N$2:$N$8,0)</f>
        <v>#N/A</v>
      </c>
      <c r="BA363" s="33" t="e">
        <f>MATCH('1'!T363,'Dados - Solicitação de acesso'!$T$2:$T$20,0)</f>
        <v>#N/A</v>
      </c>
    </row>
    <row r="364" spans="1:53" x14ac:dyDescent="0.35">
      <c r="A364" s="33">
        <f>'Dados - Cliente'!A364</f>
        <v>0</v>
      </c>
      <c r="B364" s="33">
        <f>'Dados - Cliente'!B364</f>
        <v>0</v>
      </c>
      <c r="C364" s="33">
        <f>'Dados - Cliente'!C364</f>
        <v>0</v>
      </c>
      <c r="D364" s="33">
        <f>'Dados - Cliente'!D364</f>
        <v>0</v>
      </c>
      <c r="E364" s="33">
        <f>'Dados - Cliente'!E364</f>
        <v>0</v>
      </c>
      <c r="F364" s="33">
        <f>'Dados - Cliente'!F364</f>
        <v>0</v>
      </c>
      <c r="G364" s="33">
        <f>'Dados - Cliente'!G364</f>
        <v>0</v>
      </c>
      <c r="H364" s="33">
        <f>'Dados - Cliente'!H364</f>
        <v>0</v>
      </c>
      <c r="I364" s="75" t="s">
        <v>4313</v>
      </c>
      <c r="J364" s="52" t="s">
        <v>4314</v>
      </c>
      <c r="K364" s="52" t="s">
        <v>4314</v>
      </c>
      <c r="L364" s="33">
        <f>'Dados - Cliente'!I364</f>
        <v>0</v>
      </c>
      <c r="M364" s="33">
        <f>'Dados - Cliente'!K364</f>
        <v>0</v>
      </c>
      <c r="N364" s="33">
        <f>'Dados - Cliente'!L364</f>
        <v>0</v>
      </c>
      <c r="O364" s="33">
        <f>'Dados - Cliente'!M364</f>
        <v>0</v>
      </c>
      <c r="P364" s="33">
        <f>'Dados - Cliente'!N364</f>
        <v>0</v>
      </c>
      <c r="Q364" s="33">
        <f>'Dados - Cliente'!O364</f>
        <v>0</v>
      </c>
      <c r="R364" s="33">
        <f>'Dados - Cliente'!P364</f>
        <v>0</v>
      </c>
      <c r="S364" s="33">
        <f>'Dados - Cliente'!Q364</f>
        <v>0</v>
      </c>
      <c r="T364" s="33">
        <f>'Dados - Cliente'!R364</f>
        <v>0</v>
      </c>
      <c r="U364" s="34">
        <f>'Dados - Cliente'!S364</f>
        <v>0</v>
      </c>
      <c r="V364" s="34">
        <f>'Dados - Cliente'!T364</f>
        <v>0</v>
      </c>
      <c r="W364" s="34">
        <f>'Dados - Cliente'!U364</f>
        <v>0</v>
      </c>
      <c r="X364" s="34">
        <f>'Dados - Cliente'!V364</f>
        <v>0</v>
      </c>
      <c r="Y364" s="34">
        <f>'Dados - Cliente'!W364</f>
        <v>0</v>
      </c>
      <c r="Z364" s="34">
        <f>'Dados - Cliente'!X364</f>
        <v>0</v>
      </c>
      <c r="AA364" s="33" t="e">
        <f t="shared" si="25"/>
        <v>#N/A</v>
      </c>
      <c r="AB364" s="33">
        <f>'Dados - Cliente'!Y364</f>
        <v>0</v>
      </c>
      <c r="AC364" s="33">
        <f>'Dados - Cliente'!Z364</f>
        <v>0</v>
      </c>
      <c r="AD364" s="33">
        <f>'Dados - Cliente'!AA364</f>
        <v>0</v>
      </c>
      <c r="AE364" s="33">
        <f>'Dados - Cliente'!AB364</f>
        <v>0</v>
      </c>
      <c r="AF364" s="33">
        <f>'Dados - Cliente'!AC364</f>
        <v>0</v>
      </c>
      <c r="AG364" s="35">
        <f>'Dados - Cliente'!AD364</f>
        <v>0</v>
      </c>
      <c r="AH364" s="33" t="e">
        <f>INDEX('Dados - Placas'!$A:$A,MATCH('1'!AG364,'Dados - Placas'!$D:$D,0))</f>
        <v>#N/A</v>
      </c>
      <c r="AI364" s="35" t="e">
        <f>INDEX('Dados - Placas'!$E:$E,MATCH('1'!AG364,'Dados - Placas'!$D:$D,0))</f>
        <v>#N/A</v>
      </c>
      <c r="AJ364" s="34" t="e">
        <f>INDEX('Dados - Placas'!$F:$F,MATCH('1'!AG364,'Dados - Placas'!$D:$D,0))*AF364</f>
        <v>#N/A</v>
      </c>
      <c r="AK364" s="33">
        <f>'Dados - Cliente'!AE364</f>
        <v>0</v>
      </c>
      <c r="AL364" s="33">
        <f>'Dados - Cliente'!AF364</f>
        <v>0</v>
      </c>
      <c r="AM364" s="36" t="e">
        <f>INDEX('Dados - Inversores'!$A:$A,MATCH('1'!AL364,'Dados - Inversores'!$C:$C,0))</f>
        <v>#N/A</v>
      </c>
      <c r="AN364" s="33">
        <f>'Dados - Cliente'!AG364</f>
        <v>0</v>
      </c>
      <c r="AO364" s="33" t="e">
        <f>AA364*1.25/(0.22*SQRT(INDEX('Dados - Inversores'!AK:AK,MATCH('1'!AL364,'Dados - Inversores'!C:C,0))))</f>
        <v>#N/A</v>
      </c>
      <c r="AP364" s="34">
        <f>INDEX(Dados!$E$2:$E$33,COUNTIF(Dados!$E$2:$E$33,"&lt;="&amp;AN364*1.25/(INDEX('Dados - Inversores'!AL:AL,MATCH('1'!AL364,'Dados - Inversores'!C:C,0))*SQRT(INDEX('Dados - Inversores'!AK:AK,MATCH('1'!AL364,'Dados - Inversores'!C:C,0)))))+1)</f>
        <v>2</v>
      </c>
      <c r="AQ364" s="33" t="s">
        <v>59</v>
      </c>
      <c r="AR364" s="33" t="str">
        <f t="shared" si="26"/>
        <v>Micro</v>
      </c>
      <c r="AS364" s="33">
        <f>'Dados - Cliente'!AH364</f>
        <v>0</v>
      </c>
      <c r="AT364" s="33">
        <f>'Dados - Cliente'!AI364</f>
        <v>0</v>
      </c>
      <c r="AU364" s="33" t="e">
        <f>INDEX('Dados - Placas'!$N:$N,MATCH('1'!AG364,'Dados - Placas'!$D:$D,0))-1</f>
        <v>#N/A</v>
      </c>
      <c r="AV364" s="33" t="e">
        <f>INDEX('Dados - Placas'!$O:$O,MATCH('1'!AG364,'Dados - Placas'!$D:$D,0))</f>
        <v>#N/A</v>
      </c>
      <c r="AW364" s="33" t="e">
        <f>INDEX('Dados - Inversores'!AM:AM,MATCH('1'!AL364,'Dados - Inversores'!$C:$C,0))-1</f>
        <v>#N/A</v>
      </c>
      <c r="AX364" s="33" t="e">
        <f>INDEX('Dados - Inversores'!AN:AN,MATCH('1'!AL364,'Dados - Inversores'!$C:$C,0))-1</f>
        <v>#N/A</v>
      </c>
      <c r="AY364" s="33" t="e">
        <f>MATCH('1'!H364,Dados!$D$89:$D$167,0)+1</f>
        <v>#N/A</v>
      </c>
      <c r="AZ364" s="33" t="e">
        <f>MATCH('1'!N364,'Dados - Solicitação de acesso'!$N$2:$N$8,0)</f>
        <v>#N/A</v>
      </c>
      <c r="BA364" s="33" t="e">
        <f>MATCH('1'!T364,'Dados - Solicitação de acesso'!$T$2:$T$20,0)</f>
        <v>#N/A</v>
      </c>
    </row>
    <row r="365" spans="1:53" x14ac:dyDescent="0.35">
      <c r="A365" s="33">
        <f>'Dados - Cliente'!A365</f>
        <v>0</v>
      </c>
      <c r="B365" s="33">
        <f>'Dados - Cliente'!B365</f>
        <v>0</v>
      </c>
      <c r="C365" s="33">
        <f>'Dados - Cliente'!C365</f>
        <v>0</v>
      </c>
      <c r="D365" s="33">
        <f>'Dados - Cliente'!D365</f>
        <v>0</v>
      </c>
      <c r="E365" s="33">
        <f>'Dados - Cliente'!E365</f>
        <v>0</v>
      </c>
      <c r="F365" s="33">
        <f>'Dados - Cliente'!F365</f>
        <v>0</v>
      </c>
      <c r="G365" s="33">
        <f>'Dados - Cliente'!G365</f>
        <v>0</v>
      </c>
      <c r="H365" s="33">
        <f>'Dados - Cliente'!H365</f>
        <v>0</v>
      </c>
      <c r="I365" s="75" t="s">
        <v>4313</v>
      </c>
      <c r="J365" s="52" t="s">
        <v>4314</v>
      </c>
      <c r="K365" s="52" t="s">
        <v>4314</v>
      </c>
      <c r="L365" s="33">
        <f>'Dados - Cliente'!I365</f>
        <v>0</v>
      </c>
      <c r="M365" s="33">
        <f>'Dados - Cliente'!K365</f>
        <v>0</v>
      </c>
      <c r="N365" s="33">
        <f>'Dados - Cliente'!L365</f>
        <v>0</v>
      </c>
      <c r="O365" s="33">
        <f>'Dados - Cliente'!M365</f>
        <v>0</v>
      </c>
      <c r="P365" s="33">
        <f>'Dados - Cliente'!N365</f>
        <v>0</v>
      </c>
      <c r="Q365" s="33">
        <f>'Dados - Cliente'!O365</f>
        <v>0</v>
      </c>
      <c r="R365" s="33">
        <f>'Dados - Cliente'!P365</f>
        <v>0</v>
      </c>
      <c r="S365" s="33">
        <f>'Dados - Cliente'!Q365</f>
        <v>0</v>
      </c>
      <c r="T365" s="33">
        <f>'Dados - Cliente'!R365</f>
        <v>0</v>
      </c>
      <c r="U365" s="34">
        <f>'Dados - Cliente'!S365</f>
        <v>0</v>
      </c>
      <c r="V365" s="34">
        <f>'Dados - Cliente'!T365</f>
        <v>0</v>
      </c>
      <c r="W365" s="34">
        <f>'Dados - Cliente'!U365</f>
        <v>0</v>
      </c>
      <c r="X365" s="34">
        <f>'Dados - Cliente'!V365</f>
        <v>0</v>
      </c>
      <c r="Y365" s="34">
        <f>'Dados - Cliente'!W365</f>
        <v>0</v>
      </c>
      <c r="Z365" s="34">
        <f>'Dados - Cliente'!X365</f>
        <v>0</v>
      </c>
      <c r="AA365" s="33" t="e">
        <f t="shared" si="25"/>
        <v>#N/A</v>
      </c>
      <c r="AB365" s="33">
        <f>'Dados - Cliente'!Y365</f>
        <v>0</v>
      </c>
      <c r="AC365" s="33">
        <f>'Dados - Cliente'!Z365</f>
        <v>0</v>
      </c>
      <c r="AD365" s="33">
        <f>'Dados - Cliente'!AA365</f>
        <v>0</v>
      </c>
      <c r="AE365" s="33">
        <f>'Dados - Cliente'!AB365</f>
        <v>0</v>
      </c>
      <c r="AF365" s="33">
        <f>'Dados - Cliente'!AC365</f>
        <v>0</v>
      </c>
      <c r="AG365" s="35">
        <f>'Dados - Cliente'!AD365</f>
        <v>0</v>
      </c>
      <c r="AH365" s="33" t="e">
        <f>INDEX('Dados - Placas'!$A:$A,MATCH('1'!AG365,'Dados - Placas'!$D:$D,0))</f>
        <v>#N/A</v>
      </c>
      <c r="AI365" s="35" t="e">
        <f>INDEX('Dados - Placas'!$E:$E,MATCH('1'!AG365,'Dados - Placas'!$D:$D,0))</f>
        <v>#N/A</v>
      </c>
      <c r="AJ365" s="34" t="e">
        <f>INDEX('Dados - Placas'!$F:$F,MATCH('1'!AG365,'Dados - Placas'!$D:$D,0))*AF365</f>
        <v>#N/A</v>
      </c>
      <c r="AK365" s="33">
        <f>'Dados - Cliente'!AE365</f>
        <v>0</v>
      </c>
      <c r="AL365" s="33">
        <f>'Dados - Cliente'!AF365</f>
        <v>0</v>
      </c>
      <c r="AM365" s="36" t="e">
        <f>INDEX('Dados - Inversores'!$A:$A,MATCH('1'!AL365,'Dados - Inversores'!$C:$C,0))</f>
        <v>#N/A</v>
      </c>
      <c r="AN365" s="33">
        <f>'Dados - Cliente'!AG365</f>
        <v>0</v>
      </c>
      <c r="AO365" s="33" t="e">
        <f>AA365*1.25/(0.22*SQRT(INDEX('Dados - Inversores'!AK:AK,MATCH('1'!AL365,'Dados - Inversores'!C:C,0))))</f>
        <v>#N/A</v>
      </c>
      <c r="AP365" s="34">
        <f>INDEX(Dados!$E$2:$E$33,COUNTIF(Dados!$E$2:$E$33,"&lt;="&amp;AN365*1.25/(INDEX('Dados - Inversores'!AL:AL,MATCH('1'!AL365,'Dados - Inversores'!C:C,0))*SQRT(INDEX('Dados - Inversores'!AK:AK,MATCH('1'!AL365,'Dados - Inversores'!C:C,0)))))+1)</f>
        <v>2</v>
      </c>
      <c r="AQ365" s="33" t="s">
        <v>59</v>
      </c>
      <c r="AR365" s="33" t="str">
        <f t="shared" si="26"/>
        <v>Micro</v>
      </c>
      <c r="AS365" s="33">
        <f>'Dados - Cliente'!AH365</f>
        <v>0</v>
      </c>
      <c r="AT365" s="33">
        <f>'Dados - Cliente'!AI365</f>
        <v>0</v>
      </c>
      <c r="AU365" s="33" t="e">
        <f>INDEX('Dados - Placas'!$N:$N,MATCH('1'!AG365,'Dados - Placas'!$D:$D,0))-1</f>
        <v>#N/A</v>
      </c>
      <c r="AV365" s="33" t="e">
        <f>INDEX('Dados - Placas'!$O:$O,MATCH('1'!AG365,'Dados - Placas'!$D:$D,0))</f>
        <v>#N/A</v>
      </c>
      <c r="AW365" s="33" t="e">
        <f>INDEX('Dados - Inversores'!AM:AM,MATCH('1'!AL365,'Dados - Inversores'!$C:$C,0))-1</f>
        <v>#N/A</v>
      </c>
      <c r="AX365" s="33" t="e">
        <f>INDEX('Dados - Inversores'!AN:AN,MATCH('1'!AL365,'Dados - Inversores'!$C:$C,0))-1</f>
        <v>#N/A</v>
      </c>
      <c r="AY365" s="33" t="e">
        <f>MATCH('1'!H365,Dados!$D$89:$D$167,0)+1</f>
        <v>#N/A</v>
      </c>
      <c r="AZ365" s="33" t="e">
        <f>MATCH('1'!N365,'Dados - Solicitação de acesso'!$N$2:$N$8,0)</f>
        <v>#N/A</v>
      </c>
      <c r="BA365" s="33" t="e">
        <f>MATCH('1'!T365,'Dados - Solicitação de acesso'!$T$2:$T$20,0)</f>
        <v>#N/A</v>
      </c>
    </row>
    <row r="366" spans="1:53" x14ac:dyDescent="0.35">
      <c r="A366" s="33">
        <f>'Dados - Cliente'!A366</f>
        <v>0</v>
      </c>
      <c r="B366" s="33">
        <f>'Dados - Cliente'!B366</f>
        <v>0</v>
      </c>
      <c r="C366" s="33">
        <f>'Dados - Cliente'!C366</f>
        <v>0</v>
      </c>
      <c r="D366" s="33">
        <f>'Dados - Cliente'!D366</f>
        <v>0</v>
      </c>
      <c r="E366" s="33">
        <f>'Dados - Cliente'!E366</f>
        <v>0</v>
      </c>
      <c r="F366" s="33">
        <f>'Dados - Cliente'!F366</f>
        <v>0</v>
      </c>
      <c r="G366" s="33">
        <f>'Dados - Cliente'!G366</f>
        <v>0</v>
      </c>
      <c r="H366" s="33">
        <f>'Dados - Cliente'!H366</f>
        <v>0</v>
      </c>
      <c r="I366" s="75" t="s">
        <v>4313</v>
      </c>
      <c r="J366" s="52" t="s">
        <v>4314</v>
      </c>
      <c r="K366" s="52" t="s">
        <v>4314</v>
      </c>
      <c r="L366" s="33">
        <f>'Dados - Cliente'!I366</f>
        <v>0</v>
      </c>
      <c r="M366" s="33">
        <f>'Dados - Cliente'!K366</f>
        <v>0</v>
      </c>
      <c r="N366" s="33">
        <f>'Dados - Cliente'!L366</f>
        <v>0</v>
      </c>
      <c r="O366" s="33">
        <f>'Dados - Cliente'!M366</f>
        <v>0</v>
      </c>
      <c r="P366" s="33">
        <f>'Dados - Cliente'!N366</f>
        <v>0</v>
      </c>
      <c r="Q366" s="33">
        <f>'Dados - Cliente'!O366</f>
        <v>0</v>
      </c>
      <c r="R366" s="33">
        <f>'Dados - Cliente'!P366</f>
        <v>0</v>
      </c>
      <c r="S366" s="33">
        <f>'Dados - Cliente'!Q366</f>
        <v>0</v>
      </c>
      <c r="T366" s="33">
        <f>'Dados - Cliente'!R366</f>
        <v>0</v>
      </c>
      <c r="U366" s="34">
        <f>'Dados - Cliente'!S366</f>
        <v>0</v>
      </c>
      <c r="V366" s="34">
        <f>'Dados - Cliente'!T366</f>
        <v>0</v>
      </c>
      <c r="W366" s="34">
        <f>'Dados - Cliente'!U366</f>
        <v>0</v>
      </c>
      <c r="X366" s="34">
        <f>'Dados - Cliente'!V366</f>
        <v>0</v>
      </c>
      <c r="Y366" s="34">
        <f>'Dados - Cliente'!W366</f>
        <v>0</v>
      </c>
      <c r="Z366" s="34">
        <f>'Dados - Cliente'!X366</f>
        <v>0</v>
      </c>
      <c r="AA366" s="33" t="e">
        <f t="shared" si="25"/>
        <v>#N/A</v>
      </c>
      <c r="AB366" s="33">
        <f>'Dados - Cliente'!Y366</f>
        <v>0</v>
      </c>
      <c r="AC366" s="33">
        <f>'Dados - Cliente'!Z366</f>
        <v>0</v>
      </c>
      <c r="AD366" s="33">
        <f>'Dados - Cliente'!AA366</f>
        <v>0</v>
      </c>
      <c r="AE366" s="33">
        <f>'Dados - Cliente'!AB366</f>
        <v>0</v>
      </c>
      <c r="AF366" s="33">
        <f>'Dados - Cliente'!AC366</f>
        <v>0</v>
      </c>
      <c r="AG366" s="35">
        <f>'Dados - Cliente'!AD366</f>
        <v>0</v>
      </c>
      <c r="AH366" s="33" t="e">
        <f>INDEX('Dados - Placas'!$A:$A,MATCH('1'!AG366,'Dados - Placas'!$D:$D,0))</f>
        <v>#N/A</v>
      </c>
      <c r="AI366" s="35" t="e">
        <f>INDEX('Dados - Placas'!$E:$E,MATCH('1'!AG366,'Dados - Placas'!$D:$D,0))</f>
        <v>#N/A</v>
      </c>
      <c r="AJ366" s="34" t="e">
        <f>INDEX('Dados - Placas'!$F:$F,MATCH('1'!AG366,'Dados - Placas'!$D:$D,0))*AF366</f>
        <v>#N/A</v>
      </c>
      <c r="AK366" s="33">
        <f>'Dados - Cliente'!AE366</f>
        <v>0</v>
      </c>
      <c r="AL366" s="33">
        <f>'Dados - Cliente'!AF366</f>
        <v>0</v>
      </c>
      <c r="AM366" s="36" t="e">
        <f>INDEX('Dados - Inversores'!$A:$A,MATCH('1'!AL366,'Dados - Inversores'!$C:$C,0))</f>
        <v>#N/A</v>
      </c>
      <c r="AN366" s="33">
        <f>'Dados - Cliente'!AG366</f>
        <v>0</v>
      </c>
      <c r="AO366" s="33" t="e">
        <f>AA366*1.25/(0.22*SQRT(INDEX('Dados - Inversores'!AK:AK,MATCH('1'!AL366,'Dados - Inversores'!C:C,0))))</f>
        <v>#N/A</v>
      </c>
      <c r="AP366" s="34">
        <f>INDEX(Dados!$E$2:$E$33,COUNTIF(Dados!$E$2:$E$33,"&lt;="&amp;AN366*1.25/(INDEX('Dados - Inversores'!AL:AL,MATCH('1'!AL366,'Dados - Inversores'!C:C,0))*SQRT(INDEX('Dados - Inversores'!AK:AK,MATCH('1'!AL366,'Dados - Inversores'!C:C,0)))))+1)</f>
        <v>2</v>
      </c>
      <c r="AQ366" s="33" t="s">
        <v>59</v>
      </c>
      <c r="AR366" s="33" t="str">
        <f t="shared" si="26"/>
        <v>Micro</v>
      </c>
      <c r="AS366" s="33">
        <f>'Dados - Cliente'!AH366</f>
        <v>0</v>
      </c>
      <c r="AT366" s="33">
        <f>'Dados - Cliente'!AI366</f>
        <v>0</v>
      </c>
      <c r="AU366" s="33" t="e">
        <f>INDEX('Dados - Placas'!$N:$N,MATCH('1'!AG366,'Dados - Placas'!$D:$D,0))-1</f>
        <v>#N/A</v>
      </c>
      <c r="AV366" s="33" t="e">
        <f>INDEX('Dados - Placas'!$O:$O,MATCH('1'!AG366,'Dados - Placas'!$D:$D,0))</f>
        <v>#N/A</v>
      </c>
      <c r="AW366" s="33" t="e">
        <f>INDEX('Dados - Inversores'!AM:AM,MATCH('1'!AL366,'Dados - Inversores'!$C:$C,0))-1</f>
        <v>#N/A</v>
      </c>
      <c r="AX366" s="33" t="e">
        <f>INDEX('Dados - Inversores'!AN:AN,MATCH('1'!AL366,'Dados - Inversores'!$C:$C,0))-1</f>
        <v>#N/A</v>
      </c>
      <c r="AY366" s="33" t="e">
        <f>MATCH('1'!H366,Dados!$D$89:$D$167,0)+1</f>
        <v>#N/A</v>
      </c>
      <c r="AZ366" s="33" t="e">
        <f>MATCH('1'!N366,'Dados - Solicitação de acesso'!$N$2:$N$8,0)</f>
        <v>#N/A</v>
      </c>
      <c r="BA366" s="33" t="e">
        <f>MATCH('1'!T366,'Dados - Solicitação de acesso'!$T$2:$T$20,0)</f>
        <v>#N/A</v>
      </c>
    </row>
    <row r="367" spans="1:53" x14ac:dyDescent="0.35">
      <c r="A367" s="33">
        <f>'Dados - Cliente'!A367</f>
        <v>0</v>
      </c>
      <c r="B367" s="33">
        <f>'Dados - Cliente'!B367</f>
        <v>0</v>
      </c>
      <c r="C367" s="33">
        <f>'Dados - Cliente'!C367</f>
        <v>0</v>
      </c>
      <c r="D367" s="33">
        <f>'Dados - Cliente'!D367</f>
        <v>0</v>
      </c>
      <c r="E367" s="33">
        <f>'Dados - Cliente'!E367</f>
        <v>0</v>
      </c>
      <c r="F367" s="33">
        <f>'Dados - Cliente'!F367</f>
        <v>0</v>
      </c>
      <c r="G367" s="33">
        <f>'Dados - Cliente'!G367</f>
        <v>0</v>
      </c>
      <c r="H367" s="33">
        <f>'Dados - Cliente'!H367</f>
        <v>0</v>
      </c>
      <c r="I367" s="75" t="s">
        <v>4313</v>
      </c>
      <c r="J367" s="52" t="s">
        <v>4314</v>
      </c>
      <c r="K367" s="52" t="s">
        <v>4314</v>
      </c>
      <c r="L367" s="33">
        <f>'Dados - Cliente'!I367</f>
        <v>0</v>
      </c>
      <c r="M367" s="33">
        <f>'Dados - Cliente'!K367</f>
        <v>0</v>
      </c>
      <c r="N367" s="33">
        <f>'Dados - Cliente'!L367</f>
        <v>0</v>
      </c>
      <c r="O367" s="33">
        <f>'Dados - Cliente'!M367</f>
        <v>0</v>
      </c>
      <c r="P367" s="33">
        <f>'Dados - Cliente'!N367</f>
        <v>0</v>
      </c>
      <c r="Q367" s="33">
        <f>'Dados - Cliente'!O367</f>
        <v>0</v>
      </c>
      <c r="R367" s="33">
        <f>'Dados - Cliente'!P367</f>
        <v>0</v>
      </c>
      <c r="S367" s="33">
        <f>'Dados - Cliente'!Q367</f>
        <v>0</v>
      </c>
      <c r="T367" s="33">
        <f>'Dados - Cliente'!R367</f>
        <v>0</v>
      </c>
      <c r="U367" s="34">
        <f>'Dados - Cliente'!S367</f>
        <v>0</v>
      </c>
      <c r="V367" s="34">
        <f>'Dados - Cliente'!T367</f>
        <v>0</v>
      </c>
      <c r="W367" s="34">
        <f>'Dados - Cliente'!U367</f>
        <v>0</v>
      </c>
      <c r="X367" s="34">
        <f>'Dados - Cliente'!V367</f>
        <v>0</v>
      </c>
      <c r="Y367" s="34">
        <f>'Dados - Cliente'!W367</f>
        <v>0</v>
      </c>
      <c r="Z367" s="34">
        <f>'Dados - Cliente'!X367</f>
        <v>0</v>
      </c>
      <c r="AA367" s="33" t="e">
        <f t="shared" si="25"/>
        <v>#N/A</v>
      </c>
      <c r="AB367" s="33">
        <f>'Dados - Cliente'!Y367</f>
        <v>0</v>
      </c>
      <c r="AC367" s="33">
        <f>'Dados - Cliente'!Z367</f>
        <v>0</v>
      </c>
      <c r="AD367" s="33">
        <f>'Dados - Cliente'!AA367</f>
        <v>0</v>
      </c>
      <c r="AE367" s="33">
        <f>'Dados - Cliente'!AB367</f>
        <v>0</v>
      </c>
      <c r="AF367" s="33">
        <f>'Dados - Cliente'!AC367</f>
        <v>0</v>
      </c>
      <c r="AG367" s="35">
        <f>'Dados - Cliente'!AD367</f>
        <v>0</v>
      </c>
      <c r="AH367" s="33" t="e">
        <f>INDEX('Dados - Placas'!$A:$A,MATCH('1'!AG367,'Dados - Placas'!$D:$D,0))</f>
        <v>#N/A</v>
      </c>
      <c r="AI367" s="35" t="e">
        <f>INDEX('Dados - Placas'!$E:$E,MATCH('1'!AG367,'Dados - Placas'!$D:$D,0))</f>
        <v>#N/A</v>
      </c>
      <c r="AJ367" s="34" t="e">
        <f>INDEX('Dados - Placas'!$F:$F,MATCH('1'!AG367,'Dados - Placas'!$D:$D,0))*AF367</f>
        <v>#N/A</v>
      </c>
      <c r="AK367" s="33">
        <f>'Dados - Cliente'!AE367</f>
        <v>0</v>
      </c>
      <c r="AL367" s="33">
        <f>'Dados - Cliente'!AF367</f>
        <v>0</v>
      </c>
      <c r="AM367" s="36" t="e">
        <f>INDEX('Dados - Inversores'!$A:$A,MATCH('1'!AL367,'Dados - Inversores'!$C:$C,0))</f>
        <v>#N/A</v>
      </c>
      <c r="AN367" s="33">
        <f>'Dados - Cliente'!AG367</f>
        <v>0</v>
      </c>
      <c r="AO367" s="33" t="e">
        <f>AA367*1.25/(0.22*SQRT(INDEX('Dados - Inversores'!AK:AK,MATCH('1'!AL367,'Dados - Inversores'!C:C,0))))</f>
        <v>#N/A</v>
      </c>
      <c r="AP367" s="34">
        <f>INDEX(Dados!$E$2:$E$33,COUNTIF(Dados!$E$2:$E$33,"&lt;="&amp;AN367*1.25/(INDEX('Dados - Inversores'!AL:AL,MATCH('1'!AL367,'Dados - Inversores'!C:C,0))*SQRT(INDEX('Dados - Inversores'!AK:AK,MATCH('1'!AL367,'Dados - Inversores'!C:C,0)))))+1)</f>
        <v>2</v>
      </c>
      <c r="AQ367" s="33" t="s">
        <v>59</v>
      </c>
      <c r="AR367" s="33" t="str">
        <f t="shared" si="26"/>
        <v>Micro</v>
      </c>
      <c r="AS367" s="33">
        <f>'Dados - Cliente'!AH367</f>
        <v>0</v>
      </c>
      <c r="AT367" s="33">
        <f>'Dados - Cliente'!AI367</f>
        <v>0</v>
      </c>
      <c r="AU367" s="33" t="e">
        <f>INDEX('Dados - Placas'!$N:$N,MATCH('1'!AG367,'Dados - Placas'!$D:$D,0))-1</f>
        <v>#N/A</v>
      </c>
      <c r="AV367" s="33" t="e">
        <f>INDEX('Dados - Placas'!$O:$O,MATCH('1'!AG367,'Dados - Placas'!$D:$D,0))</f>
        <v>#N/A</v>
      </c>
      <c r="AW367" s="33" t="e">
        <f>INDEX('Dados - Inversores'!AM:AM,MATCH('1'!AL367,'Dados - Inversores'!$C:$C,0))-1</f>
        <v>#N/A</v>
      </c>
      <c r="AX367" s="33" t="e">
        <f>INDEX('Dados - Inversores'!AN:AN,MATCH('1'!AL367,'Dados - Inversores'!$C:$C,0))-1</f>
        <v>#N/A</v>
      </c>
      <c r="AY367" s="33" t="e">
        <f>MATCH('1'!H367,Dados!$D$89:$D$167,0)+1</f>
        <v>#N/A</v>
      </c>
      <c r="AZ367" s="33" t="e">
        <f>MATCH('1'!N367,'Dados - Solicitação de acesso'!$N$2:$N$8,0)</f>
        <v>#N/A</v>
      </c>
      <c r="BA367" s="33" t="e">
        <f>MATCH('1'!T367,'Dados - Solicitação de acesso'!$T$2:$T$20,0)</f>
        <v>#N/A</v>
      </c>
    </row>
    <row r="368" spans="1:53" x14ac:dyDescent="0.35">
      <c r="A368" s="33">
        <f>'Dados - Cliente'!A368</f>
        <v>0</v>
      </c>
      <c r="B368" s="33">
        <f>'Dados - Cliente'!B368</f>
        <v>0</v>
      </c>
      <c r="C368" s="33">
        <f>'Dados - Cliente'!C368</f>
        <v>0</v>
      </c>
      <c r="D368" s="33">
        <f>'Dados - Cliente'!D368</f>
        <v>0</v>
      </c>
      <c r="E368" s="33">
        <f>'Dados - Cliente'!E368</f>
        <v>0</v>
      </c>
      <c r="F368" s="33">
        <f>'Dados - Cliente'!F368</f>
        <v>0</v>
      </c>
      <c r="G368" s="33">
        <f>'Dados - Cliente'!G368</f>
        <v>0</v>
      </c>
      <c r="H368" s="33">
        <f>'Dados - Cliente'!H368</f>
        <v>0</v>
      </c>
      <c r="I368" s="75" t="s">
        <v>4313</v>
      </c>
      <c r="J368" s="52" t="s">
        <v>4314</v>
      </c>
      <c r="K368" s="52" t="s">
        <v>4314</v>
      </c>
      <c r="L368" s="33">
        <f>'Dados - Cliente'!I368</f>
        <v>0</v>
      </c>
      <c r="M368" s="33">
        <f>'Dados - Cliente'!K368</f>
        <v>0</v>
      </c>
      <c r="N368" s="33">
        <f>'Dados - Cliente'!L368</f>
        <v>0</v>
      </c>
      <c r="O368" s="33">
        <f>'Dados - Cliente'!M368</f>
        <v>0</v>
      </c>
      <c r="P368" s="33">
        <f>'Dados - Cliente'!N368</f>
        <v>0</v>
      </c>
      <c r="Q368" s="33">
        <f>'Dados - Cliente'!O368</f>
        <v>0</v>
      </c>
      <c r="R368" s="33">
        <f>'Dados - Cliente'!P368</f>
        <v>0</v>
      </c>
      <c r="S368" s="33">
        <f>'Dados - Cliente'!Q368</f>
        <v>0</v>
      </c>
      <c r="T368" s="33">
        <f>'Dados - Cliente'!R368</f>
        <v>0</v>
      </c>
      <c r="U368" s="34">
        <f>'Dados - Cliente'!S368</f>
        <v>0</v>
      </c>
      <c r="V368" s="34">
        <f>'Dados - Cliente'!T368</f>
        <v>0</v>
      </c>
      <c r="W368" s="34">
        <f>'Dados - Cliente'!U368</f>
        <v>0</v>
      </c>
      <c r="X368" s="34">
        <f>'Dados - Cliente'!V368</f>
        <v>0</v>
      </c>
      <c r="Y368" s="34">
        <f>'Dados - Cliente'!W368</f>
        <v>0</v>
      </c>
      <c r="Z368" s="34">
        <f>'Dados - Cliente'!X368</f>
        <v>0</v>
      </c>
      <c r="AA368" s="33" t="e">
        <f t="shared" si="25"/>
        <v>#N/A</v>
      </c>
      <c r="AB368" s="33">
        <f>'Dados - Cliente'!Y368</f>
        <v>0</v>
      </c>
      <c r="AC368" s="33">
        <f>'Dados - Cliente'!Z368</f>
        <v>0</v>
      </c>
      <c r="AD368" s="33">
        <f>'Dados - Cliente'!AA368</f>
        <v>0</v>
      </c>
      <c r="AE368" s="33">
        <f>'Dados - Cliente'!AB368</f>
        <v>0</v>
      </c>
      <c r="AF368" s="33">
        <f>'Dados - Cliente'!AC368</f>
        <v>0</v>
      </c>
      <c r="AG368" s="35">
        <f>'Dados - Cliente'!AD368</f>
        <v>0</v>
      </c>
      <c r="AH368" s="33" t="e">
        <f>INDEX('Dados - Placas'!$A:$A,MATCH('1'!AG368,'Dados - Placas'!$D:$D,0))</f>
        <v>#N/A</v>
      </c>
      <c r="AI368" s="35" t="e">
        <f>INDEX('Dados - Placas'!$E:$E,MATCH('1'!AG368,'Dados - Placas'!$D:$D,0))</f>
        <v>#N/A</v>
      </c>
      <c r="AJ368" s="34" t="e">
        <f>INDEX('Dados - Placas'!$F:$F,MATCH('1'!AG368,'Dados - Placas'!$D:$D,0))*AF368</f>
        <v>#N/A</v>
      </c>
      <c r="AK368" s="33">
        <f>'Dados - Cliente'!AE368</f>
        <v>0</v>
      </c>
      <c r="AL368" s="33">
        <f>'Dados - Cliente'!AF368</f>
        <v>0</v>
      </c>
      <c r="AM368" s="36" t="e">
        <f>INDEX('Dados - Inversores'!$A:$A,MATCH('1'!AL368,'Dados - Inversores'!$C:$C,0))</f>
        <v>#N/A</v>
      </c>
      <c r="AN368" s="33">
        <f>'Dados - Cliente'!AG368</f>
        <v>0</v>
      </c>
      <c r="AO368" s="33" t="e">
        <f>AA368*1.25/(0.22*SQRT(INDEX('Dados - Inversores'!AK:AK,MATCH('1'!AL368,'Dados - Inversores'!C:C,0))))</f>
        <v>#N/A</v>
      </c>
      <c r="AP368" s="34">
        <f>INDEX(Dados!$E$2:$E$33,COUNTIF(Dados!$E$2:$E$33,"&lt;="&amp;AN368*1.25/(INDEX('Dados - Inversores'!AL:AL,MATCH('1'!AL368,'Dados - Inversores'!C:C,0))*SQRT(INDEX('Dados - Inversores'!AK:AK,MATCH('1'!AL368,'Dados - Inversores'!C:C,0)))))+1)</f>
        <v>2</v>
      </c>
      <c r="AQ368" s="33" t="s">
        <v>59</v>
      </c>
      <c r="AR368" s="33" t="str">
        <f t="shared" si="26"/>
        <v>Micro</v>
      </c>
      <c r="AS368" s="33">
        <f>'Dados - Cliente'!AH368</f>
        <v>0</v>
      </c>
      <c r="AT368" s="33">
        <f>'Dados - Cliente'!AI368</f>
        <v>0</v>
      </c>
      <c r="AU368" s="33" t="e">
        <f>INDEX('Dados - Placas'!$N:$N,MATCH('1'!AG368,'Dados - Placas'!$D:$D,0))-1</f>
        <v>#N/A</v>
      </c>
      <c r="AV368" s="33" t="e">
        <f>INDEX('Dados - Placas'!$O:$O,MATCH('1'!AG368,'Dados - Placas'!$D:$D,0))</f>
        <v>#N/A</v>
      </c>
      <c r="AW368" s="33" t="e">
        <f>INDEX('Dados - Inversores'!AM:AM,MATCH('1'!AL368,'Dados - Inversores'!$C:$C,0))-1</f>
        <v>#N/A</v>
      </c>
      <c r="AX368" s="33" t="e">
        <f>INDEX('Dados - Inversores'!AN:AN,MATCH('1'!AL368,'Dados - Inversores'!$C:$C,0))-1</f>
        <v>#N/A</v>
      </c>
      <c r="AY368" s="33" t="e">
        <f>MATCH('1'!H368,Dados!$D$89:$D$167,0)+1</f>
        <v>#N/A</v>
      </c>
      <c r="AZ368" s="33" t="e">
        <f>MATCH('1'!N368,'Dados - Solicitação de acesso'!$N$2:$N$8,0)</f>
        <v>#N/A</v>
      </c>
      <c r="BA368" s="33" t="e">
        <f>MATCH('1'!T368,'Dados - Solicitação de acesso'!$T$2:$T$20,0)</f>
        <v>#N/A</v>
      </c>
    </row>
    <row r="369" spans="1:53" x14ac:dyDescent="0.35">
      <c r="A369" s="33">
        <f>'Dados - Cliente'!A369</f>
        <v>0</v>
      </c>
      <c r="B369" s="33">
        <f>'Dados - Cliente'!B369</f>
        <v>0</v>
      </c>
      <c r="C369" s="33">
        <f>'Dados - Cliente'!C369</f>
        <v>0</v>
      </c>
      <c r="D369" s="33">
        <f>'Dados - Cliente'!D369</f>
        <v>0</v>
      </c>
      <c r="E369" s="33">
        <f>'Dados - Cliente'!E369</f>
        <v>0</v>
      </c>
      <c r="F369" s="33">
        <f>'Dados - Cliente'!F369</f>
        <v>0</v>
      </c>
      <c r="G369" s="33">
        <f>'Dados - Cliente'!G369</f>
        <v>0</v>
      </c>
      <c r="H369" s="33">
        <f>'Dados - Cliente'!H369</f>
        <v>0</v>
      </c>
      <c r="I369" s="75" t="s">
        <v>4313</v>
      </c>
      <c r="J369" s="52" t="s">
        <v>4314</v>
      </c>
      <c r="K369" s="52" t="s">
        <v>4314</v>
      </c>
      <c r="L369" s="33">
        <f>'Dados - Cliente'!I369</f>
        <v>0</v>
      </c>
      <c r="M369" s="33">
        <f>'Dados - Cliente'!K369</f>
        <v>0</v>
      </c>
      <c r="N369" s="33">
        <f>'Dados - Cliente'!L369</f>
        <v>0</v>
      </c>
      <c r="O369" s="33">
        <f>'Dados - Cliente'!M369</f>
        <v>0</v>
      </c>
      <c r="P369" s="33">
        <f>'Dados - Cliente'!N369</f>
        <v>0</v>
      </c>
      <c r="Q369" s="33">
        <f>'Dados - Cliente'!O369</f>
        <v>0</v>
      </c>
      <c r="R369" s="33">
        <f>'Dados - Cliente'!P369</f>
        <v>0</v>
      </c>
      <c r="S369" s="33">
        <f>'Dados - Cliente'!Q369</f>
        <v>0</v>
      </c>
      <c r="T369" s="33">
        <f>'Dados - Cliente'!R369</f>
        <v>0</v>
      </c>
      <c r="U369" s="34">
        <f>'Dados - Cliente'!S369</f>
        <v>0</v>
      </c>
      <c r="V369" s="34">
        <f>'Dados - Cliente'!T369</f>
        <v>0</v>
      </c>
      <c r="W369" s="34">
        <f>'Dados - Cliente'!U369</f>
        <v>0</v>
      </c>
      <c r="X369" s="34">
        <f>'Dados - Cliente'!V369</f>
        <v>0</v>
      </c>
      <c r="Y369" s="34">
        <f>'Dados - Cliente'!W369</f>
        <v>0</v>
      </c>
      <c r="Z369" s="34">
        <f>'Dados - Cliente'!X369</f>
        <v>0</v>
      </c>
      <c r="AA369" s="33" t="e">
        <f t="shared" si="25"/>
        <v>#N/A</v>
      </c>
      <c r="AB369" s="33">
        <f>'Dados - Cliente'!Y369</f>
        <v>0</v>
      </c>
      <c r="AC369" s="33">
        <f>'Dados - Cliente'!Z369</f>
        <v>0</v>
      </c>
      <c r="AD369" s="33">
        <f>'Dados - Cliente'!AA369</f>
        <v>0</v>
      </c>
      <c r="AE369" s="33">
        <f>'Dados - Cliente'!AB369</f>
        <v>0</v>
      </c>
      <c r="AF369" s="33">
        <f>'Dados - Cliente'!AC369</f>
        <v>0</v>
      </c>
      <c r="AG369" s="35">
        <f>'Dados - Cliente'!AD369</f>
        <v>0</v>
      </c>
      <c r="AH369" s="33" t="e">
        <f>INDEX('Dados - Placas'!$A:$A,MATCH('1'!AG369,'Dados - Placas'!$D:$D,0))</f>
        <v>#N/A</v>
      </c>
      <c r="AI369" s="35" t="e">
        <f>INDEX('Dados - Placas'!$E:$E,MATCH('1'!AG369,'Dados - Placas'!$D:$D,0))</f>
        <v>#N/A</v>
      </c>
      <c r="AJ369" s="34" t="e">
        <f>INDEX('Dados - Placas'!$F:$F,MATCH('1'!AG369,'Dados - Placas'!$D:$D,0))*AF369</f>
        <v>#N/A</v>
      </c>
      <c r="AK369" s="33">
        <f>'Dados - Cliente'!AE369</f>
        <v>0</v>
      </c>
      <c r="AL369" s="33">
        <f>'Dados - Cliente'!AF369</f>
        <v>0</v>
      </c>
      <c r="AM369" s="36" t="e">
        <f>INDEX('Dados - Inversores'!$A:$A,MATCH('1'!AL369,'Dados - Inversores'!$C:$C,0))</f>
        <v>#N/A</v>
      </c>
      <c r="AN369" s="33">
        <f>'Dados - Cliente'!AG369</f>
        <v>0</v>
      </c>
      <c r="AO369" s="33" t="e">
        <f>AA369*1.25/(0.22*SQRT(INDEX('Dados - Inversores'!AK:AK,MATCH('1'!AL369,'Dados - Inversores'!C:C,0))))</f>
        <v>#N/A</v>
      </c>
      <c r="AP369" s="34">
        <f>INDEX(Dados!$E$2:$E$33,COUNTIF(Dados!$E$2:$E$33,"&lt;="&amp;AN369*1.25/(INDEX('Dados - Inversores'!AL:AL,MATCH('1'!AL369,'Dados - Inversores'!C:C,0))*SQRT(INDEX('Dados - Inversores'!AK:AK,MATCH('1'!AL369,'Dados - Inversores'!C:C,0)))))+1)</f>
        <v>2</v>
      </c>
      <c r="AQ369" s="33" t="s">
        <v>59</v>
      </c>
      <c r="AR369" s="33" t="str">
        <f t="shared" si="26"/>
        <v>Micro</v>
      </c>
      <c r="AS369" s="33">
        <f>'Dados - Cliente'!AH369</f>
        <v>0</v>
      </c>
      <c r="AT369" s="33">
        <f>'Dados - Cliente'!AI369</f>
        <v>0</v>
      </c>
      <c r="AU369" s="33" t="e">
        <f>INDEX('Dados - Placas'!$N:$N,MATCH('1'!AG369,'Dados - Placas'!$D:$D,0))-1</f>
        <v>#N/A</v>
      </c>
      <c r="AV369" s="33" t="e">
        <f>INDEX('Dados - Placas'!$O:$O,MATCH('1'!AG369,'Dados - Placas'!$D:$D,0))</f>
        <v>#N/A</v>
      </c>
      <c r="AW369" s="33" t="e">
        <f>INDEX('Dados - Inversores'!AM:AM,MATCH('1'!AL369,'Dados - Inversores'!$C:$C,0))-1</f>
        <v>#N/A</v>
      </c>
      <c r="AX369" s="33" t="e">
        <f>INDEX('Dados - Inversores'!AN:AN,MATCH('1'!AL369,'Dados - Inversores'!$C:$C,0))-1</f>
        <v>#N/A</v>
      </c>
      <c r="AY369" s="33" t="e">
        <f>MATCH('1'!H369,Dados!$D$89:$D$167,0)+1</f>
        <v>#N/A</v>
      </c>
      <c r="AZ369" s="33" t="e">
        <f>MATCH('1'!N369,'Dados - Solicitação de acesso'!$N$2:$N$8,0)</f>
        <v>#N/A</v>
      </c>
      <c r="BA369" s="33" t="e">
        <f>MATCH('1'!T369,'Dados - Solicitação de acesso'!$T$2:$T$20,0)</f>
        <v>#N/A</v>
      </c>
    </row>
    <row r="370" spans="1:53" x14ac:dyDescent="0.35">
      <c r="A370" s="33">
        <f>'Dados - Cliente'!A370</f>
        <v>0</v>
      </c>
      <c r="B370" s="33">
        <f>'Dados - Cliente'!B370</f>
        <v>0</v>
      </c>
      <c r="C370" s="33">
        <f>'Dados - Cliente'!C370</f>
        <v>0</v>
      </c>
      <c r="D370" s="33">
        <f>'Dados - Cliente'!D370</f>
        <v>0</v>
      </c>
      <c r="E370" s="33">
        <f>'Dados - Cliente'!E370</f>
        <v>0</v>
      </c>
      <c r="F370" s="33">
        <f>'Dados - Cliente'!F370</f>
        <v>0</v>
      </c>
      <c r="G370" s="33">
        <f>'Dados - Cliente'!G370</f>
        <v>0</v>
      </c>
      <c r="H370" s="33">
        <f>'Dados - Cliente'!H370</f>
        <v>0</v>
      </c>
      <c r="I370" s="75" t="s">
        <v>4313</v>
      </c>
      <c r="J370" s="52" t="s">
        <v>4314</v>
      </c>
      <c r="K370" s="52" t="s">
        <v>4314</v>
      </c>
      <c r="L370" s="33">
        <f>'Dados - Cliente'!I370</f>
        <v>0</v>
      </c>
      <c r="M370" s="33">
        <f>'Dados - Cliente'!K370</f>
        <v>0</v>
      </c>
      <c r="N370" s="33">
        <f>'Dados - Cliente'!L370</f>
        <v>0</v>
      </c>
      <c r="O370" s="33">
        <f>'Dados - Cliente'!M370</f>
        <v>0</v>
      </c>
      <c r="P370" s="33">
        <f>'Dados - Cliente'!N370</f>
        <v>0</v>
      </c>
      <c r="Q370" s="33">
        <f>'Dados - Cliente'!O370</f>
        <v>0</v>
      </c>
      <c r="R370" s="33">
        <f>'Dados - Cliente'!P370</f>
        <v>0</v>
      </c>
      <c r="S370" s="33">
        <f>'Dados - Cliente'!Q370</f>
        <v>0</v>
      </c>
      <c r="T370" s="33">
        <f>'Dados - Cliente'!R370</f>
        <v>0</v>
      </c>
      <c r="U370" s="34">
        <f>'Dados - Cliente'!S370</f>
        <v>0</v>
      </c>
      <c r="V370" s="34">
        <f>'Dados - Cliente'!T370</f>
        <v>0</v>
      </c>
      <c r="W370" s="34">
        <f>'Dados - Cliente'!U370</f>
        <v>0</v>
      </c>
      <c r="X370" s="34">
        <f>'Dados - Cliente'!V370</f>
        <v>0</v>
      </c>
      <c r="Y370" s="34">
        <f>'Dados - Cliente'!W370</f>
        <v>0</v>
      </c>
      <c r="Z370" s="34">
        <f>'Dados - Cliente'!X370</f>
        <v>0</v>
      </c>
      <c r="AA370" s="33" t="e">
        <f t="shared" si="25"/>
        <v>#N/A</v>
      </c>
      <c r="AB370" s="33">
        <f>'Dados - Cliente'!Y370</f>
        <v>0</v>
      </c>
      <c r="AC370" s="33">
        <f>'Dados - Cliente'!Z370</f>
        <v>0</v>
      </c>
      <c r="AD370" s="33">
        <f>'Dados - Cliente'!AA370</f>
        <v>0</v>
      </c>
      <c r="AE370" s="33">
        <f>'Dados - Cliente'!AB370</f>
        <v>0</v>
      </c>
      <c r="AF370" s="33">
        <f>'Dados - Cliente'!AC370</f>
        <v>0</v>
      </c>
      <c r="AG370" s="35">
        <f>'Dados - Cliente'!AD370</f>
        <v>0</v>
      </c>
      <c r="AH370" s="33" t="e">
        <f>INDEX('Dados - Placas'!$A:$A,MATCH('1'!AG370,'Dados - Placas'!$D:$D,0))</f>
        <v>#N/A</v>
      </c>
      <c r="AI370" s="35" t="e">
        <f>INDEX('Dados - Placas'!$E:$E,MATCH('1'!AG370,'Dados - Placas'!$D:$D,0))</f>
        <v>#N/A</v>
      </c>
      <c r="AJ370" s="34" t="e">
        <f>INDEX('Dados - Placas'!$F:$F,MATCH('1'!AG370,'Dados - Placas'!$D:$D,0))*AF370</f>
        <v>#N/A</v>
      </c>
      <c r="AK370" s="33">
        <f>'Dados - Cliente'!AE370</f>
        <v>0</v>
      </c>
      <c r="AL370" s="33">
        <f>'Dados - Cliente'!AF370</f>
        <v>0</v>
      </c>
      <c r="AM370" s="36" t="e">
        <f>INDEX('Dados - Inversores'!$A:$A,MATCH('1'!AL370,'Dados - Inversores'!$C:$C,0))</f>
        <v>#N/A</v>
      </c>
      <c r="AN370" s="33">
        <f>'Dados - Cliente'!AG370</f>
        <v>0</v>
      </c>
      <c r="AO370" s="33" t="e">
        <f>AA370*1.25/(0.22*SQRT(INDEX('Dados - Inversores'!AK:AK,MATCH('1'!AL370,'Dados - Inversores'!C:C,0))))</f>
        <v>#N/A</v>
      </c>
      <c r="AP370" s="34">
        <f>INDEX(Dados!$E$2:$E$33,COUNTIF(Dados!$E$2:$E$33,"&lt;="&amp;AN370*1.25/(INDEX('Dados - Inversores'!AL:AL,MATCH('1'!AL370,'Dados - Inversores'!C:C,0))*SQRT(INDEX('Dados - Inversores'!AK:AK,MATCH('1'!AL370,'Dados - Inversores'!C:C,0)))))+1)</f>
        <v>2</v>
      </c>
      <c r="AQ370" s="33" t="s">
        <v>59</v>
      </c>
      <c r="AR370" s="33" t="str">
        <f t="shared" si="26"/>
        <v>Micro</v>
      </c>
      <c r="AS370" s="33">
        <f>'Dados - Cliente'!AH370</f>
        <v>0</v>
      </c>
      <c r="AT370" s="33">
        <f>'Dados - Cliente'!AI370</f>
        <v>0</v>
      </c>
      <c r="AU370" s="33" t="e">
        <f>INDEX('Dados - Placas'!$N:$N,MATCH('1'!AG370,'Dados - Placas'!$D:$D,0))-1</f>
        <v>#N/A</v>
      </c>
      <c r="AV370" s="33" t="e">
        <f>INDEX('Dados - Placas'!$O:$O,MATCH('1'!AG370,'Dados - Placas'!$D:$D,0))</f>
        <v>#N/A</v>
      </c>
      <c r="AW370" s="33" t="e">
        <f>INDEX('Dados - Inversores'!AM:AM,MATCH('1'!AL370,'Dados - Inversores'!$C:$C,0))-1</f>
        <v>#N/A</v>
      </c>
      <c r="AX370" s="33" t="e">
        <f>INDEX('Dados - Inversores'!AN:AN,MATCH('1'!AL370,'Dados - Inversores'!$C:$C,0))-1</f>
        <v>#N/A</v>
      </c>
      <c r="AY370" s="33" t="e">
        <f>MATCH('1'!H370,Dados!$D$89:$D$167,0)+1</f>
        <v>#N/A</v>
      </c>
      <c r="AZ370" s="33" t="e">
        <f>MATCH('1'!N370,'Dados - Solicitação de acesso'!$N$2:$N$8,0)</f>
        <v>#N/A</v>
      </c>
      <c r="BA370" s="33" t="e">
        <f>MATCH('1'!T370,'Dados - Solicitação de acesso'!$T$2:$T$20,0)</f>
        <v>#N/A</v>
      </c>
    </row>
    <row r="371" spans="1:53" x14ac:dyDescent="0.35">
      <c r="A371" s="33">
        <f>'Dados - Cliente'!A371</f>
        <v>0</v>
      </c>
      <c r="B371" s="33">
        <f>'Dados - Cliente'!B371</f>
        <v>0</v>
      </c>
      <c r="C371" s="33">
        <f>'Dados - Cliente'!C371</f>
        <v>0</v>
      </c>
      <c r="D371" s="33">
        <f>'Dados - Cliente'!D371</f>
        <v>0</v>
      </c>
      <c r="E371" s="33">
        <f>'Dados - Cliente'!E371</f>
        <v>0</v>
      </c>
      <c r="F371" s="33">
        <f>'Dados - Cliente'!F371</f>
        <v>0</v>
      </c>
      <c r="G371" s="33">
        <f>'Dados - Cliente'!G371</f>
        <v>0</v>
      </c>
      <c r="H371" s="33">
        <f>'Dados - Cliente'!H371</f>
        <v>0</v>
      </c>
      <c r="I371" s="75" t="s">
        <v>4313</v>
      </c>
      <c r="J371" s="52" t="s">
        <v>4314</v>
      </c>
      <c r="K371" s="52" t="s">
        <v>4314</v>
      </c>
      <c r="L371" s="33">
        <f>'Dados - Cliente'!I371</f>
        <v>0</v>
      </c>
      <c r="M371" s="33">
        <f>'Dados - Cliente'!K371</f>
        <v>0</v>
      </c>
      <c r="N371" s="33">
        <f>'Dados - Cliente'!L371</f>
        <v>0</v>
      </c>
      <c r="O371" s="33">
        <f>'Dados - Cliente'!M371</f>
        <v>0</v>
      </c>
      <c r="P371" s="33">
        <f>'Dados - Cliente'!N371</f>
        <v>0</v>
      </c>
      <c r="Q371" s="33">
        <f>'Dados - Cliente'!O371</f>
        <v>0</v>
      </c>
      <c r="R371" s="33">
        <f>'Dados - Cliente'!P371</f>
        <v>0</v>
      </c>
      <c r="S371" s="33">
        <f>'Dados - Cliente'!Q371</f>
        <v>0</v>
      </c>
      <c r="T371" s="33">
        <f>'Dados - Cliente'!R371</f>
        <v>0</v>
      </c>
      <c r="U371" s="34">
        <f>'Dados - Cliente'!S371</f>
        <v>0</v>
      </c>
      <c r="V371" s="34">
        <f>'Dados - Cliente'!T371</f>
        <v>0</v>
      </c>
      <c r="W371" s="34">
        <f>'Dados - Cliente'!U371</f>
        <v>0</v>
      </c>
      <c r="X371" s="34">
        <f>'Dados - Cliente'!V371</f>
        <v>0</v>
      </c>
      <c r="Y371" s="34">
        <f>'Dados - Cliente'!W371</f>
        <v>0</v>
      </c>
      <c r="Z371" s="34">
        <f>'Dados - Cliente'!X371</f>
        <v>0</v>
      </c>
      <c r="AA371" s="33" t="e">
        <f t="shared" ref="AA371:AA434" si="27">AI371*AF371</f>
        <v>#N/A</v>
      </c>
      <c r="AB371" s="33">
        <f>'Dados - Cliente'!Y371</f>
        <v>0</v>
      </c>
      <c r="AC371" s="33">
        <f>'Dados - Cliente'!Z371</f>
        <v>0</v>
      </c>
      <c r="AD371" s="33">
        <f>'Dados - Cliente'!AA371</f>
        <v>0</v>
      </c>
      <c r="AE371" s="33">
        <f>'Dados - Cliente'!AB371</f>
        <v>0</v>
      </c>
      <c r="AF371" s="33">
        <f>'Dados - Cliente'!AC371</f>
        <v>0</v>
      </c>
      <c r="AG371" s="35">
        <f>'Dados - Cliente'!AD371</f>
        <v>0</v>
      </c>
      <c r="AH371" s="33" t="e">
        <f>INDEX('Dados - Placas'!$A:$A,MATCH('1'!AG371,'Dados - Placas'!$D:$D,0))</f>
        <v>#N/A</v>
      </c>
      <c r="AI371" s="35" t="e">
        <f>INDEX('Dados - Placas'!$E:$E,MATCH('1'!AG371,'Dados - Placas'!$D:$D,0))</f>
        <v>#N/A</v>
      </c>
      <c r="AJ371" s="34" t="e">
        <f>INDEX('Dados - Placas'!$F:$F,MATCH('1'!AG371,'Dados - Placas'!$D:$D,0))*AF371</f>
        <v>#N/A</v>
      </c>
      <c r="AK371" s="33">
        <f>'Dados - Cliente'!AE371</f>
        <v>0</v>
      </c>
      <c r="AL371" s="33">
        <f>'Dados - Cliente'!AF371</f>
        <v>0</v>
      </c>
      <c r="AM371" s="36" t="e">
        <f>INDEX('Dados - Inversores'!$A:$A,MATCH('1'!AL371,'Dados - Inversores'!$C:$C,0))</f>
        <v>#N/A</v>
      </c>
      <c r="AN371" s="33">
        <f>'Dados - Cliente'!AG371</f>
        <v>0</v>
      </c>
      <c r="AO371" s="33" t="e">
        <f>AA371*1.25/(0.22*SQRT(INDEX('Dados - Inversores'!AK:AK,MATCH('1'!AL371,'Dados - Inversores'!C:C,0))))</f>
        <v>#N/A</v>
      </c>
      <c r="AP371" s="34">
        <f>INDEX(Dados!$E$2:$E$33,COUNTIF(Dados!$E$2:$E$33,"&lt;="&amp;AN371*1.25/(INDEX('Dados - Inversores'!AL:AL,MATCH('1'!AL371,'Dados - Inversores'!C:C,0))*SQRT(INDEX('Dados - Inversores'!AK:AK,MATCH('1'!AL371,'Dados - Inversores'!C:C,0)))))+1)</f>
        <v>2</v>
      </c>
      <c r="AQ371" s="33" t="s">
        <v>59</v>
      </c>
      <c r="AR371" s="33" t="str">
        <f t="shared" ref="AR371:AR434" si="28">IF((AN371*AK371)&gt;10,"Mini","Micro")</f>
        <v>Micro</v>
      </c>
      <c r="AS371" s="33">
        <f>'Dados - Cliente'!AH371</f>
        <v>0</v>
      </c>
      <c r="AT371" s="33">
        <f>'Dados - Cliente'!AI371</f>
        <v>0</v>
      </c>
      <c r="AU371" s="33" t="e">
        <f>INDEX('Dados - Placas'!$N:$N,MATCH('1'!AG371,'Dados - Placas'!$D:$D,0))-1</f>
        <v>#N/A</v>
      </c>
      <c r="AV371" s="33" t="e">
        <f>INDEX('Dados - Placas'!$O:$O,MATCH('1'!AG371,'Dados - Placas'!$D:$D,0))</f>
        <v>#N/A</v>
      </c>
      <c r="AW371" s="33" t="e">
        <f>INDEX('Dados - Inversores'!AM:AM,MATCH('1'!AL371,'Dados - Inversores'!$C:$C,0))-1</f>
        <v>#N/A</v>
      </c>
      <c r="AX371" s="33" t="e">
        <f>INDEX('Dados - Inversores'!AN:AN,MATCH('1'!AL371,'Dados - Inversores'!$C:$C,0))-1</f>
        <v>#N/A</v>
      </c>
      <c r="AY371" s="33" t="e">
        <f>MATCH('1'!H371,Dados!$D$89:$D$167,0)+1</f>
        <v>#N/A</v>
      </c>
      <c r="AZ371" s="33" t="e">
        <f>MATCH('1'!N371,'Dados - Solicitação de acesso'!$N$2:$N$8,0)</f>
        <v>#N/A</v>
      </c>
      <c r="BA371" s="33" t="e">
        <f>MATCH('1'!T371,'Dados - Solicitação de acesso'!$T$2:$T$20,0)</f>
        <v>#N/A</v>
      </c>
    </row>
    <row r="372" spans="1:53" x14ac:dyDescent="0.35">
      <c r="A372" s="33">
        <f>'Dados - Cliente'!A372</f>
        <v>0</v>
      </c>
      <c r="B372" s="33">
        <f>'Dados - Cliente'!B372</f>
        <v>0</v>
      </c>
      <c r="C372" s="33">
        <f>'Dados - Cliente'!C372</f>
        <v>0</v>
      </c>
      <c r="D372" s="33">
        <f>'Dados - Cliente'!D372</f>
        <v>0</v>
      </c>
      <c r="E372" s="33">
        <f>'Dados - Cliente'!E372</f>
        <v>0</v>
      </c>
      <c r="F372" s="33">
        <f>'Dados - Cliente'!F372</f>
        <v>0</v>
      </c>
      <c r="G372" s="33">
        <f>'Dados - Cliente'!G372</f>
        <v>0</v>
      </c>
      <c r="H372" s="33">
        <f>'Dados - Cliente'!H372</f>
        <v>0</v>
      </c>
      <c r="I372" s="75" t="s">
        <v>4313</v>
      </c>
      <c r="J372" s="52" t="s">
        <v>4314</v>
      </c>
      <c r="K372" s="52" t="s">
        <v>4314</v>
      </c>
      <c r="L372" s="33">
        <f>'Dados - Cliente'!I372</f>
        <v>0</v>
      </c>
      <c r="M372" s="33">
        <f>'Dados - Cliente'!K372</f>
        <v>0</v>
      </c>
      <c r="N372" s="33">
        <f>'Dados - Cliente'!L372</f>
        <v>0</v>
      </c>
      <c r="O372" s="33">
        <f>'Dados - Cliente'!M372</f>
        <v>0</v>
      </c>
      <c r="P372" s="33">
        <f>'Dados - Cliente'!N372</f>
        <v>0</v>
      </c>
      <c r="Q372" s="33">
        <f>'Dados - Cliente'!O372</f>
        <v>0</v>
      </c>
      <c r="R372" s="33">
        <f>'Dados - Cliente'!P372</f>
        <v>0</v>
      </c>
      <c r="S372" s="33">
        <f>'Dados - Cliente'!Q372</f>
        <v>0</v>
      </c>
      <c r="T372" s="33">
        <f>'Dados - Cliente'!R372</f>
        <v>0</v>
      </c>
      <c r="U372" s="34">
        <f>'Dados - Cliente'!S372</f>
        <v>0</v>
      </c>
      <c r="V372" s="34">
        <f>'Dados - Cliente'!T372</f>
        <v>0</v>
      </c>
      <c r="W372" s="34">
        <f>'Dados - Cliente'!U372</f>
        <v>0</v>
      </c>
      <c r="X372" s="34">
        <f>'Dados - Cliente'!V372</f>
        <v>0</v>
      </c>
      <c r="Y372" s="34">
        <f>'Dados - Cliente'!W372</f>
        <v>0</v>
      </c>
      <c r="Z372" s="34">
        <f>'Dados - Cliente'!X372</f>
        <v>0</v>
      </c>
      <c r="AA372" s="33" t="e">
        <f t="shared" si="27"/>
        <v>#N/A</v>
      </c>
      <c r="AB372" s="33">
        <f>'Dados - Cliente'!Y372</f>
        <v>0</v>
      </c>
      <c r="AC372" s="33">
        <f>'Dados - Cliente'!Z372</f>
        <v>0</v>
      </c>
      <c r="AD372" s="33">
        <f>'Dados - Cliente'!AA372</f>
        <v>0</v>
      </c>
      <c r="AE372" s="33">
        <f>'Dados - Cliente'!AB372</f>
        <v>0</v>
      </c>
      <c r="AF372" s="33">
        <f>'Dados - Cliente'!AC372</f>
        <v>0</v>
      </c>
      <c r="AG372" s="35">
        <f>'Dados - Cliente'!AD372</f>
        <v>0</v>
      </c>
      <c r="AH372" s="33" t="e">
        <f>INDEX('Dados - Placas'!$A:$A,MATCH('1'!AG372,'Dados - Placas'!$D:$D,0))</f>
        <v>#N/A</v>
      </c>
      <c r="AI372" s="35" t="e">
        <f>INDEX('Dados - Placas'!$E:$E,MATCH('1'!AG372,'Dados - Placas'!$D:$D,0))</f>
        <v>#N/A</v>
      </c>
      <c r="AJ372" s="34" t="e">
        <f>INDEX('Dados - Placas'!$F:$F,MATCH('1'!AG372,'Dados - Placas'!$D:$D,0))*AF372</f>
        <v>#N/A</v>
      </c>
      <c r="AK372" s="33">
        <f>'Dados - Cliente'!AE372</f>
        <v>0</v>
      </c>
      <c r="AL372" s="33">
        <f>'Dados - Cliente'!AF372</f>
        <v>0</v>
      </c>
      <c r="AM372" s="36" t="e">
        <f>INDEX('Dados - Inversores'!$A:$A,MATCH('1'!AL372,'Dados - Inversores'!$C:$C,0))</f>
        <v>#N/A</v>
      </c>
      <c r="AN372" s="33">
        <f>'Dados - Cliente'!AG372</f>
        <v>0</v>
      </c>
      <c r="AO372" s="33" t="e">
        <f>AA372*1.25/(0.22*SQRT(INDEX('Dados - Inversores'!AK:AK,MATCH('1'!AL372,'Dados - Inversores'!C:C,0))))</f>
        <v>#N/A</v>
      </c>
      <c r="AP372" s="34">
        <f>INDEX(Dados!$E$2:$E$33,COUNTIF(Dados!$E$2:$E$33,"&lt;="&amp;AN372*1.25/(INDEX('Dados - Inversores'!AL:AL,MATCH('1'!AL372,'Dados - Inversores'!C:C,0))*SQRT(INDEX('Dados - Inversores'!AK:AK,MATCH('1'!AL372,'Dados - Inversores'!C:C,0)))))+1)</f>
        <v>2</v>
      </c>
      <c r="AQ372" s="33" t="s">
        <v>59</v>
      </c>
      <c r="AR372" s="33" t="str">
        <f t="shared" si="28"/>
        <v>Micro</v>
      </c>
      <c r="AS372" s="33">
        <f>'Dados - Cliente'!AH372</f>
        <v>0</v>
      </c>
      <c r="AT372" s="33">
        <f>'Dados - Cliente'!AI372</f>
        <v>0</v>
      </c>
      <c r="AU372" s="33" t="e">
        <f>INDEX('Dados - Placas'!$N:$N,MATCH('1'!AG372,'Dados - Placas'!$D:$D,0))-1</f>
        <v>#N/A</v>
      </c>
      <c r="AV372" s="33" t="e">
        <f>INDEX('Dados - Placas'!$O:$O,MATCH('1'!AG372,'Dados - Placas'!$D:$D,0))</f>
        <v>#N/A</v>
      </c>
      <c r="AW372" s="33" t="e">
        <f>INDEX('Dados - Inversores'!AM:AM,MATCH('1'!AL372,'Dados - Inversores'!$C:$C,0))-1</f>
        <v>#N/A</v>
      </c>
      <c r="AX372" s="33" t="e">
        <f>INDEX('Dados - Inversores'!AN:AN,MATCH('1'!AL372,'Dados - Inversores'!$C:$C,0))-1</f>
        <v>#N/A</v>
      </c>
      <c r="AY372" s="33" t="e">
        <f>MATCH('1'!H372,Dados!$D$89:$D$167,0)+1</f>
        <v>#N/A</v>
      </c>
      <c r="AZ372" s="33" t="e">
        <f>MATCH('1'!N372,'Dados - Solicitação de acesso'!$N$2:$N$8,0)</f>
        <v>#N/A</v>
      </c>
      <c r="BA372" s="33" t="e">
        <f>MATCH('1'!T372,'Dados - Solicitação de acesso'!$T$2:$T$20,0)</f>
        <v>#N/A</v>
      </c>
    </row>
    <row r="373" spans="1:53" x14ac:dyDescent="0.35">
      <c r="A373" s="33">
        <f>'Dados - Cliente'!A373</f>
        <v>0</v>
      </c>
      <c r="B373" s="33">
        <f>'Dados - Cliente'!B373</f>
        <v>0</v>
      </c>
      <c r="C373" s="33">
        <f>'Dados - Cliente'!C373</f>
        <v>0</v>
      </c>
      <c r="D373" s="33">
        <f>'Dados - Cliente'!D373</f>
        <v>0</v>
      </c>
      <c r="E373" s="33">
        <f>'Dados - Cliente'!E373</f>
        <v>0</v>
      </c>
      <c r="F373" s="33">
        <f>'Dados - Cliente'!F373</f>
        <v>0</v>
      </c>
      <c r="G373" s="33">
        <f>'Dados - Cliente'!G373</f>
        <v>0</v>
      </c>
      <c r="H373" s="33">
        <f>'Dados - Cliente'!H373</f>
        <v>0</v>
      </c>
      <c r="I373" s="75" t="s">
        <v>4313</v>
      </c>
      <c r="J373" s="52" t="s">
        <v>4314</v>
      </c>
      <c r="K373" s="52" t="s">
        <v>4314</v>
      </c>
      <c r="L373" s="33">
        <f>'Dados - Cliente'!I373</f>
        <v>0</v>
      </c>
      <c r="M373" s="33">
        <f>'Dados - Cliente'!K373</f>
        <v>0</v>
      </c>
      <c r="N373" s="33">
        <f>'Dados - Cliente'!L373</f>
        <v>0</v>
      </c>
      <c r="O373" s="33">
        <f>'Dados - Cliente'!M373</f>
        <v>0</v>
      </c>
      <c r="P373" s="33">
        <f>'Dados - Cliente'!N373</f>
        <v>0</v>
      </c>
      <c r="Q373" s="33">
        <f>'Dados - Cliente'!O373</f>
        <v>0</v>
      </c>
      <c r="R373" s="33">
        <f>'Dados - Cliente'!P373</f>
        <v>0</v>
      </c>
      <c r="S373" s="33">
        <f>'Dados - Cliente'!Q373</f>
        <v>0</v>
      </c>
      <c r="T373" s="33">
        <f>'Dados - Cliente'!R373</f>
        <v>0</v>
      </c>
      <c r="U373" s="34">
        <f>'Dados - Cliente'!S373</f>
        <v>0</v>
      </c>
      <c r="V373" s="34">
        <f>'Dados - Cliente'!T373</f>
        <v>0</v>
      </c>
      <c r="W373" s="34">
        <f>'Dados - Cliente'!U373</f>
        <v>0</v>
      </c>
      <c r="X373" s="34">
        <f>'Dados - Cliente'!V373</f>
        <v>0</v>
      </c>
      <c r="Y373" s="34">
        <f>'Dados - Cliente'!W373</f>
        <v>0</v>
      </c>
      <c r="Z373" s="34">
        <f>'Dados - Cliente'!X373</f>
        <v>0</v>
      </c>
      <c r="AA373" s="33" t="e">
        <f t="shared" si="27"/>
        <v>#N/A</v>
      </c>
      <c r="AB373" s="33">
        <f>'Dados - Cliente'!Y373</f>
        <v>0</v>
      </c>
      <c r="AC373" s="33">
        <f>'Dados - Cliente'!Z373</f>
        <v>0</v>
      </c>
      <c r="AD373" s="33">
        <f>'Dados - Cliente'!AA373</f>
        <v>0</v>
      </c>
      <c r="AE373" s="33">
        <f>'Dados - Cliente'!AB373</f>
        <v>0</v>
      </c>
      <c r="AF373" s="33">
        <f>'Dados - Cliente'!AC373</f>
        <v>0</v>
      </c>
      <c r="AG373" s="35">
        <f>'Dados - Cliente'!AD373</f>
        <v>0</v>
      </c>
      <c r="AH373" s="33" t="e">
        <f>INDEX('Dados - Placas'!$A:$A,MATCH('1'!AG373,'Dados - Placas'!$D:$D,0))</f>
        <v>#N/A</v>
      </c>
      <c r="AI373" s="35" t="e">
        <f>INDEX('Dados - Placas'!$E:$E,MATCH('1'!AG373,'Dados - Placas'!$D:$D,0))</f>
        <v>#N/A</v>
      </c>
      <c r="AJ373" s="34" t="e">
        <f>INDEX('Dados - Placas'!$F:$F,MATCH('1'!AG373,'Dados - Placas'!$D:$D,0))*AF373</f>
        <v>#N/A</v>
      </c>
      <c r="AK373" s="33">
        <f>'Dados - Cliente'!AE373</f>
        <v>0</v>
      </c>
      <c r="AL373" s="33">
        <f>'Dados - Cliente'!AF373</f>
        <v>0</v>
      </c>
      <c r="AM373" s="36" t="e">
        <f>INDEX('Dados - Inversores'!$A:$A,MATCH('1'!AL373,'Dados - Inversores'!$C:$C,0))</f>
        <v>#N/A</v>
      </c>
      <c r="AN373" s="33">
        <f>'Dados - Cliente'!AG373</f>
        <v>0</v>
      </c>
      <c r="AO373" s="33" t="e">
        <f>AA373*1.25/(0.22*SQRT(INDEX('Dados - Inversores'!AK:AK,MATCH('1'!AL373,'Dados - Inversores'!C:C,0))))</f>
        <v>#N/A</v>
      </c>
      <c r="AP373" s="34">
        <f>INDEX(Dados!$E$2:$E$33,COUNTIF(Dados!$E$2:$E$33,"&lt;="&amp;AN373*1.25/(INDEX('Dados - Inversores'!AL:AL,MATCH('1'!AL373,'Dados - Inversores'!C:C,0))*SQRT(INDEX('Dados - Inversores'!AK:AK,MATCH('1'!AL373,'Dados - Inversores'!C:C,0)))))+1)</f>
        <v>2</v>
      </c>
      <c r="AQ373" s="33" t="s">
        <v>59</v>
      </c>
      <c r="AR373" s="33" t="str">
        <f t="shared" si="28"/>
        <v>Micro</v>
      </c>
      <c r="AS373" s="33">
        <f>'Dados - Cliente'!AH373</f>
        <v>0</v>
      </c>
      <c r="AT373" s="33">
        <f>'Dados - Cliente'!AI373</f>
        <v>0</v>
      </c>
      <c r="AU373" s="33" t="e">
        <f>INDEX('Dados - Placas'!$N:$N,MATCH('1'!AG373,'Dados - Placas'!$D:$D,0))-1</f>
        <v>#N/A</v>
      </c>
      <c r="AV373" s="33" t="e">
        <f>INDEX('Dados - Placas'!$O:$O,MATCH('1'!AG373,'Dados - Placas'!$D:$D,0))</f>
        <v>#N/A</v>
      </c>
      <c r="AW373" s="33" t="e">
        <f>INDEX('Dados - Inversores'!AM:AM,MATCH('1'!AL373,'Dados - Inversores'!$C:$C,0))-1</f>
        <v>#N/A</v>
      </c>
      <c r="AX373" s="33" t="e">
        <f>INDEX('Dados - Inversores'!AN:AN,MATCH('1'!AL373,'Dados - Inversores'!$C:$C,0))-1</f>
        <v>#N/A</v>
      </c>
      <c r="AY373" s="33" t="e">
        <f>MATCH('1'!H373,Dados!$D$89:$D$167,0)+1</f>
        <v>#N/A</v>
      </c>
      <c r="AZ373" s="33" t="e">
        <f>MATCH('1'!N373,'Dados - Solicitação de acesso'!$N$2:$N$8,0)</f>
        <v>#N/A</v>
      </c>
      <c r="BA373" s="33" t="e">
        <f>MATCH('1'!T373,'Dados - Solicitação de acesso'!$T$2:$T$20,0)</f>
        <v>#N/A</v>
      </c>
    </row>
    <row r="374" spans="1:53" x14ac:dyDescent="0.35">
      <c r="A374" s="33">
        <f>'Dados - Cliente'!A374</f>
        <v>0</v>
      </c>
      <c r="B374" s="33">
        <f>'Dados - Cliente'!B374</f>
        <v>0</v>
      </c>
      <c r="C374" s="33">
        <f>'Dados - Cliente'!C374</f>
        <v>0</v>
      </c>
      <c r="D374" s="33">
        <f>'Dados - Cliente'!D374</f>
        <v>0</v>
      </c>
      <c r="E374" s="33">
        <f>'Dados - Cliente'!E374</f>
        <v>0</v>
      </c>
      <c r="F374" s="33">
        <f>'Dados - Cliente'!F374</f>
        <v>0</v>
      </c>
      <c r="G374" s="33">
        <f>'Dados - Cliente'!G374</f>
        <v>0</v>
      </c>
      <c r="H374" s="33">
        <f>'Dados - Cliente'!H374</f>
        <v>0</v>
      </c>
      <c r="I374" s="75" t="s">
        <v>4313</v>
      </c>
      <c r="J374" s="52" t="s">
        <v>4314</v>
      </c>
      <c r="K374" s="52" t="s">
        <v>4314</v>
      </c>
      <c r="L374" s="33">
        <f>'Dados - Cliente'!I374</f>
        <v>0</v>
      </c>
      <c r="M374" s="33">
        <f>'Dados - Cliente'!K374</f>
        <v>0</v>
      </c>
      <c r="N374" s="33">
        <f>'Dados - Cliente'!L374</f>
        <v>0</v>
      </c>
      <c r="O374" s="33">
        <f>'Dados - Cliente'!M374</f>
        <v>0</v>
      </c>
      <c r="P374" s="33">
        <f>'Dados - Cliente'!N374</f>
        <v>0</v>
      </c>
      <c r="Q374" s="33">
        <f>'Dados - Cliente'!O374</f>
        <v>0</v>
      </c>
      <c r="R374" s="33">
        <f>'Dados - Cliente'!P374</f>
        <v>0</v>
      </c>
      <c r="S374" s="33">
        <f>'Dados - Cliente'!Q374</f>
        <v>0</v>
      </c>
      <c r="T374" s="33">
        <f>'Dados - Cliente'!R374</f>
        <v>0</v>
      </c>
      <c r="U374" s="34">
        <f>'Dados - Cliente'!S374</f>
        <v>0</v>
      </c>
      <c r="V374" s="34">
        <f>'Dados - Cliente'!T374</f>
        <v>0</v>
      </c>
      <c r="W374" s="34">
        <f>'Dados - Cliente'!U374</f>
        <v>0</v>
      </c>
      <c r="X374" s="34">
        <f>'Dados - Cliente'!V374</f>
        <v>0</v>
      </c>
      <c r="Y374" s="34">
        <f>'Dados - Cliente'!W374</f>
        <v>0</v>
      </c>
      <c r="Z374" s="34">
        <f>'Dados - Cliente'!X374</f>
        <v>0</v>
      </c>
      <c r="AA374" s="33" t="e">
        <f t="shared" si="27"/>
        <v>#N/A</v>
      </c>
      <c r="AB374" s="33">
        <f>'Dados - Cliente'!Y374</f>
        <v>0</v>
      </c>
      <c r="AC374" s="33">
        <f>'Dados - Cliente'!Z374</f>
        <v>0</v>
      </c>
      <c r="AD374" s="33">
        <f>'Dados - Cliente'!AA374</f>
        <v>0</v>
      </c>
      <c r="AE374" s="33">
        <f>'Dados - Cliente'!AB374</f>
        <v>0</v>
      </c>
      <c r="AF374" s="33">
        <f>'Dados - Cliente'!AC374</f>
        <v>0</v>
      </c>
      <c r="AG374" s="35">
        <f>'Dados - Cliente'!AD374</f>
        <v>0</v>
      </c>
      <c r="AH374" s="33" t="e">
        <f>INDEX('Dados - Placas'!$A:$A,MATCH('1'!AG374,'Dados - Placas'!$D:$D,0))</f>
        <v>#N/A</v>
      </c>
      <c r="AI374" s="35" t="e">
        <f>INDEX('Dados - Placas'!$E:$E,MATCH('1'!AG374,'Dados - Placas'!$D:$D,0))</f>
        <v>#N/A</v>
      </c>
      <c r="AJ374" s="34" t="e">
        <f>INDEX('Dados - Placas'!$F:$F,MATCH('1'!AG374,'Dados - Placas'!$D:$D,0))*AF374</f>
        <v>#N/A</v>
      </c>
      <c r="AK374" s="33">
        <f>'Dados - Cliente'!AE374</f>
        <v>0</v>
      </c>
      <c r="AL374" s="33">
        <f>'Dados - Cliente'!AF374</f>
        <v>0</v>
      </c>
      <c r="AM374" s="36" t="e">
        <f>INDEX('Dados - Inversores'!$A:$A,MATCH('1'!AL374,'Dados - Inversores'!$C:$C,0))</f>
        <v>#N/A</v>
      </c>
      <c r="AN374" s="33">
        <f>'Dados - Cliente'!AG374</f>
        <v>0</v>
      </c>
      <c r="AO374" s="33" t="e">
        <f>AA374*1.25/(0.22*SQRT(INDEX('Dados - Inversores'!AK:AK,MATCH('1'!AL374,'Dados - Inversores'!C:C,0))))</f>
        <v>#N/A</v>
      </c>
      <c r="AP374" s="34">
        <f>INDEX(Dados!$E$2:$E$33,COUNTIF(Dados!$E$2:$E$33,"&lt;="&amp;AN374*1.25/(INDEX('Dados - Inversores'!AL:AL,MATCH('1'!AL374,'Dados - Inversores'!C:C,0))*SQRT(INDEX('Dados - Inversores'!AK:AK,MATCH('1'!AL374,'Dados - Inversores'!C:C,0)))))+1)</f>
        <v>2</v>
      </c>
      <c r="AQ374" s="33" t="s">
        <v>59</v>
      </c>
      <c r="AR374" s="33" t="str">
        <f t="shared" si="28"/>
        <v>Micro</v>
      </c>
      <c r="AS374" s="33">
        <f>'Dados - Cliente'!AH374</f>
        <v>0</v>
      </c>
      <c r="AT374" s="33">
        <f>'Dados - Cliente'!AI374</f>
        <v>0</v>
      </c>
      <c r="AU374" s="33" t="e">
        <f>INDEX('Dados - Placas'!$N:$N,MATCH('1'!AG374,'Dados - Placas'!$D:$D,0))-1</f>
        <v>#N/A</v>
      </c>
      <c r="AV374" s="33" t="e">
        <f>INDEX('Dados - Placas'!$O:$O,MATCH('1'!AG374,'Dados - Placas'!$D:$D,0))</f>
        <v>#N/A</v>
      </c>
      <c r="AW374" s="33" t="e">
        <f>INDEX('Dados - Inversores'!AM:AM,MATCH('1'!AL374,'Dados - Inversores'!$C:$C,0))-1</f>
        <v>#N/A</v>
      </c>
      <c r="AX374" s="33" t="e">
        <f>INDEX('Dados - Inversores'!AN:AN,MATCH('1'!AL374,'Dados - Inversores'!$C:$C,0))-1</f>
        <v>#N/A</v>
      </c>
      <c r="AY374" s="33" t="e">
        <f>MATCH('1'!H374,Dados!$D$89:$D$167,0)+1</f>
        <v>#N/A</v>
      </c>
      <c r="AZ374" s="33" t="e">
        <f>MATCH('1'!N374,'Dados - Solicitação de acesso'!$N$2:$N$8,0)</f>
        <v>#N/A</v>
      </c>
      <c r="BA374" s="33" t="e">
        <f>MATCH('1'!T374,'Dados - Solicitação de acesso'!$T$2:$T$20,0)</f>
        <v>#N/A</v>
      </c>
    </row>
    <row r="375" spans="1:53" x14ac:dyDescent="0.35">
      <c r="A375" s="33">
        <f>'Dados - Cliente'!A375</f>
        <v>0</v>
      </c>
      <c r="B375" s="33">
        <f>'Dados - Cliente'!B375</f>
        <v>0</v>
      </c>
      <c r="C375" s="33">
        <f>'Dados - Cliente'!C375</f>
        <v>0</v>
      </c>
      <c r="D375" s="33">
        <f>'Dados - Cliente'!D375</f>
        <v>0</v>
      </c>
      <c r="E375" s="33">
        <f>'Dados - Cliente'!E375</f>
        <v>0</v>
      </c>
      <c r="F375" s="33">
        <f>'Dados - Cliente'!F375</f>
        <v>0</v>
      </c>
      <c r="G375" s="33">
        <f>'Dados - Cliente'!G375</f>
        <v>0</v>
      </c>
      <c r="H375" s="33">
        <f>'Dados - Cliente'!H375</f>
        <v>0</v>
      </c>
      <c r="I375" s="75" t="s">
        <v>4313</v>
      </c>
      <c r="J375" s="52" t="s">
        <v>4314</v>
      </c>
      <c r="K375" s="52" t="s">
        <v>4314</v>
      </c>
      <c r="L375" s="33">
        <f>'Dados - Cliente'!I375</f>
        <v>0</v>
      </c>
      <c r="M375" s="33">
        <f>'Dados - Cliente'!K375</f>
        <v>0</v>
      </c>
      <c r="N375" s="33">
        <f>'Dados - Cliente'!L375</f>
        <v>0</v>
      </c>
      <c r="O375" s="33">
        <f>'Dados - Cliente'!M375</f>
        <v>0</v>
      </c>
      <c r="P375" s="33">
        <f>'Dados - Cliente'!N375</f>
        <v>0</v>
      </c>
      <c r="Q375" s="33">
        <f>'Dados - Cliente'!O375</f>
        <v>0</v>
      </c>
      <c r="R375" s="33">
        <f>'Dados - Cliente'!P375</f>
        <v>0</v>
      </c>
      <c r="S375" s="33">
        <f>'Dados - Cliente'!Q375</f>
        <v>0</v>
      </c>
      <c r="T375" s="33">
        <f>'Dados - Cliente'!R375</f>
        <v>0</v>
      </c>
      <c r="U375" s="34">
        <f>'Dados - Cliente'!S375</f>
        <v>0</v>
      </c>
      <c r="V375" s="34">
        <f>'Dados - Cliente'!T375</f>
        <v>0</v>
      </c>
      <c r="W375" s="34">
        <f>'Dados - Cliente'!U375</f>
        <v>0</v>
      </c>
      <c r="X375" s="34">
        <f>'Dados - Cliente'!V375</f>
        <v>0</v>
      </c>
      <c r="Y375" s="34">
        <f>'Dados - Cliente'!W375</f>
        <v>0</v>
      </c>
      <c r="Z375" s="34">
        <f>'Dados - Cliente'!X375</f>
        <v>0</v>
      </c>
      <c r="AA375" s="33" t="e">
        <f t="shared" si="27"/>
        <v>#N/A</v>
      </c>
      <c r="AB375" s="33">
        <f>'Dados - Cliente'!Y375</f>
        <v>0</v>
      </c>
      <c r="AC375" s="33">
        <f>'Dados - Cliente'!Z375</f>
        <v>0</v>
      </c>
      <c r="AD375" s="33">
        <f>'Dados - Cliente'!AA375</f>
        <v>0</v>
      </c>
      <c r="AE375" s="33">
        <f>'Dados - Cliente'!AB375</f>
        <v>0</v>
      </c>
      <c r="AF375" s="33">
        <f>'Dados - Cliente'!AC375</f>
        <v>0</v>
      </c>
      <c r="AG375" s="35">
        <f>'Dados - Cliente'!AD375</f>
        <v>0</v>
      </c>
      <c r="AH375" s="33" t="e">
        <f>INDEX('Dados - Placas'!$A:$A,MATCH('1'!AG375,'Dados - Placas'!$D:$D,0))</f>
        <v>#N/A</v>
      </c>
      <c r="AI375" s="35" t="e">
        <f>INDEX('Dados - Placas'!$E:$E,MATCH('1'!AG375,'Dados - Placas'!$D:$D,0))</f>
        <v>#N/A</v>
      </c>
      <c r="AJ375" s="34" t="e">
        <f>INDEX('Dados - Placas'!$F:$F,MATCH('1'!AG375,'Dados - Placas'!$D:$D,0))*AF375</f>
        <v>#N/A</v>
      </c>
      <c r="AK375" s="33">
        <f>'Dados - Cliente'!AE375</f>
        <v>0</v>
      </c>
      <c r="AL375" s="33">
        <f>'Dados - Cliente'!AF375</f>
        <v>0</v>
      </c>
      <c r="AM375" s="36" t="e">
        <f>INDEX('Dados - Inversores'!$A:$A,MATCH('1'!AL375,'Dados - Inversores'!$C:$C,0))</f>
        <v>#N/A</v>
      </c>
      <c r="AN375" s="33">
        <f>'Dados - Cliente'!AG375</f>
        <v>0</v>
      </c>
      <c r="AO375" s="33" t="e">
        <f>AA375*1.25/(0.22*SQRT(INDEX('Dados - Inversores'!AK:AK,MATCH('1'!AL375,'Dados - Inversores'!C:C,0))))</f>
        <v>#N/A</v>
      </c>
      <c r="AP375" s="34">
        <f>INDEX(Dados!$E$2:$E$33,COUNTIF(Dados!$E$2:$E$33,"&lt;="&amp;AN375*1.25/(INDEX('Dados - Inversores'!AL:AL,MATCH('1'!AL375,'Dados - Inversores'!C:C,0))*SQRT(INDEX('Dados - Inversores'!AK:AK,MATCH('1'!AL375,'Dados - Inversores'!C:C,0)))))+1)</f>
        <v>2</v>
      </c>
      <c r="AQ375" s="33" t="s">
        <v>59</v>
      </c>
      <c r="AR375" s="33" t="str">
        <f t="shared" si="28"/>
        <v>Micro</v>
      </c>
      <c r="AS375" s="33">
        <f>'Dados - Cliente'!AH375</f>
        <v>0</v>
      </c>
      <c r="AT375" s="33">
        <f>'Dados - Cliente'!AI375</f>
        <v>0</v>
      </c>
      <c r="AU375" s="33" t="e">
        <f>INDEX('Dados - Placas'!$N:$N,MATCH('1'!AG375,'Dados - Placas'!$D:$D,0))-1</f>
        <v>#N/A</v>
      </c>
      <c r="AV375" s="33" t="e">
        <f>INDEX('Dados - Placas'!$O:$O,MATCH('1'!AG375,'Dados - Placas'!$D:$D,0))</f>
        <v>#N/A</v>
      </c>
      <c r="AW375" s="33" t="e">
        <f>INDEX('Dados - Inversores'!AM:AM,MATCH('1'!AL375,'Dados - Inversores'!$C:$C,0))-1</f>
        <v>#N/A</v>
      </c>
      <c r="AX375" s="33" t="e">
        <f>INDEX('Dados - Inversores'!AN:AN,MATCH('1'!AL375,'Dados - Inversores'!$C:$C,0))-1</f>
        <v>#N/A</v>
      </c>
      <c r="AY375" s="33" t="e">
        <f>MATCH('1'!H375,Dados!$D$89:$D$167,0)+1</f>
        <v>#N/A</v>
      </c>
      <c r="AZ375" s="33" t="e">
        <f>MATCH('1'!N375,'Dados - Solicitação de acesso'!$N$2:$N$8,0)</f>
        <v>#N/A</v>
      </c>
      <c r="BA375" s="33" t="e">
        <f>MATCH('1'!T375,'Dados - Solicitação de acesso'!$T$2:$T$20,0)</f>
        <v>#N/A</v>
      </c>
    </row>
    <row r="376" spans="1:53" x14ac:dyDescent="0.35">
      <c r="A376" s="33">
        <f>'Dados - Cliente'!A376</f>
        <v>0</v>
      </c>
      <c r="B376" s="33">
        <f>'Dados - Cliente'!B376</f>
        <v>0</v>
      </c>
      <c r="C376" s="33">
        <f>'Dados - Cliente'!C376</f>
        <v>0</v>
      </c>
      <c r="D376" s="33">
        <f>'Dados - Cliente'!D376</f>
        <v>0</v>
      </c>
      <c r="E376" s="33">
        <f>'Dados - Cliente'!E376</f>
        <v>0</v>
      </c>
      <c r="F376" s="33">
        <f>'Dados - Cliente'!F376</f>
        <v>0</v>
      </c>
      <c r="G376" s="33">
        <f>'Dados - Cliente'!G376</f>
        <v>0</v>
      </c>
      <c r="H376" s="33">
        <f>'Dados - Cliente'!H376</f>
        <v>0</v>
      </c>
      <c r="I376" s="75" t="s">
        <v>4313</v>
      </c>
      <c r="J376" s="52" t="s">
        <v>4314</v>
      </c>
      <c r="K376" s="52" t="s">
        <v>4314</v>
      </c>
      <c r="L376" s="33">
        <f>'Dados - Cliente'!I376</f>
        <v>0</v>
      </c>
      <c r="M376" s="33">
        <f>'Dados - Cliente'!K376</f>
        <v>0</v>
      </c>
      <c r="N376" s="33">
        <f>'Dados - Cliente'!L376</f>
        <v>0</v>
      </c>
      <c r="O376" s="33">
        <f>'Dados - Cliente'!M376</f>
        <v>0</v>
      </c>
      <c r="P376" s="33">
        <f>'Dados - Cliente'!N376</f>
        <v>0</v>
      </c>
      <c r="Q376" s="33">
        <f>'Dados - Cliente'!O376</f>
        <v>0</v>
      </c>
      <c r="R376" s="33">
        <f>'Dados - Cliente'!P376</f>
        <v>0</v>
      </c>
      <c r="S376" s="33">
        <f>'Dados - Cliente'!Q376</f>
        <v>0</v>
      </c>
      <c r="T376" s="33">
        <f>'Dados - Cliente'!R376</f>
        <v>0</v>
      </c>
      <c r="U376" s="34">
        <f>'Dados - Cliente'!S376</f>
        <v>0</v>
      </c>
      <c r="V376" s="34">
        <f>'Dados - Cliente'!T376</f>
        <v>0</v>
      </c>
      <c r="W376" s="34">
        <f>'Dados - Cliente'!U376</f>
        <v>0</v>
      </c>
      <c r="X376" s="34">
        <f>'Dados - Cliente'!V376</f>
        <v>0</v>
      </c>
      <c r="Y376" s="34">
        <f>'Dados - Cliente'!W376</f>
        <v>0</v>
      </c>
      <c r="Z376" s="34">
        <f>'Dados - Cliente'!X376</f>
        <v>0</v>
      </c>
      <c r="AA376" s="33" t="e">
        <f t="shared" si="27"/>
        <v>#N/A</v>
      </c>
      <c r="AB376" s="33">
        <f>'Dados - Cliente'!Y376</f>
        <v>0</v>
      </c>
      <c r="AC376" s="33">
        <f>'Dados - Cliente'!Z376</f>
        <v>0</v>
      </c>
      <c r="AD376" s="33">
        <f>'Dados - Cliente'!AA376</f>
        <v>0</v>
      </c>
      <c r="AE376" s="33">
        <f>'Dados - Cliente'!AB376</f>
        <v>0</v>
      </c>
      <c r="AF376" s="33">
        <f>'Dados - Cliente'!AC376</f>
        <v>0</v>
      </c>
      <c r="AG376" s="35">
        <f>'Dados - Cliente'!AD376</f>
        <v>0</v>
      </c>
      <c r="AH376" s="33" t="e">
        <f>INDEX('Dados - Placas'!$A:$A,MATCH('1'!AG376,'Dados - Placas'!$D:$D,0))</f>
        <v>#N/A</v>
      </c>
      <c r="AI376" s="35" t="e">
        <f>INDEX('Dados - Placas'!$E:$E,MATCH('1'!AG376,'Dados - Placas'!$D:$D,0))</f>
        <v>#N/A</v>
      </c>
      <c r="AJ376" s="34" t="e">
        <f>INDEX('Dados - Placas'!$F:$F,MATCH('1'!AG376,'Dados - Placas'!$D:$D,0))*AF376</f>
        <v>#N/A</v>
      </c>
      <c r="AK376" s="33">
        <f>'Dados - Cliente'!AE376</f>
        <v>0</v>
      </c>
      <c r="AL376" s="33">
        <f>'Dados - Cliente'!AF376</f>
        <v>0</v>
      </c>
      <c r="AM376" s="36" t="e">
        <f>INDEX('Dados - Inversores'!$A:$A,MATCH('1'!AL376,'Dados - Inversores'!$C:$C,0))</f>
        <v>#N/A</v>
      </c>
      <c r="AN376" s="33">
        <f>'Dados - Cliente'!AG376</f>
        <v>0</v>
      </c>
      <c r="AO376" s="33" t="e">
        <f>AA376*1.25/(0.22*SQRT(INDEX('Dados - Inversores'!AK:AK,MATCH('1'!AL376,'Dados - Inversores'!C:C,0))))</f>
        <v>#N/A</v>
      </c>
      <c r="AP376" s="34">
        <f>INDEX(Dados!$E$2:$E$33,COUNTIF(Dados!$E$2:$E$33,"&lt;="&amp;AN376*1.25/(INDEX('Dados - Inversores'!AL:AL,MATCH('1'!AL376,'Dados - Inversores'!C:C,0))*SQRT(INDEX('Dados - Inversores'!AK:AK,MATCH('1'!AL376,'Dados - Inversores'!C:C,0)))))+1)</f>
        <v>2</v>
      </c>
      <c r="AQ376" s="33" t="s">
        <v>59</v>
      </c>
      <c r="AR376" s="33" t="str">
        <f t="shared" si="28"/>
        <v>Micro</v>
      </c>
      <c r="AS376" s="33">
        <f>'Dados - Cliente'!AH376</f>
        <v>0</v>
      </c>
      <c r="AT376" s="33">
        <f>'Dados - Cliente'!AI376</f>
        <v>0</v>
      </c>
      <c r="AU376" s="33" t="e">
        <f>INDEX('Dados - Placas'!$N:$N,MATCH('1'!AG376,'Dados - Placas'!$D:$D,0))-1</f>
        <v>#N/A</v>
      </c>
      <c r="AV376" s="33" t="e">
        <f>INDEX('Dados - Placas'!$O:$O,MATCH('1'!AG376,'Dados - Placas'!$D:$D,0))</f>
        <v>#N/A</v>
      </c>
      <c r="AW376" s="33" t="e">
        <f>INDEX('Dados - Inversores'!AM:AM,MATCH('1'!AL376,'Dados - Inversores'!$C:$C,0))-1</f>
        <v>#N/A</v>
      </c>
      <c r="AX376" s="33" t="e">
        <f>INDEX('Dados - Inversores'!AN:AN,MATCH('1'!AL376,'Dados - Inversores'!$C:$C,0))-1</f>
        <v>#N/A</v>
      </c>
      <c r="AY376" s="33" t="e">
        <f>MATCH('1'!H376,Dados!$D$89:$D$167,0)+1</f>
        <v>#N/A</v>
      </c>
      <c r="AZ376" s="33" t="e">
        <f>MATCH('1'!N376,'Dados - Solicitação de acesso'!$N$2:$N$8,0)</f>
        <v>#N/A</v>
      </c>
      <c r="BA376" s="33" t="e">
        <f>MATCH('1'!T376,'Dados - Solicitação de acesso'!$T$2:$T$20,0)</f>
        <v>#N/A</v>
      </c>
    </row>
    <row r="377" spans="1:53" x14ac:dyDescent="0.35">
      <c r="A377" s="33">
        <f>'Dados - Cliente'!A377</f>
        <v>0</v>
      </c>
      <c r="B377" s="33">
        <f>'Dados - Cliente'!B377</f>
        <v>0</v>
      </c>
      <c r="C377" s="33">
        <f>'Dados - Cliente'!C377</f>
        <v>0</v>
      </c>
      <c r="D377" s="33">
        <f>'Dados - Cliente'!D377</f>
        <v>0</v>
      </c>
      <c r="E377" s="33">
        <f>'Dados - Cliente'!E377</f>
        <v>0</v>
      </c>
      <c r="F377" s="33">
        <f>'Dados - Cliente'!F377</f>
        <v>0</v>
      </c>
      <c r="G377" s="33">
        <f>'Dados - Cliente'!G377</f>
        <v>0</v>
      </c>
      <c r="H377" s="33">
        <f>'Dados - Cliente'!H377</f>
        <v>0</v>
      </c>
      <c r="I377" s="75" t="s">
        <v>4313</v>
      </c>
      <c r="J377" s="52" t="s">
        <v>4314</v>
      </c>
      <c r="K377" s="52" t="s">
        <v>4314</v>
      </c>
      <c r="L377" s="33">
        <f>'Dados - Cliente'!I377</f>
        <v>0</v>
      </c>
      <c r="M377" s="33">
        <f>'Dados - Cliente'!K377</f>
        <v>0</v>
      </c>
      <c r="N377" s="33">
        <f>'Dados - Cliente'!L377</f>
        <v>0</v>
      </c>
      <c r="O377" s="33">
        <f>'Dados - Cliente'!M377</f>
        <v>0</v>
      </c>
      <c r="P377" s="33">
        <f>'Dados - Cliente'!N377</f>
        <v>0</v>
      </c>
      <c r="Q377" s="33">
        <f>'Dados - Cliente'!O377</f>
        <v>0</v>
      </c>
      <c r="R377" s="33">
        <f>'Dados - Cliente'!P377</f>
        <v>0</v>
      </c>
      <c r="S377" s="33">
        <f>'Dados - Cliente'!Q377</f>
        <v>0</v>
      </c>
      <c r="T377" s="33">
        <f>'Dados - Cliente'!R377</f>
        <v>0</v>
      </c>
      <c r="U377" s="34">
        <f>'Dados - Cliente'!S377</f>
        <v>0</v>
      </c>
      <c r="V377" s="34">
        <f>'Dados - Cliente'!T377</f>
        <v>0</v>
      </c>
      <c r="W377" s="34">
        <f>'Dados - Cliente'!U377</f>
        <v>0</v>
      </c>
      <c r="X377" s="34">
        <f>'Dados - Cliente'!V377</f>
        <v>0</v>
      </c>
      <c r="Y377" s="34">
        <f>'Dados - Cliente'!W377</f>
        <v>0</v>
      </c>
      <c r="Z377" s="34">
        <f>'Dados - Cliente'!X377</f>
        <v>0</v>
      </c>
      <c r="AA377" s="33" t="e">
        <f t="shared" si="27"/>
        <v>#N/A</v>
      </c>
      <c r="AB377" s="33">
        <f>'Dados - Cliente'!Y377</f>
        <v>0</v>
      </c>
      <c r="AC377" s="33">
        <f>'Dados - Cliente'!Z377</f>
        <v>0</v>
      </c>
      <c r="AD377" s="33">
        <f>'Dados - Cliente'!AA377</f>
        <v>0</v>
      </c>
      <c r="AE377" s="33">
        <f>'Dados - Cliente'!AB377</f>
        <v>0</v>
      </c>
      <c r="AF377" s="33">
        <f>'Dados - Cliente'!AC377</f>
        <v>0</v>
      </c>
      <c r="AG377" s="35">
        <f>'Dados - Cliente'!AD377</f>
        <v>0</v>
      </c>
      <c r="AH377" s="33" t="e">
        <f>INDEX('Dados - Placas'!$A:$A,MATCH('1'!AG377,'Dados - Placas'!$D:$D,0))</f>
        <v>#N/A</v>
      </c>
      <c r="AI377" s="35" t="e">
        <f>INDEX('Dados - Placas'!$E:$E,MATCH('1'!AG377,'Dados - Placas'!$D:$D,0))</f>
        <v>#N/A</v>
      </c>
      <c r="AJ377" s="34" t="e">
        <f>INDEX('Dados - Placas'!$F:$F,MATCH('1'!AG377,'Dados - Placas'!$D:$D,0))*AF377</f>
        <v>#N/A</v>
      </c>
      <c r="AK377" s="33">
        <f>'Dados - Cliente'!AE377</f>
        <v>0</v>
      </c>
      <c r="AL377" s="33">
        <f>'Dados - Cliente'!AF377</f>
        <v>0</v>
      </c>
      <c r="AM377" s="36" t="e">
        <f>INDEX('Dados - Inversores'!$A:$A,MATCH('1'!AL377,'Dados - Inversores'!$C:$C,0))</f>
        <v>#N/A</v>
      </c>
      <c r="AN377" s="33">
        <f>'Dados - Cliente'!AG377</f>
        <v>0</v>
      </c>
      <c r="AO377" s="33" t="e">
        <f>AA377*1.25/(0.22*SQRT(INDEX('Dados - Inversores'!AK:AK,MATCH('1'!AL377,'Dados - Inversores'!C:C,0))))</f>
        <v>#N/A</v>
      </c>
      <c r="AP377" s="34">
        <f>INDEX(Dados!$E$2:$E$33,COUNTIF(Dados!$E$2:$E$33,"&lt;="&amp;AN377*1.25/(INDEX('Dados - Inversores'!AL:AL,MATCH('1'!AL377,'Dados - Inversores'!C:C,0))*SQRT(INDEX('Dados - Inversores'!AK:AK,MATCH('1'!AL377,'Dados - Inversores'!C:C,0)))))+1)</f>
        <v>2</v>
      </c>
      <c r="AQ377" s="33" t="s">
        <v>59</v>
      </c>
      <c r="AR377" s="33" t="str">
        <f t="shared" si="28"/>
        <v>Micro</v>
      </c>
      <c r="AS377" s="33">
        <f>'Dados - Cliente'!AH377</f>
        <v>0</v>
      </c>
      <c r="AT377" s="33">
        <f>'Dados - Cliente'!AI377</f>
        <v>0</v>
      </c>
      <c r="AU377" s="33" t="e">
        <f>INDEX('Dados - Placas'!$N:$N,MATCH('1'!AG377,'Dados - Placas'!$D:$D,0))-1</f>
        <v>#N/A</v>
      </c>
      <c r="AV377" s="33" t="e">
        <f>INDEX('Dados - Placas'!$O:$O,MATCH('1'!AG377,'Dados - Placas'!$D:$D,0))</f>
        <v>#N/A</v>
      </c>
      <c r="AW377" s="33" t="e">
        <f>INDEX('Dados - Inversores'!AM:AM,MATCH('1'!AL377,'Dados - Inversores'!$C:$C,0))-1</f>
        <v>#N/A</v>
      </c>
      <c r="AX377" s="33" t="e">
        <f>INDEX('Dados - Inversores'!AN:AN,MATCH('1'!AL377,'Dados - Inversores'!$C:$C,0))-1</f>
        <v>#N/A</v>
      </c>
      <c r="AY377" s="33" t="e">
        <f>MATCH('1'!H377,Dados!$D$89:$D$167,0)+1</f>
        <v>#N/A</v>
      </c>
      <c r="AZ377" s="33" t="e">
        <f>MATCH('1'!N377,'Dados - Solicitação de acesso'!$N$2:$N$8,0)</f>
        <v>#N/A</v>
      </c>
      <c r="BA377" s="33" t="e">
        <f>MATCH('1'!T377,'Dados - Solicitação de acesso'!$T$2:$T$20,0)</f>
        <v>#N/A</v>
      </c>
    </row>
    <row r="378" spans="1:53" x14ac:dyDescent="0.35">
      <c r="A378" s="33">
        <f>'Dados - Cliente'!A378</f>
        <v>0</v>
      </c>
      <c r="B378" s="33">
        <f>'Dados - Cliente'!B378</f>
        <v>0</v>
      </c>
      <c r="C378" s="33">
        <f>'Dados - Cliente'!C378</f>
        <v>0</v>
      </c>
      <c r="D378" s="33">
        <f>'Dados - Cliente'!D378</f>
        <v>0</v>
      </c>
      <c r="E378" s="33">
        <f>'Dados - Cliente'!E378</f>
        <v>0</v>
      </c>
      <c r="F378" s="33">
        <f>'Dados - Cliente'!F378</f>
        <v>0</v>
      </c>
      <c r="G378" s="33">
        <f>'Dados - Cliente'!G378</f>
        <v>0</v>
      </c>
      <c r="H378" s="33">
        <f>'Dados - Cliente'!H378</f>
        <v>0</v>
      </c>
      <c r="I378" s="75" t="s">
        <v>4313</v>
      </c>
      <c r="J378" s="52" t="s">
        <v>4314</v>
      </c>
      <c r="K378" s="52" t="s">
        <v>4314</v>
      </c>
      <c r="L378" s="33">
        <f>'Dados - Cliente'!I378</f>
        <v>0</v>
      </c>
      <c r="M378" s="33">
        <f>'Dados - Cliente'!K378</f>
        <v>0</v>
      </c>
      <c r="N378" s="33">
        <f>'Dados - Cliente'!L378</f>
        <v>0</v>
      </c>
      <c r="O378" s="33">
        <f>'Dados - Cliente'!M378</f>
        <v>0</v>
      </c>
      <c r="P378" s="33">
        <f>'Dados - Cliente'!N378</f>
        <v>0</v>
      </c>
      <c r="Q378" s="33">
        <f>'Dados - Cliente'!O378</f>
        <v>0</v>
      </c>
      <c r="R378" s="33">
        <f>'Dados - Cliente'!P378</f>
        <v>0</v>
      </c>
      <c r="S378" s="33">
        <f>'Dados - Cliente'!Q378</f>
        <v>0</v>
      </c>
      <c r="T378" s="33">
        <f>'Dados - Cliente'!R378</f>
        <v>0</v>
      </c>
      <c r="U378" s="34">
        <f>'Dados - Cliente'!S378</f>
        <v>0</v>
      </c>
      <c r="V378" s="34">
        <f>'Dados - Cliente'!T378</f>
        <v>0</v>
      </c>
      <c r="W378" s="34">
        <f>'Dados - Cliente'!U378</f>
        <v>0</v>
      </c>
      <c r="X378" s="34">
        <f>'Dados - Cliente'!V378</f>
        <v>0</v>
      </c>
      <c r="Y378" s="34">
        <f>'Dados - Cliente'!W378</f>
        <v>0</v>
      </c>
      <c r="Z378" s="34">
        <f>'Dados - Cliente'!X378</f>
        <v>0</v>
      </c>
      <c r="AA378" s="33" t="e">
        <f t="shared" si="27"/>
        <v>#N/A</v>
      </c>
      <c r="AB378" s="33">
        <f>'Dados - Cliente'!Y378</f>
        <v>0</v>
      </c>
      <c r="AC378" s="33">
        <f>'Dados - Cliente'!Z378</f>
        <v>0</v>
      </c>
      <c r="AD378" s="33">
        <f>'Dados - Cliente'!AA378</f>
        <v>0</v>
      </c>
      <c r="AE378" s="33">
        <f>'Dados - Cliente'!AB378</f>
        <v>0</v>
      </c>
      <c r="AF378" s="33">
        <f>'Dados - Cliente'!AC378</f>
        <v>0</v>
      </c>
      <c r="AG378" s="35">
        <f>'Dados - Cliente'!AD378</f>
        <v>0</v>
      </c>
      <c r="AH378" s="33" t="e">
        <f>INDEX('Dados - Placas'!$A:$A,MATCH('1'!AG378,'Dados - Placas'!$D:$D,0))</f>
        <v>#N/A</v>
      </c>
      <c r="AI378" s="35" t="e">
        <f>INDEX('Dados - Placas'!$E:$E,MATCH('1'!AG378,'Dados - Placas'!$D:$D,0))</f>
        <v>#N/A</v>
      </c>
      <c r="AJ378" s="34" t="e">
        <f>INDEX('Dados - Placas'!$F:$F,MATCH('1'!AG378,'Dados - Placas'!$D:$D,0))*AF378</f>
        <v>#N/A</v>
      </c>
      <c r="AK378" s="33">
        <f>'Dados - Cliente'!AE378</f>
        <v>0</v>
      </c>
      <c r="AL378" s="33">
        <f>'Dados - Cliente'!AF378</f>
        <v>0</v>
      </c>
      <c r="AM378" s="36" t="e">
        <f>INDEX('Dados - Inversores'!$A:$A,MATCH('1'!AL378,'Dados - Inversores'!$C:$C,0))</f>
        <v>#N/A</v>
      </c>
      <c r="AN378" s="33">
        <f>'Dados - Cliente'!AG378</f>
        <v>0</v>
      </c>
      <c r="AO378" s="33" t="e">
        <f>AA378*1.25/(0.22*SQRT(INDEX('Dados - Inversores'!AK:AK,MATCH('1'!AL378,'Dados - Inversores'!C:C,0))))</f>
        <v>#N/A</v>
      </c>
      <c r="AP378" s="34">
        <f>INDEX(Dados!$E$2:$E$33,COUNTIF(Dados!$E$2:$E$33,"&lt;="&amp;AN378*1.25/(INDEX('Dados - Inversores'!AL:AL,MATCH('1'!AL378,'Dados - Inversores'!C:C,0))*SQRT(INDEX('Dados - Inversores'!AK:AK,MATCH('1'!AL378,'Dados - Inversores'!C:C,0)))))+1)</f>
        <v>2</v>
      </c>
      <c r="AQ378" s="33" t="s">
        <v>59</v>
      </c>
      <c r="AR378" s="33" t="str">
        <f t="shared" si="28"/>
        <v>Micro</v>
      </c>
      <c r="AS378" s="33">
        <f>'Dados - Cliente'!AH378</f>
        <v>0</v>
      </c>
      <c r="AT378" s="33">
        <f>'Dados - Cliente'!AI378</f>
        <v>0</v>
      </c>
      <c r="AU378" s="33" t="e">
        <f>INDEX('Dados - Placas'!$N:$N,MATCH('1'!AG378,'Dados - Placas'!$D:$D,0))-1</f>
        <v>#N/A</v>
      </c>
      <c r="AV378" s="33" t="e">
        <f>INDEX('Dados - Placas'!$O:$O,MATCH('1'!AG378,'Dados - Placas'!$D:$D,0))</f>
        <v>#N/A</v>
      </c>
      <c r="AW378" s="33" t="e">
        <f>INDEX('Dados - Inversores'!AM:AM,MATCH('1'!AL378,'Dados - Inversores'!$C:$C,0))-1</f>
        <v>#N/A</v>
      </c>
      <c r="AX378" s="33" t="e">
        <f>INDEX('Dados - Inversores'!AN:AN,MATCH('1'!AL378,'Dados - Inversores'!$C:$C,0))-1</f>
        <v>#N/A</v>
      </c>
      <c r="AY378" s="33" t="e">
        <f>MATCH('1'!H378,Dados!$D$89:$D$167,0)+1</f>
        <v>#N/A</v>
      </c>
      <c r="AZ378" s="33" t="e">
        <f>MATCH('1'!N378,'Dados - Solicitação de acesso'!$N$2:$N$8,0)</f>
        <v>#N/A</v>
      </c>
      <c r="BA378" s="33" t="e">
        <f>MATCH('1'!T378,'Dados - Solicitação de acesso'!$T$2:$T$20,0)</f>
        <v>#N/A</v>
      </c>
    </row>
    <row r="379" spans="1:53" x14ac:dyDescent="0.35">
      <c r="A379" s="33">
        <f>'Dados - Cliente'!A379</f>
        <v>0</v>
      </c>
      <c r="B379" s="33">
        <f>'Dados - Cliente'!B379</f>
        <v>0</v>
      </c>
      <c r="C379" s="33">
        <f>'Dados - Cliente'!C379</f>
        <v>0</v>
      </c>
      <c r="D379" s="33">
        <f>'Dados - Cliente'!D379</f>
        <v>0</v>
      </c>
      <c r="E379" s="33">
        <f>'Dados - Cliente'!E379</f>
        <v>0</v>
      </c>
      <c r="F379" s="33">
        <f>'Dados - Cliente'!F379</f>
        <v>0</v>
      </c>
      <c r="G379" s="33">
        <f>'Dados - Cliente'!G379</f>
        <v>0</v>
      </c>
      <c r="H379" s="33">
        <f>'Dados - Cliente'!H379</f>
        <v>0</v>
      </c>
      <c r="I379" s="75" t="s">
        <v>4313</v>
      </c>
      <c r="J379" s="52" t="s">
        <v>4314</v>
      </c>
      <c r="K379" s="52" t="s">
        <v>4314</v>
      </c>
      <c r="L379" s="33">
        <f>'Dados - Cliente'!I379</f>
        <v>0</v>
      </c>
      <c r="M379" s="33">
        <f>'Dados - Cliente'!K379</f>
        <v>0</v>
      </c>
      <c r="N379" s="33">
        <f>'Dados - Cliente'!L379</f>
        <v>0</v>
      </c>
      <c r="O379" s="33">
        <f>'Dados - Cliente'!M379</f>
        <v>0</v>
      </c>
      <c r="P379" s="33">
        <f>'Dados - Cliente'!N379</f>
        <v>0</v>
      </c>
      <c r="Q379" s="33">
        <f>'Dados - Cliente'!O379</f>
        <v>0</v>
      </c>
      <c r="R379" s="33">
        <f>'Dados - Cliente'!P379</f>
        <v>0</v>
      </c>
      <c r="S379" s="33">
        <f>'Dados - Cliente'!Q379</f>
        <v>0</v>
      </c>
      <c r="T379" s="33">
        <f>'Dados - Cliente'!R379</f>
        <v>0</v>
      </c>
      <c r="U379" s="34">
        <f>'Dados - Cliente'!S379</f>
        <v>0</v>
      </c>
      <c r="V379" s="34">
        <f>'Dados - Cliente'!T379</f>
        <v>0</v>
      </c>
      <c r="W379" s="34">
        <f>'Dados - Cliente'!U379</f>
        <v>0</v>
      </c>
      <c r="X379" s="34">
        <f>'Dados - Cliente'!V379</f>
        <v>0</v>
      </c>
      <c r="Y379" s="34">
        <f>'Dados - Cliente'!W379</f>
        <v>0</v>
      </c>
      <c r="Z379" s="34">
        <f>'Dados - Cliente'!X379</f>
        <v>0</v>
      </c>
      <c r="AA379" s="33" t="e">
        <f t="shared" si="27"/>
        <v>#N/A</v>
      </c>
      <c r="AB379" s="33">
        <f>'Dados - Cliente'!Y379</f>
        <v>0</v>
      </c>
      <c r="AC379" s="33">
        <f>'Dados - Cliente'!Z379</f>
        <v>0</v>
      </c>
      <c r="AD379" s="33">
        <f>'Dados - Cliente'!AA379</f>
        <v>0</v>
      </c>
      <c r="AE379" s="33">
        <f>'Dados - Cliente'!AB379</f>
        <v>0</v>
      </c>
      <c r="AF379" s="33">
        <f>'Dados - Cliente'!AC379</f>
        <v>0</v>
      </c>
      <c r="AG379" s="35">
        <f>'Dados - Cliente'!AD379</f>
        <v>0</v>
      </c>
      <c r="AH379" s="33" t="e">
        <f>INDEX('Dados - Placas'!$A:$A,MATCH('1'!AG379,'Dados - Placas'!$D:$D,0))</f>
        <v>#N/A</v>
      </c>
      <c r="AI379" s="35" t="e">
        <f>INDEX('Dados - Placas'!$E:$E,MATCH('1'!AG379,'Dados - Placas'!$D:$D,0))</f>
        <v>#N/A</v>
      </c>
      <c r="AJ379" s="34" t="e">
        <f>INDEX('Dados - Placas'!$F:$F,MATCH('1'!AG379,'Dados - Placas'!$D:$D,0))*AF379</f>
        <v>#N/A</v>
      </c>
      <c r="AK379" s="33">
        <f>'Dados - Cliente'!AE379</f>
        <v>0</v>
      </c>
      <c r="AL379" s="33">
        <f>'Dados - Cliente'!AF379</f>
        <v>0</v>
      </c>
      <c r="AM379" s="36" t="e">
        <f>INDEX('Dados - Inversores'!$A:$A,MATCH('1'!AL379,'Dados - Inversores'!$C:$C,0))</f>
        <v>#N/A</v>
      </c>
      <c r="AN379" s="33">
        <f>'Dados - Cliente'!AG379</f>
        <v>0</v>
      </c>
      <c r="AO379" s="33" t="e">
        <f>AA379*1.25/(0.22*SQRT(INDEX('Dados - Inversores'!AK:AK,MATCH('1'!AL379,'Dados - Inversores'!C:C,0))))</f>
        <v>#N/A</v>
      </c>
      <c r="AP379" s="34">
        <f>INDEX(Dados!$E$2:$E$33,COUNTIF(Dados!$E$2:$E$33,"&lt;="&amp;AN379*1.25/(INDEX('Dados - Inversores'!AL:AL,MATCH('1'!AL379,'Dados - Inversores'!C:C,0))*SQRT(INDEX('Dados - Inversores'!AK:AK,MATCH('1'!AL379,'Dados - Inversores'!C:C,0)))))+1)</f>
        <v>2</v>
      </c>
      <c r="AQ379" s="33" t="s">
        <v>59</v>
      </c>
      <c r="AR379" s="33" t="str">
        <f t="shared" si="28"/>
        <v>Micro</v>
      </c>
      <c r="AS379" s="33">
        <f>'Dados - Cliente'!AH379</f>
        <v>0</v>
      </c>
      <c r="AT379" s="33">
        <f>'Dados - Cliente'!AI379</f>
        <v>0</v>
      </c>
      <c r="AU379" s="33" t="e">
        <f>INDEX('Dados - Placas'!$N:$N,MATCH('1'!AG379,'Dados - Placas'!$D:$D,0))-1</f>
        <v>#N/A</v>
      </c>
      <c r="AV379" s="33" t="e">
        <f>INDEX('Dados - Placas'!$O:$O,MATCH('1'!AG379,'Dados - Placas'!$D:$D,0))</f>
        <v>#N/A</v>
      </c>
      <c r="AW379" s="33" t="e">
        <f>INDEX('Dados - Inversores'!AM:AM,MATCH('1'!AL379,'Dados - Inversores'!$C:$C,0))-1</f>
        <v>#N/A</v>
      </c>
      <c r="AX379" s="33" t="e">
        <f>INDEX('Dados - Inversores'!AN:AN,MATCH('1'!AL379,'Dados - Inversores'!$C:$C,0))-1</f>
        <v>#N/A</v>
      </c>
      <c r="AY379" s="33" t="e">
        <f>MATCH('1'!H379,Dados!$D$89:$D$167,0)+1</f>
        <v>#N/A</v>
      </c>
      <c r="AZ379" s="33" t="e">
        <f>MATCH('1'!N379,'Dados - Solicitação de acesso'!$N$2:$N$8,0)</f>
        <v>#N/A</v>
      </c>
      <c r="BA379" s="33" t="e">
        <f>MATCH('1'!T379,'Dados - Solicitação de acesso'!$T$2:$T$20,0)</f>
        <v>#N/A</v>
      </c>
    </row>
    <row r="380" spans="1:53" x14ac:dyDescent="0.35">
      <c r="A380" s="33">
        <f>'Dados - Cliente'!A380</f>
        <v>0</v>
      </c>
      <c r="B380" s="33">
        <f>'Dados - Cliente'!B380</f>
        <v>0</v>
      </c>
      <c r="C380" s="33">
        <f>'Dados - Cliente'!C380</f>
        <v>0</v>
      </c>
      <c r="D380" s="33">
        <f>'Dados - Cliente'!D380</f>
        <v>0</v>
      </c>
      <c r="E380" s="33">
        <f>'Dados - Cliente'!E380</f>
        <v>0</v>
      </c>
      <c r="F380" s="33">
        <f>'Dados - Cliente'!F380</f>
        <v>0</v>
      </c>
      <c r="G380" s="33">
        <f>'Dados - Cliente'!G380</f>
        <v>0</v>
      </c>
      <c r="H380" s="33">
        <f>'Dados - Cliente'!H380</f>
        <v>0</v>
      </c>
      <c r="I380" s="75" t="s">
        <v>4313</v>
      </c>
      <c r="J380" s="52" t="s">
        <v>4314</v>
      </c>
      <c r="K380" s="52" t="s">
        <v>4314</v>
      </c>
      <c r="L380" s="33">
        <f>'Dados - Cliente'!I380</f>
        <v>0</v>
      </c>
      <c r="M380" s="33">
        <f>'Dados - Cliente'!K380</f>
        <v>0</v>
      </c>
      <c r="N380" s="33">
        <f>'Dados - Cliente'!L380</f>
        <v>0</v>
      </c>
      <c r="O380" s="33">
        <f>'Dados - Cliente'!M380</f>
        <v>0</v>
      </c>
      <c r="P380" s="33">
        <f>'Dados - Cliente'!N380</f>
        <v>0</v>
      </c>
      <c r="Q380" s="33">
        <f>'Dados - Cliente'!O380</f>
        <v>0</v>
      </c>
      <c r="R380" s="33">
        <f>'Dados - Cliente'!P380</f>
        <v>0</v>
      </c>
      <c r="S380" s="33">
        <f>'Dados - Cliente'!Q380</f>
        <v>0</v>
      </c>
      <c r="T380" s="33">
        <f>'Dados - Cliente'!R380</f>
        <v>0</v>
      </c>
      <c r="U380" s="34">
        <f>'Dados - Cliente'!S380</f>
        <v>0</v>
      </c>
      <c r="V380" s="34">
        <f>'Dados - Cliente'!T380</f>
        <v>0</v>
      </c>
      <c r="W380" s="34">
        <f>'Dados - Cliente'!U380</f>
        <v>0</v>
      </c>
      <c r="X380" s="34">
        <f>'Dados - Cliente'!V380</f>
        <v>0</v>
      </c>
      <c r="Y380" s="34">
        <f>'Dados - Cliente'!W380</f>
        <v>0</v>
      </c>
      <c r="Z380" s="34">
        <f>'Dados - Cliente'!X380</f>
        <v>0</v>
      </c>
      <c r="AA380" s="33" t="e">
        <f t="shared" si="27"/>
        <v>#N/A</v>
      </c>
      <c r="AB380" s="33">
        <f>'Dados - Cliente'!Y380</f>
        <v>0</v>
      </c>
      <c r="AC380" s="33">
        <f>'Dados - Cliente'!Z380</f>
        <v>0</v>
      </c>
      <c r="AD380" s="33">
        <f>'Dados - Cliente'!AA380</f>
        <v>0</v>
      </c>
      <c r="AE380" s="33">
        <f>'Dados - Cliente'!AB380</f>
        <v>0</v>
      </c>
      <c r="AF380" s="33">
        <f>'Dados - Cliente'!AC380</f>
        <v>0</v>
      </c>
      <c r="AG380" s="35">
        <f>'Dados - Cliente'!AD380</f>
        <v>0</v>
      </c>
      <c r="AH380" s="33" t="e">
        <f>INDEX('Dados - Placas'!$A:$A,MATCH('1'!AG380,'Dados - Placas'!$D:$D,0))</f>
        <v>#N/A</v>
      </c>
      <c r="AI380" s="35" t="e">
        <f>INDEX('Dados - Placas'!$E:$E,MATCH('1'!AG380,'Dados - Placas'!$D:$D,0))</f>
        <v>#N/A</v>
      </c>
      <c r="AJ380" s="34" t="e">
        <f>INDEX('Dados - Placas'!$F:$F,MATCH('1'!AG380,'Dados - Placas'!$D:$D,0))*AF380</f>
        <v>#N/A</v>
      </c>
      <c r="AK380" s="33">
        <f>'Dados - Cliente'!AE380</f>
        <v>0</v>
      </c>
      <c r="AL380" s="33">
        <f>'Dados - Cliente'!AF380</f>
        <v>0</v>
      </c>
      <c r="AM380" s="36" t="e">
        <f>INDEX('Dados - Inversores'!$A:$A,MATCH('1'!AL380,'Dados - Inversores'!$C:$C,0))</f>
        <v>#N/A</v>
      </c>
      <c r="AN380" s="33">
        <f>'Dados - Cliente'!AG380</f>
        <v>0</v>
      </c>
      <c r="AO380" s="33" t="e">
        <f>AA380*1.25/(0.22*SQRT(INDEX('Dados - Inversores'!AK:AK,MATCH('1'!AL380,'Dados - Inversores'!C:C,0))))</f>
        <v>#N/A</v>
      </c>
      <c r="AP380" s="34">
        <f>INDEX(Dados!$E$2:$E$33,COUNTIF(Dados!$E$2:$E$33,"&lt;="&amp;AN380*1.25/(INDEX('Dados - Inversores'!AL:AL,MATCH('1'!AL380,'Dados - Inversores'!C:C,0))*SQRT(INDEX('Dados - Inversores'!AK:AK,MATCH('1'!AL380,'Dados - Inversores'!C:C,0)))))+1)</f>
        <v>2</v>
      </c>
      <c r="AQ380" s="33" t="s">
        <v>59</v>
      </c>
      <c r="AR380" s="33" t="str">
        <f t="shared" si="28"/>
        <v>Micro</v>
      </c>
      <c r="AS380" s="33">
        <f>'Dados - Cliente'!AH380</f>
        <v>0</v>
      </c>
      <c r="AT380" s="33">
        <f>'Dados - Cliente'!AI380</f>
        <v>0</v>
      </c>
      <c r="AU380" s="33" t="e">
        <f>INDEX('Dados - Placas'!$N:$N,MATCH('1'!AG380,'Dados - Placas'!$D:$D,0))-1</f>
        <v>#N/A</v>
      </c>
      <c r="AV380" s="33" t="e">
        <f>INDEX('Dados - Placas'!$O:$O,MATCH('1'!AG380,'Dados - Placas'!$D:$D,0))</f>
        <v>#N/A</v>
      </c>
      <c r="AW380" s="33" t="e">
        <f>INDEX('Dados - Inversores'!AM:AM,MATCH('1'!AL380,'Dados - Inversores'!$C:$C,0))-1</f>
        <v>#N/A</v>
      </c>
      <c r="AX380" s="33" t="e">
        <f>INDEX('Dados - Inversores'!AN:AN,MATCH('1'!AL380,'Dados - Inversores'!$C:$C,0))-1</f>
        <v>#N/A</v>
      </c>
      <c r="AY380" s="33" t="e">
        <f>MATCH('1'!H380,Dados!$D$89:$D$167,0)+1</f>
        <v>#N/A</v>
      </c>
      <c r="AZ380" s="33" t="e">
        <f>MATCH('1'!N380,'Dados - Solicitação de acesso'!$N$2:$N$8,0)</f>
        <v>#N/A</v>
      </c>
      <c r="BA380" s="33" t="e">
        <f>MATCH('1'!T380,'Dados - Solicitação de acesso'!$T$2:$T$20,0)</f>
        <v>#N/A</v>
      </c>
    </row>
    <row r="381" spans="1:53" x14ac:dyDescent="0.35">
      <c r="A381" s="33">
        <f>'Dados - Cliente'!A381</f>
        <v>0</v>
      </c>
      <c r="B381" s="33">
        <f>'Dados - Cliente'!B381</f>
        <v>0</v>
      </c>
      <c r="C381" s="33">
        <f>'Dados - Cliente'!C381</f>
        <v>0</v>
      </c>
      <c r="D381" s="33">
        <f>'Dados - Cliente'!D381</f>
        <v>0</v>
      </c>
      <c r="E381" s="33">
        <f>'Dados - Cliente'!E381</f>
        <v>0</v>
      </c>
      <c r="F381" s="33">
        <f>'Dados - Cliente'!F381</f>
        <v>0</v>
      </c>
      <c r="G381" s="33">
        <f>'Dados - Cliente'!G381</f>
        <v>0</v>
      </c>
      <c r="H381" s="33">
        <f>'Dados - Cliente'!H381</f>
        <v>0</v>
      </c>
      <c r="I381" s="75" t="s">
        <v>4313</v>
      </c>
      <c r="J381" s="52" t="s">
        <v>4314</v>
      </c>
      <c r="K381" s="52" t="s">
        <v>4314</v>
      </c>
      <c r="L381" s="33">
        <f>'Dados - Cliente'!I381</f>
        <v>0</v>
      </c>
      <c r="M381" s="33">
        <f>'Dados - Cliente'!K381</f>
        <v>0</v>
      </c>
      <c r="N381" s="33">
        <f>'Dados - Cliente'!L381</f>
        <v>0</v>
      </c>
      <c r="O381" s="33">
        <f>'Dados - Cliente'!M381</f>
        <v>0</v>
      </c>
      <c r="P381" s="33">
        <f>'Dados - Cliente'!N381</f>
        <v>0</v>
      </c>
      <c r="Q381" s="33">
        <f>'Dados - Cliente'!O381</f>
        <v>0</v>
      </c>
      <c r="R381" s="33">
        <f>'Dados - Cliente'!P381</f>
        <v>0</v>
      </c>
      <c r="S381" s="33">
        <f>'Dados - Cliente'!Q381</f>
        <v>0</v>
      </c>
      <c r="T381" s="33">
        <f>'Dados - Cliente'!R381</f>
        <v>0</v>
      </c>
      <c r="U381" s="34">
        <f>'Dados - Cliente'!S381</f>
        <v>0</v>
      </c>
      <c r="V381" s="34">
        <f>'Dados - Cliente'!T381</f>
        <v>0</v>
      </c>
      <c r="W381" s="34">
        <f>'Dados - Cliente'!U381</f>
        <v>0</v>
      </c>
      <c r="X381" s="34">
        <f>'Dados - Cliente'!V381</f>
        <v>0</v>
      </c>
      <c r="Y381" s="34">
        <f>'Dados - Cliente'!W381</f>
        <v>0</v>
      </c>
      <c r="Z381" s="34">
        <f>'Dados - Cliente'!X381</f>
        <v>0</v>
      </c>
      <c r="AA381" s="33" t="e">
        <f t="shared" si="27"/>
        <v>#N/A</v>
      </c>
      <c r="AB381" s="33">
        <f>'Dados - Cliente'!Y381</f>
        <v>0</v>
      </c>
      <c r="AC381" s="33">
        <f>'Dados - Cliente'!Z381</f>
        <v>0</v>
      </c>
      <c r="AD381" s="33">
        <f>'Dados - Cliente'!AA381</f>
        <v>0</v>
      </c>
      <c r="AE381" s="33">
        <f>'Dados - Cliente'!AB381</f>
        <v>0</v>
      </c>
      <c r="AF381" s="33">
        <f>'Dados - Cliente'!AC381</f>
        <v>0</v>
      </c>
      <c r="AG381" s="35">
        <f>'Dados - Cliente'!AD381</f>
        <v>0</v>
      </c>
      <c r="AH381" s="33" t="e">
        <f>INDEX('Dados - Placas'!$A:$A,MATCH('1'!AG381,'Dados - Placas'!$D:$D,0))</f>
        <v>#N/A</v>
      </c>
      <c r="AI381" s="35" t="e">
        <f>INDEX('Dados - Placas'!$E:$E,MATCH('1'!AG381,'Dados - Placas'!$D:$D,0))</f>
        <v>#N/A</v>
      </c>
      <c r="AJ381" s="34" t="e">
        <f>INDEX('Dados - Placas'!$F:$F,MATCH('1'!AG381,'Dados - Placas'!$D:$D,0))*AF381</f>
        <v>#N/A</v>
      </c>
      <c r="AK381" s="33">
        <f>'Dados - Cliente'!AE381</f>
        <v>0</v>
      </c>
      <c r="AL381" s="33">
        <f>'Dados - Cliente'!AF381</f>
        <v>0</v>
      </c>
      <c r="AM381" s="36" t="e">
        <f>INDEX('Dados - Inversores'!$A:$A,MATCH('1'!AL381,'Dados - Inversores'!$C:$C,0))</f>
        <v>#N/A</v>
      </c>
      <c r="AN381" s="33">
        <f>'Dados - Cliente'!AG381</f>
        <v>0</v>
      </c>
      <c r="AO381" s="33" t="e">
        <f>AA381*1.25/(0.22*SQRT(INDEX('Dados - Inversores'!AK:AK,MATCH('1'!AL381,'Dados - Inversores'!C:C,0))))</f>
        <v>#N/A</v>
      </c>
      <c r="AP381" s="34">
        <f>INDEX(Dados!$E$2:$E$33,COUNTIF(Dados!$E$2:$E$33,"&lt;="&amp;AN381*1.25/(INDEX('Dados - Inversores'!AL:AL,MATCH('1'!AL381,'Dados - Inversores'!C:C,0))*SQRT(INDEX('Dados - Inversores'!AK:AK,MATCH('1'!AL381,'Dados - Inversores'!C:C,0)))))+1)</f>
        <v>2</v>
      </c>
      <c r="AQ381" s="33" t="s">
        <v>59</v>
      </c>
      <c r="AR381" s="33" t="str">
        <f t="shared" si="28"/>
        <v>Micro</v>
      </c>
      <c r="AS381" s="33">
        <f>'Dados - Cliente'!AH381</f>
        <v>0</v>
      </c>
      <c r="AT381" s="33">
        <f>'Dados - Cliente'!AI381</f>
        <v>0</v>
      </c>
      <c r="AU381" s="33" t="e">
        <f>INDEX('Dados - Placas'!$N:$N,MATCH('1'!AG381,'Dados - Placas'!$D:$D,0))-1</f>
        <v>#N/A</v>
      </c>
      <c r="AV381" s="33" t="e">
        <f>INDEX('Dados - Placas'!$O:$O,MATCH('1'!AG381,'Dados - Placas'!$D:$D,0))</f>
        <v>#N/A</v>
      </c>
      <c r="AW381" s="33" t="e">
        <f>INDEX('Dados - Inversores'!AM:AM,MATCH('1'!AL381,'Dados - Inversores'!$C:$C,0))-1</f>
        <v>#N/A</v>
      </c>
      <c r="AX381" s="33" t="e">
        <f>INDEX('Dados - Inversores'!AN:AN,MATCH('1'!AL381,'Dados - Inversores'!$C:$C,0))-1</f>
        <v>#N/A</v>
      </c>
      <c r="AY381" s="33" t="e">
        <f>MATCH('1'!H381,Dados!$D$89:$D$167,0)+1</f>
        <v>#N/A</v>
      </c>
      <c r="AZ381" s="33" t="e">
        <f>MATCH('1'!N381,'Dados - Solicitação de acesso'!$N$2:$N$8,0)</f>
        <v>#N/A</v>
      </c>
      <c r="BA381" s="33" t="e">
        <f>MATCH('1'!T381,'Dados - Solicitação de acesso'!$T$2:$T$20,0)</f>
        <v>#N/A</v>
      </c>
    </row>
    <row r="382" spans="1:53" x14ac:dyDescent="0.35">
      <c r="A382" s="33">
        <f>'Dados - Cliente'!A382</f>
        <v>0</v>
      </c>
      <c r="B382" s="33">
        <f>'Dados - Cliente'!B382</f>
        <v>0</v>
      </c>
      <c r="C382" s="33">
        <f>'Dados - Cliente'!C382</f>
        <v>0</v>
      </c>
      <c r="D382" s="33">
        <f>'Dados - Cliente'!D382</f>
        <v>0</v>
      </c>
      <c r="E382" s="33">
        <f>'Dados - Cliente'!E382</f>
        <v>0</v>
      </c>
      <c r="F382" s="33">
        <f>'Dados - Cliente'!F382</f>
        <v>0</v>
      </c>
      <c r="G382" s="33">
        <f>'Dados - Cliente'!G382</f>
        <v>0</v>
      </c>
      <c r="H382" s="33">
        <f>'Dados - Cliente'!H382</f>
        <v>0</v>
      </c>
      <c r="I382" s="75" t="s">
        <v>4313</v>
      </c>
      <c r="J382" s="52" t="s">
        <v>4314</v>
      </c>
      <c r="K382" s="52" t="s">
        <v>4314</v>
      </c>
      <c r="L382" s="33">
        <f>'Dados - Cliente'!I382</f>
        <v>0</v>
      </c>
      <c r="M382" s="33">
        <f>'Dados - Cliente'!K382</f>
        <v>0</v>
      </c>
      <c r="N382" s="33">
        <f>'Dados - Cliente'!L382</f>
        <v>0</v>
      </c>
      <c r="O382" s="33">
        <f>'Dados - Cliente'!M382</f>
        <v>0</v>
      </c>
      <c r="P382" s="33">
        <f>'Dados - Cliente'!N382</f>
        <v>0</v>
      </c>
      <c r="Q382" s="33">
        <f>'Dados - Cliente'!O382</f>
        <v>0</v>
      </c>
      <c r="R382" s="33">
        <f>'Dados - Cliente'!P382</f>
        <v>0</v>
      </c>
      <c r="S382" s="33">
        <f>'Dados - Cliente'!Q382</f>
        <v>0</v>
      </c>
      <c r="T382" s="33">
        <f>'Dados - Cliente'!R382</f>
        <v>0</v>
      </c>
      <c r="U382" s="34">
        <f>'Dados - Cliente'!S382</f>
        <v>0</v>
      </c>
      <c r="V382" s="34">
        <f>'Dados - Cliente'!T382</f>
        <v>0</v>
      </c>
      <c r="W382" s="34">
        <f>'Dados - Cliente'!U382</f>
        <v>0</v>
      </c>
      <c r="X382" s="34">
        <f>'Dados - Cliente'!V382</f>
        <v>0</v>
      </c>
      <c r="Y382" s="34">
        <f>'Dados - Cliente'!W382</f>
        <v>0</v>
      </c>
      <c r="Z382" s="34">
        <f>'Dados - Cliente'!X382</f>
        <v>0</v>
      </c>
      <c r="AA382" s="33" t="e">
        <f t="shared" si="27"/>
        <v>#N/A</v>
      </c>
      <c r="AB382" s="33">
        <f>'Dados - Cliente'!Y382</f>
        <v>0</v>
      </c>
      <c r="AC382" s="33">
        <f>'Dados - Cliente'!Z382</f>
        <v>0</v>
      </c>
      <c r="AD382" s="33">
        <f>'Dados - Cliente'!AA382</f>
        <v>0</v>
      </c>
      <c r="AE382" s="33">
        <f>'Dados - Cliente'!AB382</f>
        <v>0</v>
      </c>
      <c r="AF382" s="33">
        <f>'Dados - Cliente'!AC382</f>
        <v>0</v>
      </c>
      <c r="AG382" s="35">
        <f>'Dados - Cliente'!AD382</f>
        <v>0</v>
      </c>
      <c r="AH382" s="33" t="e">
        <f>INDEX('Dados - Placas'!$A:$A,MATCH('1'!AG382,'Dados - Placas'!$D:$D,0))</f>
        <v>#N/A</v>
      </c>
      <c r="AI382" s="35" t="e">
        <f>INDEX('Dados - Placas'!$E:$E,MATCH('1'!AG382,'Dados - Placas'!$D:$D,0))</f>
        <v>#N/A</v>
      </c>
      <c r="AJ382" s="34" t="e">
        <f>INDEX('Dados - Placas'!$F:$F,MATCH('1'!AG382,'Dados - Placas'!$D:$D,0))*AF382</f>
        <v>#N/A</v>
      </c>
      <c r="AK382" s="33">
        <f>'Dados - Cliente'!AE382</f>
        <v>0</v>
      </c>
      <c r="AL382" s="33">
        <f>'Dados - Cliente'!AF382</f>
        <v>0</v>
      </c>
      <c r="AM382" s="36" t="e">
        <f>INDEX('Dados - Inversores'!$A:$A,MATCH('1'!AL382,'Dados - Inversores'!$C:$C,0))</f>
        <v>#N/A</v>
      </c>
      <c r="AN382" s="33">
        <f>'Dados - Cliente'!AG382</f>
        <v>0</v>
      </c>
      <c r="AO382" s="33" t="e">
        <f>AA382*1.25/(0.22*SQRT(INDEX('Dados - Inversores'!AK:AK,MATCH('1'!AL382,'Dados - Inversores'!C:C,0))))</f>
        <v>#N/A</v>
      </c>
      <c r="AP382" s="34">
        <f>INDEX(Dados!$E$2:$E$33,COUNTIF(Dados!$E$2:$E$33,"&lt;="&amp;AN382*1.25/(INDEX('Dados - Inversores'!AL:AL,MATCH('1'!AL382,'Dados - Inversores'!C:C,0))*SQRT(INDEX('Dados - Inversores'!AK:AK,MATCH('1'!AL382,'Dados - Inversores'!C:C,0)))))+1)</f>
        <v>2</v>
      </c>
      <c r="AQ382" s="33" t="s">
        <v>59</v>
      </c>
      <c r="AR382" s="33" t="str">
        <f t="shared" si="28"/>
        <v>Micro</v>
      </c>
      <c r="AS382" s="33">
        <f>'Dados - Cliente'!AH382</f>
        <v>0</v>
      </c>
      <c r="AT382" s="33">
        <f>'Dados - Cliente'!AI382</f>
        <v>0</v>
      </c>
      <c r="AU382" s="33" t="e">
        <f>INDEX('Dados - Placas'!$N:$N,MATCH('1'!AG382,'Dados - Placas'!$D:$D,0))-1</f>
        <v>#N/A</v>
      </c>
      <c r="AV382" s="33" t="e">
        <f>INDEX('Dados - Placas'!$O:$O,MATCH('1'!AG382,'Dados - Placas'!$D:$D,0))</f>
        <v>#N/A</v>
      </c>
      <c r="AW382" s="33" t="e">
        <f>INDEX('Dados - Inversores'!AM:AM,MATCH('1'!AL382,'Dados - Inversores'!$C:$C,0))-1</f>
        <v>#N/A</v>
      </c>
      <c r="AX382" s="33" t="e">
        <f>INDEX('Dados - Inversores'!AN:AN,MATCH('1'!AL382,'Dados - Inversores'!$C:$C,0))-1</f>
        <v>#N/A</v>
      </c>
      <c r="AY382" s="33" t="e">
        <f>MATCH('1'!H382,Dados!$D$89:$D$167,0)+1</f>
        <v>#N/A</v>
      </c>
      <c r="AZ382" s="33" t="e">
        <f>MATCH('1'!N382,'Dados - Solicitação de acesso'!$N$2:$N$8,0)</f>
        <v>#N/A</v>
      </c>
      <c r="BA382" s="33" t="e">
        <f>MATCH('1'!T382,'Dados - Solicitação de acesso'!$T$2:$T$20,0)</f>
        <v>#N/A</v>
      </c>
    </row>
    <row r="383" spans="1:53" x14ac:dyDescent="0.35">
      <c r="A383" s="33">
        <f>'Dados - Cliente'!A383</f>
        <v>0</v>
      </c>
      <c r="B383" s="33">
        <f>'Dados - Cliente'!B383</f>
        <v>0</v>
      </c>
      <c r="C383" s="33">
        <f>'Dados - Cliente'!C383</f>
        <v>0</v>
      </c>
      <c r="D383" s="33">
        <f>'Dados - Cliente'!D383</f>
        <v>0</v>
      </c>
      <c r="E383" s="33">
        <f>'Dados - Cliente'!E383</f>
        <v>0</v>
      </c>
      <c r="F383" s="33">
        <f>'Dados - Cliente'!F383</f>
        <v>0</v>
      </c>
      <c r="G383" s="33">
        <f>'Dados - Cliente'!G383</f>
        <v>0</v>
      </c>
      <c r="H383" s="33">
        <f>'Dados - Cliente'!H383</f>
        <v>0</v>
      </c>
      <c r="I383" s="75" t="s">
        <v>4313</v>
      </c>
      <c r="J383" s="52" t="s">
        <v>4314</v>
      </c>
      <c r="K383" s="52" t="s">
        <v>4314</v>
      </c>
      <c r="L383" s="33">
        <f>'Dados - Cliente'!I383</f>
        <v>0</v>
      </c>
      <c r="M383" s="33">
        <f>'Dados - Cliente'!K383</f>
        <v>0</v>
      </c>
      <c r="N383" s="33">
        <f>'Dados - Cliente'!L383</f>
        <v>0</v>
      </c>
      <c r="O383" s="33">
        <f>'Dados - Cliente'!M383</f>
        <v>0</v>
      </c>
      <c r="P383" s="33">
        <f>'Dados - Cliente'!N383</f>
        <v>0</v>
      </c>
      <c r="Q383" s="33">
        <f>'Dados - Cliente'!O383</f>
        <v>0</v>
      </c>
      <c r="R383" s="33">
        <f>'Dados - Cliente'!P383</f>
        <v>0</v>
      </c>
      <c r="S383" s="33">
        <f>'Dados - Cliente'!Q383</f>
        <v>0</v>
      </c>
      <c r="T383" s="33">
        <f>'Dados - Cliente'!R383</f>
        <v>0</v>
      </c>
      <c r="U383" s="34">
        <f>'Dados - Cliente'!S383</f>
        <v>0</v>
      </c>
      <c r="V383" s="34">
        <f>'Dados - Cliente'!T383</f>
        <v>0</v>
      </c>
      <c r="W383" s="34">
        <f>'Dados - Cliente'!U383</f>
        <v>0</v>
      </c>
      <c r="X383" s="34">
        <f>'Dados - Cliente'!V383</f>
        <v>0</v>
      </c>
      <c r="Y383" s="34">
        <f>'Dados - Cliente'!W383</f>
        <v>0</v>
      </c>
      <c r="Z383" s="34">
        <f>'Dados - Cliente'!X383</f>
        <v>0</v>
      </c>
      <c r="AA383" s="33" t="e">
        <f t="shared" si="27"/>
        <v>#N/A</v>
      </c>
      <c r="AB383" s="33">
        <f>'Dados - Cliente'!Y383</f>
        <v>0</v>
      </c>
      <c r="AC383" s="33">
        <f>'Dados - Cliente'!Z383</f>
        <v>0</v>
      </c>
      <c r="AD383" s="33">
        <f>'Dados - Cliente'!AA383</f>
        <v>0</v>
      </c>
      <c r="AE383" s="33">
        <f>'Dados - Cliente'!AB383</f>
        <v>0</v>
      </c>
      <c r="AF383" s="33">
        <f>'Dados - Cliente'!AC383</f>
        <v>0</v>
      </c>
      <c r="AG383" s="35">
        <f>'Dados - Cliente'!AD383</f>
        <v>0</v>
      </c>
      <c r="AH383" s="33" t="e">
        <f>INDEX('Dados - Placas'!$A:$A,MATCH('1'!AG383,'Dados - Placas'!$D:$D,0))</f>
        <v>#N/A</v>
      </c>
      <c r="AI383" s="35" t="e">
        <f>INDEX('Dados - Placas'!$E:$E,MATCH('1'!AG383,'Dados - Placas'!$D:$D,0))</f>
        <v>#N/A</v>
      </c>
      <c r="AJ383" s="34" t="e">
        <f>INDEX('Dados - Placas'!$F:$F,MATCH('1'!AG383,'Dados - Placas'!$D:$D,0))*AF383</f>
        <v>#N/A</v>
      </c>
      <c r="AK383" s="33">
        <f>'Dados - Cliente'!AE383</f>
        <v>0</v>
      </c>
      <c r="AL383" s="33">
        <f>'Dados - Cliente'!AF383</f>
        <v>0</v>
      </c>
      <c r="AM383" s="36" t="e">
        <f>INDEX('Dados - Inversores'!$A:$A,MATCH('1'!AL383,'Dados - Inversores'!$C:$C,0))</f>
        <v>#N/A</v>
      </c>
      <c r="AN383" s="33">
        <f>'Dados - Cliente'!AG383</f>
        <v>0</v>
      </c>
      <c r="AO383" s="33" t="e">
        <f>AA383*1.25/(0.22*SQRT(INDEX('Dados - Inversores'!AK:AK,MATCH('1'!AL383,'Dados - Inversores'!C:C,0))))</f>
        <v>#N/A</v>
      </c>
      <c r="AP383" s="34">
        <f>INDEX(Dados!$E$2:$E$33,COUNTIF(Dados!$E$2:$E$33,"&lt;="&amp;AN383*1.25/(INDEX('Dados - Inversores'!AL:AL,MATCH('1'!AL383,'Dados - Inversores'!C:C,0))*SQRT(INDEX('Dados - Inversores'!AK:AK,MATCH('1'!AL383,'Dados - Inversores'!C:C,0)))))+1)</f>
        <v>2</v>
      </c>
      <c r="AQ383" s="33" t="s">
        <v>59</v>
      </c>
      <c r="AR383" s="33" t="str">
        <f t="shared" si="28"/>
        <v>Micro</v>
      </c>
      <c r="AS383" s="33">
        <f>'Dados - Cliente'!AH383</f>
        <v>0</v>
      </c>
      <c r="AT383" s="33">
        <f>'Dados - Cliente'!AI383</f>
        <v>0</v>
      </c>
      <c r="AU383" s="33" t="e">
        <f>INDEX('Dados - Placas'!$N:$N,MATCH('1'!AG383,'Dados - Placas'!$D:$D,0))-1</f>
        <v>#N/A</v>
      </c>
      <c r="AV383" s="33" t="e">
        <f>INDEX('Dados - Placas'!$O:$O,MATCH('1'!AG383,'Dados - Placas'!$D:$D,0))</f>
        <v>#N/A</v>
      </c>
      <c r="AW383" s="33" t="e">
        <f>INDEX('Dados - Inversores'!AM:AM,MATCH('1'!AL383,'Dados - Inversores'!$C:$C,0))-1</f>
        <v>#N/A</v>
      </c>
      <c r="AX383" s="33" t="e">
        <f>INDEX('Dados - Inversores'!AN:AN,MATCH('1'!AL383,'Dados - Inversores'!$C:$C,0))-1</f>
        <v>#N/A</v>
      </c>
      <c r="AY383" s="33" t="e">
        <f>MATCH('1'!H383,Dados!$D$89:$D$167,0)+1</f>
        <v>#N/A</v>
      </c>
      <c r="AZ383" s="33" t="e">
        <f>MATCH('1'!N383,'Dados - Solicitação de acesso'!$N$2:$N$8,0)</f>
        <v>#N/A</v>
      </c>
      <c r="BA383" s="33" t="e">
        <f>MATCH('1'!T383,'Dados - Solicitação de acesso'!$T$2:$T$20,0)</f>
        <v>#N/A</v>
      </c>
    </row>
    <row r="384" spans="1:53" x14ac:dyDescent="0.35">
      <c r="A384" s="33">
        <f>'Dados - Cliente'!A384</f>
        <v>0</v>
      </c>
      <c r="B384" s="33">
        <f>'Dados - Cliente'!B384</f>
        <v>0</v>
      </c>
      <c r="C384" s="33">
        <f>'Dados - Cliente'!C384</f>
        <v>0</v>
      </c>
      <c r="D384" s="33">
        <f>'Dados - Cliente'!D384</f>
        <v>0</v>
      </c>
      <c r="E384" s="33">
        <f>'Dados - Cliente'!E384</f>
        <v>0</v>
      </c>
      <c r="F384" s="33">
        <f>'Dados - Cliente'!F384</f>
        <v>0</v>
      </c>
      <c r="G384" s="33">
        <f>'Dados - Cliente'!G384</f>
        <v>0</v>
      </c>
      <c r="H384" s="33">
        <f>'Dados - Cliente'!H384</f>
        <v>0</v>
      </c>
      <c r="I384" s="75" t="s">
        <v>4313</v>
      </c>
      <c r="J384" s="52" t="s">
        <v>4314</v>
      </c>
      <c r="K384" s="52" t="s">
        <v>4314</v>
      </c>
      <c r="L384" s="33">
        <f>'Dados - Cliente'!I384</f>
        <v>0</v>
      </c>
      <c r="M384" s="33">
        <f>'Dados - Cliente'!K384</f>
        <v>0</v>
      </c>
      <c r="N384" s="33">
        <f>'Dados - Cliente'!L384</f>
        <v>0</v>
      </c>
      <c r="O384" s="33">
        <f>'Dados - Cliente'!M384</f>
        <v>0</v>
      </c>
      <c r="P384" s="33">
        <f>'Dados - Cliente'!N384</f>
        <v>0</v>
      </c>
      <c r="Q384" s="33">
        <f>'Dados - Cliente'!O384</f>
        <v>0</v>
      </c>
      <c r="R384" s="33">
        <f>'Dados - Cliente'!P384</f>
        <v>0</v>
      </c>
      <c r="S384" s="33">
        <f>'Dados - Cliente'!Q384</f>
        <v>0</v>
      </c>
      <c r="T384" s="33">
        <f>'Dados - Cliente'!R384</f>
        <v>0</v>
      </c>
      <c r="U384" s="34">
        <f>'Dados - Cliente'!S384</f>
        <v>0</v>
      </c>
      <c r="V384" s="34">
        <f>'Dados - Cliente'!T384</f>
        <v>0</v>
      </c>
      <c r="W384" s="34">
        <f>'Dados - Cliente'!U384</f>
        <v>0</v>
      </c>
      <c r="X384" s="34">
        <f>'Dados - Cliente'!V384</f>
        <v>0</v>
      </c>
      <c r="Y384" s="34">
        <f>'Dados - Cliente'!W384</f>
        <v>0</v>
      </c>
      <c r="Z384" s="34">
        <f>'Dados - Cliente'!X384</f>
        <v>0</v>
      </c>
      <c r="AA384" s="33" t="e">
        <f t="shared" si="27"/>
        <v>#N/A</v>
      </c>
      <c r="AB384" s="33">
        <f>'Dados - Cliente'!Y384</f>
        <v>0</v>
      </c>
      <c r="AC384" s="33">
        <f>'Dados - Cliente'!Z384</f>
        <v>0</v>
      </c>
      <c r="AD384" s="33">
        <f>'Dados - Cliente'!AA384</f>
        <v>0</v>
      </c>
      <c r="AE384" s="33">
        <f>'Dados - Cliente'!AB384</f>
        <v>0</v>
      </c>
      <c r="AF384" s="33">
        <f>'Dados - Cliente'!AC384</f>
        <v>0</v>
      </c>
      <c r="AG384" s="35">
        <f>'Dados - Cliente'!AD384</f>
        <v>0</v>
      </c>
      <c r="AH384" s="33" t="e">
        <f>INDEX('Dados - Placas'!$A:$A,MATCH('1'!AG384,'Dados - Placas'!$D:$D,0))</f>
        <v>#N/A</v>
      </c>
      <c r="AI384" s="35" t="e">
        <f>INDEX('Dados - Placas'!$E:$E,MATCH('1'!AG384,'Dados - Placas'!$D:$D,0))</f>
        <v>#N/A</v>
      </c>
      <c r="AJ384" s="34" t="e">
        <f>INDEX('Dados - Placas'!$F:$F,MATCH('1'!AG384,'Dados - Placas'!$D:$D,0))*AF384</f>
        <v>#N/A</v>
      </c>
      <c r="AK384" s="33">
        <f>'Dados - Cliente'!AE384</f>
        <v>0</v>
      </c>
      <c r="AL384" s="33">
        <f>'Dados - Cliente'!AF384</f>
        <v>0</v>
      </c>
      <c r="AM384" s="36" t="e">
        <f>INDEX('Dados - Inversores'!$A:$A,MATCH('1'!AL384,'Dados - Inversores'!$C:$C,0))</f>
        <v>#N/A</v>
      </c>
      <c r="AN384" s="33">
        <f>'Dados - Cliente'!AG384</f>
        <v>0</v>
      </c>
      <c r="AO384" s="33" t="e">
        <f>AA384*1.25/(0.22*SQRT(INDEX('Dados - Inversores'!AK:AK,MATCH('1'!AL384,'Dados - Inversores'!C:C,0))))</f>
        <v>#N/A</v>
      </c>
      <c r="AP384" s="34">
        <f>INDEX(Dados!$E$2:$E$33,COUNTIF(Dados!$E$2:$E$33,"&lt;="&amp;AN384*1.25/(INDEX('Dados - Inversores'!AL:AL,MATCH('1'!AL384,'Dados - Inversores'!C:C,0))*SQRT(INDEX('Dados - Inversores'!AK:AK,MATCH('1'!AL384,'Dados - Inversores'!C:C,0)))))+1)</f>
        <v>2</v>
      </c>
      <c r="AQ384" s="33" t="s">
        <v>59</v>
      </c>
      <c r="AR384" s="33" t="str">
        <f t="shared" si="28"/>
        <v>Micro</v>
      </c>
      <c r="AS384" s="33">
        <f>'Dados - Cliente'!AH384</f>
        <v>0</v>
      </c>
      <c r="AT384" s="33">
        <f>'Dados - Cliente'!AI384</f>
        <v>0</v>
      </c>
      <c r="AU384" s="33" t="e">
        <f>INDEX('Dados - Placas'!$N:$N,MATCH('1'!AG384,'Dados - Placas'!$D:$D,0))-1</f>
        <v>#N/A</v>
      </c>
      <c r="AV384" s="33" t="e">
        <f>INDEX('Dados - Placas'!$O:$O,MATCH('1'!AG384,'Dados - Placas'!$D:$D,0))</f>
        <v>#N/A</v>
      </c>
      <c r="AW384" s="33" t="e">
        <f>INDEX('Dados - Inversores'!AM:AM,MATCH('1'!AL384,'Dados - Inversores'!$C:$C,0))-1</f>
        <v>#N/A</v>
      </c>
      <c r="AX384" s="33" t="e">
        <f>INDEX('Dados - Inversores'!AN:AN,MATCH('1'!AL384,'Dados - Inversores'!$C:$C,0))-1</f>
        <v>#N/A</v>
      </c>
      <c r="AY384" s="33" t="e">
        <f>MATCH('1'!H384,Dados!$D$89:$D$167,0)+1</f>
        <v>#N/A</v>
      </c>
      <c r="AZ384" s="33" t="e">
        <f>MATCH('1'!N384,'Dados - Solicitação de acesso'!$N$2:$N$8,0)</f>
        <v>#N/A</v>
      </c>
      <c r="BA384" s="33" t="e">
        <f>MATCH('1'!T384,'Dados - Solicitação de acesso'!$T$2:$T$20,0)</f>
        <v>#N/A</v>
      </c>
    </row>
    <row r="385" spans="1:53" x14ac:dyDescent="0.35">
      <c r="A385" s="33">
        <f>'Dados - Cliente'!A385</f>
        <v>0</v>
      </c>
      <c r="B385" s="33">
        <f>'Dados - Cliente'!B385</f>
        <v>0</v>
      </c>
      <c r="C385" s="33">
        <f>'Dados - Cliente'!C385</f>
        <v>0</v>
      </c>
      <c r="D385" s="33">
        <f>'Dados - Cliente'!D385</f>
        <v>0</v>
      </c>
      <c r="E385" s="33">
        <f>'Dados - Cliente'!E385</f>
        <v>0</v>
      </c>
      <c r="F385" s="33">
        <f>'Dados - Cliente'!F385</f>
        <v>0</v>
      </c>
      <c r="G385" s="33">
        <f>'Dados - Cliente'!G385</f>
        <v>0</v>
      </c>
      <c r="H385" s="33">
        <f>'Dados - Cliente'!H385</f>
        <v>0</v>
      </c>
      <c r="I385" s="75" t="s">
        <v>4313</v>
      </c>
      <c r="J385" s="52" t="s">
        <v>4314</v>
      </c>
      <c r="K385" s="52" t="s">
        <v>4314</v>
      </c>
      <c r="L385" s="33">
        <f>'Dados - Cliente'!I385</f>
        <v>0</v>
      </c>
      <c r="M385" s="33">
        <f>'Dados - Cliente'!K385</f>
        <v>0</v>
      </c>
      <c r="N385" s="33">
        <f>'Dados - Cliente'!L385</f>
        <v>0</v>
      </c>
      <c r="O385" s="33">
        <f>'Dados - Cliente'!M385</f>
        <v>0</v>
      </c>
      <c r="P385" s="33">
        <f>'Dados - Cliente'!N385</f>
        <v>0</v>
      </c>
      <c r="Q385" s="33">
        <f>'Dados - Cliente'!O385</f>
        <v>0</v>
      </c>
      <c r="R385" s="33">
        <f>'Dados - Cliente'!P385</f>
        <v>0</v>
      </c>
      <c r="S385" s="33">
        <f>'Dados - Cliente'!Q385</f>
        <v>0</v>
      </c>
      <c r="T385" s="33">
        <f>'Dados - Cliente'!R385</f>
        <v>0</v>
      </c>
      <c r="U385" s="34">
        <f>'Dados - Cliente'!S385</f>
        <v>0</v>
      </c>
      <c r="V385" s="34">
        <f>'Dados - Cliente'!T385</f>
        <v>0</v>
      </c>
      <c r="W385" s="34">
        <f>'Dados - Cliente'!U385</f>
        <v>0</v>
      </c>
      <c r="X385" s="34">
        <f>'Dados - Cliente'!V385</f>
        <v>0</v>
      </c>
      <c r="Y385" s="34">
        <f>'Dados - Cliente'!W385</f>
        <v>0</v>
      </c>
      <c r="Z385" s="34">
        <f>'Dados - Cliente'!X385</f>
        <v>0</v>
      </c>
      <c r="AA385" s="33" t="e">
        <f t="shared" si="27"/>
        <v>#N/A</v>
      </c>
      <c r="AB385" s="33">
        <f>'Dados - Cliente'!Y385</f>
        <v>0</v>
      </c>
      <c r="AC385" s="33">
        <f>'Dados - Cliente'!Z385</f>
        <v>0</v>
      </c>
      <c r="AD385" s="33">
        <f>'Dados - Cliente'!AA385</f>
        <v>0</v>
      </c>
      <c r="AE385" s="33">
        <f>'Dados - Cliente'!AB385</f>
        <v>0</v>
      </c>
      <c r="AF385" s="33">
        <f>'Dados - Cliente'!AC385</f>
        <v>0</v>
      </c>
      <c r="AG385" s="35">
        <f>'Dados - Cliente'!AD385</f>
        <v>0</v>
      </c>
      <c r="AH385" s="33" t="e">
        <f>INDEX('Dados - Placas'!$A:$A,MATCH('1'!AG385,'Dados - Placas'!$D:$D,0))</f>
        <v>#N/A</v>
      </c>
      <c r="AI385" s="35" t="e">
        <f>INDEX('Dados - Placas'!$E:$E,MATCH('1'!AG385,'Dados - Placas'!$D:$D,0))</f>
        <v>#N/A</v>
      </c>
      <c r="AJ385" s="34" t="e">
        <f>INDEX('Dados - Placas'!$F:$F,MATCH('1'!AG385,'Dados - Placas'!$D:$D,0))*AF385</f>
        <v>#N/A</v>
      </c>
      <c r="AK385" s="33">
        <f>'Dados - Cliente'!AE385</f>
        <v>0</v>
      </c>
      <c r="AL385" s="33">
        <f>'Dados - Cliente'!AF385</f>
        <v>0</v>
      </c>
      <c r="AM385" s="36" t="e">
        <f>INDEX('Dados - Inversores'!$A:$A,MATCH('1'!AL385,'Dados - Inversores'!$C:$C,0))</f>
        <v>#N/A</v>
      </c>
      <c r="AN385" s="33">
        <f>'Dados - Cliente'!AG385</f>
        <v>0</v>
      </c>
      <c r="AO385" s="33" t="e">
        <f>AA385*1.25/(0.22*SQRT(INDEX('Dados - Inversores'!AK:AK,MATCH('1'!AL385,'Dados - Inversores'!C:C,0))))</f>
        <v>#N/A</v>
      </c>
      <c r="AP385" s="34">
        <f>INDEX(Dados!$E$2:$E$33,COUNTIF(Dados!$E$2:$E$33,"&lt;="&amp;AN385*1.25/(INDEX('Dados - Inversores'!AL:AL,MATCH('1'!AL385,'Dados - Inversores'!C:C,0))*SQRT(INDEX('Dados - Inversores'!AK:AK,MATCH('1'!AL385,'Dados - Inversores'!C:C,0)))))+1)</f>
        <v>2</v>
      </c>
      <c r="AQ385" s="33" t="s">
        <v>59</v>
      </c>
      <c r="AR385" s="33" t="str">
        <f t="shared" si="28"/>
        <v>Micro</v>
      </c>
      <c r="AS385" s="33">
        <f>'Dados - Cliente'!AH385</f>
        <v>0</v>
      </c>
      <c r="AT385" s="33">
        <f>'Dados - Cliente'!AI385</f>
        <v>0</v>
      </c>
      <c r="AU385" s="33" t="e">
        <f>INDEX('Dados - Placas'!$N:$N,MATCH('1'!AG385,'Dados - Placas'!$D:$D,0))-1</f>
        <v>#N/A</v>
      </c>
      <c r="AV385" s="33" t="e">
        <f>INDEX('Dados - Placas'!$O:$O,MATCH('1'!AG385,'Dados - Placas'!$D:$D,0))</f>
        <v>#N/A</v>
      </c>
      <c r="AW385" s="33" t="e">
        <f>INDEX('Dados - Inversores'!AM:AM,MATCH('1'!AL385,'Dados - Inversores'!$C:$C,0))-1</f>
        <v>#N/A</v>
      </c>
      <c r="AX385" s="33" t="e">
        <f>INDEX('Dados - Inversores'!AN:AN,MATCH('1'!AL385,'Dados - Inversores'!$C:$C,0))-1</f>
        <v>#N/A</v>
      </c>
      <c r="AY385" s="33" t="e">
        <f>MATCH('1'!H385,Dados!$D$89:$D$167,0)+1</f>
        <v>#N/A</v>
      </c>
      <c r="AZ385" s="33" t="e">
        <f>MATCH('1'!N385,'Dados - Solicitação de acesso'!$N$2:$N$8,0)</f>
        <v>#N/A</v>
      </c>
      <c r="BA385" s="33" t="e">
        <f>MATCH('1'!T385,'Dados - Solicitação de acesso'!$T$2:$T$20,0)</f>
        <v>#N/A</v>
      </c>
    </row>
    <row r="386" spans="1:53" x14ac:dyDescent="0.35">
      <c r="A386" s="33">
        <f>'Dados - Cliente'!A386</f>
        <v>0</v>
      </c>
      <c r="B386" s="33">
        <f>'Dados - Cliente'!B386</f>
        <v>0</v>
      </c>
      <c r="C386" s="33">
        <f>'Dados - Cliente'!C386</f>
        <v>0</v>
      </c>
      <c r="D386" s="33">
        <f>'Dados - Cliente'!D386</f>
        <v>0</v>
      </c>
      <c r="E386" s="33">
        <f>'Dados - Cliente'!E386</f>
        <v>0</v>
      </c>
      <c r="F386" s="33">
        <f>'Dados - Cliente'!F386</f>
        <v>0</v>
      </c>
      <c r="G386" s="33">
        <f>'Dados - Cliente'!G386</f>
        <v>0</v>
      </c>
      <c r="H386" s="33">
        <f>'Dados - Cliente'!H386</f>
        <v>0</v>
      </c>
      <c r="I386" s="75" t="s">
        <v>4313</v>
      </c>
      <c r="J386" s="52" t="s">
        <v>4314</v>
      </c>
      <c r="K386" s="52" t="s">
        <v>4314</v>
      </c>
      <c r="L386" s="33">
        <f>'Dados - Cliente'!I386</f>
        <v>0</v>
      </c>
      <c r="M386" s="33">
        <f>'Dados - Cliente'!K386</f>
        <v>0</v>
      </c>
      <c r="N386" s="33">
        <f>'Dados - Cliente'!L386</f>
        <v>0</v>
      </c>
      <c r="O386" s="33">
        <f>'Dados - Cliente'!M386</f>
        <v>0</v>
      </c>
      <c r="P386" s="33">
        <f>'Dados - Cliente'!N386</f>
        <v>0</v>
      </c>
      <c r="Q386" s="33">
        <f>'Dados - Cliente'!O386</f>
        <v>0</v>
      </c>
      <c r="R386" s="33">
        <f>'Dados - Cliente'!P386</f>
        <v>0</v>
      </c>
      <c r="S386" s="33">
        <f>'Dados - Cliente'!Q386</f>
        <v>0</v>
      </c>
      <c r="T386" s="33">
        <f>'Dados - Cliente'!R386</f>
        <v>0</v>
      </c>
      <c r="U386" s="34">
        <f>'Dados - Cliente'!S386</f>
        <v>0</v>
      </c>
      <c r="V386" s="34">
        <f>'Dados - Cliente'!T386</f>
        <v>0</v>
      </c>
      <c r="W386" s="34">
        <f>'Dados - Cliente'!U386</f>
        <v>0</v>
      </c>
      <c r="X386" s="34">
        <f>'Dados - Cliente'!V386</f>
        <v>0</v>
      </c>
      <c r="Y386" s="34">
        <f>'Dados - Cliente'!W386</f>
        <v>0</v>
      </c>
      <c r="Z386" s="34">
        <f>'Dados - Cliente'!X386</f>
        <v>0</v>
      </c>
      <c r="AA386" s="33" t="e">
        <f t="shared" si="27"/>
        <v>#N/A</v>
      </c>
      <c r="AB386" s="33">
        <f>'Dados - Cliente'!Y386</f>
        <v>0</v>
      </c>
      <c r="AC386" s="33">
        <f>'Dados - Cliente'!Z386</f>
        <v>0</v>
      </c>
      <c r="AD386" s="33">
        <f>'Dados - Cliente'!AA386</f>
        <v>0</v>
      </c>
      <c r="AE386" s="33">
        <f>'Dados - Cliente'!AB386</f>
        <v>0</v>
      </c>
      <c r="AF386" s="33">
        <f>'Dados - Cliente'!AC386</f>
        <v>0</v>
      </c>
      <c r="AG386" s="35">
        <f>'Dados - Cliente'!AD386</f>
        <v>0</v>
      </c>
      <c r="AH386" s="33" t="e">
        <f>INDEX('Dados - Placas'!$A:$A,MATCH('1'!AG386,'Dados - Placas'!$D:$D,0))</f>
        <v>#N/A</v>
      </c>
      <c r="AI386" s="35" t="e">
        <f>INDEX('Dados - Placas'!$E:$E,MATCH('1'!AG386,'Dados - Placas'!$D:$D,0))</f>
        <v>#N/A</v>
      </c>
      <c r="AJ386" s="34" t="e">
        <f>INDEX('Dados - Placas'!$F:$F,MATCH('1'!AG386,'Dados - Placas'!$D:$D,0))*AF386</f>
        <v>#N/A</v>
      </c>
      <c r="AK386" s="33">
        <f>'Dados - Cliente'!AE386</f>
        <v>0</v>
      </c>
      <c r="AL386" s="33">
        <f>'Dados - Cliente'!AF386</f>
        <v>0</v>
      </c>
      <c r="AM386" s="36" t="e">
        <f>INDEX('Dados - Inversores'!$A:$A,MATCH('1'!AL386,'Dados - Inversores'!$C:$C,0))</f>
        <v>#N/A</v>
      </c>
      <c r="AN386" s="33">
        <f>'Dados - Cliente'!AG386</f>
        <v>0</v>
      </c>
      <c r="AO386" s="33" t="e">
        <f>AA386*1.25/(0.22*SQRT(INDEX('Dados - Inversores'!AK:AK,MATCH('1'!AL386,'Dados - Inversores'!C:C,0))))</f>
        <v>#N/A</v>
      </c>
      <c r="AP386" s="34">
        <f>INDEX(Dados!$E$2:$E$33,COUNTIF(Dados!$E$2:$E$33,"&lt;="&amp;AN386*1.25/(INDEX('Dados - Inversores'!AL:AL,MATCH('1'!AL386,'Dados - Inversores'!C:C,0))*SQRT(INDEX('Dados - Inversores'!AK:AK,MATCH('1'!AL386,'Dados - Inversores'!C:C,0)))))+1)</f>
        <v>2</v>
      </c>
      <c r="AQ386" s="33" t="s">
        <v>59</v>
      </c>
      <c r="AR386" s="33" t="str">
        <f t="shared" si="28"/>
        <v>Micro</v>
      </c>
      <c r="AS386" s="33">
        <f>'Dados - Cliente'!AH386</f>
        <v>0</v>
      </c>
      <c r="AT386" s="33">
        <f>'Dados - Cliente'!AI386</f>
        <v>0</v>
      </c>
      <c r="AU386" s="33" t="e">
        <f>INDEX('Dados - Placas'!$N:$N,MATCH('1'!AG386,'Dados - Placas'!$D:$D,0))-1</f>
        <v>#N/A</v>
      </c>
      <c r="AV386" s="33" t="e">
        <f>INDEX('Dados - Placas'!$O:$O,MATCH('1'!AG386,'Dados - Placas'!$D:$D,0))</f>
        <v>#N/A</v>
      </c>
      <c r="AW386" s="33" t="e">
        <f>INDEX('Dados - Inversores'!AM:AM,MATCH('1'!AL386,'Dados - Inversores'!$C:$C,0))-1</f>
        <v>#N/A</v>
      </c>
      <c r="AX386" s="33" t="e">
        <f>INDEX('Dados - Inversores'!AN:AN,MATCH('1'!AL386,'Dados - Inversores'!$C:$C,0))-1</f>
        <v>#N/A</v>
      </c>
      <c r="AY386" s="33" t="e">
        <f>MATCH('1'!H386,Dados!$D$89:$D$167,0)+1</f>
        <v>#N/A</v>
      </c>
      <c r="AZ386" s="33" t="e">
        <f>MATCH('1'!N386,'Dados - Solicitação de acesso'!$N$2:$N$8,0)</f>
        <v>#N/A</v>
      </c>
      <c r="BA386" s="33" t="e">
        <f>MATCH('1'!T386,'Dados - Solicitação de acesso'!$T$2:$T$20,0)</f>
        <v>#N/A</v>
      </c>
    </row>
    <row r="387" spans="1:53" x14ac:dyDescent="0.35">
      <c r="A387" s="33">
        <f>'Dados - Cliente'!A387</f>
        <v>0</v>
      </c>
      <c r="B387" s="33">
        <f>'Dados - Cliente'!B387</f>
        <v>0</v>
      </c>
      <c r="C387" s="33">
        <f>'Dados - Cliente'!C387</f>
        <v>0</v>
      </c>
      <c r="D387" s="33">
        <f>'Dados - Cliente'!D387</f>
        <v>0</v>
      </c>
      <c r="E387" s="33">
        <f>'Dados - Cliente'!E387</f>
        <v>0</v>
      </c>
      <c r="F387" s="33">
        <f>'Dados - Cliente'!F387</f>
        <v>0</v>
      </c>
      <c r="G387" s="33">
        <f>'Dados - Cliente'!G387</f>
        <v>0</v>
      </c>
      <c r="H387" s="33">
        <f>'Dados - Cliente'!H387</f>
        <v>0</v>
      </c>
      <c r="I387" s="75" t="s">
        <v>4313</v>
      </c>
      <c r="J387" s="52" t="s">
        <v>4314</v>
      </c>
      <c r="K387" s="52" t="s">
        <v>4314</v>
      </c>
      <c r="L387" s="33">
        <f>'Dados - Cliente'!I387</f>
        <v>0</v>
      </c>
      <c r="M387" s="33">
        <f>'Dados - Cliente'!K387</f>
        <v>0</v>
      </c>
      <c r="N387" s="33">
        <f>'Dados - Cliente'!L387</f>
        <v>0</v>
      </c>
      <c r="O387" s="33">
        <f>'Dados - Cliente'!M387</f>
        <v>0</v>
      </c>
      <c r="P387" s="33">
        <f>'Dados - Cliente'!N387</f>
        <v>0</v>
      </c>
      <c r="Q387" s="33">
        <f>'Dados - Cliente'!O387</f>
        <v>0</v>
      </c>
      <c r="R387" s="33">
        <f>'Dados - Cliente'!P387</f>
        <v>0</v>
      </c>
      <c r="S387" s="33">
        <f>'Dados - Cliente'!Q387</f>
        <v>0</v>
      </c>
      <c r="T387" s="33">
        <f>'Dados - Cliente'!R387</f>
        <v>0</v>
      </c>
      <c r="U387" s="34">
        <f>'Dados - Cliente'!S387</f>
        <v>0</v>
      </c>
      <c r="V387" s="34">
        <f>'Dados - Cliente'!T387</f>
        <v>0</v>
      </c>
      <c r="W387" s="34">
        <f>'Dados - Cliente'!U387</f>
        <v>0</v>
      </c>
      <c r="X387" s="34">
        <f>'Dados - Cliente'!V387</f>
        <v>0</v>
      </c>
      <c r="Y387" s="34">
        <f>'Dados - Cliente'!W387</f>
        <v>0</v>
      </c>
      <c r="Z387" s="34">
        <f>'Dados - Cliente'!X387</f>
        <v>0</v>
      </c>
      <c r="AA387" s="33" t="e">
        <f t="shared" si="27"/>
        <v>#N/A</v>
      </c>
      <c r="AB387" s="33">
        <f>'Dados - Cliente'!Y387</f>
        <v>0</v>
      </c>
      <c r="AC387" s="33">
        <f>'Dados - Cliente'!Z387</f>
        <v>0</v>
      </c>
      <c r="AD387" s="33">
        <f>'Dados - Cliente'!AA387</f>
        <v>0</v>
      </c>
      <c r="AE387" s="33">
        <f>'Dados - Cliente'!AB387</f>
        <v>0</v>
      </c>
      <c r="AF387" s="33">
        <f>'Dados - Cliente'!AC387</f>
        <v>0</v>
      </c>
      <c r="AG387" s="35">
        <f>'Dados - Cliente'!AD387</f>
        <v>0</v>
      </c>
      <c r="AH387" s="33" t="e">
        <f>INDEX('Dados - Placas'!$A:$A,MATCH('1'!AG387,'Dados - Placas'!$D:$D,0))</f>
        <v>#N/A</v>
      </c>
      <c r="AI387" s="35" t="e">
        <f>INDEX('Dados - Placas'!$E:$E,MATCH('1'!AG387,'Dados - Placas'!$D:$D,0))</f>
        <v>#N/A</v>
      </c>
      <c r="AJ387" s="34" t="e">
        <f>INDEX('Dados - Placas'!$F:$F,MATCH('1'!AG387,'Dados - Placas'!$D:$D,0))*AF387</f>
        <v>#N/A</v>
      </c>
      <c r="AK387" s="33">
        <f>'Dados - Cliente'!AE387</f>
        <v>0</v>
      </c>
      <c r="AL387" s="33">
        <f>'Dados - Cliente'!AF387</f>
        <v>0</v>
      </c>
      <c r="AM387" s="36" t="e">
        <f>INDEX('Dados - Inversores'!$A:$A,MATCH('1'!AL387,'Dados - Inversores'!$C:$C,0))</f>
        <v>#N/A</v>
      </c>
      <c r="AN387" s="33">
        <f>'Dados - Cliente'!AG387</f>
        <v>0</v>
      </c>
      <c r="AO387" s="33" t="e">
        <f>AA387*1.25/(0.22*SQRT(INDEX('Dados - Inversores'!AK:AK,MATCH('1'!AL387,'Dados - Inversores'!C:C,0))))</f>
        <v>#N/A</v>
      </c>
      <c r="AP387" s="34">
        <f>INDEX(Dados!$E$2:$E$33,COUNTIF(Dados!$E$2:$E$33,"&lt;="&amp;AN387*1.25/(INDEX('Dados - Inversores'!AL:AL,MATCH('1'!AL387,'Dados - Inversores'!C:C,0))*SQRT(INDEX('Dados - Inversores'!AK:AK,MATCH('1'!AL387,'Dados - Inversores'!C:C,0)))))+1)</f>
        <v>2</v>
      </c>
      <c r="AQ387" s="33" t="s">
        <v>59</v>
      </c>
      <c r="AR387" s="33" t="str">
        <f t="shared" si="28"/>
        <v>Micro</v>
      </c>
      <c r="AS387" s="33">
        <f>'Dados - Cliente'!AH387</f>
        <v>0</v>
      </c>
      <c r="AT387" s="33">
        <f>'Dados - Cliente'!AI387</f>
        <v>0</v>
      </c>
      <c r="AU387" s="33" t="e">
        <f>INDEX('Dados - Placas'!$N:$N,MATCH('1'!AG387,'Dados - Placas'!$D:$D,0))-1</f>
        <v>#N/A</v>
      </c>
      <c r="AV387" s="33" t="e">
        <f>INDEX('Dados - Placas'!$O:$O,MATCH('1'!AG387,'Dados - Placas'!$D:$D,0))</f>
        <v>#N/A</v>
      </c>
      <c r="AW387" s="33" t="e">
        <f>INDEX('Dados - Inversores'!AM:AM,MATCH('1'!AL387,'Dados - Inversores'!$C:$C,0))-1</f>
        <v>#N/A</v>
      </c>
      <c r="AX387" s="33" t="e">
        <f>INDEX('Dados - Inversores'!AN:AN,MATCH('1'!AL387,'Dados - Inversores'!$C:$C,0))-1</f>
        <v>#N/A</v>
      </c>
      <c r="AY387" s="33" t="e">
        <f>MATCH('1'!H387,Dados!$D$89:$D$167,0)+1</f>
        <v>#N/A</v>
      </c>
      <c r="AZ387" s="33" t="e">
        <f>MATCH('1'!N387,'Dados - Solicitação de acesso'!$N$2:$N$8,0)</f>
        <v>#N/A</v>
      </c>
      <c r="BA387" s="33" t="e">
        <f>MATCH('1'!T387,'Dados - Solicitação de acesso'!$T$2:$T$20,0)</f>
        <v>#N/A</v>
      </c>
    </row>
    <row r="388" spans="1:53" x14ac:dyDescent="0.35">
      <c r="A388" s="33">
        <f>'Dados - Cliente'!A388</f>
        <v>0</v>
      </c>
      <c r="B388" s="33">
        <f>'Dados - Cliente'!B388</f>
        <v>0</v>
      </c>
      <c r="C388" s="33">
        <f>'Dados - Cliente'!C388</f>
        <v>0</v>
      </c>
      <c r="D388" s="33">
        <f>'Dados - Cliente'!D388</f>
        <v>0</v>
      </c>
      <c r="E388" s="33">
        <f>'Dados - Cliente'!E388</f>
        <v>0</v>
      </c>
      <c r="F388" s="33">
        <f>'Dados - Cliente'!F388</f>
        <v>0</v>
      </c>
      <c r="G388" s="33">
        <f>'Dados - Cliente'!G388</f>
        <v>0</v>
      </c>
      <c r="H388" s="33">
        <f>'Dados - Cliente'!H388</f>
        <v>0</v>
      </c>
      <c r="I388" s="75" t="s">
        <v>4313</v>
      </c>
      <c r="J388" s="52" t="s">
        <v>4314</v>
      </c>
      <c r="K388" s="52" t="s">
        <v>4314</v>
      </c>
      <c r="L388" s="33">
        <f>'Dados - Cliente'!I388</f>
        <v>0</v>
      </c>
      <c r="M388" s="33">
        <f>'Dados - Cliente'!K388</f>
        <v>0</v>
      </c>
      <c r="N388" s="33">
        <f>'Dados - Cliente'!L388</f>
        <v>0</v>
      </c>
      <c r="O388" s="33">
        <f>'Dados - Cliente'!M388</f>
        <v>0</v>
      </c>
      <c r="P388" s="33">
        <f>'Dados - Cliente'!N388</f>
        <v>0</v>
      </c>
      <c r="Q388" s="33">
        <f>'Dados - Cliente'!O388</f>
        <v>0</v>
      </c>
      <c r="R388" s="33">
        <f>'Dados - Cliente'!P388</f>
        <v>0</v>
      </c>
      <c r="S388" s="33">
        <f>'Dados - Cliente'!Q388</f>
        <v>0</v>
      </c>
      <c r="T388" s="33">
        <f>'Dados - Cliente'!R388</f>
        <v>0</v>
      </c>
      <c r="U388" s="34">
        <f>'Dados - Cliente'!S388</f>
        <v>0</v>
      </c>
      <c r="V388" s="34">
        <f>'Dados - Cliente'!T388</f>
        <v>0</v>
      </c>
      <c r="W388" s="34">
        <f>'Dados - Cliente'!U388</f>
        <v>0</v>
      </c>
      <c r="X388" s="34">
        <f>'Dados - Cliente'!V388</f>
        <v>0</v>
      </c>
      <c r="Y388" s="34">
        <f>'Dados - Cliente'!W388</f>
        <v>0</v>
      </c>
      <c r="Z388" s="34">
        <f>'Dados - Cliente'!X388</f>
        <v>0</v>
      </c>
      <c r="AA388" s="33" t="e">
        <f t="shared" si="27"/>
        <v>#N/A</v>
      </c>
      <c r="AB388" s="33">
        <f>'Dados - Cliente'!Y388</f>
        <v>0</v>
      </c>
      <c r="AC388" s="33">
        <f>'Dados - Cliente'!Z388</f>
        <v>0</v>
      </c>
      <c r="AD388" s="33">
        <f>'Dados - Cliente'!AA388</f>
        <v>0</v>
      </c>
      <c r="AE388" s="33">
        <f>'Dados - Cliente'!AB388</f>
        <v>0</v>
      </c>
      <c r="AF388" s="33">
        <f>'Dados - Cliente'!AC388</f>
        <v>0</v>
      </c>
      <c r="AG388" s="35">
        <f>'Dados - Cliente'!AD388</f>
        <v>0</v>
      </c>
      <c r="AH388" s="33" t="e">
        <f>INDEX('Dados - Placas'!$A:$A,MATCH('1'!AG388,'Dados - Placas'!$D:$D,0))</f>
        <v>#N/A</v>
      </c>
      <c r="AI388" s="35" t="e">
        <f>INDEX('Dados - Placas'!$E:$E,MATCH('1'!AG388,'Dados - Placas'!$D:$D,0))</f>
        <v>#N/A</v>
      </c>
      <c r="AJ388" s="34" t="e">
        <f>INDEX('Dados - Placas'!$F:$F,MATCH('1'!AG388,'Dados - Placas'!$D:$D,0))*AF388</f>
        <v>#N/A</v>
      </c>
      <c r="AK388" s="33">
        <f>'Dados - Cliente'!AE388</f>
        <v>0</v>
      </c>
      <c r="AL388" s="33">
        <f>'Dados - Cliente'!AF388</f>
        <v>0</v>
      </c>
      <c r="AM388" s="36" t="e">
        <f>INDEX('Dados - Inversores'!$A:$A,MATCH('1'!AL388,'Dados - Inversores'!$C:$C,0))</f>
        <v>#N/A</v>
      </c>
      <c r="AN388" s="33">
        <f>'Dados - Cliente'!AG388</f>
        <v>0</v>
      </c>
      <c r="AO388" s="33" t="e">
        <f>AA388*1.25/(0.22*SQRT(INDEX('Dados - Inversores'!AK:AK,MATCH('1'!AL388,'Dados - Inversores'!C:C,0))))</f>
        <v>#N/A</v>
      </c>
      <c r="AP388" s="34">
        <f>INDEX(Dados!$E$2:$E$33,COUNTIF(Dados!$E$2:$E$33,"&lt;="&amp;AN388*1.25/(INDEX('Dados - Inversores'!AL:AL,MATCH('1'!AL388,'Dados - Inversores'!C:C,0))*SQRT(INDEX('Dados - Inversores'!AK:AK,MATCH('1'!AL388,'Dados - Inversores'!C:C,0)))))+1)</f>
        <v>2</v>
      </c>
      <c r="AQ388" s="33" t="s">
        <v>59</v>
      </c>
      <c r="AR388" s="33" t="str">
        <f t="shared" si="28"/>
        <v>Micro</v>
      </c>
      <c r="AS388" s="33">
        <f>'Dados - Cliente'!AH388</f>
        <v>0</v>
      </c>
      <c r="AT388" s="33">
        <f>'Dados - Cliente'!AI388</f>
        <v>0</v>
      </c>
      <c r="AU388" s="33" t="e">
        <f>INDEX('Dados - Placas'!$N:$N,MATCH('1'!AG388,'Dados - Placas'!$D:$D,0))-1</f>
        <v>#N/A</v>
      </c>
      <c r="AV388" s="33" t="e">
        <f>INDEX('Dados - Placas'!$O:$O,MATCH('1'!AG388,'Dados - Placas'!$D:$D,0))</f>
        <v>#N/A</v>
      </c>
      <c r="AW388" s="33" t="e">
        <f>INDEX('Dados - Inversores'!AM:AM,MATCH('1'!AL388,'Dados - Inversores'!$C:$C,0))-1</f>
        <v>#N/A</v>
      </c>
      <c r="AX388" s="33" t="e">
        <f>INDEX('Dados - Inversores'!AN:AN,MATCH('1'!AL388,'Dados - Inversores'!$C:$C,0))-1</f>
        <v>#N/A</v>
      </c>
      <c r="AY388" s="33" t="e">
        <f>MATCH('1'!H388,Dados!$D$89:$D$167,0)+1</f>
        <v>#N/A</v>
      </c>
      <c r="AZ388" s="33" t="e">
        <f>MATCH('1'!N388,'Dados - Solicitação de acesso'!$N$2:$N$8,0)</f>
        <v>#N/A</v>
      </c>
      <c r="BA388" s="33" t="e">
        <f>MATCH('1'!T388,'Dados - Solicitação de acesso'!$T$2:$T$20,0)</f>
        <v>#N/A</v>
      </c>
    </row>
    <row r="389" spans="1:53" x14ac:dyDescent="0.35">
      <c r="A389" s="33">
        <f>'Dados - Cliente'!A389</f>
        <v>0</v>
      </c>
      <c r="B389" s="33">
        <f>'Dados - Cliente'!B389</f>
        <v>0</v>
      </c>
      <c r="C389" s="33">
        <f>'Dados - Cliente'!C389</f>
        <v>0</v>
      </c>
      <c r="D389" s="33">
        <f>'Dados - Cliente'!D389</f>
        <v>0</v>
      </c>
      <c r="E389" s="33">
        <f>'Dados - Cliente'!E389</f>
        <v>0</v>
      </c>
      <c r="F389" s="33">
        <f>'Dados - Cliente'!F389</f>
        <v>0</v>
      </c>
      <c r="G389" s="33">
        <f>'Dados - Cliente'!G389</f>
        <v>0</v>
      </c>
      <c r="H389" s="33">
        <f>'Dados - Cliente'!H389</f>
        <v>0</v>
      </c>
      <c r="I389" s="75" t="s">
        <v>4313</v>
      </c>
      <c r="J389" s="52" t="s">
        <v>4314</v>
      </c>
      <c r="K389" s="52" t="s">
        <v>4314</v>
      </c>
      <c r="L389" s="33">
        <f>'Dados - Cliente'!I389</f>
        <v>0</v>
      </c>
      <c r="M389" s="33">
        <f>'Dados - Cliente'!K389</f>
        <v>0</v>
      </c>
      <c r="N389" s="33">
        <f>'Dados - Cliente'!L389</f>
        <v>0</v>
      </c>
      <c r="O389" s="33">
        <f>'Dados - Cliente'!M389</f>
        <v>0</v>
      </c>
      <c r="P389" s="33">
        <f>'Dados - Cliente'!N389</f>
        <v>0</v>
      </c>
      <c r="Q389" s="33">
        <f>'Dados - Cliente'!O389</f>
        <v>0</v>
      </c>
      <c r="R389" s="33">
        <f>'Dados - Cliente'!P389</f>
        <v>0</v>
      </c>
      <c r="S389" s="33">
        <f>'Dados - Cliente'!Q389</f>
        <v>0</v>
      </c>
      <c r="T389" s="33">
        <f>'Dados - Cliente'!R389</f>
        <v>0</v>
      </c>
      <c r="U389" s="34">
        <f>'Dados - Cliente'!S389</f>
        <v>0</v>
      </c>
      <c r="V389" s="34">
        <f>'Dados - Cliente'!T389</f>
        <v>0</v>
      </c>
      <c r="W389" s="34">
        <f>'Dados - Cliente'!U389</f>
        <v>0</v>
      </c>
      <c r="X389" s="34">
        <f>'Dados - Cliente'!V389</f>
        <v>0</v>
      </c>
      <c r="Y389" s="34">
        <f>'Dados - Cliente'!W389</f>
        <v>0</v>
      </c>
      <c r="Z389" s="34">
        <f>'Dados - Cliente'!X389</f>
        <v>0</v>
      </c>
      <c r="AA389" s="33" t="e">
        <f t="shared" si="27"/>
        <v>#N/A</v>
      </c>
      <c r="AB389" s="33">
        <f>'Dados - Cliente'!Y389</f>
        <v>0</v>
      </c>
      <c r="AC389" s="33">
        <f>'Dados - Cliente'!Z389</f>
        <v>0</v>
      </c>
      <c r="AD389" s="33">
        <f>'Dados - Cliente'!AA389</f>
        <v>0</v>
      </c>
      <c r="AE389" s="33">
        <f>'Dados - Cliente'!AB389</f>
        <v>0</v>
      </c>
      <c r="AF389" s="33">
        <f>'Dados - Cliente'!AC389</f>
        <v>0</v>
      </c>
      <c r="AG389" s="35">
        <f>'Dados - Cliente'!AD389</f>
        <v>0</v>
      </c>
      <c r="AH389" s="33" t="e">
        <f>INDEX('Dados - Placas'!$A:$A,MATCH('1'!AG389,'Dados - Placas'!$D:$D,0))</f>
        <v>#N/A</v>
      </c>
      <c r="AI389" s="35" t="e">
        <f>INDEX('Dados - Placas'!$E:$E,MATCH('1'!AG389,'Dados - Placas'!$D:$D,0))</f>
        <v>#N/A</v>
      </c>
      <c r="AJ389" s="34" t="e">
        <f>INDEX('Dados - Placas'!$F:$F,MATCH('1'!AG389,'Dados - Placas'!$D:$D,0))*AF389</f>
        <v>#N/A</v>
      </c>
      <c r="AK389" s="33">
        <f>'Dados - Cliente'!AE389</f>
        <v>0</v>
      </c>
      <c r="AL389" s="33">
        <f>'Dados - Cliente'!AF389</f>
        <v>0</v>
      </c>
      <c r="AM389" s="36" t="e">
        <f>INDEX('Dados - Inversores'!$A:$A,MATCH('1'!AL389,'Dados - Inversores'!$C:$C,0))</f>
        <v>#N/A</v>
      </c>
      <c r="AN389" s="33">
        <f>'Dados - Cliente'!AG389</f>
        <v>0</v>
      </c>
      <c r="AO389" s="33" t="e">
        <f>AA389*1.25/(0.22*SQRT(INDEX('Dados - Inversores'!AK:AK,MATCH('1'!AL389,'Dados - Inversores'!C:C,0))))</f>
        <v>#N/A</v>
      </c>
      <c r="AP389" s="34">
        <f>INDEX(Dados!$E$2:$E$33,COUNTIF(Dados!$E$2:$E$33,"&lt;="&amp;AN389*1.25/(INDEX('Dados - Inversores'!AL:AL,MATCH('1'!AL389,'Dados - Inversores'!C:C,0))*SQRT(INDEX('Dados - Inversores'!AK:AK,MATCH('1'!AL389,'Dados - Inversores'!C:C,0)))))+1)</f>
        <v>2</v>
      </c>
      <c r="AQ389" s="33" t="s">
        <v>59</v>
      </c>
      <c r="AR389" s="33" t="str">
        <f t="shared" si="28"/>
        <v>Micro</v>
      </c>
      <c r="AS389" s="33">
        <f>'Dados - Cliente'!AH389</f>
        <v>0</v>
      </c>
      <c r="AT389" s="33">
        <f>'Dados - Cliente'!AI389</f>
        <v>0</v>
      </c>
      <c r="AU389" s="33" t="e">
        <f>INDEX('Dados - Placas'!$N:$N,MATCH('1'!AG389,'Dados - Placas'!$D:$D,0))-1</f>
        <v>#N/A</v>
      </c>
      <c r="AV389" s="33" t="e">
        <f>INDEX('Dados - Placas'!$O:$O,MATCH('1'!AG389,'Dados - Placas'!$D:$D,0))</f>
        <v>#N/A</v>
      </c>
      <c r="AW389" s="33" t="e">
        <f>INDEX('Dados - Inversores'!AM:AM,MATCH('1'!AL389,'Dados - Inversores'!$C:$C,0))-1</f>
        <v>#N/A</v>
      </c>
      <c r="AX389" s="33" t="e">
        <f>INDEX('Dados - Inversores'!AN:AN,MATCH('1'!AL389,'Dados - Inversores'!$C:$C,0))-1</f>
        <v>#N/A</v>
      </c>
      <c r="AY389" s="33" t="e">
        <f>MATCH('1'!H389,Dados!$D$89:$D$167,0)+1</f>
        <v>#N/A</v>
      </c>
      <c r="AZ389" s="33" t="e">
        <f>MATCH('1'!N389,'Dados - Solicitação de acesso'!$N$2:$N$8,0)</f>
        <v>#N/A</v>
      </c>
      <c r="BA389" s="33" t="e">
        <f>MATCH('1'!T389,'Dados - Solicitação de acesso'!$T$2:$T$20,0)</f>
        <v>#N/A</v>
      </c>
    </row>
    <row r="390" spans="1:53" x14ac:dyDescent="0.35">
      <c r="A390" s="33">
        <f>'Dados - Cliente'!A390</f>
        <v>0</v>
      </c>
      <c r="B390" s="33">
        <f>'Dados - Cliente'!B390</f>
        <v>0</v>
      </c>
      <c r="C390" s="33">
        <f>'Dados - Cliente'!C390</f>
        <v>0</v>
      </c>
      <c r="D390" s="33">
        <f>'Dados - Cliente'!D390</f>
        <v>0</v>
      </c>
      <c r="E390" s="33">
        <f>'Dados - Cliente'!E390</f>
        <v>0</v>
      </c>
      <c r="F390" s="33">
        <f>'Dados - Cliente'!F390</f>
        <v>0</v>
      </c>
      <c r="G390" s="33">
        <f>'Dados - Cliente'!G390</f>
        <v>0</v>
      </c>
      <c r="H390" s="33">
        <f>'Dados - Cliente'!H390</f>
        <v>0</v>
      </c>
      <c r="I390" s="75" t="s">
        <v>4313</v>
      </c>
      <c r="J390" s="52" t="s">
        <v>4314</v>
      </c>
      <c r="K390" s="52" t="s">
        <v>4314</v>
      </c>
      <c r="L390" s="33">
        <f>'Dados - Cliente'!I390</f>
        <v>0</v>
      </c>
      <c r="M390" s="33">
        <f>'Dados - Cliente'!K390</f>
        <v>0</v>
      </c>
      <c r="N390" s="33">
        <f>'Dados - Cliente'!L390</f>
        <v>0</v>
      </c>
      <c r="O390" s="33">
        <f>'Dados - Cliente'!M390</f>
        <v>0</v>
      </c>
      <c r="P390" s="33">
        <f>'Dados - Cliente'!N390</f>
        <v>0</v>
      </c>
      <c r="Q390" s="33">
        <f>'Dados - Cliente'!O390</f>
        <v>0</v>
      </c>
      <c r="R390" s="33">
        <f>'Dados - Cliente'!P390</f>
        <v>0</v>
      </c>
      <c r="S390" s="33">
        <f>'Dados - Cliente'!Q390</f>
        <v>0</v>
      </c>
      <c r="T390" s="33">
        <f>'Dados - Cliente'!R390</f>
        <v>0</v>
      </c>
      <c r="U390" s="34">
        <f>'Dados - Cliente'!S390</f>
        <v>0</v>
      </c>
      <c r="V390" s="34">
        <f>'Dados - Cliente'!T390</f>
        <v>0</v>
      </c>
      <c r="W390" s="34">
        <f>'Dados - Cliente'!U390</f>
        <v>0</v>
      </c>
      <c r="X390" s="34">
        <f>'Dados - Cliente'!V390</f>
        <v>0</v>
      </c>
      <c r="Y390" s="34">
        <f>'Dados - Cliente'!W390</f>
        <v>0</v>
      </c>
      <c r="Z390" s="34">
        <f>'Dados - Cliente'!X390</f>
        <v>0</v>
      </c>
      <c r="AA390" s="33" t="e">
        <f t="shared" si="27"/>
        <v>#N/A</v>
      </c>
      <c r="AB390" s="33">
        <f>'Dados - Cliente'!Y390</f>
        <v>0</v>
      </c>
      <c r="AC390" s="33">
        <f>'Dados - Cliente'!Z390</f>
        <v>0</v>
      </c>
      <c r="AD390" s="33">
        <f>'Dados - Cliente'!AA390</f>
        <v>0</v>
      </c>
      <c r="AE390" s="33">
        <f>'Dados - Cliente'!AB390</f>
        <v>0</v>
      </c>
      <c r="AF390" s="33">
        <f>'Dados - Cliente'!AC390</f>
        <v>0</v>
      </c>
      <c r="AG390" s="35">
        <f>'Dados - Cliente'!AD390</f>
        <v>0</v>
      </c>
      <c r="AH390" s="33" t="e">
        <f>INDEX('Dados - Placas'!$A:$A,MATCH('1'!AG390,'Dados - Placas'!$D:$D,0))</f>
        <v>#N/A</v>
      </c>
      <c r="AI390" s="35" t="e">
        <f>INDEX('Dados - Placas'!$E:$E,MATCH('1'!AG390,'Dados - Placas'!$D:$D,0))</f>
        <v>#N/A</v>
      </c>
      <c r="AJ390" s="34" t="e">
        <f>INDEX('Dados - Placas'!$F:$F,MATCH('1'!AG390,'Dados - Placas'!$D:$D,0))*AF390</f>
        <v>#N/A</v>
      </c>
      <c r="AK390" s="33">
        <f>'Dados - Cliente'!AE390</f>
        <v>0</v>
      </c>
      <c r="AL390" s="33">
        <f>'Dados - Cliente'!AF390</f>
        <v>0</v>
      </c>
      <c r="AM390" s="36" t="e">
        <f>INDEX('Dados - Inversores'!$A:$A,MATCH('1'!AL390,'Dados - Inversores'!$C:$C,0))</f>
        <v>#N/A</v>
      </c>
      <c r="AN390" s="33">
        <f>'Dados - Cliente'!AG390</f>
        <v>0</v>
      </c>
      <c r="AO390" s="33" t="e">
        <f>AA390*1.25/(0.22*SQRT(INDEX('Dados - Inversores'!AK:AK,MATCH('1'!AL390,'Dados - Inversores'!C:C,0))))</f>
        <v>#N/A</v>
      </c>
      <c r="AP390" s="34">
        <f>INDEX(Dados!$E$2:$E$33,COUNTIF(Dados!$E$2:$E$33,"&lt;="&amp;AN390*1.25/(INDEX('Dados - Inversores'!AL:AL,MATCH('1'!AL390,'Dados - Inversores'!C:C,0))*SQRT(INDEX('Dados - Inversores'!AK:AK,MATCH('1'!AL390,'Dados - Inversores'!C:C,0)))))+1)</f>
        <v>2</v>
      </c>
      <c r="AQ390" s="33" t="s">
        <v>59</v>
      </c>
      <c r="AR390" s="33" t="str">
        <f t="shared" si="28"/>
        <v>Micro</v>
      </c>
      <c r="AS390" s="33">
        <f>'Dados - Cliente'!AH390</f>
        <v>0</v>
      </c>
      <c r="AT390" s="33">
        <f>'Dados - Cliente'!AI390</f>
        <v>0</v>
      </c>
      <c r="AU390" s="33" t="e">
        <f>INDEX('Dados - Placas'!$N:$N,MATCH('1'!AG390,'Dados - Placas'!$D:$D,0))-1</f>
        <v>#N/A</v>
      </c>
      <c r="AV390" s="33" t="e">
        <f>INDEX('Dados - Placas'!$O:$O,MATCH('1'!AG390,'Dados - Placas'!$D:$D,0))</f>
        <v>#N/A</v>
      </c>
      <c r="AW390" s="33" t="e">
        <f>INDEX('Dados - Inversores'!AM:AM,MATCH('1'!AL390,'Dados - Inversores'!$C:$C,0))-1</f>
        <v>#N/A</v>
      </c>
      <c r="AX390" s="33" t="e">
        <f>INDEX('Dados - Inversores'!AN:AN,MATCH('1'!AL390,'Dados - Inversores'!$C:$C,0))-1</f>
        <v>#N/A</v>
      </c>
      <c r="AY390" s="33" t="e">
        <f>MATCH('1'!H390,Dados!$D$89:$D$167,0)+1</f>
        <v>#N/A</v>
      </c>
      <c r="AZ390" s="33" t="e">
        <f>MATCH('1'!N390,'Dados - Solicitação de acesso'!$N$2:$N$8,0)</f>
        <v>#N/A</v>
      </c>
      <c r="BA390" s="33" t="e">
        <f>MATCH('1'!T390,'Dados - Solicitação de acesso'!$T$2:$T$20,0)</f>
        <v>#N/A</v>
      </c>
    </row>
    <row r="391" spans="1:53" x14ac:dyDescent="0.35">
      <c r="A391" s="33">
        <f>'Dados - Cliente'!A391</f>
        <v>0</v>
      </c>
      <c r="B391" s="33">
        <f>'Dados - Cliente'!B391</f>
        <v>0</v>
      </c>
      <c r="C391" s="33">
        <f>'Dados - Cliente'!C391</f>
        <v>0</v>
      </c>
      <c r="D391" s="33">
        <f>'Dados - Cliente'!D391</f>
        <v>0</v>
      </c>
      <c r="E391" s="33">
        <f>'Dados - Cliente'!E391</f>
        <v>0</v>
      </c>
      <c r="F391" s="33">
        <f>'Dados - Cliente'!F391</f>
        <v>0</v>
      </c>
      <c r="G391" s="33">
        <f>'Dados - Cliente'!G391</f>
        <v>0</v>
      </c>
      <c r="H391" s="33">
        <f>'Dados - Cliente'!H391</f>
        <v>0</v>
      </c>
      <c r="I391" s="75" t="s">
        <v>4313</v>
      </c>
      <c r="J391" s="52" t="s">
        <v>4314</v>
      </c>
      <c r="K391" s="52" t="s">
        <v>4314</v>
      </c>
      <c r="L391" s="33">
        <f>'Dados - Cliente'!I391</f>
        <v>0</v>
      </c>
      <c r="M391" s="33">
        <f>'Dados - Cliente'!K391</f>
        <v>0</v>
      </c>
      <c r="N391" s="33">
        <f>'Dados - Cliente'!L391</f>
        <v>0</v>
      </c>
      <c r="O391" s="33">
        <f>'Dados - Cliente'!M391</f>
        <v>0</v>
      </c>
      <c r="P391" s="33">
        <f>'Dados - Cliente'!N391</f>
        <v>0</v>
      </c>
      <c r="Q391" s="33">
        <f>'Dados - Cliente'!O391</f>
        <v>0</v>
      </c>
      <c r="R391" s="33">
        <f>'Dados - Cliente'!P391</f>
        <v>0</v>
      </c>
      <c r="S391" s="33">
        <f>'Dados - Cliente'!Q391</f>
        <v>0</v>
      </c>
      <c r="T391" s="33">
        <f>'Dados - Cliente'!R391</f>
        <v>0</v>
      </c>
      <c r="U391" s="34">
        <f>'Dados - Cliente'!S391</f>
        <v>0</v>
      </c>
      <c r="V391" s="34">
        <f>'Dados - Cliente'!T391</f>
        <v>0</v>
      </c>
      <c r="W391" s="34">
        <f>'Dados - Cliente'!U391</f>
        <v>0</v>
      </c>
      <c r="X391" s="34">
        <f>'Dados - Cliente'!V391</f>
        <v>0</v>
      </c>
      <c r="Y391" s="34">
        <f>'Dados - Cliente'!W391</f>
        <v>0</v>
      </c>
      <c r="Z391" s="34">
        <f>'Dados - Cliente'!X391</f>
        <v>0</v>
      </c>
      <c r="AA391" s="33" t="e">
        <f t="shared" si="27"/>
        <v>#N/A</v>
      </c>
      <c r="AB391" s="33">
        <f>'Dados - Cliente'!Y391</f>
        <v>0</v>
      </c>
      <c r="AC391" s="33">
        <f>'Dados - Cliente'!Z391</f>
        <v>0</v>
      </c>
      <c r="AD391" s="33">
        <f>'Dados - Cliente'!AA391</f>
        <v>0</v>
      </c>
      <c r="AE391" s="33">
        <f>'Dados - Cliente'!AB391</f>
        <v>0</v>
      </c>
      <c r="AF391" s="33">
        <f>'Dados - Cliente'!AC391</f>
        <v>0</v>
      </c>
      <c r="AG391" s="35">
        <f>'Dados - Cliente'!AD391</f>
        <v>0</v>
      </c>
      <c r="AH391" s="33" t="e">
        <f>INDEX('Dados - Placas'!$A:$A,MATCH('1'!AG391,'Dados - Placas'!$D:$D,0))</f>
        <v>#N/A</v>
      </c>
      <c r="AI391" s="35" t="e">
        <f>INDEX('Dados - Placas'!$E:$E,MATCH('1'!AG391,'Dados - Placas'!$D:$D,0))</f>
        <v>#N/A</v>
      </c>
      <c r="AJ391" s="34" t="e">
        <f>INDEX('Dados - Placas'!$F:$F,MATCH('1'!AG391,'Dados - Placas'!$D:$D,0))*AF391</f>
        <v>#N/A</v>
      </c>
      <c r="AK391" s="33">
        <f>'Dados - Cliente'!AE391</f>
        <v>0</v>
      </c>
      <c r="AL391" s="33">
        <f>'Dados - Cliente'!AF391</f>
        <v>0</v>
      </c>
      <c r="AM391" s="36" t="e">
        <f>INDEX('Dados - Inversores'!$A:$A,MATCH('1'!AL391,'Dados - Inversores'!$C:$C,0))</f>
        <v>#N/A</v>
      </c>
      <c r="AN391" s="33">
        <f>'Dados - Cliente'!AG391</f>
        <v>0</v>
      </c>
      <c r="AO391" s="33" t="e">
        <f>AA391*1.25/(0.22*SQRT(INDEX('Dados - Inversores'!AK:AK,MATCH('1'!AL391,'Dados - Inversores'!C:C,0))))</f>
        <v>#N/A</v>
      </c>
      <c r="AP391" s="34">
        <f>INDEX(Dados!$E$2:$E$33,COUNTIF(Dados!$E$2:$E$33,"&lt;="&amp;AN391*1.25/(INDEX('Dados - Inversores'!AL:AL,MATCH('1'!AL391,'Dados - Inversores'!C:C,0))*SQRT(INDEX('Dados - Inversores'!AK:AK,MATCH('1'!AL391,'Dados - Inversores'!C:C,0)))))+1)</f>
        <v>2</v>
      </c>
      <c r="AQ391" s="33" t="s">
        <v>59</v>
      </c>
      <c r="AR391" s="33" t="str">
        <f t="shared" si="28"/>
        <v>Micro</v>
      </c>
      <c r="AS391" s="33">
        <f>'Dados - Cliente'!AH391</f>
        <v>0</v>
      </c>
      <c r="AT391" s="33">
        <f>'Dados - Cliente'!AI391</f>
        <v>0</v>
      </c>
      <c r="AU391" s="33" t="e">
        <f>INDEX('Dados - Placas'!$N:$N,MATCH('1'!AG391,'Dados - Placas'!$D:$D,0))-1</f>
        <v>#N/A</v>
      </c>
      <c r="AV391" s="33" t="e">
        <f>INDEX('Dados - Placas'!$O:$O,MATCH('1'!AG391,'Dados - Placas'!$D:$D,0))</f>
        <v>#N/A</v>
      </c>
      <c r="AW391" s="33" t="e">
        <f>INDEX('Dados - Inversores'!AM:AM,MATCH('1'!AL391,'Dados - Inversores'!$C:$C,0))-1</f>
        <v>#N/A</v>
      </c>
      <c r="AX391" s="33" t="e">
        <f>INDEX('Dados - Inversores'!AN:AN,MATCH('1'!AL391,'Dados - Inversores'!$C:$C,0))-1</f>
        <v>#N/A</v>
      </c>
      <c r="AY391" s="33" t="e">
        <f>MATCH('1'!H391,Dados!$D$89:$D$167,0)+1</f>
        <v>#N/A</v>
      </c>
      <c r="AZ391" s="33" t="e">
        <f>MATCH('1'!N391,'Dados - Solicitação de acesso'!$N$2:$N$8,0)</f>
        <v>#N/A</v>
      </c>
      <c r="BA391" s="33" t="e">
        <f>MATCH('1'!T391,'Dados - Solicitação de acesso'!$T$2:$T$20,0)</f>
        <v>#N/A</v>
      </c>
    </row>
    <row r="392" spans="1:53" x14ac:dyDescent="0.35">
      <c r="A392" s="33">
        <f>'Dados - Cliente'!A392</f>
        <v>0</v>
      </c>
      <c r="B392" s="33">
        <f>'Dados - Cliente'!B392</f>
        <v>0</v>
      </c>
      <c r="C392" s="33">
        <f>'Dados - Cliente'!C392</f>
        <v>0</v>
      </c>
      <c r="D392" s="33">
        <f>'Dados - Cliente'!D392</f>
        <v>0</v>
      </c>
      <c r="E392" s="33">
        <f>'Dados - Cliente'!E392</f>
        <v>0</v>
      </c>
      <c r="F392" s="33">
        <f>'Dados - Cliente'!F392</f>
        <v>0</v>
      </c>
      <c r="G392" s="33">
        <f>'Dados - Cliente'!G392</f>
        <v>0</v>
      </c>
      <c r="H392" s="33">
        <f>'Dados - Cliente'!H392</f>
        <v>0</v>
      </c>
      <c r="I392" s="75" t="s">
        <v>4313</v>
      </c>
      <c r="J392" s="52" t="s">
        <v>4314</v>
      </c>
      <c r="K392" s="52" t="s">
        <v>4314</v>
      </c>
      <c r="L392" s="33">
        <f>'Dados - Cliente'!I392</f>
        <v>0</v>
      </c>
      <c r="M392" s="33">
        <f>'Dados - Cliente'!K392</f>
        <v>0</v>
      </c>
      <c r="N392" s="33">
        <f>'Dados - Cliente'!L392</f>
        <v>0</v>
      </c>
      <c r="O392" s="33">
        <f>'Dados - Cliente'!M392</f>
        <v>0</v>
      </c>
      <c r="P392" s="33">
        <f>'Dados - Cliente'!N392</f>
        <v>0</v>
      </c>
      <c r="Q392" s="33">
        <f>'Dados - Cliente'!O392</f>
        <v>0</v>
      </c>
      <c r="R392" s="33">
        <f>'Dados - Cliente'!P392</f>
        <v>0</v>
      </c>
      <c r="S392" s="33">
        <f>'Dados - Cliente'!Q392</f>
        <v>0</v>
      </c>
      <c r="T392" s="33">
        <f>'Dados - Cliente'!R392</f>
        <v>0</v>
      </c>
      <c r="U392" s="34">
        <f>'Dados - Cliente'!S392</f>
        <v>0</v>
      </c>
      <c r="V392" s="34">
        <f>'Dados - Cliente'!T392</f>
        <v>0</v>
      </c>
      <c r="W392" s="34">
        <f>'Dados - Cliente'!U392</f>
        <v>0</v>
      </c>
      <c r="X392" s="34">
        <f>'Dados - Cliente'!V392</f>
        <v>0</v>
      </c>
      <c r="Y392" s="34">
        <f>'Dados - Cliente'!W392</f>
        <v>0</v>
      </c>
      <c r="Z392" s="34">
        <f>'Dados - Cliente'!X392</f>
        <v>0</v>
      </c>
      <c r="AA392" s="33" t="e">
        <f t="shared" si="27"/>
        <v>#N/A</v>
      </c>
      <c r="AB392" s="33">
        <f>'Dados - Cliente'!Y392</f>
        <v>0</v>
      </c>
      <c r="AC392" s="33">
        <f>'Dados - Cliente'!Z392</f>
        <v>0</v>
      </c>
      <c r="AD392" s="33">
        <f>'Dados - Cliente'!AA392</f>
        <v>0</v>
      </c>
      <c r="AE392" s="33">
        <f>'Dados - Cliente'!AB392</f>
        <v>0</v>
      </c>
      <c r="AF392" s="33">
        <f>'Dados - Cliente'!AC392</f>
        <v>0</v>
      </c>
      <c r="AG392" s="35">
        <f>'Dados - Cliente'!AD392</f>
        <v>0</v>
      </c>
      <c r="AH392" s="33" t="e">
        <f>INDEX('Dados - Placas'!$A:$A,MATCH('1'!AG392,'Dados - Placas'!$D:$D,0))</f>
        <v>#N/A</v>
      </c>
      <c r="AI392" s="35" t="e">
        <f>INDEX('Dados - Placas'!$E:$E,MATCH('1'!AG392,'Dados - Placas'!$D:$D,0))</f>
        <v>#N/A</v>
      </c>
      <c r="AJ392" s="34" t="e">
        <f>INDEX('Dados - Placas'!$F:$F,MATCH('1'!AG392,'Dados - Placas'!$D:$D,0))*AF392</f>
        <v>#N/A</v>
      </c>
      <c r="AK392" s="33">
        <f>'Dados - Cliente'!AE392</f>
        <v>0</v>
      </c>
      <c r="AL392" s="33">
        <f>'Dados - Cliente'!AF392</f>
        <v>0</v>
      </c>
      <c r="AM392" s="36" t="e">
        <f>INDEX('Dados - Inversores'!$A:$A,MATCH('1'!AL392,'Dados - Inversores'!$C:$C,0))</f>
        <v>#N/A</v>
      </c>
      <c r="AN392" s="33">
        <f>'Dados - Cliente'!AG392</f>
        <v>0</v>
      </c>
      <c r="AO392" s="33" t="e">
        <f>AA392*1.25/(0.22*SQRT(INDEX('Dados - Inversores'!AK:AK,MATCH('1'!AL392,'Dados - Inversores'!C:C,0))))</f>
        <v>#N/A</v>
      </c>
      <c r="AP392" s="34">
        <f>INDEX(Dados!$E$2:$E$33,COUNTIF(Dados!$E$2:$E$33,"&lt;="&amp;AN392*1.25/(INDEX('Dados - Inversores'!AL:AL,MATCH('1'!AL392,'Dados - Inversores'!C:C,0))*SQRT(INDEX('Dados - Inversores'!AK:AK,MATCH('1'!AL392,'Dados - Inversores'!C:C,0)))))+1)</f>
        <v>2</v>
      </c>
      <c r="AQ392" s="33" t="s">
        <v>59</v>
      </c>
      <c r="AR392" s="33" t="str">
        <f t="shared" si="28"/>
        <v>Micro</v>
      </c>
      <c r="AS392" s="33">
        <f>'Dados - Cliente'!AH392</f>
        <v>0</v>
      </c>
      <c r="AT392" s="33">
        <f>'Dados - Cliente'!AI392</f>
        <v>0</v>
      </c>
      <c r="AU392" s="33" t="e">
        <f>INDEX('Dados - Placas'!$N:$N,MATCH('1'!AG392,'Dados - Placas'!$D:$D,0))-1</f>
        <v>#N/A</v>
      </c>
      <c r="AV392" s="33" t="e">
        <f>INDEX('Dados - Placas'!$O:$O,MATCH('1'!AG392,'Dados - Placas'!$D:$D,0))</f>
        <v>#N/A</v>
      </c>
      <c r="AW392" s="33" t="e">
        <f>INDEX('Dados - Inversores'!AM:AM,MATCH('1'!AL392,'Dados - Inversores'!$C:$C,0))-1</f>
        <v>#N/A</v>
      </c>
      <c r="AX392" s="33" t="e">
        <f>INDEX('Dados - Inversores'!AN:AN,MATCH('1'!AL392,'Dados - Inversores'!$C:$C,0))-1</f>
        <v>#N/A</v>
      </c>
      <c r="AY392" s="33" t="e">
        <f>MATCH('1'!H392,Dados!$D$89:$D$167,0)+1</f>
        <v>#N/A</v>
      </c>
      <c r="AZ392" s="33" t="e">
        <f>MATCH('1'!N392,'Dados - Solicitação de acesso'!$N$2:$N$8,0)</f>
        <v>#N/A</v>
      </c>
      <c r="BA392" s="33" t="e">
        <f>MATCH('1'!T392,'Dados - Solicitação de acesso'!$T$2:$T$20,0)</f>
        <v>#N/A</v>
      </c>
    </row>
    <row r="393" spans="1:53" x14ac:dyDescent="0.35">
      <c r="A393" s="33">
        <f>'Dados - Cliente'!A393</f>
        <v>0</v>
      </c>
      <c r="B393" s="33">
        <f>'Dados - Cliente'!B393</f>
        <v>0</v>
      </c>
      <c r="C393" s="33">
        <f>'Dados - Cliente'!C393</f>
        <v>0</v>
      </c>
      <c r="D393" s="33">
        <f>'Dados - Cliente'!D393</f>
        <v>0</v>
      </c>
      <c r="E393" s="33">
        <f>'Dados - Cliente'!E393</f>
        <v>0</v>
      </c>
      <c r="F393" s="33">
        <f>'Dados - Cliente'!F393</f>
        <v>0</v>
      </c>
      <c r="G393" s="33">
        <f>'Dados - Cliente'!G393</f>
        <v>0</v>
      </c>
      <c r="H393" s="33">
        <f>'Dados - Cliente'!H393</f>
        <v>0</v>
      </c>
      <c r="I393" s="75" t="s">
        <v>4313</v>
      </c>
      <c r="J393" s="52" t="s">
        <v>4314</v>
      </c>
      <c r="K393" s="52" t="s">
        <v>4314</v>
      </c>
      <c r="L393" s="33">
        <f>'Dados - Cliente'!I393</f>
        <v>0</v>
      </c>
      <c r="M393" s="33">
        <f>'Dados - Cliente'!K393</f>
        <v>0</v>
      </c>
      <c r="N393" s="33">
        <f>'Dados - Cliente'!L393</f>
        <v>0</v>
      </c>
      <c r="O393" s="33">
        <f>'Dados - Cliente'!M393</f>
        <v>0</v>
      </c>
      <c r="P393" s="33">
        <f>'Dados - Cliente'!N393</f>
        <v>0</v>
      </c>
      <c r="Q393" s="33">
        <f>'Dados - Cliente'!O393</f>
        <v>0</v>
      </c>
      <c r="R393" s="33">
        <f>'Dados - Cliente'!P393</f>
        <v>0</v>
      </c>
      <c r="S393" s="33">
        <f>'Dados - Cliente'!Q393</f>
        <v>0</v>
      </c>
      <c r="T393" s="33">
        <f>'Dados - Cliente'!R393</f>
        <v>0</v>
      </c>
      <c r="U393" s="34">
        <f>'Dados - Cliente'!S393</f>
        <v>0</v>
      </c>
      <c r="V393" s="34">
        <f>'Dados - Cliente'!T393</f>
        <v>0</v>
      </c>
      <c r="W393" s="34">
        <f>'Dados - Cliente'!U393</f>
        <v>0</v>
      </c>
      <c r="X393" s="34">
        <f>'Dados - Cliente'!V393</f>
        <v>0</v>
      </c>
      <c r="Y393" s="34">
        <f>'Dados - Cliente'!W393</f>
        <v>0</v>
      </c>
      <c r="Z393" s="34">
        <f>'Dados - Cliente'!X393</f>
        <v>0</v>
      </c>
      <c r="AA393" s="33" t="e">
        <f t="shared" si="27"/>
        <v>#N/A</v>
      </c>
      <c r="AB393" s="33">
        <f>'Dados - Cliente'!Y393</f>
        <v>0</v>
      </c>
      <c r="AC393" s="33">
        <f>'Dados - Cliente'!Z393</f>
        <v>0</v>
      </c>
      <c r="AD393" s="33">
        <f>'Dados - Cliente'!AA393</f>
        <v>0</v>
      </c>
      <c r="AE393" s="33">
        <f>'Dados - Cliente'!AB393</f>
        <v>0</v>
      </c>
      <c r="AF393" s="33">
        <f>'Dados - Cliente'!AC393</f>
        <v>0</v>
      </c>
      <c r="AG393" s="35">
        <f>'Dados - Cliente'!AD393</f>
        <v>0</v>
      </c>
      <c r="AH393" s="33" t="e">
        <f>INDEX('Dados - Placas'!$A:$A,MATCH('1'!AG393,'Dados - Placas'!$D:$D,0))</f>
        <v>#N/A</v>
      </c>
      <c r="AI393" s="35" t="e">
        <f>INDEX('Dados - Placas'!$E:$E,MATCH('1'!AG393,'Dados - Placas'!$D:$D,0))</f>
        <v>#N/A</v>
      </c>
      <c r="AJ393" s="34" t="e">
        <f>INDEX('Dados - Placas'!$F:$F,MATCH('1'!AG393,'Dados - Placas'!$D:$D,0))*AF393</f>
        <v>#N/A</v>
      </c>
      <c r="AK393" s="33">
        <f>'Dados - Cliente'!AE393</f>
        <v>0</v>
      </c>
      <c r="AL393" s="33">
        <f>'Dados - Cliente'!AF393</f>
        <v>0</v>
      </c>
      <c r="AM393" s="36" t="e">
        <f>INDEX('Dados - Inversores'!$A:$A,MATCH('1'!AL393,'Dados - Inversores'!$C:$C,0))</f>
        <v>#N/A</v>
      </c>
      <c r="AN393" s="33">
        <f>'Dados - Cliente'!AG393</f>
        <v>0</v>
      </c>
      <c r="AO393" s="33" t="e">
        <f>AA393*1.25/(0.22*SQRT(INDEX('Dados - Inversores'!AK:AK,MATCH('1'!AL393,'Dados - Inversores'!C:C,0))))</f>
        <v>#N/A</v>
      </c>
      <c r="AP393" s="34">
        <f>INDEX(Dados!$E$2:$E$33,COUNTIF(Dados!$E$2:$E$33,"&lt;="&amp;AN393*1.25/(INDEX('Dados - Inversores'!AL:AL,MATCH('1'!AL393,'Dados - Inversores'!C:C,0))*SQRT(INDEX('Dados - Inversores'!AK:AK,MATCH('1'!AL393,'Dados - Inversores'!C:C,0)))))+1)</f>
        <v>2</v>
      </c>
      <c r="AQ393" s="33" t="s">
        <v>59</v>
      </c>
      <c r="AR393" s="33" t="str">
        <f t="shared" si="28"/>
        <v>Micro</v>
      </c>
      <c r="AS393" s="33">
        <f>'Dados - Cliente'!AH393</f>
        <v>0</v>
      </c>
      <c r="AT393" s="33">
        <f>'Dados - Cliente'!AI393</f>
        <v>0</v>
      </c>
      <c r="AU393" s="33" t="e">
        <f>INDEX('Dados - Placas'!$N:$N,MATCH('1'!AG393,'Dados - Placas'!$D:$D,0))-1</f>
        <v>#N/A</v>
      </c>
      <c r="AV393" s="33" t="e">
        <f>INDEX('Dados - Placas'!$O:$O,MATCH('1'!AG393,'Dados - Placas'!$D:$D,0))</f>
        <v>#N/A</v>
      </c>
      <c r="AW393" s="33" t="e">
        <f>INDEX('Dados - Inversores'!AM:AM,MATCH('1'!AL393,'Dados - Inversores'!$C:$C,0))-1</f>
        <v>#N/A</v>
      </c>
      <c r="AX393" s="33" t="e">
        <f>INDEX('Dados - Inversores'!AN:AN,MATCH('1'!AL393,'Dados - Inversores'!$C:$C,0))-1</f>
        <v>#N/A</v>
      </c>
      <c r="AY393" s="33" t="e">
        <f>MATCH('1'!H393,Dados!$D$89:$D$167,0)+1</f>
        <v>#N/A</v>
      </c>
      <c r="AZ393" s="33" t="e">
        <f>MATCH('1'!N393,'Dados - Solicitação de acesso'!$N$2:$N$8,0)</f>
        <v>#N/A</v>
      </c>
      <c r="BA393" s="33" t="e">
        <f>MATCH('1'!T393,'Dados - Solicitação de acesso'!$T$2:$T$20,0)</f>
        <v>#N/A</v>
      </c>
    </row>
    <row r="394" spans="1:53" x14ac:dyDescent="0.35">
      <c r="A394" s="33">
        <f>'Dados - Cliente'!A394</f>
        <v>0</v>
      </c>
      <c r="B394" s="33">
        <f>'Dados - Cliente'!B394</f>
        <v>0</v>
      </c>
      <c r="C394" s="33">
        <f>'Dados - Cliente'!C394</f>
        <v>0</v>
      </c>
      <c r="D394" s="33">
        <f>'Dados - Cliente'!D394</f>
        <v>0</v>
      </c>
      <c r="E394" s="33">
        <f>'Dados - Cliente'!E394</f>
        <v>0</v>
      </c>
      <c r="F394" s="33">
        <f>'Dados - Cliente'!F394</f>
        <v>0</v>
      </c>
      <c r="G394" s="33">
        <f>'Dados - Cliente'!G394</f>
        <v>0</v>
      </c>
      <c r="H394" s="33">
        <f>'Dados - Cliente'!H394</f>
        <v>0</v>
      </c>
      <c r="I394" s="75" t="s">
        <v>4313</v>
      </c>
      <c r="J394" s="52" t="s">
        <v>4314</v>
      </c>
      <c r="K394" s="52" t="s">
        <v>4314</v>
      </c>
      <c r="L394" s="33">
        <f>'Dados - Cliente'!I394</f>
        <v>0</v>
      </c>
      <c r="M394" s="33">
        <f>'Dados - Cliente'!K394</f>
        <v>0</v>
      </c>
      <c r="N394" s="33">
        <f>'Dados - Cliente'!L394</f>
        <v>0</v>
      </c>
      <c r="O394" s="33">
        <f>'Dados - Cliente'!M394</f>
        <v>0</v>
      </c>
      <c r="P394" s="33">
        <f>'Dados - Cliente'!N394</f>
        <v>0</v>
      </c>
      <c r="Q394" s="33">
        <f>'Dados - Cliente'!O394</f>
        <v>0</v>
      </c>
      <c r="R394" s="33">
        <f>'Dados - Cliente'!P394</f>
        <v>0</v>
      </c>
      <c r="S394" s="33">
        <f>'Dados - Cliente'!Q394</f>
        <v>0</v>
      </c>
      <c r="T394" s="33">
        <f>'Dados - Cliente'!R394</f>
        <v>0</v>
      </c>
      <c r="U394" s="34">
        <f>'Dados - Cliente'!S394</f>
        <v>0</v>
      </c>
      <c r="V394" s="34">
        <f>'Dados - Cliente'!T394</f>
        <v>0</v>
      </c>
      <c r="W394" s="34">
        <f>'Dados - Cliente'!U394</f>
        <v>0</v>
      </c>
      <c r="X394" s="34">
        <f>'Dados - Cliente'!V394</f>
        <v>0</v>
      </c>
      <c r="Y394" s="34">
        <f>'Dados - Cliente'!W394</f>
        <v>0</v>
      </c>
      <c r="Z394" s="34">
        <f>'Dados - Cliente'!X394</f>
        <v>0</v>
      </c>
      <c r="AA394" s="33" t="e">
        <f t="shared" si="27"/>
        <v>#N/A</v>
      </c>
      <c r="AB394" s="33">
        <f>'Dados - Cliente'!Y394</f>
        <v>0</v>
      </c>
      <c r="AC394" s="33">
        <f>'Dados - Cliente'!Z394</f>
        <v>0</v>
      </c>
      <c r="AD394" s="33">
        <f>'Dados - Cliente'!AA394</f>
        <v>0</v>
      </c>
      <c r="AE394" s="33">
        <f>'Dados - Cliente'!AB394</f>
        <v>0</v>
      </c>
      <c r="AF394" s="33">
        <f>'Dados - Cliente'!AC394</f>
        <v>0</v>
      </c>
      <c r="AG394" s="35">
        <f>'Dados - Cliente'!AD394</f>
        <v>0</v>
      </c>
      <c r="AH394" s="33" t="e">
        <f>INDEX('Dados - Placas'!$A:$A,MATCH('1'!AG394,'Dados - Placas'!$D:$D,0))</f>
        <v>#N/A</v>
      </c>
      <c r="AI394" s="35" t="e">
        <f>INDEX('Dados - Placas'!$E:$E,MATCH('1'!AG394,'Dados - Placas'!$D:$D,0))</f>
        <v>#N/A</v>
      </c>
      <c r="AJ394" s="34" t="e">
        <f>INDEX('Dados - Placas'!$F:$F,MATCH('1'!AG394,'Dados - Placas'!$D:$D,0))*AF394</f>
        <v>#N/A</v>
      </c>
      <c r="AK394" s="33">
        <f>'Dados - Cliente'!AE394</f>
        <v>0</v>
      </c>
      <c r="AL394" s="33">
        <f>'Dados - Cliente'!AF394</f>
        <v>0</v>
      </c>
      <c r="AM394" s="36" t="e">
        <f>INDEX('Dados - Inversores'!$A:$A,MATCH('1'!AL394,'Dados - Inversores'!$C:$C,0))</f>
        <v>#N/A</v>
      </c>
      <c r="AN394" s="33">
        <f>'Dados - Cliente'!AG394</f>
        <v>0</v>
      </c>
      <c r="AO394" s="33" t="e">
        <f>AA394*1.25/(0.22*SQRT(INDEX('Dados - Inversores'!AK:AK,MATCH('1'!AL394,'Dados - Inversores'!C:C,0))))</f>
        <v>#N/A</v>
      </c>
      <c r="AP394" s="34">
        <f>INDEX(Dados!$E$2:$E$33,COUNTIF(Dados!$E$2:$E$33,"&lt;="&amp;AN394*1.25/(INDEX('Dados - Inversores'!AL:AL,MATCH('1'!AL394,'Dados - Inversores'!C:C,0))*SQRT(INDEX('Dados - Inversores'!AK:AK,MATCH('1'!AL394,'Dados - Inversores'!C:C,0)))))+1)</f>
        <v>2</v>
      </c>
      <c r="AQ394" s="33" t="s">
        <v>59</v>
      </c>
      <c r="AR394" s="33" t="str">
        <f t="shared" si="28"/>
        <v>Micro</v>
      </c>
      <c r="AS394" s="33">
        <f>'Dados - Cliente'!AH394</f>
        <v>0</v>
      </c>
      <c r="AT394" s="33">
        <f>'Dados - Cliente'!AI394</f>
        <v>0</v>
      </c>
      <c r="AU394" s="33" t="e">
        <f>INDEX('Dados - Placas'!$N:$N,MATCH('1'!AG394,'Dados - Placas'!$D:$D,0))-1</f>
        <v>#N/A</v>
      </c>
      <c r="AV394" s="33" t="e">
        <f>INDEX('Dados - Placas'!$O:$O,MATCH('1'!AG394,'Dados - Placas'!$D:$D,0))</f>
        <v>#N/A</v>
      </c>
      <c r="AW394" s="33" t="e">
        <f>INDEX('Dados - Inversores'!AM:AM,MATCH('1'!AL394,'Dados - Inversores'!$C:$C,0))-1</f>
        <v>#N/A</v>
      </c>
      <c r="AX394" s="33" t="e">
        <f>INDEX('Dados - Inversores'!AN:AN,MATCH('1'!AL394,'Dados - Inversores'!$C:$C,0))-1</f>
        <v>#N/A</v>
      </c>
      <c r="AY394" s="33" t="e">
        <f>MATCH('1'!H394,Dados!$D$89:$D$167,0)+1</f>
        <v>#N/A</v>
      </c>
      <c r="AZ394" s="33" t="e">
        <f>MATCH('1'!N394,'Dados - Solicitação de acesso'!$N$2:$N$8,0)</f>
        <v>#N/A</v>
      </c>
      <c r="BA394" s="33" t="e">
        <f>MATCH('1'!T394,'Dados - Solicitação de acesso'!$T$2:$T$20,0)</f>
        <v>#N/A</v>
      </c>
    </row>
    <row r="395" spans="1:53" x14ac:dyDescent="0.35">
      <c r="A395" s="33">
        <f>'Dados - Cliente'!A395</f>
        <v>0</v>
      </c>
      <c r="B395" s="33">
        <f>'Dados - Cliente'!B395</f>
        <v>0</v>
      </c>
      <c r="C395" s="33">
        <f>'Dados - Cliente'!C395</f>
        <v>0</v>
      </c>
      <c r="D395" s="33">
        <f>'Dados - Cliente'!D395</f>
        <v>0</v>
      </c>
      <c r="E395" s="33">
        <f>'Dados - Cliente'!E395</f>
        <v>0</v>
      </c>
      <c r="F395" s="33">
        <f>'Dados - Cliente'!F395</f>
        <v>0</v>
      </c>
      <c r="G395" s="33">
        <f>'Dados - Cliente'!G395</f>
        <v>0</v>
      </c>
      <c r="H395" s="33">
        <f>'Dados - Cliente'!H395</f>
        <v>0</v>
      </c>
      <c r="I395" s="75" t="s">
        <v>4313</v>
      </c>
      <c r="J395" s="52" t="s">
        <v>4314</v>
      </c>
      <c r="K395" s="52" t="s">
        <v>4314</v>
      </c>
      <c r="L395" s="33">
        <f>'Dados - Cliente'!I395</f>
        <v>0</v>
      </c>
      <c r="M395" s="33">
        <f>'Dados - Cliente'!K395</f>
        <v>0</v>
      </c>
      <c r="N395" s="33">
        <f>'Dados - Cliente'!L395</f>
        <v>0</v>
      </c>
      <c r="O395" s="33">
        <f>'Dados - Cliente'!M395</f>
        <v>0</v>
      </c>
      <c r="P395" s="33">
        <f>'Dados - Cliente'!N395</f>
        <v>0</v>
      </c>
      <c r="Q395" s="33">
        <f>'Dados - Cliente'!O395</f>
        <v>0</v>
      </c>
      <c r="R395" s="33">
        <f>'Dados - Cliente'!P395</f>
        <v>0</v>
      </c>
      <c r="S395" s="33">
        <f>'Dados - Cliente'!Q395</f>
        <v>0</v>
      </c>
      <c r="T395" s="33">
        <f>'Dados - Cliente'!R395</f>
        <v>0</v>
      </c>
      <c r="U395" s="34">
        <f>'Dados - Cliente'!S395</f>
        <v>0</v>
      </c>
      <c r="V395" s="34">
        <f>'Dados - Cliente'!T395</f>
        <v>0</v>
      </c>
      <c r="W395" s="34">
        <f>'Dados - Cliente'!U395</f>
        <v>0</v>
      </c>
      <c r="X395" s="34">
        <f>'Dados - Cliente'!V395</f>
        <v>0</v>
      </c>
      <c r="Y395" s="34">
        <f>'Dados - Cliente'!W395</f>
        <v>0</v>
      </c>
      <c r="Z395" s="34">
        <f>'Dados - Cliente'!X395</f>
        <v>0</v>
      </c>
      <c r="AA395" s="33" t="e">
        <f t="shared" si="27"/>
        <v>#N/A</v>
      </c>
      <c r="AB395" s="33">
        <f>'Dados - Cliente'!Y395</f>
        <v>0</v>
      </c>
      <c r="AC395" s="33">
        <f>'Dados - Cliente'!Z395</f>
        <v>0</v>
      </c>
      <c r="AD395" s="33">
        <f>'Dados - Cliente'!AA395</f>
        <v>0</v>
      </c>
      <c r="AE395" s="33">
        <f>'Dados - Cliente'!AB395</f>
        <v>0</v>
      </c>
      <c r="AF395" s="33">
        <f>'Dados - Cliente'!AC395</f>
        <v>0</v>
      </c>
      <c r="AG395" s="35">
        <f>'Dados - Cliente'!AD395</f>
        <v>0</v>
      </c>
      <c r="AH395" s="33" t="e">
        <f>INDEX('Dados - Placas'!$A:$A,MATCH('1'!AG395,'Dados - Placas'!$D:$D,0))</f>
        <v>#N/A</v>
      </c>
      <c r="AI395" s="35" t="e">
        <f>INDEX('Dados - Placas'!$E:$E,MATCH('1'!AG395,'Dados - Placas'!$D:$D,0))</f>
        <v>#N/A</v>
      </c>
      <c r="AJ395" s="34" t="e">
        <f>INDEX('Dados - Placas'!$F:$F,MATCH('1'!AG395,'Dados - Placas'!$D:$D,0))*AF395</f>
        <v>#N/A</v>
      </c>
      <c r="AK395" s="33">
        <f>'Dados - Cliente'!AE395</f>
        <v>0</v>
      </c>
      <c r="AL395" s="33">
        <f>'Dados - Cliente'!AF395</f>
        <v>0</v>
      </c>
      <c r="AM395" s="36" t="e">
        <f>INDEX('Dados - Inversores'!$A:$A,MATCH('1'!AL395,'Dados - Inversores'!$C:$C,0))</f>
        <v>#N/A</v>
      </c>
      <c r="AN395" s="33">
        <f>'Dados - Cliente'!AG395</f>
        <v>0</v>
      </c>
      <c r="AO395" s="33" t="e">
        <f>AA395*1.25/(0.22*SQRT(INDEX('Dados - Inversores'!AK:AK,MATCH('1'!AL395,'Dados - Inversores'!C:C,0))))</f>
        <v>#N/A</v>
      </c>
      <c r="AP395" s="34">
        <f>INDEX(Dados!$E$2:$E$33,COUNTIF(Dados!$E$2:$E$33,"&lt;="&amp;AN395*1.25/(INDEX('Dados - Inversores'!AL:AL,MATCH('1'!AL395,'Dados - Inversores'!C:C,0))*SQRT(INDEX('Dados - Inversores'!AK:AK,MATCH('1'!AL395,'Dados - Inversores'!C:C,0)))))+1)</f>
        <v>2</v>
      </c>
      <c r="AQ395" s="33" t="s">
        <v>59</v>
      </c>
      <c r="AR395" s="33" t="str">
        <f t="shared" si="28"/>
        <v>Micro</v>
      </c>
      <c r="AS395" s="33">
        <f>'Dados - Cliente'!AH395</f>
        <v>0</v>
      </c>
      <c r="AT395" s="33">
        <f>'Dados - Cliente'!AI395</f>
        <v>0</v>
      </c>
      <c r="AU395" s="33" t="e">
        <f>INDEX('Dados - Placas'!$N:$N,MATCH('1'!AG395,'Dados - Placas'!$D:$D,0))-1</f>
        <v>#N/A</v>
      </c>
      <c r="AV395" s="33" t="e">
        <f>INDEX('Dados - Placas'!$O:$O,MATCH('1'!AG395,'Dados - Placas'!$D:$D,0))</f>
        <v>#N/A</v>
      </c>
      <c r="AW395" s="33" t="e">
        <f>INDEX('Dados - Inversores'!AM:AM,MATCH('1'!AL395,'Dados - Inversores'!$C:$C,0))-1</f>
        <v>#N/A</v>
      </c>
      <c r="AX395" s="33" t="e">
        <f>INDEX('Dados - Inversores'!AN:AN,MATCH('1'!AL395,'Dados - Inversores'!$C:$C,0))-1</f>
        <v>#N/A</v>
      </c>
      <c r="AY395" s="33" t="e">
        <f>MATCH('1'!H395,Dados!$D$89:$D$167,0)+1</f>
        <v>#N/A</v>
      </c>
      <c r="AZ395" s="33" t="e">
        <f>MATCH('1'!N395,'Dados - Solicitação de acesso'!$N$2:$N$8,0)</f>
        <v>#N/A</v>
      </c>
      <c r="BA395" s="33" t="e">
        <f>MATCH('1'!T395,'Dados - Solicitação de acesso'!$T$2:$T$20,0)</f>
        <v>#N/A</v>
      </c>
    </row>
    <row r="396" spans="1:53" x14ac:dyDescent="0.35">
      <c r="A396" s="33">
        <f>'Dados - Cliente'!A396</f>
        <v>0</v>
      </c>
      <c r="B396" s="33">
        <f>'Dados - Cliente'!B396</f>
        <v>0</v>
      </c>
      <c r="C396" s="33">
        <f>'Dados - Cliente'!C396</f>
        <v>0</v>
      </c>
      <c r="D396" s="33">
        <f>'Dados - Cliente'!D396</f>
        <v>0</v>
      </c>
      <c r="E396" s="33">
        <f>'Dados - Cliente'!E396</f>
        <v>0</v>
      </c>
      <c r="F396" s="33">
        <f>'Dados - Cliente'!F396</f>
        <v>0</v>
      </c>
      <c r="G396" s="33">
        <f>'Dados - Cliente'!G396</f>
        <v>0</v>
      </c>
      <c r="H396" s="33">
        <f>'Dados - Cliente'!H396</f>
        <v>0</v>
      </c>
      <c r="I396" s="75" t="s">
        <v>4313</v>
      </c>
      <c r="J396" s="52" t="s">
        <v>4314</v>
      </c>
      <c r="K396" s="52" t="s">
        <v>4314</v>
      </c>
      <c r="L396" s="33">
        <f>'Dados - Cliente'!I396</f>
        <v>0</v>
      </c>
      <c r="M396" s="33">
        <f>'Dados - Cliente'!K396</f>
        <v>0</v>
      </c>
      <c r="N396" s="33">
        <f>'Dados - Cliente'!L396</f>
        <v>0</v>
      </c>
      <c r="O396" s="33">
        <f>'Dados - Cliente'!M396</f>
        <v>0</v>
      </c>
      <c r="P396" s="33">
        <f>'Dados - Cliente'!N396</f>
        <v>0</v>
      </c>
      <c r="Q396" s="33">
        <f>'Dados - Cliente'!O396</f>
        <v>0</v>
      </c>
      <c r="R396" s="33">
        <f>'Dados - Cliente'!P396</f>
        <v>0</v>
      </c>
      <c r="S396" s="33">
        <f>'Dados - Cliente'!Q396</f>
        <v>0</v>
      </c>
      <c r="T396" s="33">
        <f>'Dados - Cliente'!R396</f>
        <v>0</v>
      </c>
      <c r="U396" s="34">
        <f>'Dados - Cliente'!S396</f>
        <v>0</v>
      </c>
      <c r="V396" s="34">
        <f>'Dados - Cliente'!T396</f>
        <v>0</v>
      </c>
      <c r="W396" s="34">
        <f>'Dados - Cliente'!U396</f>
        <v>0</v>
      </c>
      <c r="X396" s="34">
        <f>'Dados - Cliente'!V396</f>
        <v>0</v>
      </c>
      <c r="Y396" s="34">
        <f>'Dados - Cliente'!W396</f>
        <v>0</v>
      </c>
      <c r="Z396" s="34">
        <f>'Dados - Cliente'!X396</f>
        <v>0</v>
      </c>
      <c r="AA396" s="33" t="e">
        <f t="shared" si="27"/>
        <v>#N/A</v>
      </c>
      <c r="AB396" s="33">
        <f>'Dados - Cliente'!Y396</f>
        <v>0</v>
      </c>
      <c r="AC396" s="33">
        <f>'Dados - Cliente'!Z396</f>
        <v>0</v>
      </c>
      <c r="AD396" s="33">
        <f>'Dados - Cliente'!AA396</f>
        <v>0</v>
      </c>
      <c r="AE396" s="33">
        <f>'Dados - Cliente'!AB396</f>
        <v>0</v>
      </c>
      <c r="AF396" s="33">
        <f>'Dados - Cliente'!AC396</f>
        <v>0</v>
      </c>
      <c r="AG396" s="35">
        <f>'Dados - Cliente'!AD396</f>
        <v>0</v>
      </c>
      <c r="AH396" s="33" t="e">
        <f>INDEX('Dados - Placas'!$A:$A,MATCH('1'!AG396,'Dados - Placas'!$D:$D,0))</f>
        <v>#N/A</v>
      </c>
      <c r="AI396" s="35" t="e">
        <f>INDEX('Dados - Placas'!$E:$E,MATCH('1'!AG396,'Dados - Placas'!$D:$D,0))</f>
        <v>#N/A</v>
      </c>
      <c r="AJ396" s="34" t="e">
        <f>INDEX('Dados - Placas'!$F:$F,MATCH('1'!AG396,'Dados - Placas'!$D:$D,0))*AF396</f>
        <v>#N/A</v>
      </c>
      <c r="AK396" s="33">
        <f>'Dados - Cliente'!AE396</f>
        <v>0</v>
      </c>
      <c r="AL396" s="33">
        <f>'Dados - Cliente'!AF396</f>
        <v>0</v>
      </c>
      <c r="AM396" s="36" t="e">
        <f>INDEX('Dados - Inversores'!$A:$A,MATCH('1'!AL396,'Dados - Inversores'!$C:$C,0))</f>
        <v>#N/A</v>
      </c>
      <c r="AN396" s="33">
        <f>'Dados - Cliente'!AG396</f>
        <v>0</v>
      </c>
      <c r="AO396" s="33" t="e">
        <f>AA396*1.25/(0.22*SQRT(INDEX('Dados - Inversores'!AK:AK,MATCH('1'!AL396,'Dados - Inversores'!C:C,0))))</f>
        <v>#N/A</v>
      </c>
      <c r="AP396" s="34">
        <f>INDEX(Dados!$E$2:$E$33,COUNTIF(Dados!$E$2:$E$33,"&lt;="&amp;AN396*1.25/(INDEX('Dados - Inversores'!AL:AL,MATCH('1'!AL396,'Dados - Inversores'!C:C,0))*SQRT(INDEX('Dados - Inversores'!AK:AK,MATCH('1'!AL396,'Dados - Inversores'!C:C,0)))))+1)</f>
        <v>2</v>
      </c>
      <c r="AQ396" s="33" t="s">
        <v>59</v>
      </c>
      <c r="AR396" s="33" t="str">
        <f t="shared" si="28"/>
        <v>Micro</v>
      </c>
      <c r="AS396" s="33">
        <f>'Dados - Cliente'!AH396</f>
        <v>0</v>
      </c>
      <c r="AT396" s="33">
        <f>'Dados - Cliente'!AI396</f>
        <v>0</v>
      </c>
      <c r="AU396" s="33" t="e">
        <f>INDEX('Dados - Placas'!$N:$N,MATCH('1'!AG396,'Dados - Placas'!$D:$D,0))-1</f>
        <v>#N/A</v>
      </c>
      <c r="AV396" s="33" t="e">
        <f>INDEX('Dados - Placas'!$O:$O,MATCH('1'!AG396,'Dados - Placas'!$D:$D,0))</f>
        <v>#N/A</v>
      </c>
      <c r="AW396" s="33" t="e">
        <f>INDEX('Dados - Inversores'!AM:AM,MATCH('1'!AL396,'Dados - Inversores'!$C:$C,0))-1</f>
        <v>#N/A</v>
      </c>
      <c r="AX396" s="33" t="e">
        <f>INDEX('Dados - Inversores'!AN:AN,MATCH('1'!AL396,'Dados - Inversores'!$C:$C,0))-1</f>
        <v>#N/A</v>
      </c>
      <c r="AY396" s="33" t="e">
        <f>MATCH('1'!H396,Dados!$D$89:$D$167,0)+1</f>
        <v>#N/A</v>
      </c>
      <c r="AZ396" s="33" t="e">
        <f>MATCH('1'!N396,'Dados - Solicitação de acesso'!$N$2:$N$8,0)</f>
        <v>#N/A</v>
      </c>
      <c r="BA396" s="33" t="e">
        <f>MATCH('1'!T396,'Dados - Solicitação de acesso'!$T$2:$T$20,0)</f>
        <v>#N/A</v>
      </c>
    </row>
    <row r="397" spans="1:53" x14ac:dyDescent="0.35">
      <c r="A397" s="33">
        <f>'Dados - Cliente'!A397</f>
        <v>0</v>
      </c>
      <c r="B397" s="33">
        <f>'Dados - Cliente'!B397</f>
        <v>0</v>
      </c>
      <c r="C397" s="33">
        <f>'Dados - Cliente'!C397</f>
        <v>0</v>
      </c>
      <c r="D397" s="33">
        <f>'Dados - Cliente'!D397</f>
        <v>0</v>
      </c>
      <c r="E397" s="33">
        <f>'Dados - Cliente'!E397</f>
        <v>0</v>
      </c>
      <c r="F397" s="33">
        <f>'Dados - Cliente'!F397</f>
        <v>0</v>
      </c>
      <c r="G397" s="33">
        <f>'Dados - Cliente'!G397</f>
        <v>0</v>
      </c>
      <c r="H397" s="33">
        <f>'Dados - Cliente'!H397</f>
        <v>0</v>
      </c>
      <c r="I397" s="75" t="s">
        <v>4313</v>
      </c>
      <c r="J397" s="52" t="s">
        <v>4314</v>
      </c>
      <c r="K397" s="52" t="s">
        <v>4314</v>
      </c>
      <c r="L397" s="33">
        <f>'Dados - Cliente'!I397</f>
        <v>0</v>
      </c>
      <c r="M397" s="33">
        <f>'Dados - Cliente'!K397</f>
        <v>0</v>
      </c>
      <c r="N397" s="33">
        <f>'Dados - Cliente'!L397</f>
        <v>0</v>
      </c>
      <c r="O397" s="33">
        <f>'Dados - Cliente'!M397</f>
        <v>0</v>
      </c>
      <c r="P397" s="33">
        <f>'Dados - Cliente'!N397</f>
        <v>0</v>
      </c>
      <c r="Q397" s="33">
        <f>'Dados - Cliente'!O397</f>
        <v>0</v>
      </c>
      <c r="R397" s="33">
        <f>'Dados - Cliente'!P397</f>
        <v>0</v>
      </c>
      <c r="S397" s="33">
        <f>'Dados - Cliente'!Q397</f>
        <v>0</v>
      </c>
      <c r="T397" s="33">
        <f>'Dados - Cliente'!R397</f>
        <v>0</v>
      </c>
      <c r="U397" s="34">
        <f>'Dados - Cliente'!S397</f>
        <v>0</v>
      </c>
      <c r="V397" s="34">
        <f>'Dados - Cliente'!T397</f>
        <v>0</v>
      </c>
      <c r="W397" s="34">
        <f>'Dados - Cliente'!U397</f>
        <v>0</v>
      </c>
      <c r="X397" s="34">
        <f>'Dados - Cliente'!V397</f>
        <v>0</v>
      </c>
      <c r="Y397" s="34">
        <f>'Dados - Cliente'!W397</f>
        <v>0</v>
      </c>
      <c r="Z397" s="34">
        <f>'Dados - Cliente'!X397</f>
        <v>0</v>
      </c>
      <c r="AA397" s="33" t="e">
        <f t="shared" si="27"/>
        <v>#N/A</v>
      </c>
      <c r="AB397" s="33">
        <f>'Dados - Cliente'!Y397</f>
        <v>0</v>
      </c>
      <c r="AC397" s="33">
        <f>'Dados - Cliente'!Z397</f>
        <v>0</v>
      </c>
      <c r="AD397" s="33">
        <f>'Dados - Cliente'!AA397</f>
        <v>0</v>
      </c>
      <c r="AE397" s="33">
        <f>'Dados - Cliente'!AB397</f>
        <v>0</v>
      </c>
      <c r="AF397" s="33">
        <f>'Dados - Cliente'!AC397</f>
        <v>0</v>
      </c>
      <c r="AG397" s="35">
        <f>'Dados - Cliente'!AD397</f>
        <v>0</v>
      </c>
      <c r="AH397" s="33" t="e">
        <f>INDEX('Dados - Placas'!$A:$A,MATCH('1'!AG397,'Dados - Placas'!$D:$D,0))</f>
        <v>#N/A</v>
      </c>
      <c r="AI397" s="35" t="e">
        <f>INDEX('Dados - Placas'!$E:$E,MATCH('1'!AG397,'Dados - Placas'!$D:$D,0))</f>
        <v>#N/A</v>
      </c>
      <c r="AJ397" s="34" t="e">
        <f>INDEX('Dados - Placas'!$F:$F,MATCH('1'!AG397,'Dados - Placas'!$D:$D,0))*AF397</f>
        <v>#N/A</v>
      </c>
      <c r="AK397" s="33">
        <f>'Dados - Cliente'!AE397</f>
        <v>0</v>
      </c>
      <c r="AL397" s="33">
        <f>'Dados - Cliente'!AF397</f>
        <v>0</v>
      </c>
      <c r="AM397" s="36" t="e">
        <f>INDEX('Dados - Inversores'!$A:$A,MATCH('1'!AL397,'Dados - Inversores'!$C:$C,0))</f>
        <v>#N/A</v>
      </c>
      <c r="AN397" s="33">
        <f>'Dados - Cliente'!AG397</f>
        <v>0</v>
      </c>
      <c r="AO397" s="33" t="e">
        <f>AA397*1.25/(0.22*SQRT(INDEX('Dados - Inversores'!AK:AK,MATCH('1'!AL397,'Dados - Inversores'!C:C,0))))</f>
        <v>#N/A</v>
      </c>
      <c r="AP397" s="34">
        <f>INDEX(Dados!$E$2:$E$33,COUNTIF(Dados!$E$2:$E$33,"&lt;="&amp;AN397*1.25/(INDEX('Dados - Inversores'!AL:AL,MATCH('1'!AL397,'Dados - Inversores'!C:C,0))*SQRT(INDEX('Dados - Inversores'!AK:AK,MATCH('1'!AL397,'Dados - Inversores'!C:C,0)))))+1)</f>
        <v>2</v>
      </c>
      <c r="AQ397" s="33" t="s">
        <v>59</v>
      </c>
      <c r="AR397" s="33" t="str">
        <f t="shared" si="28"/>
        <v>Micro</v>
      </c>
      <c r="AS397" s="33">
        <f>'Dados - Cliente'!AH397</f>
        <v>0</v>
      </c>
      <c r="AT397" s="33">
        <f>'Dados - Cliente'!AI397</f>
        <v>0</v>
      </c>
      <c r="AU397" s="33" t="e">
        <f>INDEX('Dados - Placas'!$N:$N,MATCH('1'!AG397,'Dados - Placas'!$D:$D,0))-1</f>
        <v>#N/A</v>
      </c>
      <c r="AV397" s="33" t="e">
        <f>INDEX('Dados - Placas'!$O:$O,MATCH('1'!AG397,'Dados - Placas'!$D:$D,0))</f>
        <v>#N/A</v>
      </c>
      <c r="AW397" s="33" t="e">
        <f>INDEX('Dados - Inversores'!AM:AM,MATCH('1'!AL397,'Dados - Inversores'!$C:$C,0))-1</f>
        <v>#N/A</v>
      </c>
      <c r="AX397" s="33" t="e">
        <f>INDEX('Dados - Inversores'!AN:AN,MATCH('1'!AL397,'Dados - Inversores'!$C:$C,0))-1</f>
        <v>#N/A</v>
      </c>
      <c r="AY397" s="33" t="e">
        <f>MATCH('1'!H397,Dados!$D$89:$D$167,0)+1</f>
        <v>#N/A</v>
      </c>
      <c r="AZ397" s="33" t="e">
        <f>MATCH('1'!N397,'Dados - Solicitação de acesso'!$N$2:$N$8,0)</f>
        <v>#N/A</v>
      </c>
      <c r="BA397" s="33" t="e">
        <f>MATCH('1'!T397,'Dados - Solicitação de acesso'!$T$2:$T$20,0)</f>
        <v>#N/A</v>
      </c>
    </row>
    <row r="398" spans="1:53" x14ac:dyDescent="0.35">
      <c r="A398" s="33">
        <f>'Dados - Cliente'!A398</f>
        <v>0</v>
      </c>
      <c r="B398" s="33">
        <f>'Dados - Cliente'!B398</f>
        <v>0</v>
      </c>
      <c r="C398" s="33">
        <f>'Dados - Cliente'!C398</f>
        <v>0</v>
      </c>
      <c r="D398" s="33">
        <f>'Dados - Cliente'!D398</f>
        <v>0</v>
      </c>
      <c r="E398" s="33">
        <f>'Dados - Cliente'!E398</f>
        <v>0</v>
      </c>
      <c r="F398" s="33">
        <f>'Dados - Cliente'!F398</f>
        <v>0</v>
      </c>
      <c r="G398" s="33">
        <f>'Dados - Cliente'!G398</f>
        <v>0</v>
      </c>
      <c r="H398" s="33">
        <f>'Dados - Cliente'!H398</f>
        <v>0</v>
      </c>
      <c r="I398" s="75" t="s">
        <v>4313</v>
      </c>
      <c r="J398" s="52" t="s">
        <v>4314</v>
      </c>
      <c r="K398" s="52" t="s">
        <v>4314</v>
      </c>
      <c r="L398" s="33">
        <f>'Dados - Cliente'!I398</f>
        <v>0</v>
      </c>
      <c r="M398" s="33">
        <f>'Dados - Cliente'!K398</f>
        <v>0</v>
      </c>
      <c r="N398" s="33">
        <f>'Dados - Cliente'!L398</f>
        <v>0</v>
      </c>
      <c r="O398" s="33">
        <f>'Dados - Cliente'!M398</f>
        <v>0</v>
      </c>
      <c r="P398" s="33">
        <f>'Dados - Cliente'!N398</f>
        <v>0</v>
      </c>
      <c r="Q398" s="33">
        <f>'Dados - Cliente'!O398</f>
        <v>0</v>
      </c>
      <c r="R398" s="33">
        <f>'Dados - Cliente'!P398</f>
        <v>0</v>
      </c>
      <c r="S398" s="33">
        <f>'Dados - Cliente'!Q398</f>
        <v>0</v>
      </c>
      <c r="T398" s="33">
        <f>'Dados - Cliente'!R398</f>
        <v>0</v>
      </c>
      <c r="U398" s="34">
        <f>'Dados - Cliente'!S398</f>
        <v>0</v>
      </c>
      <c r="V398" s="34">
        <f>'Dados - Cliente'!T398</f>
        <v>0</v>
      </c>
      <c r="W398" s="34">
        <f>'Dados - Cliente'!U398</f>
        <v>0</v>
      </c>
      <c r="X398" s="34">
        <f>'Dados - Cliente'!V398</f>
        <v>0</v>
      </c>
      <c r="Y398" s="34">
        <f>'Dados - Cliente'!W398</f>
        <v>0</v>
      </c>
      <c r="Z398" s="34">
        <f>'Dados - Cliente'!X398</f>
        <v>0</v>
      </c>
      <c r="AA398" s="33" t="e">
        <f t="shared" si="27"/>
        <v>#N/A</v>
      </c>
      <c r="AB398" s="33">
        <f>'Dados - Cliente'!Y398</f>
        <v>0</v>
      </c>
      <c r="AC398" s="33">
        <f>'Dados - Cliente'!Z398</f>
        <v>0</v>
      </c>
      <c r="AD398" s="33">
        <f>'Dados - Cliente'!AA398</f>
        <v>0</v>
      </c>
      <c r="AE398" s="33">
        <f>'Dados - Cliente'!AB398</f>
        <v>0</v>
      </c>
      <c r="AF398" s="33">
        <f>'Dados - Cliente'!AC398</f>
        <v>0</v>
      </c>
      <c r="AG398" s="35">
        <f>'Dados - Cliente'!AD398</f>
        <v>0</v>
      </c>
      <c r="AH398" s="33" t="e">
        <f>INDEX('Dados - Placas'!$A:$A,MATCH('1'!AG398,'Dados - Placas'!$D:$D,0))</f>
        <v>#N/A</v>
      </c>
      <c r="AI398" s="35" t="e">
        <f>INDEX('Dados - Placas'!$E:$E,MATCH('1'!AG398,'Dados - Placas'!$D:$D,0))</f>
        <v>#N/A</v>
      </c>
      <c r="AJ398" s="34" t="e">
        <f>INDEX('Dados - Placas'!$F:$F,MATCH('1'!AG398,'Dados - Placas'!$D:$D,0))*AF398</f>
        <v>#N/A</v>
      </c>
      <c r="AK398" s="33">
        <f>'Dados - Cliente'!AE398</f>
        <v>0</v>
      </c>
      <c r="AL398" s="33">
        <f>'Dados - Cliente'!AF398</f>
        <v>0</v>
      </c>
      <c r="AM398" s="36" t="e">
        <f>INDEX('Dados - Inversores'!$A:$A,MATCH('1'!AL398,'Dados - Inversores'!$C:$C,0))</f>
        <v>#N/A</v>
      </c>
      <c r="AN398" s="33">
        <f>'Dados - Cliente'!AG398</f>
        <v>0</v>
      </c>
      <c r="AO398" s="33" t="e">
        <f>AA398*1.25/(0.22*SQRT(INDEX('Dados - Inversores'!AK:AK,MATCH('1'!AL398,'Dados - Inversores'!C:C,0))))</f>
        <v>#N/A</v>
      </c>
      <c r="AP398" s="34">
        <f>INDEX(Dados!$E$2:$E$33,COUNTIF(Dados!$E$2:$E$33,"&lt;="&amp;AN398*1.25/(INDEX('Dados - Inversores'!AL:AL,MATCH('1'!AL398,'Dados - Inversores'!C:C,0))*SQRT(INDEX('Dados - Inversores'!AK:AK,MATCH('1'!AL398,'Dados - Inversores'!C:C,0)))))+1)</f>
        <v>2</v>
      </c>
      <c r="AQ398" s="33" t="s">
        <v>59</v>
      </c>
      <c r="AR398" s="33" t="str">
        <f t="shared" si="28"/>
        <v>Micro</v>
      </c>
      <c r="AS398" s="33">
        <f>'Dados - Cliente'!AH398</f>
        <v>0</v>
      </c>
      <c r="AT398" s="33">
        <f>'Dados - Cliente'!AI398</f>
        <v>0</v>
      </c>
      <c r="AU398" s="33" t="e">
        <f>INDEX('Dados - Placas'!$N:$N,MATCH('1'!AG398,'Dados - Placas'!$D:$D,0))-1</f>
        <v>#N/A</v>
      </c>
      <c r="AV398" s="33" t="e">
        <f>INDEX('Dados - Placas'!$O:$O,MATCH('1'!AG398,'Dados - Placas'!$D:$D,0))</f>
        <v>#N/A</v>
      </c>
      <c r="AW398" s="33" t="e">
        <f>INDEX('Dados - Inversores'!AM:AM,MATCH('1'!AL398,'Dados - Inversores'!$C:$C,0))-1</f>
        <v>#N/A</v>
      </c>
      <c r="AX398" s="33" t="e">
        <f>INDEX('Dados - Inversores'!AN:AN,MATCH('1'!AL398,'Dados - Inversores'!$C:$C,0))-1</f>
        <v>#N/A</v>
      </c>
      <c r="AY398" s="33" t="e">
        <f>MATCH('1'!H398,Dados!$D$89:$D$167,0)+1</f>
        <v>#N/A</v>
      </c>
      <c r="AZ398" s="33" t="e">
        <f>MATCH('1'!N398,'Dados - Solicitação de acesso'!$N$2:$N$8,0)</f>
        <v>#N/A</v>
      </c>
      <c r="BA398" s="33" t="e">
        <f>MATCH('1'!T398,'Dados - Solicitação de acesso'!$T$2:$T$20,0)</f>
        <v>#N/A</v>
      </c>
    </row>
    <row r="399" spans="1:53" x14ac:dyDescent="0.35">
      <c r="A399" s="33">
        <f>'Dados - Cliente'!A399</f>
        <v>0</v>
      </c>
      <c r="B399" s="33">
        <f>'Dados - Cliente'!B399</f>
        <v>0</v>
      </c>
      <c r="C399" s="33">
        <f>'Dados - Cliente'!C399</f>
        <v>0</v>
      </c>
      <c r="D399" s="33">
        <f>'Dados - Cliente'!D399</f>
        <v>0</v>
      </c>
      <c r="E399" s="33">
        <f>'Dados - Cliente'!E399</f>
        <v>0</v>
      </c>
      <c r="F399" s="33">
        <f>'Dados - Cliente'!F399</f>
        <v>0</v>
      </c>
      <c r="G399" s="33">
        <f>'Dados - Cliente'!G399</f>
        <v>0</v>
      </c>
      <c r="H399" s="33">
        <f>'Dados - Cliente'!H399</f>
        <v>0</v>
      </c>
      <c r="I399" s="75" t="s">
        <v>4313</v>
      </c>
      <c r="J399" s="52" t="s">
        <v>4314</v>
      </c>
      <c r="K399" s="52" t="s">
        <v>4314</v>
      </c>
      <c r="L399" s="33">
        <f>'Dados - Cliente'!I399</f>
        <v>0</v>
      </c>
      <c r="M399" s="33">
        <f>'Dados - Cliente'!K399</f>
        <v>0</v>
      </c>
      <c r="N399" s="33">
        <f>'Dados - Cliente'!L399</f>
        <v>0</v>
      </c>
      <c r="O399" s="33">
        <f>'Dados - Cliente'!M399</f>
        <v>0</v>
      </c>
      <c r="P399" s="33">
        <f>'Dados - Cliente'!N399</f>
        <v>0</v>
      </c>
      <c r="Q399" s="33">
        <f>'Dados - Cliente'!O399</f>
        <v>0</v>
      </c>
      <c r="R399" s="33">
        <f>'Dados - Cliente'!P399</f>
        <v>0</v>
      </c>
      <c r="S399" s="33">
        <f>'Dados - Cliente'!Q399</f>
        <v>0</v>
      </c>
      <c r="T399" s="33">
        <f>'Dados - Cliente'!R399</f>
        <v>0</v>
      </c>
      <c r="U399" s="34">
        <f>'Dados - Cliente'!S399</f>
        <v>0</v>
      </c>
      <c r="V399" s="34">
        <f>'Dados - Cliente'!T399</f>
        <v>0</v>
      </c>
      <c r="W399" s="34">
        <f>'Dados - Cliente'!U399</f>
        <v>0</v>
      </c>
      <c r="X399" s="34">
        <f>'Dados - Cliente'!V399</f>
        <v>0</v>
      </c>
      <c r="Y399" s="34">
        <f>'Dados - Cliente'!W399</f>
        <v>0</v>
      </c>
      <c r="Z399" s="34">
        <f>'Dados - Cliente'!X399</f>
        <v>0</v>
      </c>
      <c r="AA399" s="33" t="e">
        <f t="shared" si="27"/>
        <v>#N/A</v>
      </c>
      <c r="AB399" s="33">
        <f>'Dados - Cliente'!Y399</f>
        <v>0</v>
      </c>
      <c r="AC399" s="33">
        <f>'Dados - Cliente'!Z399</f>
        <v>0</v>
      </c>
      <c r="AD399" s="33">
        <f>'Dados - Cliente'!AA399</f>
        <v>0</v>
      </c>
      <c r="AE399" s="33">
        <f>'Dados - Cliente'!AB399</f>
        <v>0</v>
      </c>
      <c r="AF399" s="33">
        <f>'Dados - Cliente'!AC399</f>
        <v>0</v>
      </c>
      <c r="AG399" s="35">
        <f>'Dados - Cliente'!AD399</f>
        <v>0</v>
      </c>
      <c r="AH399" s="33" t="e">
        <f>INDEX('Dados - Placas'!$A:$A,MATCH('1'!AG399,'Dados - Placas'!$D:$D,0))</f>
        <v>#N/A</v>
      </c>
      <c r="AI399" s="35" t="e">
        <f>INDEX('Dados - Placas'!$E:$E,MATCH('1'!AG399,'Dados - Placas'!$D:$D,0))</f>
        <v>#N/A</v>
      </c>
      <c r="AJ399" s="34" t="e">
        <f>INDEX('Dados - Placas'!$F:$F,MATCH('1'!AG399,'Dados - Placas'!$D:$D,0))*AF399</f>
        <v>#N/A</v>
      </c>
      <c r="AK399" s="33">
        <f>'Dados - Cliente'!AE399</f>
        <v>0</v>
      </c>
      <c r="AL399" s="33">
        <f>'Dados - Cliente'!AF399</f>
        <v>0</v>
      </c>
      <c r="AM399" s="36" t="e">
        <f>INDEX('Dados - Inversores'!$A:$A,MATCH('1'!AL399,'Dados - Inversores'!$C:$C,0))</f>
        <v>#N/A</v>
      </c>
      <c r="AN399" s="33">
        <f>'Dados - Cliente'!AG399</f>
        <v>0</v>
      </c>
      <c r="AO399" s="33" t="e">
        <f>AA399*1.25/(0.22*SQRT(INDEX('Dados - Inversores'!AK:AK,MATCH('1'!AL399,'Dados - Inversores'!C:C,0))))</f>
        <v>#N/A</v>
      </c>
      <c r="AP399" s="34">
        <f>INDEX(Dados!$E$2:$E$33,COUNTIF(Dados!$E$2:$E$33,"&lt;="&amp;AN399*1.25/(INDEX('Dados - Inversores'!AL:AL,MATCH('1'!AL399,'Dados - Inversores'!C:C,0))*SQRT(INDEX('Dados - Inversores'!AK:AK,MATCH('1'!AL399,'Dados - Inversores'!C:C,0)))))+1)</f>
        <v>2</v>
      </c>
      <c r="AQ399" s="33" t="s">
        <v>59</v>
      </c>
      <c r="AR399" s="33" t="str">
        <f t="shared" si="28"/>
        <v>Micro</v>
      </c>
      <c r="AS399" s="33">
        <f>'Dados - Cliente'!AH399</f>
        <v>0</v>
      </c>
      <c r="AT399" s="33">
        <f>'Dados - Cliente'!AI399</f>
        <v>0</v>
      </c>
      <c r="AU399" s="33" t="e">
        <f>INDEX('Dados - Placas'!$N:$N,MATCH('1'!AG399,'Dados - Placas'!$D:$D,0))-1</f>
        <v>#N/A</v>
      </c>
      <c r="AV399" s="33" t="e">
        <f>INDEX('Dados - Placas'!$O:$O,MATCH('1'!AG399,'Dados - Placas'!$D:$D,0))</f>
        <v>#N/A</v>
      </c>
      <c r="AW399" s="33" t="e">
        <f>INDEX('Dados - Inversores'!AM:AM,MATCH('1'!AL399,'Dados - Inversores'!$C:$C,0))-1</f>
        <v>#N/A</v>
      </c>
      <c r="AX399" s="33" t="e">
        <f>INDEX('Dados - Inversores'!AN:AN,MATCH('1'!AL399,'Dados - Inversores'!$C:$C,0))-1</f>
        <v>#N/A</v>
      </c>
      <c r="AY399" s="33" t="e">
        <f>MATCH('1'!H399,Dados!$D$89:$D$167,0)+1</f>
        <v>#N/A</v>
      </c>
      <c r="AZ399" s="33" t="e">
        <f>MATCH('1'!N399,'Dados - Solicitação de acesso'!$N$2:$N$8,0)</f>
        <v>#N/A</v>
      </c>
      <c r="BA399" s="33" t="e">
        <f>MATCH('1'!T399,'Dados - Solicitação de acesso'!$T$2:$T$20,0)</f>
        <v>#N/A</v>
      </c>
    </row>
    <row r="400" spans="1:53" x14ac:dyDescent="0.35">
      <c r="A400" s="33">
        <f>'Dados - Cliente'!A400</f>
        <v>0</v>
      </c>
      <c r="B400" s="33">
        <f>'Dados - Cliente'!B400</f>
        <v>0</v>
      </c>
      <c r="C400" s="33">
        <f>'Dados - Cliente'!C400</f>
        <v>0</v>
      </c>
      <c r="D400" s="33">
        <f>'Dados - Cliente'!D400</f>
        <v>0</v>
      </c>
      <c r="E400" s="33">
        <f>'Dados - Cliente'!E400</f>
        <v>0</v>
      </c>
      <c r="F400" s="33">
        <f>'Dados - Cliente'!F400</f>
        <v>0</v>
      </c>
      <c r="G400" s="33">
        <f>'Dados - Cliente'!G400</f>
        <v>0</v>
      </c>
      <c r="H400" s="33">
        <f>'Dados - Cliente'!H400</f>
        <v>0</v>
      </c>
      <c r="I400" s="75" t="s">
        <v>4313</v>
      </c>
      <c r="J400" s="52" t="s">
        <v>4314</v>
      </c>
      <c r="K400" s="52" t="s">
        <v>4314</v>
      </c>
      <c r="L400" s="33">
        <f>'Dados - Cliente'!I400</f>
        <v>0</v>
      </c>
      <c r="M400" s="33">
        <f>'Dados - Cliente'!K400</f>
        <v>0</v>
      </c>
      <c r="N400" s="33">
        <f>'Dados - Cliente'!L400</f>
        <v>0</v>
      </c>
      <c r="O400" s="33">
        <f>'Dados - Cliente'!M400</f>
        <v>0</v>
      </c>
      <c r="P400" s="33">
        <f>'Dados - Cliente'!N400</f>
        <v>0</v>
      </c>
      <c r="Q400" s="33">
        <f>'Dados - Cliente'!O400</f>
        <v>0</v>
      </c>
      <c r="R400" s="33">
        <f>'Dados - Cliente'!P400</f>
        <v>0</v>
      </c>
      <c r="S400" s="33">
        <f>'Dados - Cliente'!Q400</f>
        <v>0</v>
      </c>
      <c r="T400" s="33">
        <f>'Dados - Cliente'!R400</f>
        <v>0</v>
      </c>
      <c r="U400" s="34">
        <f>'Dados - Cliente'!S400</f>
        <v>0</v>
      </c>
      <c r="V400" s="34">
        <f>'Dados - Cliente'!T400</f>
        <v>0</v>
      </c>
      <c r="W400" s="34">
        <f>'Dados - Cliente'!U400</f>
        <v>0</v>
      </c>
      <c r="X400" s="34">
        <f>'Dados - Cliente'!V400</f>
        <v>0</v>
      </c>
      <c r="Y400" s="34">
        <f>'Dados - Cliente'!W400</f>
        <v>0</v>
      </c>
      <c r="Z400" s="34">
        <f>'Dados - Cliente'!X400</f>
        <v>0</v>
      </c>
      <c r="AA400" s="33" t="e">
        <f t="shared" si="27"/>
        <v>#N/A</v>
      </c>
      <c r="AB400" s="33">
        <f>'Dados - Cliente'!Y400</f>
        <v>0</v>
      </c>
      <c r="AC400" s="33">
        <f>'Dados - Cliente'!Z400</f>
        <v>0</v>
      </c>
      <c r="AD400" s="33">
        <f>'Dados - Cliente'!AA400</f>
        <v>0</v>
      </c>
      <c r="AE400" s="33">
        <f>'Dados - Cliente'!AB400</f>
        <v>0</v>
      </c>
      <c r="AF400" s="33">
        <f>'Dados - Cliente'!AC400</f>
        <v>0</v>
      </c>
      <c r="AG400" s="35">
        <f>'Dados - Cliente'!AD400</f>
        <v>0</v>
      </c>
      <c r="AH400" s="33" t="e">
        <f>INDEX('Dados - Placas'!$A:$A,MATCH('1'!AG400,'Dados - Placas'!$D:$D,0))</f>
        <v>#N/A</v>
      </c>
      <c r="AI400" s="35" t="e">
        <f>INDEX('Dados - Placas'!$E:$E,MATCH('1'!AG400,'Dados - Placas'!$D:$D,0))</f>
        <v>#N/A</v>
      </c>
      <c r="AJ400" s="34" t="e">
        <f>INDEX('Dados - Placas'!$F:$F,MATCH('1'!AG400,'Dados - Placas'!$D:$D,0))*AF400</f>
        <v>#N/A</v>
      </c>
      <c r="AK400" s="33">
        <f>'Dados - Cliente'!AE400</f>
        <v>0</v>
      </c>
      <c r="AL400" s="33">
        <f>'Dados - Cliente'!AF400</f>
        <v>0</v>
      </c>
      <c r="AM400" s="36" t="e">
        <f>INDEX('Dados - Inversores'!$A:$A,MATCH('1'!AL400,'Dados - Inversores'!$C:$C,0))</f>
        <v>#N/A</v>
      </c>
      <c r="AN400" s="33">
        <f>'Dados - Cliente'!AG400</f>
        <v>0</v>
      </c>
      <c r="AO400" s="33" t="e">
        <f>AA400*1.25/(0.22*SQRT(INDEX('Dados - Inversores'!AK:AK,MATCH('1'!AL400,'Dados - Inversores'!C:C,0))))</f>
        <v>#N/A</v>
      </c>
      <c r="AP400" s="34">
        <f>INDEX(Dados!$E$2:$E$33,COUNTIF(Dados!$E$2:$E$33,"&lt;="&amp;AN400*1.25/(INDEX('Dados - Inversores'!AL:AL,MATCH('1'!AL400,'Dados - Inversores'!C:C,0))*SQRT(INDEX('Dados - Inversores'!AK:AK,MATCH('1'!AL400,'Dados - Inversores'!C:C,0)))))+1)</f>
        <v>2</v>
      </c>
      <c r="AQ400" s="33" t="s">
        <v>59</v>
      </c>
      <c r="AR400" s="33" t="str">
        <f t="shared" si="28"/>
        <v>Micro</v>
      </c>
      <c r="AS400" s="33">
        <f>'Dados - Cliente'!AH400</f>
        <v>0</v>
      </c>
      <c r="AT400" s="33">
        <f>'Dados - Cliente'!AI400</f>
        <v>0</v>
      </c>
      <c r="AU400" s="33" t="e">
        <f>INDEX('Dados - Placas'!$N:$N,MATCH('1'!AG400,'Dados - Placas'!$D:$D,0))-1</f>
        <v>#N/A</v>
      </c>
      <c r="AV400" s="33" t="e">
        <f>INDEX('Dados - Placas'!$O:$O,MATCH('1'!AG400,'Dados - Placas'!$D:$D,0))</f>
        <v>#N/A</v>
      </c>
      <c r="AW400" s="33" t="e">
        <f>INDEX('Dados - Inversores'!AM:AM,MATCH('1'!AL400,'Dados - Inversores'!$C:$C,0))-1</f>
        <v>#N/A</v>
      </c>
      <c r="AX400" s="33" t="e">
        <f>INDEX('Dados - Inversores'!AN:AN,MATCH('1'!AL400,'Dados - Inversores'!$C:$C,0))-1</f>
        <v>#N/A</v>
      </c>
      <c r="AY400" s="33" t="e">
        <f>MATCH('1'!H400,Dados!$D$89:$D$167,0)+1</f>
        <v>#N/A</v>
      </c>
      <c r="AZ400" s="33" t="e">
        <f>MATCH('1'!N400,'Dados - Solicitação de acesso'!$N$2:$N$8,0)</f>
        <v>#N/A</v>
      </c>
      <c r="BA400" s="33" t="e">
        <f>MATCH('1'!T400,'Dados - Solicitação de acesso'!$T$2:$T$20,0)</f>
        <v>#N/A</v>
      </c>
    </row>
    <row r="401" spans="1:53" x14ac:dyDescent="0.35">
      <c r="A401" s="33">
        <f>'Dados - Cliente'!A401</f>
        <v>0</v>
      </c>
      <c r="B401" s="33">
        <f>'Dados - Cliente'!B401</f>
        <v>0</v>
      </c>
      <c r="C401" s="33">
        <f>'Dados - Cliente'!C401</f>
        <v>0</v>
      </c>
      <c r="D401" s="33">
        <f>'Dados - Cliente'!D401</f>
        <v>0</v>
      </c>
      <c r="E401" s="33">
        <f>'Dados - Cliente'!E401</f>
        <v>0</v>
      </c>
      <c r="F401" s="33">
        <f>'Dados - Cliente'!F401</f>
        <v>0</v>
      </c>
      <c r="G401" s="33">
        <f>'Dados - Cliente'!G401</f>
        <v>0</v>
      </c>
      <c r="H401" s="33">
        <f>'Dados - Cliente'!H401</f>
        <v>0</v>
      </c>
      <c r="I401" s="75" t="s">
        <v>4313</v>
      </c>
      <c r="J401" s="52" t="s">
        <v>4314</v>
      </c>
      <c r="K401" s="52" t="s">
        <v>4314</v>
      </c>
      <c r="L401" s="33">
        <f>'Dados - Cliente'!I401</f>
        <v>0</v>
      </c>
      <c r="M401" s="33">
        <f>'Dados - Cliente'!K401</f>
        <v>0</v>
      </c>
      <c r="N401" s="33">
        <f>'Dados - Cliente'!L401</f>
        <v>0</v>
      </c>
      <c r="O401" s="33">
        <f>'Dados - Cliente'!M401</f>
        <v>0</v>
      </c>
      <c r="P401" s="33">
        <f>'Dados - Cliente'!N401</f>
        <v>0</v>
      </c>
      <c r="Q401" s="33">
        <f>'Dados - Cliente'!O401</f>
        <v>0</v>
      </c>
      <c r="R401" s="33">
        <f>'Dados - Cliente'!P401</f>
        <v>0</v>
      </c>
      <c r="S401" s="33">
        <f>'Dados - Cliente'!Q401</f>
        <v>0</v>
      </c>
      <c r="T401" s="33">
        <f>'Dados - Cliente'!R401</f>
        <v>0</v>
      </c>
      <c r="U401" s="34">
        <f>'Dados - Cliente'!S401</f>
        <v>0</v>
      </c>
      <c r="V401" s="34">
        <f>'Dados - Cliente'!T401</f>
        <v>0</v>
      </c>
      <c r="W401" s="34">
        <f>'Dados - Cliente'!U401</f>
        <v>0</v>
      </c>
      <c r="X401" s="34">
        <f>'Dados - Cliente'!V401</f>
        <v>0</v>
      </c>
      <c r="Y401" s="34">
        <f>'Dados - Cliente'!W401</f>
        <v>0</v>
      </c>
      <c r="Z401" s="34">
        <f>'Dados - Cliente'!X401</f>
        <v>0</v>
      </c>
      <c r="AA401" s="33" t="e">
        <f t="shared" si="27"/>
        <v>#N/A</v>
      </c>
      <c r="AB401" s="33">
        <f>'Dados - Cliente'!Y401</f>
        <v>0</v>
      </c>
      <c r="AC401" s="33">
        <f>'Dados - Cliente'!Z401</f>
        <v>0</v>
      </c>
      <c r="AD401" s="33">
        <f>'Dados - Cliente'!AA401</f>
        <v>0</v>
      </c>
      <c r="AE401" s="33">
        <f>'Dados - Cliente'!AB401</f>
        <v>0</v>
      </c>
      <c r="AF401" s="33">
        <f>'Dados - Cliente'!AC401</f>
        <v>0</v>
      </c>
      <c r="AG401" s="35">
        <f>'Dados - Cliente'!AD401</f>
        <v>0</v>
      </c>
      <c r="AH401" s="33" t="e">
        <f>INDEX('Dados - Placas'!$A:$A,MATCH('1'!AG401,'Dados - Placas'!$D:$D,0))</f>
        <v>#N/A</v>
      </c>
      <c r="AI401" s="35" t="e">
        <f>INDEX('Dados - Placas'!$E:$E,MATCH('1'!AG401,'Dados - Placas'!$D:$D,0))</f>
        <v>#N/A</v>
      </c>
      <c r="AJ401" s="34" t="e">
        <f>INDEX('Dados - Placas'!$F:$F,MATCH('1'!AG401,'Dados - Placas'!$D:$D,0))*AF401</f>
        <v>#N/A</v>
      </c>
      <c r="AK401" s="33">
        <f>'Dados - Cliente'!AE401</f>
        <v>0</v>
      </c>
      <c r="AL401" s="33">
        <f>'Dados - Cliente'!AF401</f>
        <v>0</v>
      </c>
      <c r="AM401" s="36" t="e">
        <f>INDEX('Dados - Inversores'!$A:$A,MATCH('1'!AL401,'Dados - Inversores'!$C:$C,0))</f>
        <v>#N/A</v>
      </c>
      <c r="AN401" s="33">
        <f>'Dados - Cliente'!AG401</f>
        <v>0</v>
      </c>
      <c r="AO401" s="33" t="e">
        <f>AA401*1.25/(0.22*SQRT(INDEX('Dados - Inversores'!AK:AK,MATCH('1'!AL401,'Dados - Inversores'!C:C,0))))</f>
        <v>#N/A</v>
      </c>
      <c r="AP401" s="34">
        <f>INDEX(Dados!$E$2:$E$33,COUNTIF(Dados!$E$2:$E$33,"&lt;="&amp;AN401*1.25/(INDEX('Dados - Inversores'!AL:AL,MATCH('1'!AL401,'Dados - Inversores'!C:C,0))*SQRT(INDEX('Dados - Inversores'!AK:AK,MATCH('1'!AL401,'Dados - Inversores'!C:C,0)))))+1)</f>
        <v>2</v>
      </c>
      <c r="AQ401" s="33" t="s">
        <v>59</v>
      </c>
      <c r="AR401" s="33" t="str">
        <f t="shared" si="28"/>
        <v>Micro</v>
      </c>
      <c r="AS401" s="33">
        <f>'Dados - Cliente'!AH401</f>
        <v>0</v>
      </c>
      <c r="AT401" s="33">
        <f>'Dados - Cliente'!AI401</f>
        <v>0</v>
      </c>
      <c r="AU401" s="33" t="e">
        <f>INDEX('Dados - Placas'!$N:$N,MATCH('1'!AG401,'Dados - Placas'!$D:$D,0))-1</f>
        <v>#N/A</v>
      </c>
      <c r="AV401" s="33" t="e">
        <f>INDEX('Dados - Placas'!$O:$O,MATCH('1'!AG401,'Dados - Placas'!$D:$D,0))</f>
        <v>#N/A</v>
      </c>
      <c r="AW401" s="33" t="e">
        <f>INDEX('Dados - Inversores'!AM:AM,MATCH('1'!AL401,'Dados - Inversores'!$C:$C,0))-1</f>
        <v>#N/A</v>
      </c>
      <c r="AX401" s="33" t="e">
        <f>INDEX('Dados - Inversores'!AN:AN,MATCH('1'!AL401,'Dados - Inversores'!$C:$C,0))-1</f>
        <v>#N/A</v>
      </c>
      <c r="AY401" s="33" t="e">
        <f>MATCH('1'!H401,Dados!$D$89:$D$167,0)+1</f>
        <v>#N/A</v>
      </c>
      <c r="AZ401" s="33" t="e">
        <f>MATCH('1'!N401,'Dados - Solicitação de acesso'!$N$2:$N$8,0)</f>
        <v>#N/A</v>
      </c>
      <c r="BA401" s="33" t="e">
        <f>MATCH('1'!T401,'Dados - Solicitação de acesso'!$T$2:$T$20,0)</f>
        <v>#N/A</v>
      </c>
    </row>
    <row r="402" spans="1:53" x14ac:dyDescent="0.35">
      <c r="A402" s="33">
        <f>'Dados - Cliente'!A402</f>
        <v>0</v>
      </c>
      <c r="B402" s="33">
        <f>'Dados - Cliente'!B402</f>
        <v>0</v>
      </c>
      <c r="C402" s="33">
        <f>'Dados - Cliente'!C402</f>
        <v>0</v>
      </c>
      <c r="D402" s="33">
        <f>'Dados - Cliente'!D402</f>
        <v>0</v>
      </c>
      <c r="E402" s="33">
        <f>'Dados - Cliente'!E402</f>
        <v>0</v>
      </c>
      <c r="F402" s="33">
        <f>'Dados - Cliente'!F402</f>
        <v>0</v>
      </c>
      <c r="G402" s="33">
        <f>'Dados - Cliente'!G402</f>
        <v>0</v>
      </c>
      <c r="H402" s="33">
        <f>'Dados - Cliente'!H402</f>
        <v>0</v>
      </c>
      <c r="I402" s="75" t="s">
        <v>4313</v>
      </c>
      <c r="J402" s="52" t="s">
        <v>4314</v>
      </c>
      <c r="K402" s="52" t="s">
        <v>4314</v>
      </c>
      <c r="L402" s="33">
        <f>'Dados - Cliente'!I402</f>
        <v>0</v>
      </c>
      <c r="M402" s="33">
        <f>'Dados - Cliente'!K402</f>
        <v>0</v>
      </c>
      <c r="N402" s="33">
        <f>'Dados - Cliente'!L402</f>
        <v>0</v>
      </c>
      <c r="O402" s="33">
        <f>'Dados - Cliente'!M402</f>
        <v>0</v>
      </c>
      <c r="P402" s="33">
        <f>'Dados - Cliente'!N402</f>
        <v>0</v>
      </c>
      <c r="Q402" s="33">
        <f>'Dados - Cliente'!O402</f>
        <v>0</v>
      </c>
      <c r="R402" s="33">
        <f>'Dados - Cliente'!P402</f>
        <v>0</v>
      </c>
      <c r="S402" s="33">
        <f>'Dados - Cliente'!Q402</f>
        <v>0</v>
      </c>
      <c r="T402" s="33">
        <f>'Dados - Cliente'!R402</f>
        <v>0</v>
      </c>
      <c r="U402" s="34">
        <f>'Dados - Cliente'!S402</f>
        <v>0</v>
      </c>
      <c r="V402" s="34">
        <f>'Dados - Cliente'!T402</f>
        <v>0</v>
      </c>
      <c r="W402" s="34">
        <f>'Dados - Cliente'!U402</f>
        <v>0</v>
      </c>
      <c r="X402" s="34">
        <f>'Dados - Cliente'!V402</f>
        <v>0</v>
      </c>
      <c r="Y402" s="34">
        <f>'Dados - Cliente'!W402</f>
        <v>0</v>
      </c>
      <c r="Z402" s="34">
        <f>'Dados - Cliente'!X402</f>
        <v>0</v>
      </c>
      <c r="AA402" s="33" t="e">
        <f t="shared" si="27"/>
        <v>#N/A</v>
      </c>
      <c r="AB402" s="33">
        <f>'Dados - Cliente'!Y402</f>
        <v>0</v>
      </c>
      <c r="AC402" s="33">
        <f>'Dados - Cliente'!Z402</f>
        <v>0</v>
      </c>
      <c r="AD402" s="33">
        <f>'Dados - Cliente'!AA402</f>
        <v>0</v>
      </c>
      <c r="AE402" s="33">
        <f>'Dados - Cliente'!AB402</f>
        <v>0</v>
      </c>
      <c r="AF402" s="33">
        <f>'Dados - Cliente'!AC402</f>
        <v>0</v>
      </c>
      <c r="AG402" s="35">
        <f>'Dados - Cliente'!AD402</f>
        <v>0</v>
      </c>
      <c r="AH402" s="33" t="e">
        <f>INDEX('Dados - Placas'!$A:$A,MATCH('1'!AG402,'Dados - Placas'!$D:$D,0))</f>
        <v>#N/A</v>
      </c>
      <c r="AI402" s="35" t="e">
        <f>INDEX('Dados - Placas'!$E:$E,MATCH('1'!AG402,'Dados - Placas'!$D:$D,0))</f>
        <v>#N/A</v>
      </c>
      <c r="AJ402" s="34" t="e">
        <f>INDEX('Dados - Placas'!$F:$F,MATCH('1'!AG402,'Dados - Placas'!$D:$D,0))*AF402</f>
        <v>#N/A</v>
      </c>
      <c r="AK402" s="33">
        <f>'Dados - Cliente'!AE402</f>
        <v>0</v>
      </c>
      <c r="AL402" s="33">
        <f>'Dados - Cliente'!AF402</f>
        <v>0</v>
      </c>
      <c r="AM402" s="36" t="e">
        <f>INDEX('Dados - Inversores'!$A:$A,MATCH('1'!AL402,'Dados - Inversores'!$C:$C,0))</f>
        <v>#N/A</v>
      </c>
      <c r="AN402" s="33">
        <f>'Dados - Cliente'!AG402</f>
        <v>0</v>
      </c>
      <c r="AO402" s="33" t="e">
        <f>AA402*1.25/(0.22*SQRT(INDEX('Dados - Inversores'!AK:AK,MATCH('1'!AL402,'Dados - Inversores'!C:C,0))))</f>
        <v>#N/A</v>
      </c>
      <c r="AP402" s="34">
        <f>INDEX(Dados!$E$2:$E$33,COUNTIF(Dados!$E$2:$E$33,"&lt;="&amp;AN402*1.25/(INDEX('Dados - Inversores'!AL:AL,MATCH('1'!AL402,'Dados - Inversores'!C:C,0))*SQRT(INDEX('Dados - Inversores'!AK:AK,MATCH('1'!AL402,'Dados - Inversores'!C:C,0)))))+1)</f>
        <v>2</v>
      </c>
      <c r="AQ402" s="33" t="s">
        <v>59</v>
      </c>
      <c r="AR402" s="33" t="str">
        <f t="shared" si="28"/>
        <v>Micro</v>
      </c>
      <c r="AS402" s="33">
        <f>'Dados - Cliente'!AH402</f>
        <v>0</v>
      </c>
      <c r="AT402" s="33">
        <f>'Dados - Cliente'!AI402</f>
        <v>0</v>
      </c>
      <c r="AU402" s="33" t="e">
        <f>INDEX('Dados - Placas'!$N:$N,MATCH('1'!AG402,'Dados - Placas'!$D:$D,0))-1</f>
        <v>#N/A</v>
      </c>
      <c r="AV402" s="33" t="e">
        <f>INDEX('Dados - Placas'!$O:$O,MATCH('1'!AG402,'Dados - Placas'!$D:$D,0))</f>
        <v>#N/A</v>
      </c>
      <c r="AW402" s="33" t="e">
        <f>INDEX('Dados - Inversores'!AM:AM,MATCH('1'!AL402,'Dados - Inversores'!$C:$C,0))-1</f>
        <v>#N/A</v>
      </c>
      <c r="AX402" s="33" t="e">
        <f>INDEX('Dados - Inversores'!AN:AN,MATCH('1'!AL402,'Dados - Inversores'!$C:$C,0))-1</f>
        <v>#N/A</v>
      </c>
      <c r="AY402" s="33" t="e">
        <f>MATCH('1'!H402,Dados!$D$89:$D$167,0)+1</f>
        <v>#N/A</v>
      </c>
      <c r="AZ402" s="33" t="e">
        <f>MATCH('1'!N402,'Dados - Solicitação de acesso'!$N$2:$N$8,0)</f>
        <v>#N/A</v>
      </c>
      <c r="BA402" s="33" t="e">
        <f>MATCH('1'!T402,'Dados - Solicitação de acesso'!$T$2:$T$20,0)</f>
        <v>#N/A</v>
      </c>
    </row>
    <row r="403" spans="1:53" x14ac:dyDescent="0.35">
      <c r="A403" s="33">
        <f>'Dados - Cliente'!A403</f>
        <v>0</v>
      </c>
      <c r="B403" s="33">
        <f>'Dados - Cliente'!B403</f>
        <v>0</v>
      </c>
      <c r="C403" s="33">
        <f>'Dados - Cliente'!C403</f>
        <v>0</v>
      </c>
      <c r="D403" s="33">
        <f>'Dados - Cliente'!D403</f>
        <v>0</v>
      </c>
      <c r="E403" s="33">
        <f>'Dados - Cliente'!E403</f>
        <v>0</v>
      </c>
      <c r="F403" s="33">
        <f>'Dados - Cliente'!F403</f>
        <v>0</v>
      </c>
      <c r="G403" s="33">
        <f>'Dados - Cliente'!G403</f>
        <v>0</v>
      </c>
      <c r="H403" s="33">
        <f>'Dados - Cliente'!H403</f>
        <v>0</v>
      </c>
      <c r="I403" s="75" t="s">
        <v>4313</v>
      </c>
      <c r="J403" s="52" t="s">
        <v>4314</v>
      </c>
      <c r="K403" s="52" t="s">
        <v>4314</v>
      </c>
      <c r="L403" s="33">
        <f>'Dados - Cliente'!I403</f>
        <v>0</v>
      </c>
      <c r="M403" s="33">
        <f>'Dados - Cliente'!K403</f>
        <v>0</v>
      </c>
      <c r="N403" s="33">
        <f>'Dados - Cliente'!L403</f>
        <v>0</v>
      </c>
      <c r="O403" s="33">
        <f>'Dados - Cliente'!M403</f>
        <v>0</v>
      </c>
      <c r="P403" s="33">
        <f>'Dados - Cliente'!N403</f>
        <v>0</v>
      </c>
      <c r="Q403" s="33">
        <f>'Dados - Cliente'!O403</f>
        <v>0</v>
      </c>
      <c r="R403" s="33">
        <f>'Dados - Cliente'!P403</f>
        <v>0</v>
      </c>
      <c r="S403" s="33">
        <f>'Dados - Cliente'!Q403</f>
        <v>0</v>
      </c>
      <c r="T403" s="33">
        <f>'Dados - Cliente'!R403</f>
        <v>0</v>
      </c>
      <c r="U403" s="34">
        <f>'Dados - Cliente'!S403</f>
        <v>0</v>
      </c>
      <c r="V403" s="34">
        <f>'Dados - Cliente'!T403</f>
        <v>0</v>
      </c>
      <c r="W403" s="34">
        <f>'Dados - Cliente'!U403</f>
        <v>0</v>
      </c>
      <c r="X403" s="34">
        <f>'Dados - Cliente'!V403</f>
        <v>0</v>
      </c>
      <c r="Y403" s="34">
        <f>'Dados - Cliente'!W403</f>
        <v>0</v>
      </c>
      <c r="Z403" s="34">
        <f>'Dados - Cliente'!X403</f>
        <v>0</v>
      </c>
      <c r="AA403" s="33" t="e">
        <f t="shared" si="27"/>
        <v>#N/A</v>
      </c>
      <c r="AB403" s="33">
        <f>'Dados - Cliente'!Y403</f>
        <v>0</v>
      </c>
      <c r="AC403" s="33">
        <f>'Dados - Cliente'!Z403</f>
        <v>0</v>
      </c>
      <c r="AD403" s="33">
        <f>'Dados - Cliente'!AA403</f>
        <v>0</v>
      </c>
      <c r="AE403" s="33">
        <f>'Dados - Cliente'!AB403</f>
        <v>0</v>
      </c>
      <c r="AF403" s="33">
        <f>'Dados - Cliente'!AC403</f>
        <v>0</v>
      </c>
      <c r="AG403" s="35">
        <f>'Dados - Cliente'!AD403</f>
        <v>0</v>
      </c>
      <c r="AH403" s="33" t="e">
        <f>INDEX('Dados - Placas'!$A:$A,MATCH('1'!AG403,'Dados - Placas'!$D:$D,0))</f>
        <v>#N/A</v>
      </c>
      <c r="AI403" s="35" t="e">
        <f>INDEX('Dados - Placas'!$E:$E,MATCH('1'!AG403,'Dados - Placas'!$D:$D,0))</f>
        <v>#N/A</v>
      </c>
      <c r="AJ403" s="34" t="e">
        <f>INDEX('Dados - Placas'!$F:$F,MATCH('1'!AG403,'Dados - Placas'!$D:$D,0))*AF403</f>
        <v>#N/A</v>
      </c>
      <c r="AK403" s="33">
        <f>'Dados - Cliente'!AE403</f>
        <v>0</v>
      </c>
      <c r="AL403" s="33">
        <f>'Dados - Cliente'!AF403</f>
        <v>0</v>
      </c>
      <c r="AM403" s="36" t="e">
        <f>INDEX('Dados - Inversores'!$A:$A,MATCH('1'!AL403,'Dados - Inversores'!$C:$C,0))</f>
        <v>#N/A</v>
      </c>
      <c r="AN403" s="33">
        <f>'Dados - Cliente'!AG403</f>
        <v>0</v>
      </c>
      <c r="AO403" s="33" t="e">
        <f>AA403*1.25/(0.22*SQRT(INDEX('Dados - Inversores'!AK:AK,MATCH('1'!AL403,'Dados - Inversores'!C:C,0))))</f>
        <v>#N/A</v>
      </c>
      <c r="AP403" s="34">
        <f>INDEX(Dados!$E$2:$E$33,COUNTIF(Dados!$E$2:$E$33,"&lt;="&amp;AN403*1.25/(INDEX('Dados - Inversores'!AL:AL,MATCH('1'!AL403,'Dados - Inversores'!C:C,0))*SQRT(INDEX('Dados - Inversores'!AK:AK,MATCH('1'!AL403,'Dados - Inversores'!C:C,0)))))+1)</f>
        <v>2</v>
      </c>
      <c r="AQ403" s="33" t="s">
        <v>59</v>
      </c>
      <c r="AR403" s="33" t="str">
        <f t="shared" si="28"/>
        <v>Micro</v>
      </c>
      <c r="AS403" s="33">
        <f>'Dados - Cliente'!AH403</f>
        <v>0</v>
      </c>
      <c r="AT403" s="33">
        <f>'Dados - Cliente'!AI403</f>
        <v>0</v>
      </c>
      <c r="AU403" s="33" t="e">
        <f>INDEX('Dados - Placas'!$N:$N,MATCH('1'!AG403,'Dados - Placas'!$D:$D,0))-1</f>
        <v>#N/A</v>
      </c>
      <c r="AV403" s="33" t="e">
        <f>INDEX('Dados - Placas'!$O:$O,MATCH('1'!AG403,'Dados - Placas'!$D:$D,0))</f>
        <v>#N/A</v>
      </c>
      <c r="AW403" s="33" t="e">
        <f>INDEX('Dados - Inversores'!AM:AM,MATCH('1'!AL403,'Dados - Inversores'!$C:$C,0))-1</f>
        <v>#N/A</v>
      </c>
      <c r="AX403" s="33" t="e">
        <f>INDEX('Dados - Inversores'!AN:AN,MATCH('1'!AL403,'Dados - Inversores'!$C:$C,0))-1</f>
        <v>#N/A</v>
      </c>
      <c r="AY403" s="33" t="e">
        <f>MATCH('1'!H403,Dados!$D$89:$D$167,0)+1</f>
        <v>#N/A</v>
      </c>
      <c r="AZ403" s="33" t="e">
        <f>MATCH('1'!N403,'Dados - Solicitação de acesso'!$N$2:$N$8,0)</f>
        <v>#N/A</v>
      </c>
      <c r="BA403" s="33" t="e">
        <f>MATCH('1'!T403,'Dados - Solicitação de acesso'!$T$2:$T$20,0)</f>
        <v>#N/A</v>
      </c>
    </row>
    <row r="404" spans="1:53" x14ac:dyDescent="0.35">
      <c r="A404" s="33">
        <f>'Dados - Cliente'!A404</f>
        <v>0</v>
      </c>
      <c r="B404" s="33">
        <f>'Dados - Cliente'!B404</f>
        <v>0</v>
      </c>
      <c r="C404" s="33">
        <f>'Dados - Cliente'!C404</f>
        <v>0</v>
      </c>
      <c r="D404" s="33">
        <f>'Dados - Cliente'!D404</f>
        <v>0</v>
      </c>
      <c r="E404" s="33">
        <f>'Dados - Cliente'!E404</f>
        <v>0</v>
      </c>
      <c r="F404" s="33">
        <f>'Dados - Cliente'!F404</f>
        <v>0</v>
      </c>
      <c r="G404" s="33">
        <f>'Dados - Cliente'!G404</f>
        <v>0</v>
      </c>
      <c r="H404" s="33">
        <f>'Dados - Cliente'!H404</f>
        <v>0</v>
      </c>
      <c r="I404" s="75" t="s">
        <v>4313</v>
      </c>
      <c r="J404" s="52" t="s">
        <v>4314</v>
      </c>
      <c r="K404" s="52" t="s">
        <v>4314</v>
      </c>
      <c r="L404" s="33">
        <f>'Dados - Cliente'!I404</f>
        <v>0</v>
      </c>
      <c r="M404" s="33">
        <f>'Dados - Cliente'!K404</f>
        <v>0</v>
      </c>
      <c r="N404" s="33">
        <f>'Dados - Cliente'!L404</f>
        <v>0</v>
      </c>
      <c r="O404" s="33">
        <f>'Dados - Cliente'!M404</f>
        <v>0</v>
      </c>
      <c r="P404" s="33">
        <f>'Dados - Cliente'!N404</f>
        <v>0</v>
      </c>
      <c r="Q404" s="33">
        <f>'Dados - Cliente'!O404</f>
        <v>0</v>
      </c>
      <c r="R404" s="33">
        <f>'Dados - Cliente'!P404</f>
        <v>0</v>
      </c>
      <c r="S404" s="33">
        <f>'Dados - Cliente'!Q404</f>
        <v>0</v>
      </c>
      <c r="T404" s="33">
        <f>'Dados - Cliente'!R404</f>
        <v>0</v>
      </c>
      <c r="U404" s="34">
        <f>'Dados - Cliente'!S404</f>
        <v>0</v>
      </c>
      <c r="V404" s="34">
        <f>'Dados - Cliente'!T404</f>
        <v>0</v>
      </c>
      <c r="W404" s="34">
        <f>'Dados - Cliente'!U404</f>
        <v>0</v>
      </c>
      <c r="X404" s="34">
        <f>'Dados - Cliente'!V404</f>
        <v>0</v>
      </c>
      <c r="Y404" s="34">
        <f>'Dados - Cliente'!W404</f>
        <v>0</v>
      </c>
      <c r="Z404" s="34">
        <f>'Dados - Cliente'!X404</f>
        <v>0</v>
      </c>
      <c r="AA404" s="33" t="e">
        <f t="shared" si="27"/>
        <v>#N/A</v>
      </c>
      <c r="AB404" s="33">
        <f>'Dados - Cliente'!Y404</f>
        <v>0</v>
      </c>
      <c r="AC404" s="33">
        <f>'Dados - Cliente'!Z404</f>
        <v>0</v>
      </c>
      <c r="AD404" s="33">
        <f>'Dados - Cliente'!AA404</f>
        <v>0</v>
      </c>
      <c r="AE404" s="33">
        <f>'Dados - Cliente'!AB404</f>
        <v>0</v>
      </c>
      <c r="AF404" s="33">
        <f>'Dados - Cliente'!AC404</f>
        <v>0</v>
      </c>
      <c r="AG404" s="35">
        <f>'Dados - Cliente'!AD404</f>
        <v>0</v>
      </c>
      <c r="AH404" s="33" t="e">
        <f>INDEX('Dados - Placas'!$A:$A,MATCH('1'!AG404,'Dados - Placas'!$D:$D,0))</f>
        <v>#N/A</v>
      </c>
      <c r="AI404" s="35" t="e">
        <f>INDEX('Dados - Placas'!$E:$E,MATCH('1'!AG404,'Dados - Placas'!$D:$D,0))</f>
        <v>#N/A</v>
      </c>
      <c r="AJ404" s="34" t="e">
        <f>INDEX('Dados - Placas'!$F:$F,MATCH('1'!AG404,'Dados - Placas'!$D:$D,0))*AF404</f>
        <v>#N/A</v>
      </c>
      <c r="AK404" s="33">
        <f>'Dados - Cliente'!AE404</f>
        <v>0</v>
      </c>
      <c r="AL404" s="33">
        <f>'Dados - Cliente'!AF404</f>
        <v>0</v>
      </c>
      <c r="AM404" s="36" t="e">
        <f>INDEX('Dados - Inversores'!$A:$A,MATCH('1'!AL404,'Dados - Inversores'!$C:$C,0))</f>
        <v>#N/A</v>
      </c>
      <c r="AN404" s="33">
        <f>'Dados - Cliente'!AG404</f>
        <v>0</v>
      </c>
      <c r="AO404" s="33" t="e">
        <f>AA404*1.25/(0.22*SQRT(INDEX('Dados - Inversores'!AK:AK,MATCH('1'!AL404,'Dados - Inversores'!C:C,0))))</f>
        <v>#N/A</v>
      </c>
      <c r="AP404" s="34">
        <f>INDEX(Dados!$E$2:$E$33,COUNTIF(Dados!$E$2:$E$33,"&lt;="&amp;AN404*1.25/(INDEX('Dados - Inversores'!AL:AL,MATCH('1'!AL404,'Dados - Inversores'!C:C,0))*SQRT(INDEX('Dados - Inversores'!AK:AK,MATCH('1'!AL404,'Dados - Inversores'!C:C,0)))))+1)</f>
        <v>2</v>
      </c>
      <c r="AQ404" s="33" t="s">
        <v>59</v>
      </c>
      <c r="AR404" s="33" t="str">
        <f t="shared" si="28"/>
        <v>Micro</v>
      </c>
      <c r="AS404" s="33">
        <f>'Dados - Cliente'!AH404</f>
        <v>0</v>
      </c>
      <c r="AT404" s="33">
        <f>'Dados - Cliente'!AI404</f>
        <v>0</v>
      </c>
      <c r="AU404" s="33" t="e">
        <f>INDEX('Dados - Placas'!$N:$N,MATCH('1'!AG404,'Dados - Placas'!$D:$D,0))-1</f>
        <v>#N/A</v>
      </c>
      <c r="AV404" s="33" t="e">
        <f>INDEX('Dados - Placas'!$O:$O,MATCH('1'!AG404,'Dados - Placas'!$D:$D,0))</f>
        <v>#N/A</v>
      </c>
      <c r="AW404" s="33" t="e">
        <f>INDEX('Dados - Inversores'!AM:AM,MATCH('1'!AL404,'Dados - Inversores'!$C:$C,0))-1</f>
        <v>#N/A</v>
      </c>
      <c r="AX404" s="33" t="e">
        <f>INDEX('Dados - Inversores'!AN:AN,MATCH('1'!AL404,'Dados - Inversores'!$C:$C,0))-1</f>
        <v>#N/A</v>
      </c>
      <c r="AY404" s="33" t="e">
        <f>MATCH('1'!H404,Dados!$D$89:$D$167,0)+1</f>
        <v>#N/A</v>
      </c>
      <c r="AZ404" s="33" t="e">
        <f>MATCH('1'!N404,'Dados - Solicitação de acesso'!$N$2:$N$8,0)</f>
        <v>#N/A</v>
      </c>
      <c r="BA404" s="33" t="e">
        <f>MATCH('1'!T404,'Dados - Solicitação de acesso'!$T$2:$T$20,0)</f>
        <v>#N/A</v>
      </c>
    </row>
    <row r="405" spans="1:53" x14ac:dyDescent="0.35">
      <c r="A405" s="33">
        <f>'Dados - Cliente'!A405</f>
        <v>0</v>
      </c>
      <c r="B405" s="33">
        <f>'Dados - Cliente'!B405</f>
        <v>0</v>
      </c>
      <c r="C405" s="33">
        <f>'Dados - Cliente'!C405</f>
        <v>0</v>
      </c>
      <c r="D405" s="33">
        <f>'Dados - Cliente'!D405</f>
        <v>0</v>
      </c>
      <c r="E405" s="33">
        <f>'Dados - Cliente'!E405</f>
        <v>0</v>
      </c>
      <c r="F405" s="33">
        <f>'Dados - Cliente'!F405</f>
        <v>0</v>
      </c>
      <c r="G405" s="33">
        <f>'Dados - Cliente'!G405</f>
        <v>0</v>
      </c>
      <c r="H405" s="33">
        <f>'Dados - Cliente'!H405</f>
        <v>0</v>
      </c>
      <c r="I405" s="75" t="s">
        <v>4313</v>
      </c>
      <c r="J405" s="52" t="s">
        <v>4314</v>
      </c>
      <c r="K405" s="52" t="s">
        <v>4314</v>
      </c>
      <c r="L405" s="33">
        <f>'Dados - Cliente'!I405</f>
        <v>0</v>
      </c>
      <c r="M405" s="33">
        <f>'Dados - Cliente'!K405</f>
        <v>0</v>
      </c>
      <c r="N405" s="33">
        <f>'Dados - Cliente'!L405</f>
        <v>0</v>
      </c>
      <c r="O405" s="33">
        <f>'Dados - Cliente'!M405</f>
        <v>0</v>
      </c>
      <c r="P405" s="33">
        <f>'Dados - Cliente'!N405</f>
        <v>0</v>
      </c>
      <c r="Q405" s="33">
        <f>'Dados - Cliente'!O405</f>
        <v>0</v>
      </c>
      <c r="R405" s="33">
        <f>'Dados - Cliente'!P405</f>
        <v>0</v>
      </c>
      <c r="S405" s="33">
        <f>'Dados - Cliente'!Q405</f>
        <v>0</v>
      </c>
      <c r="T405" s="33">
        <f>'Dados - Cliente'!R405</f>
        <v>0</v>
      </c>
      <c r="U405" s="34">
        <f>'Dados - Cliente'!S405</f>
        <v>0</v>
      </c>
      <c r="V405" s="34">
        <f>'Dados - Cliente'!T405</f>
        <v>0</v>
      </c>
      <c r="W405" s="34">
        <f>'Dados - Cliente'!U405</f>
        <v>0</v>
      </c>
      <c r="X405" s="34">
        <f>'Dados - Cliente'!V405</f>
        <v>0</v>
      </c>
      <c r="Y405" s="34">
        <f>'Dados - Cliente'!W405</f>
        <v>0</v>
      </c>
      <c r="Z405" s="34">
        <f>'Dados - Cliente'!X405</f>
        <v>0</v>
      </c>
      <c r="AA405" s="33" t="e">
        <f t="shared" si="27"/>
        <v>#N/A</v>
      </c>
      <c r="AB405" s="33">
        <f>'Dados - Cliente'!Y405</f>
        <v>0</v>
      </c>
      <c r="AC405" s="33">
        <f>'Dados - Cliente'!Z405</f>
        <v>0</v>
      </c>
      <c r="AD405" s="33">
        <f>'Dados - Cliente'!AA405</f>
        <v>0</v>
      </c>
      <c r="AE405" s="33">
        <f>'Dados - Cliente'!AB405</f>
        <v>0</v>
      </c>
      <c r="AF405" s="33">
        <f>'Dados - Cliente'!AC405</f>
        <v>0</v>
      </c>
      <c r="AG405" s="35">
        <f>'Dados - Cliente'!AD405</f>
        <v>0</v>
      </c>
      <c r="AH405" s="33" t="e">
        <f>INDEX('Dados - Placas'!$A:$A,MATCH('1'!AG405,'Dados - Placas'!$D:$D,0))</f>
        <v>#N/A</v>
      </c>
      <c r="AI405" s="35" t="e">
        <f>INDEX('Dados - Placas'!$E:$E,MATCH('1'!AG405,'Dados - Placas'!$D:$D,0))</f>
        <v>#N/A</v>
      </c>
      <c r="AJ405" s="34" t="e">
        <f>INDEX('Dados - Placas'!$F:$F,MATCH('1'!AG405,'Dados - Placas'!$D:$D,0))*AF405</f>
        <v>#N/A</v>
      </c>
      <c r="AK405" s="33">
        <f>'Dados - Cliente'!AE405</f>
        <v>0</v>
      </c>
      <c r="AL405" s="33">
        <f>'Dados - Cliente'!AF405</f>
        <v>0</v>
      </c>
      <c r="AM405" s="36" t="e">
        <f>INDEX('Dados - Inversores'!$A:$A,MATCH('1'!AL405,'Dados - Inversores'!$C:$C,0))</f>
        <v>#N/A</v>
      </c>
      <c r="AN405" s="33">
        <f>'Dados - Cliente'!AG405</f>
        <v>0</v>
      </c>
      <c r="AO405" s="33" t="e">
        <f>AA405*1.25/(0.22*SQRT(INDEX('Dados - Inversores'!AK:AK,MATCH('1'!AL405,'Dados - Inversores'!C:C,0))))</f>
        <v>#N/A</v>
      </c>
      <c r="AP405" s="34">
        <f>INDEX(Dados!$E$2:$E$33,COUNTIF(Dados!$E$2:$E$33,"&lt;="&amp;AN405*1.25/(INDEX('Dados - Inversores'!AL:AL,MATCH('1'!AL405,'Dados - Inversores'!C:C,0))*SQRT(INDEX('Dados - Inversores'!AK:AK,MATCH('1'!AL405,'Dados - Inversores'!C:C,0)))))+1)</f>
        <v>2</v>
      </c>
      <c r="AQ405" s="33" t="s">
        <v>59</v>
      </c>
      <c r="AR405" s="33" t="str">
        <f t="shared" si="28"/>
        <v>Micro</v>
      </c>
      <c r="AS405" s="33">
        <f>'Dados - Cliente'!AH405</f>
        <v>0</v>
      </c>
      <c r="AT405" s="33">
        <f>'Dados - Cliente'!AI405</f>
        <v>0</v>
      </c>
      <c r="AU405" s="33" t="e">
        <f>INDEX('Dados - Placas'!$N:$N,MATCH('1'!AG405,'Dados - Placas'!$D:$D,0))-1</f>
        <v>#N/A</v>
      </c>
      <c r="AV405" s="33" t="e">
        <f>INDEX('Dados - Placas'!$O:$O,MATCH('1'!AG405,'Dados - Placas'!$D:$D,0))</f>
        <v>#N/A</v>
      </c>
      <c r="AW405" s="33" t="e">
        <f>INDEX('Dados - Inversores'!AM:AM,MATCH('1'!AL405,'Dados - Inversores'!$C:$C,0))-1</f>
        <v>#N/A</v>
      </c>
      <c r="AX405" s="33" t="e">
        <f>INDEX('Dados - Inversores'!AN:AN,MATCH('1'!AL405,'Dados - Inversores'!$C:$C,0))-1</f>
        <v>#N/A</v>
      </c>
      <c r="AY405" s="33" t="e">
        <f>MATCH('1'!H405,Dados!$D$89:$D$167,0)+1</f>
        <v>#N/A</v>
      </c>
      <c r="AZ405" s="33" t="e">
        <f>MATCH('1'!N405,'Dados - Solicitação de acesso'!$N$2:$N$8,0)</f>
        <v>#N/A</v>
      </c>
      <c r="BA405" s="33" t="e">
        <f>MATCH('1'!T405,'Dados - Solicitação de acesso'!$T$2:$T$20,0)</f>
        <v>#N/A</v>
      </c>
    </row>
    <row r="406" spans="1:53" x14ac:dyDescent="0.35">
      <c r="A406" s="33">
        <f>'Dados - Cliente'!A406</f>
        <v>0</v>
      </c>
      <c r="B406" s="33">
        <f>'Dados - Cliente'!B406</f>
        <v>0</v>
      </c>
      <c r="C406" s="33">
        <f>'Dados - Cliente'!C406</f>
        <v>0</v>
      </c>
      <c r="D406" s="33">
        <f>'Dados - Cliente'!D406</f>
        <v>0</v>
      </c>
      <c r="E406" s="33">
        <f>'Dados - Cliente'!E406</f>
        <v>0</v>
      </c>
      <c r="F406" s="33">
        <f>'Dados - Cliente'!F406</f>
        <v>0</v>
      </c>
      <c r="G406" s="33">
        <f>'Dados - Cliente'!G406</f>
        <v>0</v>
      </c>
      <c r="H406" s="33">
        <f>'Dados - Cliente'!H406</f>
        <v>0</v>
      </c>
      <c r="I406" s="75" t="s">
        <v>4313</v>
      </c>
      <c r="J406" s="52" t="s">
        <v>4314</v>
      </c>
      <c r="K406" s="52" t="s">
        <v>4314</v>
      </c>
      <c r="L406" s="33">
        <f>'Dados - Cliente'!I406</f>
        <v>0</v>
      </c>
      <c r="M406" s="33">
        <f>'Dados - Cliente'!K406</f>
        <v>0</v>
      </c>
      <c r="N406" s="33">
        <f>'Dados - Cliente'!L406</f>
        <v>0</v>
      </c>
      <c r="O406" s="33">
        <f>'Dados - Cliente'!M406</f>
        <v>0</v>
      </c>
      <c r="P406" s="33">
        <f>'Dados - Cliente'!N406</f>
        <v>0</v>
      </c>
      <c r="Q406" s="33">
        <f>'Dados - Cliente'!O406</f>
        <v>0</v>
      </c>
      <c r="R406" s="33">
        <f>'Dados - Cliente'!P406</f>
        <v>0</v>
      </c>
      <c r="S406" s="33">
        <f>'Dados - Cliente'!Q406</f>
        <v>0</v>
      </c>
      <c r="T406" s="33">
        <f>'Dados - Cliente'!R406</f>
        <v>0</v>
      </c>
      <c r="U406" s="34">
        <f>'Dados - Cliente'!S406</f>
        <v>0</v>
      </c>
      <c r="V406" s="34">
        <f>'Dados - Cliente'!T406</f>
        <v>0</v>
      </c>
      <c r="W406" s="34">
        <f>'Dados - Cliente'!U406</f>
        <v>0</v>
      </c>
      <c r="X406" s="34">
        <f>'Dados - Cliente'!V406</f>
        <v>0</v>
      </c>
      <c r="Y406" s="34">
        <f>'Dados - Cliente'!W406</f>
        <v>0</v>
      </c>
      <c r="Z406" s="34">
        <f>'Dados - Cliente'!X406</f>
        <v>0</v>
      </c>
      <c r="AA406" s="33" t="e">
        <f t="shared" si="27"/>
        <v>#N/A</v>
      </c>
      <c r="AB406" s="33">
        <f>'Dados - Cliente'!Y406</f>
        <v>0</v>
      </c>
      <c r="AC406" s="33">
        <f>'Dados - Cliente'!Z406</f>
        <v>0</v>
      </c>
      <c r="AD406" s="33">
        <f>'Dados - Cliente'!AA406</f>
        <v>0</v>
      </c>
      <c r="AE406" s="33">
        <f>'Dados - Cliente'!AB406</f>
        <v>0</v>
      </c>
      <c r="AF406" s="33">
        <f>'Dados - Cliente'!AC406</f>
        <v>0</v>
      </c>
      <c r="AG406" s="35">
        <f>'Dados - Cliente'!AD406</f>
        <v>0</v>
      </c>
      <c r="AH406" s="33" t="e">
        <f>INDEX('Dados - Placas'!$A:$A,MATCH('1'!AG406,'Dados - Placas'!$D:$D,0))</f>
        <v>#N/A</v>
      </c>
      <c r="AI406" s="35" t="e">
        <f>INDEX('Dados - Placas'!$E:$E,MATCH('1'!AG406,'Dados - Placas'!$D:$D,0))</f>
        <v>#N/A</v>
      </c>
      <c r="AJ406" s="34" t="e">
        <f>INDEX('Dados - Placas'!$F:$F,MATCH('1'!AG406,'Dados - Placas'!$D:$D,0))*AF406</f>
        <v>#N/A</v>
      </c>
      <c r="AK406" s="33">
        <f>'Dados - Cliente'!AE406</f>
        <v>0</v>
      </c>
      <c r="AL406" s="33">
        <f>'Dados - Cliente'!AF406</f>
        <v>0</v>
      </c>
      <c r="AM406" s="36" t="e">
        <f>INDEX('Dados - Inversores'!$A:$A,MATCH('1'!AL406,'Dados - Inversores'!$C:$C,0))</f>
        <v>#N/A</v>
      </c>
      <c r="AN406" s="33">
        <f>'Dados - Cliente'!AG406</f>
        <v>0</v>
      </c>
      <c r="AO406" s="33" t="e">
        <f>AA406*1.25/(0.22*SQRT(INDEX('Dados - Inversores'!AK:AK,MATCH('1'!AL406,'Dados - Inversores'!C:C,0))))</f>
        <v>#N/A</v>
      </c>
      <c r="AP406" s="34">
        <f>INDEX(Dados!$E$2:$E$33,COUNTIF(Dados!$E$2:$E$33,"&lt;="&amp;AN406*1.25/(INDEX('Dados - Inversores'!AL:AL,MATCH('1'!AL406,'Dados - Inversores'!C:C,0))*SQRT(INDEX('Dados - Inversores'!AK:AK,MATCH('1'!AL406,'Dados - Inversores'!C:C,0)))))+1)</f>
        <v>2</v>
      </c>
      <c r="AQ406" s="33" t="s">
        <v>59</v>
      </c>
      <c r="AR406" s="33" t="str">
        <f t="shared" si="28"/>
        <v>Micro</v>
      </c>
      <c r="AS406" s="33">
        <f>'Dados - Cliente'!AH406</f>
        <v>0</v>
      </c>
      <c r="AT406" s="33">
        <f>'Dados - Cliente'!AI406</f>
        <v>0</v>
      </c>
      <c r="AU406" s="33" t="e">
        <f>INDEX('Dados - Placas'!$N:$N,MATCH('1'!AG406,'Dados - Placas'!$D:$D,0))-1</f>
        <v>#N/A</v>
      </c>
      <c r="AV406" s="33" t="e">
        <f>INDEX('Dados - Placas'!$O:$O,MATCH('1'!AG406,'Dados - Placas'!$D:$D,0))</f>
        <v>#N/A</v>
      </c>
      <c r="AW406" s="33" t="e">
        <f>INDEX('Dados - Inversores'!AM:AM,MATCH('1'!AL406,'Dados - Inversores'!$C:$C,0))-1</f>
        <v>#N/A</v>
      </c>
      <c r="AX406" s="33" t="e">
        <f>INDEX('Dados - Inversores'!AN:AN,MATCH('1'!AL406,'Dados - Inversores'!$C:$C,0))-1</f>
        <v>#N/A</v>
      </c>
      <c r="AY406" s="33" t="e">
        <f>MATCH('1'!H406,Dados!$D$89:$D$167,0)+1</f>
        <v>#N/A</v>
      </c>
      <c r="AZ406" s="33" t="e">
        <f>MATCH('1'!N406,'Dados - Solicitação de acesso'!$N$2:$N$8,0)</f>
        <v>#N/A</v>
      </c>
      <c r="BA406" s="33" t="e">
        <f>MATCH('1'!T406,'Dados - Solicitação de acesso'!$T$2:$T$20,0)</f>
        <v>#N/A</v>
      </c>
    </row>
    <row r="407" spans="1:53" x14ac:dyDescent="0.35">
      <c r="A407" s="33">
        <f>'Dados - Cliente'!A407</f>
        <v>0</v>
      </c>
      <c r="B407" s="33">
        <f>'Dados - Cliente'!B407</f>
        <v>0</v>
      </c>
      <c r="C407" s="33">
        <f>'Dados - Cliente'!C407</f>
        <v>0</v>
      </c>
      <c r="D407" s="33">
        <f>'Dados - Cliente'!D407</f>
        <v>0</v>
      </c>
      <c r="E407" s="33">
        <f>'Dados - Cliente'!E407</f>
        <v>0</v>
      </c>
      <c r="F407" s="33">
        <f>'Dados - Cliente'!F407</f>
        <v>0</v>
      </c>
      <c r="G407" s="33">
        <f>'Dados - Cliente'!G407</f>
        <v>0</v>
      </c>
      <c r="H407" s="33">
        <f>'Dados - Cliente'!H407</f>
        <v>0</v>
      </c>
      <c r="I407" s="75" t="s">
        <v>4313</v>
      </c>
      <c r="J407" s="52" t="s">
        <v>4314</v>
      </c>
      <c r="K407" s="52" t="s">
        <v>4314</v>
      </c>
      <c r="L407" s="33">
        <f>'Dados - Cliente'!I407</f>
        <v>0</v>
      </c>
      <c r="M407" s="33">
        <f>'Dados - Cliente'!K407</f>
        <v>0</v>
      </c>
      <c r="N407" s="33">
        <f>'Dados - Cliente'!L407</f>
        <v>0</v>
      </c>
      <c r="O407" s="33">
        <f>'Dados - Cliente'!M407</f>
        <v>0</v>
      </c>
      <c r="P407" s="33">
        <f>'Dados - Cliente'!N407</f>
        <v>0</v>
      </c>
      <c r="Q407" s="33">
        <f>'Dados - Cliente'!O407</f>
        <v>0</v>
      </c>
      <c r="R407" s="33">
        <f>'Dados - Cliente'!P407</f>
        <v>0</v>
      </c>
      <c r="S407" s="33">
        <f>'Dados - Cliente'!Q407</f>
        <v>0</v>
      </c>
      <c r="T407" s="33">
        <f>'Dados - Cliente'!R407</f>
        <v>0</v>
      </c>
      <c r="U407" s="34">
        <f>'Dados - Cliente'!S407</f>
        <v>0</v>
      </c>
      <c r="V407" s="34">
        <f>'Dados - Cliente'!T407</f>
        <v>0</v>
      </c>
      <c r="W407" s="34">
        <f>'Dados - Cliente'!U407</f>
        <v>0</v>
      </c>
      <c r="X407" s="34">
        <f>'Dados - Cliente'!V407</f>
        <v>0</v>
      </c>
      <c r="Y407" s="34">
        <f>'Dados - Cliente'!W407</f>
        <v>0</v>
      </c>
      <c r="Z407" s="34">
        <f>'Dados - Cliente'!X407</f>
        <v>0</v>
      </c>
      <c r="AA407" s="33" t="e">
        <f t="shared" si="27"/>
        <v>#N/A</v>
      </c>
      <c r="AB407" s="33">
        <f>'Dados - Cliente'!Y407</f>
        <v>0</v>
      </c>
      <c r="AC407" s="33">
        <f>'Dados - Cliente'!Z407</f>
        <v>0</v>
      </c>
      <c r="AD407" s="33">
        <f>'Dados - Cliente'!AA407</f>
        <v>0</v>
      </c>
      <c r="AE407" s="33">
        <f>'Dados - Cliente'!AB407</f>
        <v>0</v>
      </c>
      <c r="AF407" s="33">
        <f>'Dados - Cliente'!AC407</f>
        <v>0</v>
      </c>
      <c r="AG407" s="35">
        <f>'Dados - Cliente'!AD407</f>
        <v>0</v>
      </c>
      <c r="AH407" s="33" t="e">
        <f>INDEX('Dados - Placas'!$A:$A,MATCH('1'!AG407,'Dados - Placas'!$D:$D,0))</f>
        <v>#N/A</v>
      </c>
      <c r="AI407" s="35" t="e">
        <f>INDEX('Dados - Placas'!$E:$E,MATCH('1'!AG407,'Dados - Placas'!$D:$D,0))</f>
        <v>#N/A</v>
      </c>
      <c r="AJ407" s="34" t="e">
        <f>INDEX('Dados - Placas'!$F:$F,MATCH('1'!AG407,'Dados - Placas'!$D:$D,0))*AF407</f>
        <v>#N/A</v>
      </c>
      <c r="AK407" s="33">
        <f>'Dados - Cliente'!AE407</f>
        <v>0</v>
      </c>
      <c r="AL407" s="33">
        <f>'Dados - Cliente'!AF407</f>
        <v>0</v>
      </c>
      <c r="AM407" s="36" t="e">
        <f>INDEX('Dados - Inversores'!$A:$A,MATCH('1'!AL407,'Dados - Inversores'!$C:$C,0))</f>
        <v>#N/A</v>
      </c>
      <c r="AN407" s="33">
        <f>'Dados - Cliente'!AG407</f>
        <v>0</v>
      </c>
      <c r="AO407" s="33" t="e">
        <f>AA407*1.25/(0.22*SQRT(INDEX('Dados - Inversores'!AK:AK,MATCH('1'!AL407,'Dados - Inversores'!C:C,0))))</f>
        <v>#N/A</v>
      </c>
      <c r="AP407" s="34">
        <f>INDEX(Dados!$E$2:$E$33,COUNTIF(Dados!$E$2:$E$33,"&lt;="&amp;AN407*1.25/(INDEX('Dados - Inversores'!AL:AL,MATCH('1'!AL407,'Dados - Inversores'!C:C,0))*SQRT(INDEX('Dados - Inversores'!AK:AK,MATCH('1'!AL407,'Dados - Inversores'!C:C,0)))))+1)</f>
        <v>2</v>
      </c>
      <c r="AQ407" s="33" t="s">
        <v>59</v>
      </c>
      <c r="AR407" s="33" t="str">
        <f t="shared" si="28"/>
        <v>Micro</v>
      </c>
      <c r="AS407" s="33">
        <f>'Dados - Cliente'!AH407</f>
        <v>0</v>
      </c>
      <c r="AT407" s="33">
        <f>'Dados - Cliente'!AI407</f>
        <v>0</v>
      </c>
      <c r="AU407" s="33" t="e">
        <f>INDEX('Dados - Placas'!$N:$N,MATCH('1'!AG407,'Dados - Placas'!$D:$D,0))-1</f>
        <v>#N/A</v>
      </c>
      <c r="AV407" s="33" t="e">
        <f>INDEX('Dados - Placas'!$O:$O,MATCH('1'!AG407,'Dados - Placas'!$D:$D,0))</f>
        <v>#N/A</v>
      </c>
      <c r="AW407" s="33" t="e">
        <f>INDEX('Dados - Inversores'!AM:AM,MATCH('1'!AL407,'Dados - Inversores'!$C:$C,0))-1</f>
        <v>#N/A</v>
      </c>
      <c r="AX407" s="33" t="e">
        <f>INDEX('Dados - Inversores'!AN:AN,MATCH('1'!AL407,'Dados - Inversores'!$C:$C,0))-1</f>
        <v>#N/A</v>
      </c>
      <c r="AY407" s="33" t="e">
        <f>MATCH('1'!H407,Dados!$D$89:$D$167,0)+1</f>
        <v>#N/A</v>
      </c>
      <c r="AZ407" s="33" t="e">
        <f>MATCH('1'!N407,'Dados - Solicitação de acesso'!$N$2:$N$8,0)</f>
        <v>#N/A</v>
      </c>
      <c r="BA407" s="33" t="e">
        <f>MATCH('1'!T407,'Dados - Solicitação de acesso'!$T$2:$T$20,0)</f>
        <v>#N/A</v>
      </c>
    </row>
    <row r="408" spans="1:53" x14ac:dyDescent="0.35">
      <c r="A408" s="33">
        <f>'Dados - Cliente'!A408</f>
        <v>0</v>
      </c>
      <c r="B408" s="33">
        <f>'Dados - Cliente'!B408</f>
        <v>0</v>
      </c>
      <c r="C408" s="33">
        <f>'Dados - Cliente'!C408</f>
        <v>0</v>
      </c>
      <c r="D408" s="33">
        <f>'Dados - Cliente'!D408</f>
        <v>0</v>
      </c>
      <c r="E408" s="33">
        <f>'Dados - Cliente'!E408</f>
        <v>0</v>
      </c>
      <c r="F408" s="33">
        <f>'Dados - Cliente'!F408</f>
        <v>0</v>
      </c>
      <c r="G408" s="33">
        <f>'Dados - Cliente'!G408</f>
        <v>0</v>
      </c>
      <c r="H408" s="33">
        <f>'Dados - Cliente'!H408</f>
        <v>0</v>
      </c>
      <c r="I408" s="75" t="s">
        <v>4313</v>
      </c>
      <c r="J408" s="52" t="s">
        <v>4314</v>
      </c>
      <c r="K408" s="52" t="s">
        <v>4314</v>
      </c>
      <c r="L408" s="33">
        <f>'Dados - Cliente'!I408</f>
        <v>0</v>
      </c>
      <c r="M408" s="33">
        <f>'Dados - Cliente'!K408</f>
        <v>0</v>
      </c>
      <c r="N408" s="33">
        <f>'Dados - Cliente'!L408</f>
        <v>0</v>
      </c>
      <c r="O408" s="33">
        <f>'Dados - Cliente'!M408</f>
        <v>0</v>
      </c>
      <c r="P408" s="33">
        <f>'Dados - Cliente'!N408</f>
        <v>0</v>
      </c>
      <c r="Q408" s="33">
        <f>'Dados - Cliente'!O408</f>
        <v>0</v>
      </c>
      <c r="R408" s="33">
        <f>'Dados - Cliente'!P408</f>
        <v>0</v>
      </c>
      <c r="S408" s="33">
        <f>'Dados - Cliente'!Q408</f>
        <v>0</v>
      </c>
      <c r="T408" s="33">
        <f>'Dados - Cliente'!R408</f>
        <v>0</v>
      </c>
      <c r="U408" s="34">
        <f>'Dados - Cliente'!S408</f>
        <v>0</v>
      </c>
      <c r="V408" s="34">
        <f>'Dados - Cliente'!T408</f>
        <v>0</v>
      </c>
      <c r="W408" s="34">
        <f>'Dados - Cliente'!U408</f>
        <v>0</v>
      </c>
      <c r="X408" s="34">
        <f>'Dados - Cliente'!V408</f>
        <v>0</v>
      </c>
      <c r="Y408" s="34">
        <f>'Dados - Cliente'!W408</f>
        <v>0</v>
      </c>
      <c r="Z408" s="34">
        <f>'Dados - Cliente'!X408</f>
        <v>0</v>
      </c>
      <c r="AA408" s="33" t="e">
        <f t="shared" si="27"/>
        <v>#N/A</v>
      </c>
      <c r="AB408" s="33">
        <f>'Dados - Cliente'!Y408</f>
        <v>0</v>
      </c>
      <c r="AC408" s="33">
        <f>'Dados - Cliente'!Z408</f>
        <v>0</v>
      </c>
      <c r="AD408" s="33">
        <f>'Dados - Cliente'!AA408</f>
        <v>0</v>
      </c>
      <c r="AE408" s="33">
        <f>'Dados - Cliente'!AB408</f>
        <v>0</v>
      </c>
      <c r="AF408" s="33">
        <f>'Dados - Cliente'!AC408</f>
        <v>0</v>
      </c>
      <c r="AG408" s="35">
        <f>'Dados - Cliente'!AD408</f>
        <v>0</v>
      </c>
      <c r="AH408" s="33" t="e">
        <f>INDEX('Dados - Placas'!$A:$A,MATCH('1'!AG408,'Dados - Placas'!$D:$D,0))</f>
        <v>#N/A</v>
      </c>
      <c r="AI408" s="35" t="e">
        <f>INDEX('Dados - Placas'!$E:$E,MATCH('1'!AG408,'Dados - Placas'!$D:$D,0))</f>
        <v>#N/A</v>
      </c>
      <c r="AJ408" s="34" t="e">
        <f>INDEX('Dados - Placas'!$F:$F,MATCH('1'!AG408,'Dados - Placas'!$D:$D,0))*AF408</f>
        <v>#N/A</v>
      </c>
      <c r="AK408" s="33">
        <f>'Dados - Cliente'!AE408</f>
        <v>0</v>
      </c>
      <c r="AL408" s="33">
        <f>'Dados - Cliente'!AF408</f>
        <v>0</v>
      </c>
      <c r="AM408" s="36" t="e">
        <f>INDEX('Dados - Inversores'!$A:$A,MATCH('1'!AL408,'Dados - Inversores'!$C:$C,0))</f>
        <v>#N/A</v>
      </c>
      <c r="AN408" s="33">
        <f>'Dados - Cliente'!AG408</f>
        <v>0</v>
      </c>
      <c r="AO408" s="33" t="e">
        <f>AA408*1.25/(0.22*SQRT(INDEX('Dados - Inversores'!AK:AK,MATCH('1'!AL408,'Dados - Inversores'!C:C,0))))</f>
        <v>#N/A</v>
      </c>
      <c r="AP408" s="34">
        <f>INDEX(Dados!$E$2:$E$33,COUNTIF(Dados!$E$2:$E$33,"&lt;="&amp;AN408*1.25/(INDEX('Dados - Inversores'!AL:AL,MATCH('1'!AL408,'Dados - Inversores'!C:C,0))*SQRT(INDEX('Dados - Inversores'!AK:AK,MATCH('1'!AL408,'Dados - Inversores'!C:C,0)))))+1)</f>
        <v>2</v>
      </c>
      <c r="AQ408" s="33" t="s">
        <v>59</v>
      </c>
      <c r="AR408" s="33" t="str">
        <f t="shared" si="28"/>
        <v>Micro</v>
      </c>
      <c r="AS408" s="33">
        <f>'Dados - Cliente'!AH408</f>
        <v>0</v>
      </c>
      <c r="AT408" s="33">
        <f>'Dados - Cliente'!AI408</f>
        <v>0</v>
      </c>
      <c r="AU408" s="33" t="e">
        <f>INDEX('Dados - Placas'!$N:$N,MATCH('1'!AG408,'Dados - Placas'!$D:$D,0))-1</f>
        <v>#N/A</v>
      </c>
      <c r="AV408" s="33" t="e">
        <f>INDEX('Dados - Placas'!$O:$O,MATCH('1'!AG408,'Dados - Placas'!$D:$D,0))</f>
        <v>#N/A</v>
      </c>
      <c r="AW408" s="33" t="e">
        <f>INDEX('Dados - Inversores'!AM:AM,MATCH('1'!AL408,'Dados - Inversores'!$C:$C,0))-1</f>
        <v>#N/A</v>
      </c>
      <c r="AX408" s="33" t="e">
        <f>INDEX('Dados - Inversores'!AN:AN,MATCH('1'!AL408,'Dados - Inversores'!$C:$C,0))-1</f>
        <v>#N/A</v>
      </c>
      <c r="AY408" s="33" t="e">
        <f>MATCH('1'!H408,Dados!$D$89:$D$167,0)+1</f>
        <v>#N/A</v>
      </c>
      <c r="AZ408" s="33" t="e">
        <f>MATCH('1'!N408,'Dados - Solicitação de acesso'!$N$2:$N$8,0)</f>
        <v>#N/A</v>
      </c>
      <c r="BA408" s="33" t="e">
        <f>MATCH('1'!T408,'Dados - Solicitação de acesso'!$T$2:$T$20,0)</f>
        <v>#N/A</v>
      </c>
    </row>
    <row r="409" spans="1:53" x14ac:dyDescent="0.35">
      <c r="A409" s="33">
        <f>'Dados - Cliente'!A409</f>
        <v>0</v>
      </c>
      <c r="B409" s="33">
        <f>'Dados - Cliente'!B409</f>
        <v>0</v>
      </c>
      <c r="C409" s="33">
        <f>'Dados - Cliente'!C409</f>
        <v>0</v>
      </c>
      <c r="D409" s="33">
        <f>'Dados - Cliente'!D409</f>
        <v>0</v>
      </c>
      <c r="E409" s="33">
        <f>'Dados - Cliente'!E409</f>
        <v>0</v>
      </c>
      <c r="F409" s="33">
        <f>'Dados - Cliente'!F409</f>
        <v>0</v>
      </c>
      <c r="G409" s="33">
        <f>'Dados - Cliente'!G409</f>
        <v>0</v>
      </c>
      <c r="H409" s="33">
        <f>'Dados - Cliente'!H409</f>
        <v>0</v>
      </c>
      <c r="I409" s="75" t="s">
        <v>4313</v>
      </c>
      <c r="J409" s="52" t="s">
        <v>4314</v>
      </c>
      <c r="K409" s="52" t="s">
        <v>4314</v>
      </c>
      <c r="L409" s="33">
        <f>'Dados - Cliente'!I409</f>
        <v>0</v>
      </c>
      <c r="M409" s="33">
        <f>'Dados - Cliente'!K409</f>
        <v>0</v>
      </c>
      <c r="N409" s="33">
        <f>'Dados - Cliente'!L409</f>
        <v>0</v>
      </c>
      <c r="O409" s="33">
        <f>'Dados - Cliente'!M409</f>
        <v>0</v>
      </c>
      <c r="P409" s="33">
        <f>'Dados - Cliente'!N409</f>
        <v>0</v>
      </c>
      <c r="Q409" s="33">
        <f>'Dados - Cliente'!O409</f>
        <v>0</v>
      </c>
      <c r="R409" s="33">
        <f>'Dados - Cliente'!P409</f>
        <v>0</v>
      </c>
      <c r="S409" s="33">
        <f>'Dados - Cliente'!Q409</f>
        <v>0</v>
      </c>
      <c r="T409" s="33">
        <f>'Dados - Cliente'!R409</f>
        <v>0</v>
      </c>
      <c r="U409" s="34">
        <f>'Dados - Cliente'!S409</f>
        <v>0</v>
      </c>
      <c r="V409" s="34">
        <f>'Dados - Cliente'!T409</f>
        <v>0</v>
      </c>
      <c r="W409" s="34">
        <f>'Dados - Cliente'!U409</f>
        <v>0</v>
      </c>
      <c r="X409" s="34">
        <f>'Dados - Cliente'!V409</f>
        <v>0</v>
      </c>
      <c r="Y409" s="34">
        <f>'Dados - Cliente'!W409</f>
        <v>0</v>
      </c>
      <c r="Z409" s="34">
        <f>'Dados - Cliente'!X409</f>
        <v>0</v>
      </c>
      <c r="AA409" s="33" t="e">
        <f t="shared" si="27"/>
        <v>#N/A</v>
      </c>
      <c r="AB409" s="33">
        <f>'Dados - Cliente'!Y409</f>
        <v>0</v>
      </c>
      <c r="AC409" s="33">
        <f>'Dados - Cliente'!Z409</f>
        <v>0</v>
      </c>
      <c r="AD409" s="33">
        <f>'Dados - Cliente'!AA409</f>
        <v>0</v>
      </c>
      <c r="AE409" s="33">
        <f>'Dados - Cliente'!AB409</f>
        <v>0</v>
      </c>
      <c r="AF409" s="33">
        <f>'Dados - Cliente'!AC409</f>
        <v>0</v>
      </c>
      <c r="AG409" s="35">
        <f>'Dados - Cliente'!AD409</f>
        <v>0</v>
      </c>
      <c r="AH409" s="33" t="e">
        <f>INDEX('Dados - Placas'!$A:$A,MATCH('1'!AG409,'Dados - Placas'!$D:$D,0))</f>
        <v>#N/A</v>
      </c>
      <c r="AI409" s="35" t="e">
        <f>INDEX('Dados - Placas'!$E:$E,MATCH('1'!AG409,'Dados - Placas'!$D:$D,0))</f>
        <v>#N/A</v>
      </c>
      <c r="AJ409" s="34" t="e">
        <f>INDEX('Dados - Placas'!$F:$F,MATCH('1'!AG409,'Dados - Placas'!$D:$D,0))*AF409</f>
        <v>#N/A</v>
      </c>
      <c r="AK409" s="33">
        <f>'Dados - Cliente'!AE409</f>
        <v>0</v>
      </c>
      <c r="AL409" s="33">
        <f>'Dados - Cliente'!AF409</f>
        <v>0</v>
      </c>
      <c r="AM409" s="36" t="e">
        <f>INDEX('Dados - Inversores'!$A:$A,MATCH('1'!AL409,'Dados - Inversores'!$C:$C,0))</f>
        <v>#N/A</v>
      </c>
      <c r="AN409" s="33">
        <f>'Dados - Cliente'!AG409</f>
        <v>0</v>
      </c>
      <c r="AO409" s="33" t="e">
        <f>AA409*1.25/(0.22*SQRT(INDEX('Dados - Inversores'!AK:AK,MATCH('1'!AL409,'Dados - Inversores'!C:C,0))))</f>
        <v>#N/A</v>
      </c>
      <c r="AP409" s="34">
        <f>INDEX(Dados!$E$2:$E$33,COUNTIF(Dados!$E$2:$E$33,"&lt;="&amp;AN409*1.25/(INDEX('Dados - Inversores'!AL:AL,MATCH('1'!AL409,'Dados - Inversores'!C:C,0))*SQRT(INDEX('Dados - Inversores'!AK:AK,MATCH('1'!AL409,'Dados - Inversores'!C:C,0)))))+1)</f>
        <v>2</v>
      </c>
      <c r="AQ409" s="33" t="s">
        <v>59</v>
      </c>
      <c r="AR409" s="33" t="str">
        <f t="shared" si="28"/>
        <v>Micro</v>
      </c>
      <c r="AS409" s="33">
        <f>'Dados - Cliente'!AH409</f>
        <v>0</v>
      </c>
      <c r="AT409" s="33">
        <f>'Dados - Cliente'!AI409</f>
        <v>0</v>
      </c>
      <c r="AU409" s="33" t="e">
        <f>INDEX('Dados - Placas'!$N:$N,MATCH('1'!AG409,'Dados - Placas'!$D:$D,0))-1</f>
        <v>#N/A</v>
      </c>
      <c r="AV409" s="33" t="e">
        <f>INDEX('Dados - Placas'!$O:$O,MATCH('1'!AG409,'Dados - Placas'!$D:$D,0))</f>
        <v>#N/A</v>
      </c>
      <c r="AW409" s="33" t="e">
        <f>INDEX('Dados - Inversores'!AM:AM,MATCH('1'!AL409,'Dados - Inversores'!$C:$C,0))-1</f>
        <v>#N/A</v>
      </c>
      <c r="AX409" s="33" t="e">
        <f>INDEX('Dados - Inversores'!AN:AN,MATCH('1'!AL409,'Dados - Inversores'!$C:$C,0))-1</f>
        <v>#N/A</v>
      </c>
      <c r="AY409" s="33" t="e">
        <f>MATCH('1'!H409,Dados!$D$89:$D$167,0)+1</f>
        <v>#N/A</v>
      </c>
      <c r="AZ409" s="33" t="e">
        <f>MATCH('1'!N409,'Dados - Solicitação de acesso'!$N$2:$N$8,0)</f>
        <v>#N/A</v>
      </c>
      <c r="BA409" s="33" t="e">
        <f>MATCH('1'!T409,'Dados - Solicitação de acesso'!$T$2:$T$20,0)</f>
        <v>#N/A</v>
      </c>
    </row>
    <row r="410" spans="1:53" x14ac:dyDescent="0.35">
      <c r="A410" s="33">
        <f>'Dados - Cliente'!A410</f>
        <v>0</v>
      </c>
      <c r="B410" s="33">
        <f>'Dados - Cliente'!B410</f>
        <v>0</v>
      </c>
      <c r="C410" s="33">
        <f>'Dados - Cliente'!C410</f>
        <v>0</v>
      </c>
      <c r="D410" s="33">
        <f>'Dados - Cliente'!D410</f>
        <v>0</v>
      </c>
      <c r="E410" s="33">
        <f>'Dados - Cliente'!E410</f>
        <v>0</v>
      </c>
      <c r="F410" s="33">
        <f>'Dados - Cliente'!F410</f>
        <v>0</v>
      </c>
      <c r="G410" s="33">
        <f>'Dados - Cliente'!G410</f>
        <v>0</v>
      </c>
      <c r="H410" s="33">
        <f>'Dados - Cliente'!H410</f>
        <v>0</v>
      </c>
      <c r="I410" s="75" t="s">
        <v>4313</v>
      </c>
      <c r="J410" s="52" t="s">
        <v>4314</v>
      </c>
      <c r="K410" s="52" t="s">
        <v>4314</v>
      </c>
      <c r="L410" s="33">
        <f>'Dados - Cliente'!I410</f>
        <v>0</v>
      </c>
      <c r="M410" s="33">
        <f>'Dados - Cliente'!K410</f>
        <v>0</v>
      </c>
      <c r="N410" s="33">
        <f>'Dados - Cliente'!L410</f>
        <v>0</v>
      </c>
      <c r="O410" s="33">
        <f>'Dados - Cliente'!M410</f>
        <v>0</v>
      </c>
      <c r="P410" s="33">
        <f>'Dados - Cliente'!N410</f>
        <v>0</v>
      </c>
      <c r="Q410" s="33">
        <f>'Dados - Cliente'!O410</f>
        <v>0</v>
      </c>
      <c r="R410" s="33">
        <f>'Dados - Cliente'!P410</f>
        <v>0</v>
      </c>
      <c r="S410" s="33">
        <f>'Dados - Cliente'!Q410</f>
        <v>0</v>
      </c>
      <c r="T410" s="33">
        <f>'Dados - Cliente'!R410</f>
        <v>0</v>
      </c>
      <c r="U410" s="34">
        <f>'Dados - Cliente'!S410</f>
        <v>0</v>
      </c>
      <c r="V410" s="34">
        <f>'Dados - Cliente'!T410</f>
        <v>0</v>
      </c>
      <c r="W410" s="34">
        <f>'Dados - Cliente'!U410</f>
        <v>0</v>
      </c>
      <c r="X410" s="34">
        <f>'Dados - Cliente'!V410</f>
        <v>0</v>
      </c>
      <c r="Y410" s="34">
        <f>'Dados - Cliente'!W410</f>
        <v>0</v>
      </c>
      <c r="Z410" s="34">
        <f>'Dados - Cliente'!X410</f>
        <v>0</v>
      </c>
      <c r="AA410" s="33" t="e">
        <f t="shared" si="27"/>
        <v>#N/A</v>
      </c>
      <c r="AB410" s="33">
        <f>'Dados - Cliente'!Y410</f>
        <v>0</v>
      </c>
      <c r="AC410" s="33">
        <f>'Dados - Cliente'!Z410</f>
        <v>0</v>
      </c>
      <c r="AD410" s="33">
        <f>'Dados - Cliente'!AA410</f>
        <v>0</v>
      </c>
      <c r="AE410" s="33">
        <f>'Dados - Cliente'!AB410</f>
        <v>0</v>
      </c>
      <c r="AF410" s="33">
        <f>'Dados - Cliente'!AC410</f>
        <v>0</v>
      </c>
      <c r="AG410" s="35">
        <f>'Dados - Cliente'!AD410</f>
        <v>0</v>
      </c>
      <c r="AH410" s="33" t="e">
        <f>INDEX('Dados - Placas'!$A:$A,MATCH('1'!AG410,'Dados - Placas'!$D:$D,0))</f>
        <v>#N/A</v>
      </c>
      <c r="AI410" s="35" t="e">
        <f>INDEX('Dados - Placas'!$E:$E,MATCH('1'!AG410,'Dados - Placas'!$D:$D,0))</f>
        <v>#N/A</v>
      </c>
      <c r="AJ410" s="34" t="e">
        <f>INDEX('Dados - Placas'!$F:$F,MATCH('1'!AG410,'Dados - Placas'!$D:$D,0))*AF410</f>
        <v>#N/A</v>
      </c>
      <c r="AK410" s="33">
        <f>'Dados - Cliente'!AE410</f>
        <v>0</v>
      </c>
      <c r="AL410" s="33">
        <f>'Dados - Cliente'!AF410</f>
        <v>0</v>
      </c>
      <c r="AM410" s="36" t="e">
        <f>INDEX('Dados - Inversores'!$A:$A,MATCH('1'!AL410,'Dados - Inversores'!$C:$C,0))</f>
        <v>#N/A</v>
      </c>
      <c r="AN410" s="33">
        <f>'Dados - Cliente'!AG410</f>
        <v>0</v>
      </c>
      <c r="AO410" s="33" t="e">
        <f>AA410*1.25/(0.22*SQRT(INDEX('Dados - Inversores'!AK:AK,MATCH('1'!AL410,'Dados - Inversores'!C:C,0))))</f>
        <v>#N/A</v>
      </c>
      <c r="AP410" s="34">
        <f>INDEX(Dados!$E$2:$E$33,COUNTIF(Dados!$E$2:$E$33,"&lt;="&amp;AN410*1.25/(INDEX('Dados - Inversores'!AL:AL,MATCH('1'!AL410,'Dados - Inversores'!C:C,0))*SQRT(INDEX('Dados - Inversores'!AK:AK,MATCH('1'!AL410,'Dados - Inversores'!C:C,0)))))+1)</f>
        <v>2</v>
      </c>
      <c r="AQ410" s="33" t="s">
        <v>59</v>
      </c>
      <c r="AR410" s="33" t="str">
        <f t="shared" si="28"/>
        <v>Micro</v>
      </c>
      <c r="AS410" s="33">
        <f>'Dados - Cliente'!AH410</f>
        <v>0</v>
      </c>
      <c r="AT410" s="33">
        <f>'Dados - Cliente'!AI410</f>
        <v>0</v>
      </c>
      <c r="AU410" s="33" t="e">
        <f>INDEX('Dados - Placas'!$N:$N,MATCH('1'!AG410,'Dados - Placas'!$D:$D,0))-1</f>
        <v>#N/A</v>
      </c>
      <c r="AV410" s="33" t="e">
        <f>INDEX('Dados - Placas'!$O:$O,MATCH('1'!AG410,'Dados - Placas'!$D:$D,0))</f>
        <v>#N/A</v>
      </c>
      <c r="AW410" s="33" t="e">
        <f>INDEX('Dados - Inversores'!AM:AM,MATCH('1'!AL410,'Dados - Inversores'!$C:$C,0))-1</f>
        <v>#N/A</v>
      </c>
      <c r="AX410" s="33" t="e">
        <f>INDEX('Dados - Inversores'!AN:AN,MATCH('1'!AL410,'Dados - Inversores'!$C:$C,0))-1</f>
        <v>#N/A</v>
      </c>
      <c r="AY410" s="33" t="e">
        <f>MATCH('1'!H410,Dados!$D$89:$D$167,0)+1</f>
        <v>#N/A</v>
      </c>
      <c r="AZ410" s="33" t="e">
        <f>MATCH('1'!N410,'Dados - Solicitação de acesso'!$N$2:$N$8,0)</f>
        <v>#N/A</v>
      </c>
      <c r="BA410" s="33" t="e">
        <f>MATCH('1'!T410,'Dados - Solicitação de acesso'!$T$2:$T$20,0)</f>
        <v>#N/A</v>
      </c>
    </row>
    <row r="411" spans="1:53" x14ac:dyDescent="0.35">
      <c r="A411" s="33">
        <f>'Dados - Cliente'!A411</f>
        <v>0</v>
      </c>
      <c r="B411" s="33">
        <f>'Dados - Cliente'!B411</f>
        <v>0</v>
      </c>
      <c r="C411" s="33">
        <f>'Dados - Cliente'!C411</f>
        <v>0</v>
      </c>
      <c r="D411" s="33">
        <f>'Dados - Cliente'!D411</f>
        <v>0</v>
      </c>
      <c r="E411" s="33">
        <f>'Dados - Cliente'!E411</f>
        <v>0</v>
      </c>
      <c r="F411" s="33">
        <f>'Dados - Cliente'!F411</f>
        <v>0</v>
      </c>
      <c r="G411" s="33">
        <f>'Dados - Cliente'!G411</f>
        <v>0</v>
      </c>
      <c r="H411" s="33">
        <f>'Dados - Cliente'!H411</f>
        <v>0</v>
      </c>
      <c r="I411" s="75" t="s">
        <v>4313</v>
      </c>
      <c r="J411" s="52" t="s">
        <v>4314</v>
      </c>
      <c r="K411" s="52" t="s">
        <v>4314</v>
      </c>
      <c r="L411" s="33">
        <f>'Dados - Cliente'!I411</f>
        <v>0</v>
      </c>
      <c r="M411" s="33">
        <f>'Dados - Cliente'!K411</f>
        <v>0</v>
      </c>
      <c r="N411" s="33">
        <f>'Dados - Cliente'!L411</f>
        <v>0</v>
      </c>
      <c r="O411" s="33">
        <f>'Dados - Cliente'!M411</f>
        <v>0</v>
      </c>
      <c r="P411" s="33">
        <f>'Dados - Cliente'!N411</f>
        <v>0</v>
      </c>
      <c r="Q411" s="33">
        <f>'Dados - Cliente'!O411</f>
        <v>0</v>
      </c>
      <c r="R411" s="33">
        <f>'Dados - Cliente'!P411</f>
        <v>0</v>
      </c>
      <c r="S411" s="33">
        <f>'Dados - Cliente'!Q411</f>
        <v>0</v>
      </c>
      <c r="T411" s="33">
        <f>'Dados - Cliente'!R411</f>
        <v>0</v>
      </c>
      <c r="U411" s="34">
        <f>'Dados - Cliente'!S411</f>
        <v>0</v>
      </c>
      <c r="V411" s="34">
        <f>'Dados - Cliente'!T411</f>
        <v>0</v>
      </c>
      <c r="W411" s="34">
        <f>'Dados - Cliente'!U411</f>
        <v>0</v>
      </c>
      <c r="X411" s="34">
        <f>'Dados - Cliente'!V411</f>
        <v>0</v>
      </c>
      <c r="Y411" s="34">
        <f>'Dados - Cliente'!W411</f>
        <v>0</v>
      </c>
      <c r="Z411" s="34">
        <f>'Dados - Cliente'!X411</f>
        <v>0</v>
      </c>
      <c r="AA411" s="33" t="e">
        <f t="shared" si="27"/>
        <v>#N/A</v>
      </c>
      <c r="AB411" s="33">
        <f>'Dados - Cliente'!Y411</f>
        <v>0</v>
      </c>
      <c r="AC411" s="33">
        <f>'Dados - Cliente'!Z411</f>
        <v>0</v>
      </c>
      <c r="AD411" s="33">
        <f>'Dados - Cliente'!AA411</f>
        <v>0</v>
      </c>
      <c r="AE411" s="33">
        <f>'Dados - Cliente'!AB411</f>
        <v>0</v>
      </c>
      <c r="AF411" s="33">
        <f>'Dados - Cliente'!AC411</f>
        <v>0</v>
      </c>
      <c r="AG411" s="35">
        <f>'Dados - Cliente'!AD411</f>
        <v>0</v>
      </c>
      <c r="AH411" s="33" t="e">
        <f>INDEX('Dados - Placas'!$A:$A,MATCH('1'!AG411,'Dados - Placas'!$D:$D,0))</f>
        <v>#N/A</v>
      </c>
      <c r="AI411" s="35" t="e">
        <f>INDEX('Dados - Placas'!$E:$E,MATCH('1'!AG411,'Dados - Placas'!$D:$D,0))</f>
        <v>#N/A</v>
      </c>
      <c r="AJ411" s="34" t="e">
        <f>INDEX('Dados - Placas'!$F:$F,MATCH('1'!AG411,'Dados - Placas'!$D:$D,0))*AF411</f>
        <v>#N/A</v>
      </c>
      <c r="AK411" s="33">
        <f>'Dados - Cliente'!AE411</f>
        <v>0</v>
      </c>
      <c r="AL411" s="33">
        <f>'Dados - Cliente'!AF411</f>
        <v>0</v>
      </c>
      <c r="AM411" s="36" t="e">
        <f>INDEX('Dados - Inversores'!$A:$A,MATCH('1'!AL411,'Dados - Inversores'!$C:$C,0))</f>
        <v>#N/A</v>
      </c>
      <c r="AN411" s="33">
        <f>'Dados - Cliente'!AG411</f>
        <v>0</v>
      </c>
      <c r="AO411" s="33" t="e">
        <f>AA411*1.25/(0.22*SQRT(INDEX('Dados - Inversores'!AK:AK,MATCH('1'!AL411,'Dados - Inversores'!C:C,0))))</f>
        <v>#N/A</v>
      </c>
      <c r="AP411" s="34">
        <f>INDEX(Dados!$E$2:$E$33,COUNTIF(Dados!$E$2:$E$33,"&lt;="&amp;AN411*1.25/(INDEX('Dados - Inversores'!AL:AL,MATCH('1'!AL411,'Dados - Inversores'!C:C,0))*SQRT(INDEX('Dados - Inversores'!AK:AK,MATCH('1'!AL411,'Dados - Inversores'!C:C,0)))))+1)</f>
        <v>2</v>
      </c>
      <c r="AQ411" s="33" t="s">
        <v>59</v>
      </c>
      <c r="AR411" s="33" t="str">
        <f t="shared" si="28"/>
        <v>Micro</v>
      </c>
      <c r="AS411" s="33">
        <f>'Dados - Cliente'!AH411</f>
        <v>0</v>
      </c>
      <c r="AT411" s="33">
        <f>'Dados - Cliente'!AI411</f>
        <v>0</v>
      </c>
      <c r="AU411" s="33" t="e">
        <f>INDEX('Dados - Placas'!$N:$N,MATCH('1'!AG411,'Dados - Placas'!$D:$D,0))-1</f>
        <v>#N/A</v>
      </c>
      <c r="AV411" s="33" t="e">
        <f>INDEX('Dados - Placas'!$O:$O,MATCH('1'!AG411,'Dados - Placas'!$D:$D,0))</f>
        <v>#N/A</v>
      </c>
      <c r="AW411" s="33" t="e">
        <f>INDEX('Dados - Inversores'!AM:AM,MATCH('1'!AL411,'Dados - Inversores'!$C:$C,0))-1</f>
        <v>#N/A</v>
      </c>
      <c r="AX411" s="33" t="e">
        <f>INDEX('Dados - Inversores'!AN:AN,MATCH('1'!AL411,'Dados - Inversores'!$C:$C,0))-1</f>
        <v>#N/A</v>
      </c>
      <c r="AY411" s="33" t="e">
        <f>MATCH('1'!H411,Dados!$D$89:$D$167,0)+1</f>
        <v>#N/A</v>
      </c>
      <c r="AZ411" s="33" t="e">
        <f>MATCH('1'!N411,'Dados - Solicitação de acesso'!$N$2:$N$8,0)</f>
        <v>#N/A</v>
      </c>
      <c r="BA411" s="33" t="e">
        <f>MATCH('1'!T411,'Dados - Solicitação de acesso'!$T$2:$T$20,0)</f>
        <v>#N/A</v>
      </c>
    </row>
    <row r="412" spans="1:53" x14ac:dyDescent="0.35">
      <c r="A412" s="33">
        <f>'Dados - Cliente'!A412</f>
        <v>0</v>
      </c>
      <c r="B412" s="33">
        <f>'Dados - Cliente'!B412</f>
        <v>0</v>
      </c>
      <c r="C412" s="33">
        <f>'Dados - Cliente'!C412</f>
        <v>0</v>
      </c>
      <c r="D412" s="33">
        <f>'Dados - Cliente'!D412</f>
        <v>0</v>
      </c>
      <c r="E412" s="33">
        <f>'Dados - Cliente'!E412</f>
        <v>0</v>
      </c>
      <c r="F412" s="33">
        <f>'Dados - Cliente'!F412</f>
        <v>0</v>
      </c>
      <c r="G412" s="33">
        <f>'Dados - Cliente'!G412</f>
        <v>0</v>
      </c>
      <c r="H412" s="33">
        <f>'Dados - Cliente'!H412</f>
        <v>0</v>
      </c>
      <c r="I412" s="75" t="s">
        <v>4313</v>
      </c>
      <c r="J412" s="52" t="s">
        <v>4314</v>
      </c>
      <c r="K412" s="52" t="s">
        <v>4314</v>
      </c>
      <c r="L412" s="33">
        <f>'Dados - Cliente'!I412</f>
        <v>0</v>
      </c>
      <c r="M412" s="33">
        <f>'Dados - Cliente'!K412</f>
        <v>0</v>
      </c>
      <c r="N412" s="33">
        <f>'Dados - Cliente'!L412</f>
        <v>0</v>
      </c>
      <c r="O412" s="33">
        <f>'Dados - Cliente'!M412</f>
        <v>0</v>
      </c>
      <c r="P412" s="33">
        <f>'Dados - Cliente'!N412</f>
        <v>0</v>
      </c>
      <c r="Q412" s="33">
        <f>'Dados - Cliente'!O412</f>
        <v>0</v>
      </c>
      <c r="R412" s="33">
        <f>'Dados - Cliente'!P412</f>
        <v>0</v>
      </c>
      <c r="S412" s="33">
        <f>'Dados - Cliente'!Q412</f>
        <v>0</v>
      </c>
      <c r="T412" s="33">
        <f>'Dados - Cliente'!R412</f>
        <v>0</v>
      </c>
      <c r="U412" s="34">
        <f>'Dados - Cliente'!S412</f>
        <v>0</v>
      </c>
      <c r="V412" s="34">
        <f>'Dados - Cliente'!T412</f>
        <v>0</v>
      </c>
      <c r="W412" s="34">
        <f>'Dados - Cliente'!U412</f>
        <v>0</v>
      </c>
      <c r="X412" s="34">
        <f>'Dados - Cliente'!V412</f>
        <v>0</v>
      </c>
      <c r="Y412" s="34">
        <f>'Dados - Cliente'!W412</f>
        <v>0</v>
      </c>
      <c r="Z412" s="34">
        <f>'Dados - Cliente'!X412</f>
        <v>0</v>
      </c>
      <c r="AA412" s="33" t="e">
        <f t="shared" si="27"/>
        <v>#N/A</v>
      </c>
      <c r="AB412" s="33">
        <f>'Dados - Cliente'!Y412</f>
        <v>0</v>
      </c>
      <c r="AC412" s="33">
        <f>'Dados - Cliente'!Z412</f>
        <v>0</v>
      </c>
      <c r="AD412" s="33">
        <f>'Dados - Cliente'!AA412</f>
        <v>0</v>
      </c>
      <c r="AE412" s="33">
        <f>'Dados - Cliente'!AB412</f>
        <v>0</v>
      </c>
      <c r="AF412" s="33">
        <f>'Dados - Cliente'!AC412</f>
        <v>0</v>
      </c>
      <c r="AG412" s="35">
        <f>'Dados - Cliente'!AD412</f>
        <v>0</v>
      </c>
      <c r="AH412" s="33" t="e">
        <f>INDEX('Dados - Placas'!$A:$A,MATCH('1'!AG412,'Dados - Placas'!$D:$D,0))</f>
        <v>#N/A</v>
      </c>
      <c r="AI412" s="35" t="e">
        <f>INDEX('Dados - Placas'!$E:$E,MATCH('1'!AG412,'Dados - Placas'!$D:$D,0))</f>
        <v>#N/A</v>
      </c>
      <c r="AJ412" s="34" t="e">
        <f>INDEX('Dados - Placas'!$F:$F,MATCH('1'!AG412,'Dados - Placas'!$D:$D,0))*AF412</f>
        <v>#N/A</v>
      </c>
      <c r="AK412" s="33">
        <f>'Dados - Cliente'!AE412</f>
        <v>0</v>
      </c>
      <c r="AL412" s="33">
        <f>'Dados - Cliente'!AF412</f>
        <v>0</v>
      </c>
      <c r="AM412" s="36" t="e">
        <f>INDEX('Dados - Inversores'!$A:$A,MATCH('1'!AL412,'Dados - Inversores'!$C:$C,0))</f>
        <v>#N/A</v>
      </c>
      <c r="AN412" s="33">
        <f>'Dados - Cliente'!AG412</f>
        <v>0</v>
      </c>
      <c r="AO412" s="33" t="e">
        <f>AA412*1.25/(0.22*SQRT(INDEX('Dados - Inversores'!AK:AK,MATCH('1'!AL412,'Dados - Inversores'!C:C,0))))</f>
        <v>#N/A</v>
      </c>
      <c r="AP412" s="34">
        <f>INDEX(Dados!$E$2:$E$33,COUNTIF(Dados!$E$2:$E$33,"&lt;="&amp;AN412*1.25/(INDEX('Dados - Inversores'!AL:AL,MATCH('1'!AL412,'Dados - Inversores'!C:C,0))*SQRT(INDEX('Dados - Inversores'!AK:AK,MATCH('1'!AL412,'Dados - Inversores'!C:C,0)))))+1)</f>
        <v>2</v>
      </c>
      <c r="AQ412" s="33" t="s">
        <v>59</v>
      </c>
      <c r="AR412" s="33" t="str">
        <f t="shared" si="28"/>
        <v>Micro</v>
      </c>
      <c r="AS412" s="33">
        <f>'Dados - Cliente'!AH412</f>
        <v>0</v>
      </c>
      <c r="AT412" s="33">
        <f>'Dados - Cliente'!AI412</f>
        <v>0</v>
      </c>
      <c r="AU412" s="33" t="e">
        <f>INDEX('Dados - Placas'!$N:$N,MATCH('1'!AG412,'Dados - Placas'!$D:$D,0))-1</f>
        <v>#N/A</v>
      </c>
      <c r="AV412" s="33" t="e">
        <f>INDEX('Dados - Placas'!$O:$O,MATCH('1'!AG412,'Dados - Placas'!$D:$D,0))</f>
        <v>#N/A</v>
      </c>
      <c r="AW412" s="33" t="e">
        <f>INDEX('Dados - Inversores'!AM:AM,MATCH('1'!AL412,'Dados - Inversores'!$C:$C,0))-1</f>
        <v>#N/A</v>
      </c>
      <c r="AX412" s="33" t="e">
        <f>INDEX('Dados - Inversores'!AN:AN,MATCH('1'!AL412,'Dados - Inversores'!$C:$C,0))-1</f>
        <v>#N/A</v>
      </c>
      <c r="AY412" s="33" t="e">
        <f>MATCH('1'!H412,Dados!$D$89:$D$167,0)+1</f>
        <v>#N/A</v>
      </c>
      <c r="AZ412" s="33" t="e">
        <f>MATCH('1'!N412,'Dados - Solicitação de acesso'!$N$2:$N$8,0)</f>
        <v>#N/A</v>
      </c>
      <c r="BA412" s="33" t="e">
        <f>MATCH('1'!T412,'Dados - Solicitação de acesso'!$T$2:$T$20,0)</f>
        <v>#N/A</v>
      </c>
    </row>
    <row r="413" spans="1:53" x14ac:dyDescent="0.35">
      <c r="A413" s="33">
        <f>'Dados - Cliente'!A413</f>
        <v>0</v>
      </c>
      <c r="B413" s="33">
        <f>'Dados - Cliente'!B413</f>
        <v>0</v>
      </c>
      <c r="C413" s="33">
        <f>'Dados - Cliente'!C413</f>
        <v>0</v>
      </c>
      <c r="D413" s="33">
        <f>'Dados - Cliente'!D413</f>
        <v>0</v>
      </c>
      <c r="E413" s="33">
        <f>'Dados - Cliente'!E413</f>
        <v>0</v>
      </c>
      <c r="F413" s="33">
        <f>'Dados - Cliente'!F413</f>
        <v>0</v>
      </c>
      <c r="G413" s="33">
        <f>'Dados - Cliente'!G413</f>
        <v>0</v>
      </c>
      <c r="H413" s="33">
        <f>'Dados - Cliente'!H413</f>
        <v>0</v>
      </c>
      <c r="I413" s="75" t="s">
        <v>4313</v>
      </c>
      <c r="J413" s="52" t="s">
        <v>4314</v>
      </c>
      <c r="K413" s="52" t="s">
        <v>4314</v>
      </c>
      <c r="L413" s="33">
        <f>'Dados - Cliente'!I413</f>
        <v>0</v>
      </c>
      <c r="M413" s="33">
        <f>'Dados - Cliente'!K413</f>
        <v>0</v>
      </c>
      <c r="N413" s="33">
        <f>'Dados - Cliente'!L413</f>
        <v>0</v>
      </c>
      <c r="O413" s="33">
        <f>'Dados - Cliente'!M413</f>
        <v>0</v>
      </c>
      <c r="P413" s="33">
        <f>'Dados - Cliente'!N413</f>
        <v>0</v>
      </c>
      <c r="Q413" s="33">
        <f>'Dados - Cliente'!O413</f>
        <v>0</v>
      </c>
      <c r="R413" s="33">
        <f>'Dados - Cliente'!P413</f>
        <v>0</v>
      </c>
      <c r="S413" s="33">
        <f>'Dados - Cliente'!Q413</f>
        <v>0</v>
      </c>
      <c r="T413" s="33">
        <f>'Dados - Cliente'!R413</f>
        <v>0</v>
      </c>
      <c r="U413" s="34">
        <f>'Dados - Cliente'!S413</f>
        <v>0</v>
      </c>
      <c r="V413" s="34">
        <f>'Dados - Cliente'!T413</f>
        <v>0</v>
      </c>
      <c r="W413" s="34">
        <f>'Dados - Cliente'!U413</f>
        <v>0</v>
      </c>
      <c r="X413" s="34">
        <f>'Dados - Cliente'!V413</f>
        <v>0</v>
      </c>
      <c r="Y413" s="34">
        <f>'Dados - Cliente'!W413</f>
        <v>0</v>
      </c>
      <c r="Z413" s="34">
        <f>'Dados - Cliente'!X413</f>
        <v>0</v>
      </c>
      <c r="AA413" s="33" t="e">
        <f t="shared" si="27"/>
        <v>#N/A</v>
      </c>
      <c r="AB413" s="33">
        <f>'Dados - Cliente'!Y413</f>
        <v>0</v>
      </c>
      <c r="AC413" s="33">
        <f>'Dados - Cliente'!Z413</f>
        <v>0</v>
      </c>
      <c r="AD413" s="33">
        <f>'Dados - Cliente'!AA413</f>
        <v>0</v>
      </c>
      <c r="AE413" s="33">
        <f>'Dados - Cliente'!AB413</f>
        <v>0</v>
      </c>
      <c r="AF413" s="33">
        <f>'Dados - Cliente'!AC413</f>
        <v>0</v>
      </c>
      <c r="AG413" s="35">
        <f>'Dados - Cliente'!AD413</f>
        <v>0</v>
      </c>
      <c r="AH413" s="33" t="e">
        <f>INDEX('Dados - Placas'!$A:$A,MATCH('1'!AG413,'Dados - Placas'!$D:$D,0))</f>
        <v>#N/A</v>
      </c>
      <c r="AI413" s="35" t="e">
        <f>INDEX('Dados - Placas'!$E:$E,MATCH('1'!AG413,'Dados - Placas'!$D:$D,0))</f>
        <v>#N/A</v>
      </c>
      <c r="AJ413" s="34" t="e">
        <f>INDEX('Dados - Placas'!$F:$F,MATCH('1'!AG413,'Dados - Placas'!$D:$D,0))*AF413</f>
        <v>#N/A</v>
      </c>
      <c r="AK413" s="33">
        <f>'Dados - Cliente'!AE413</f>
        <v>0</v>
      </c>
      <c r="AL413" s="33">
        <f>'Dados - Cliente'!AF413</f>
        <v>0</v>
      </c>
      <c r="AM413" s="36" t="e">
        <f>INDEX('Dados - Inversores'!$A:$A,MATCH('1'!AL413,'Dados - Inversores'!$C:$C,0))</f>
        <v>#N/A</v>
      </c>
      <c r="AN413" s="33">
        <f>'Dados - Cliente'!AG413</f>
        <v>0</v>
      </c>
      <c r="AO413" s="33" t="e">
        <f>AA413*1.25/(0.22*SQRT(INDEX('Dados - Inversores'!AK:AK,MATCH('1'!AL413,'Dados - Inversores'!C:C,0))))</f>
        <v>#N/A</v>
      </c>
      <c r="AP413" s="34">
        <f>INDEX(Dados!$E$2:$E$33,COUNTIF(Dados!$E$2:$E$33,"&lt;="&amp;AN413*1.25/(INDEX('Dados - Inversores'!AL:AL,MATCH('1'!AL413,'Dados - Inversores'!C:C,0))*SQRT(INDEX('Dados - Inversores'!AK:AK,MATCH('1'!AL413,'Dados - Inversores'!C:C,0)))))+1)</f>
        <v>2</v>
      </c>
      <c r="AQ413" s="33" t="s">
        <v>59</v>
      </c>
      <c r="AR413" s="33" t="str">
        <f t="shared" si="28"/>
        <v>Micro</v>
      </c>
      <c r="AS413" s="33">
        <f>'Dados - Cliente'!AH413</f>
        <v>0</v>
      </c>
      <c r="AT413" s="33">
        <f>'Dados - Cliente'!AI413</f>
        <v>0</v>
      </c>
      <c r="AU413" s="33" t="e">
        <f>INDEX('Dados - Placas'!$N:$N,MATCH('1'!AG413,'Dados - Placas'!$D:$D,0))-1</f>
        <v>#N/A</v>
      </c>
      <c r="AV413" s="33" t="e">
        <f>INDEX('Dados - Placas'!$O:$O,MATCH('1'!AG413,'Dados - Placas'!$D:$D,0))</f>
        <v>#N/A</v>
      </c>
      <c r="AW413" s="33" t="e">
        <f>INDEX('Dados - Inversores'!AM:AM,MATCH('1'!AL413,'Dados - Inversores'!$C:$C,0))-1</f>
        <v>#N/A</v>
      </c>
      <c r="AX413" s="33" t="e">
        <f>INDEX('Dados - Inversores'!AN:AN,MATCH('1'!AL413,'Dados - Inversores'!$C:$C,0))-1</f>
        <v>#N/A</v>
      </c>
      <c r="AY413" s="33" t="e">
        <f>MATCH('1'!H413,Dados!$D$89:$D$167,0)+1</f>
        <v>#N/A</v>
      </c>
      <c r="AZ413" s="33" t="e">
        <f>MATCH('1'!N413,'Dados - Solicitação de acesso'!$N$2:$N$8,0)</f>
        <v>#N/A</v>
      </c>
      <c r="BA413" s="33" t="e">
        <f>MATCH('1'!T413,'Dados - Solicitação de acesso'!$T$2:$T$20,0)</f>
        <v>#N/A</v>
      </c>
    </row>
    <row r="414" spans="1:53" x14ac:dyDescent="0.35">
      <c r="A414" s="33">
        <f>'Dados - Cliente'!A414</f>
        <v>0</v>
      </c>
      <c r="B414" s="33">
        <f>'Dados - Cliente'!B414</f>
        <v>0</v>
      </c>
      <c r="C414" s="33">
        <f>'Dados - Cliente'!C414</f>
        <v>0</v>
      </c>
      <c r="D414" s="33">
        <f>'Dados - Cliente'!D414</f>
        <v>0</v>
      </c>
      <c r="E414" s="33">
        <f>'Dados - Cliente'!E414</f>
        <v>0</v>
      </c>
      <c r="F414" s="33">
        <f>'Dados - Cliente'!F414</f>
        <v>0</v>
      </c>
      <c r="G414" s="33">
        <f>'Dados - Cliente'!G414</f>
        <v>0</v>
      </c>
      <c r="H414" s="33">
        <f>'Dados - Cliente'!H414</f>
        <v>0</v>
      </c>
      <c r="I414" s="75" t="s">
        <v>4313</v>
      </c>
      <c r="J414" s="52" t="s">
        <v>4314</v>
      </c>
      <c r="K414" s="52" t="s">
        <v>4314</v>
      </c>
      <c r="L414" s="33">
        <f>'Dados - Cliente'!I414</f>
        <v>0</v>
      </c>
      <c r="M414" s="33">
        <f>'Dados - Cliente'!K414</f>
        <v>0</v>
      </c>
      <c r="N414" s="33">
        <f>'Dados - Cliente'!L414</f>
        <v>0</v>
      </c>
      <c r="O414" s="33">
        <f>'Dados - Cliente'!M414</f>
        <v>0</v>
      </c>
      <c r="P414" s="33">
        <f>'Dados - Cliente'!N414</f>
        <v>0</v>
      </c>
      <c r="Q414" s="33">
        <f>'Dados - Cliente'!O414</f>
        <v>0</v>
      </c>
      <c r="R414" s="33">
        <f>'Dados - Cliente'!P414</f>
        <v>0</v>
      </c>
      <c r="S414" s="33">
        <f>'Dados - Cliente'!Q414</f>
        <v>0</v>
      </c>
      <c r="T414" s="33">
        <f>'Dados - Cliente'!R414</f>
        <v>0</v>
      </c>
      <c r="U414" s="34">
        <f>'Dados - Cliente'!S414</f>
        <v>0</v>
      </c>
      <c r="V414" s="34">
        <f>'Dados - Cliente'!T414</f>
        <v>0</v>
      </c>
      <c r="W414" s="34">
        <f>'Dados - Cliente'!U414</f>
        <v>0</v>
      </c>
      <c r="X414" s="34">
        <f>'Dados - Cliente'!V414</f>
        <v>0</v>
      </c>
      <c r="Y414" s="34">
        <f>'Dados - Cliente'!W414</f>
        <v>0</v>
      </c>
      <c r="Z414" s="34">
        <f>'Dados - Cliente'!X414</f>
        <v>0</v>
      </c>
      <c r="AA414" s="33" t="e">
        <f t="shared" si="27"/>
        <v>#N/A</v>
      </c>
      <c r="AB414" s="33">
        <f>'Dados - Cliente'!Y414</f>
        <v>0</v>
      </c>
      <c r="AC414" s="33">
        <f>'Dados - Cliente'!Z414</f>
        <v>0</v>
      </c>
      <c r="AD414" s="33">
        <f>'Dados - Cliente'!AA414</f>
        <v>0</v>
      </c>
      <c r="AE414" s="33">
        <f>'Dados - Cliente'!AB414</f>
        <v>0</v>
      </c>
      <c r="AF414" s="33">
        <f>'Dados - Cliente'!AC414</f>
        <v>0</v>
      </c>
      <c r="AG414" s="35">
        <f>'Dados - Cliente'!AD414</f>
        <v>0</v>
      </c>
      <c r="AH414" s="33" t="e">
        <f>INDEX('Dados - Placas'!$A:$A,MATCH('1'!AG414,'Dados - Placas'!$D:$D,0))</f>
        <v>#N/A</v>
      </c>
      <c r="AI414" s="35" t="e">
        <f>INDEX('Dados - Placas'!$E:$E,MATCH('1'!AG414,'Dados - Placas'!$D:$D,0))</f>
        <v>#N/A</v>
      </c>
      <c r="AJ414" s="34" t="e">
        <f>INDEX('Dados - Placas'!$F:$F,MATCH('1'!AG414,'Dados - Placas'!$D:$D,0))*AF414</f>
        <v>#N/A</v>
      </c>
      <c r="AK414" s="33">
        <f>'Dados - Cliente'!AE414</f>
        <v>0</v>
      </c>
      <c r="AL414" s="33">
        <f>'Dados - Cliente'!AF414</f>
        <v>0</v>
      </c>
      <c r="AM414" s="36" t="e">
        <f>INDEX('Dados - Inversores'!$A:$A,MATCH('1'!AL414,'Dados - Inversores'!$C:$C,0))</f>
        <v>#N/A</v>
      </c>
      <c r="AN414" s="33">
        <f>'Dados - Cliente'!AG414</f>
        <v>0</v>
      </c>
      <c r="AO414" s="33" t="e">
        <f>AA414*1.25/(0.22*SQRT(INDEX('Dados - Inversores'!AK:AK,MATCH('1'!AL414,'Dados - Inversores'!C:C,0))))</f>
        <v>#N/A</v>
      </c>
      <c r="AP414" s="34">
        <f>INDEX(Dados!$E$2:$E$33,COUNTIF(Dados!$E$2:$E$33,"&lt;="&amp;AN414*1.25/(INDEX('Dados - Inversores'!AL:AL,MATCH('1'!AL414,'Dados - Inversores'!C:C,0))*SQRT(INDEX('Dados - Inversores'!AK:AK,MATCH('1'!AL414,'Dados - Inversores'!C:C,0)))))+1)</f>
        <v>2</v>
      </c>
      <c r="AQ414" s="33" t="s">
        <v>59</v>
      </c>
      <c r="AR414" s="33" t="str">
        <f t="shared" si="28"/>
        <v>Micro</v>
      </c>
      <c r="AS414" s="33">
        <f>'Dados - Cliente'!AH414</f>
        <v>0</v>
      </c>
      <c r="AT414" s="33">
        <f>'Dados - Cliente'!AI414</f>
        <v>0</v>
      </c>
      <c r="AU414" s="33" t="e">
        <f>INDEX('Dados - Placas'!$N:$N,MATCH('1'!AG414,'Dados - Placas'!$D:$D,0))-1</f>
        <v>#N/A</v>
      </c>
      <c r="AV414" s="33" t="e">
        <f>INDEX('Dados - Placas'!$O:$O,MATCH('1'!AG414,'Dados - Placas'!$D:$D,0))</f>
        <v>#N/A</v>
      </c>
      <c r="AW414" s="33" t="e">
        <f>INDEX('Dados - Inversores'!AM:AM,MATCH('1'!AL414,'Dados - Inversores'!$C:$C,0))-1</f>
        <v>#N/A</v>
      </c>
      <c r="AX414" s="33" t="e">
        <f>INDEX('Dados - Inversores'!AN:AN,MATCH('1'!AL414,'Dados - Inversores'!$C:$C,0))-1</f>
        <v>#N/A</v>
      </c>
      <c r="AY414" s="33" t="e">
        <f>MATCH('1'!H414,Dados!$D$89:$D$167,0)+1</f>
        <v>#N/A</v>
      </c>
      <c r="AZ414" s="33" t="e">
        <f>MATCH('1'!N414,'Dados - Solicitação de acesso'!$N$2:$N$8,0)</f>
        <v>#N/A</v>
      </c>
      <c r="BA414" s="33" t="e">
        <f>MATCH('1'!T414,'Dados - Solicitação de acesso'!$T$2:$T$20,0)</f>
        <v>#N/A</v>
      </c>
    </row>
    <row r="415" spans="1:53" x14ac:dyDescent="0.35">
      <c r="A415" s="33">
        <f>'Dados - Cliente'!A415</f>
        <v>0</v>
      </c>
      <c r="B415" s="33">
        <f>'Dados - Cliente'!B415</f>
        <v>0</v>
      </c>
      <c r="C415" s="33">
        <f>'Dados - Cliente'!C415</f>
        <v>0</v>
      </c>
      <c r="D415" s="33">
        <f>'Dados - Cliente'!D415</f>
        <v>0</v>
      </c>
      <c r="E415" s="33">
        <f>'Dados - Cliente'!E415</f>
        <v>0</v>
      </c>
      <c r="F415" s="33">
        <f>'Dados - Cliente'!F415</f>
        <v>0</v>
      </c>
      <c r="G415" s="33">
        <f>'Dados - Cliente'!G415</f>
        <v>0</v>
      </c>
      <c r="H415" s="33">
        <f>'Dados - Cliente'!H415</f>
        <v>0</v>
      </c>
      <c r="I415" s="75" t="s">
        <v>4313</v>
      </c>
      <c r="J415" s="52" t="s">
        <v>4314</v>
      </c>
      <c r="K415" s="52" t="s">
        <v>4314</v>
      </c>
      <c r="L415" s="33">
        <f>'Dados - Cliente'!I415</f>
        <v>0</v>
      </c>
      <c r="M415" s="33">
        <f>'Dados - Cliente'!K415</f>
        <v>0</v>
      </c>
      <c r="N415" s="33">
        <f>'Dados - Cliente'!L415</f>
        <v>0</v>
      </c>
      <c r="O415" s="33">
        <f>'Dados - Cliente'!M415</f>
        <v>0</v>
      </c>
      <c r="P415" s="33">
        <f>'Dados - Cliente'!N415</f>
        <v>0</v>
      </c>
      <c r="Q415" s="33">
        <f>'Dados - Cliente'!O415</f>
        <v>0</v>
      </c>
      <c r="R415" s="33">
        <f>'Dados - Cliente'!P415</f>
        <v>0</v>
      </c>
      <c r="S415" s="33">
        <f>'Dados - Cliente'!Q415</f>
        <v>0</v>
      </c>
      <c r="T415" s="33">
        <f>'Dados - Cliente'!R415</f>
        <v>0</v>
      </c>
      <c r="U415" s="34">
        <f>'Dados - Cliente'!S415</f>
        <v>0</v>
      </c>
      <c r="V415" s="34">
        <f>'Dados - Cliente'!T415</f>
        <v>0</v>
      </c>
      <c r="W415" s="34">
        <f>'Dados - Cliente'!U415</f>
        <v>0</v>
      </c>
      <c r="X415" s="34">
        <f>'Dados - Cliente'!V415</f>
        <v>0</v>
      </c>
      <c r="Y415" s="34">
        <f>'Dados - Cliente'!W415</f>
        <v>0</v>
      </c>
      <c r="Z415" s="34">
        <f>'Dados - Cliente'!X415</f>
        <v>0</v>
      </c>
      <c r="AA415" s="33" t="e">
        <f t="shared" si="27"/>
        <v>#N/A</v>
      </c>
      <c r="AB415" s="33">
        <f>'Dados - Cliente'!Y415</f>
        <v>0</v>
      </c>
      <c r="AC415" s="33">
        <f>'Dados - Cliente'!Z415</f>
        <v>0</v>
      </c>
      <c r="AD415" s="33">
        <f>'Dados - Cliente'!AA415</f>
        <v>0</v>
      </c>
      <c r="AE415" s="33">
        <f>'Dados - Cliente'!AB415</f>
        <v>0</v>
      </c>
      <c r="AF415" s="33">
        <f>'Dados - Cliente'!AC415</f>
        <v>0</v>
      </c>
      <c r="AG415" s="35">
        <f>'Dados - Cliente'!AD415</f>
        <v>0</v>
      </c>
      <c r="AH415" s="33" t="e">
        <f>INDEX('Dados - Placas'!$A:$A,MATCH('1'!AG415,'Dados - Placas'!$D:$D,0))</f>
        <v>#N/A</v>
      </c>
      <c r="AI415" s="35" t="e">
        <f>INDEX('Dados - Placas'!$E:$E,MATCH('1'!AG415,'Dados - Placas'!$D:$D,0))</f>
        <v>#N/A</v>
      </c>
      <c r="AJ415" s="34" t="e">
        <f>INDEX('Dados - Placas'!$F:$F,MATCH('1'!AG415,'Dados - Placas'!$D:$D,0))*AF415</f>
        <v>#N/A</v>
      </c>
      <c r="AK415" s="33">
        <f>'Dados - Cliente'!AE415</f>
        <v>0</v>
      </c>
      <c r="AL415" s="33">
        <f>'Dados - Cliente'!AF415</f>
        <v>0</v>
      </c>
      <c r="AM415" s="36" t="e">
        <f>INDEX('Dados - Inversores'!$A:$A,MATCH('1'!AL415,'Dados - Inversores'!$C:$C,0))</f>
        <v>#N/A</v>
      </c>
      <c r="AN415" s="33">
        <f>'Dados - Cliente'!AG415</f>
        <v>0</v>
      </c>
      <c r="AO415" s="33" t="e">
        <f>AA415*1.25/(0.22*SQRT(INDEX('Dados - Inversores'!AK:AK,MATCH('1'!AL415,'Dados - Inversores'!C:C,0))))</f>
        <v>#N/A</v>
      </c>
      <c r="AP415" s="34">
        <f>INDEX(Dados!$E$2:$E$33,COUNTIF(Dados!$E$2:$E$33,"&lt;="&amp;AN415*1.25/(INDEX('Dados - Inversores'!AL:AL,MATCH('1'!AL415,'Dados - Inversores'!C:C,0))*SQRT(INDEX('Dados - Inversores'!AK:AK,MATCH('1'!AL415,'Dados - Inversores'!C:C,0)))))+1)</f>
        <v>2</v>
      </c>
      <c r="AQ415" s="33" t="s">
        <v>59</v>
      </c>
      <c r="AR415" s="33" t="str">
        <f t="shared" si="28"/>
        <v>Micro</v>
      </c>
      <c r="AS415" s="33">
        <f>'Dados - Cliente'!AH415</f>
        <v>0</v>
      </c>
      <c r="AT415" s="33">
        <f>'Dados - Cliente'!AI415</f>
        <v>0</v>
      </c>
      <c r="AU415" s="33" t="e">
        <f>INDEX('Dados - Placas'!$N:$N,MATCH('1'!AG415,'Dados - Placas'!$D:$D,0))-1</f>
        <v>#N/A</v>
      </c>
      <c r="AV415" s="33" t="e">
        <f>INDEX('Dados - Placas'!$O:$O,MATCH('1'!AG415,'Dados - Placas'!$D:$D,0))</f>
        <v>#N/A</v>
      </c>
      <c r="AW415" s="33" t="e">
        <f>INDEX('Dados - Inversores'!AM:AM,MATCH('1'!AL415,'Dados - Inversores'!$C:$C,0))-1</f>
        <v>#N/A</v>
      </c>
      <c r="AX415" s="33" t="e">
        <f>INDEX('Dados - Inversores'!AN:AN,MATCH('1'!AL415,'Dados - Inversores'!$C:$C,0))-1</f>
        <v>#N/A</v>
      </c>
      <c r="AY415" s="33" t="e">
        <f>MATCH('1'!H415,Dados!$D$89:$D$167,0)+1</f>
        <v>#N/A</v>
      </c>
      <c r="AZ415" s="33" t="e">
        <f>MATCH('1'!N415,'Dados - Solicitação de acesso'!$N$2:$N$8,0)</f>
        <v>#N/A</v>
      </c>
      <c r="BA415" s="33" t="e">
        <f>MATCH('1'!T415,'Dados - Solicitação de acesso'!$T$2:$T$20,0)</f>
        <v>#N/A</v>
      </c>
    </row>
    <row r="416" spans="1:53" x14ac:dyDescent="0.35">
      <c r="A416" s="33">
        <f>'Dados - Cliente'!A416</f>
        <v>0</v>
      </c>
      <c r="B416" s="33">
        <f>'Dados - Cliente'!B416</f>
        <v>0</v>
      </c>
      <c r="C416" s="33">
        <f>'Dados - Cliente'!C416</f>
        <v>0</v>
      </c>
      <c r="D416" s="33">
        <f>'Dados - Cliente'!D416</f>
        <v>0</v>
      </c>
      <c r="E416" s="33">
        <f>'Dados - Cliente'!E416</f>
        <v>0</v>
      </c>
      <c r="F416" s="33">
        <f>'Dados - Cliente'!F416</f>
        <v>0</v>
      </c>
      <c r="G416" s="33">
        <f>'Dados - Cliente'!G416</f>
        <v>0</v>
      </c>
      <c r="H416" s="33">
        <f>'Dados - Cliente'!H416</f>
        <v>0</v>
      </c>
      <c r="I416" s="75" t="s">
        <v>4313</v>
      </c>
      <c r="J416" s="52" t="s">
        <v>4314</v>
      </c>
      <c r="K416" s="52" t="s">
        <v>4314</v>
      </c>
      <c r="L416" s="33">
        <f>'Dados - Cliente'!I416</f>
        <v>0</v>
      </c>
      <c r="M416" s="33">
        <f>'Dados - Cliente'!K416</f>
        <v>0</v>
      </c>
      <c r="N416" s="33">
        <f>'Dados - Cliente'!L416</f>
        <v>0</v>
      </c>
      <c r="O416" s="33">
        <f>'Dados - Cliente'!M416</f>
        <v>0</v>
      </c>
      <c r="P416" s="33">
        <f>'Dados - Cliente'!N416</f>
        <v>0</v>
      </c>
      <c r="Q416" s="33">
        <f>'Dados - Cliente'!O416</f>
        <v>0</v>
      </c>
      <c r="R416" s="33">
        <f>'Dados - Cliente'!P416</f>
        <v>0</v>
      </c>
      <c r="S416" s="33">
        <f>'Dados - Cliente'!Q416</f>
        <v>0</v>
      </c>
      <c r="T416" s="33">
        <f>'Dados - Cliente'!R416</f>
        <v>0</v>
      </c>
      <c r="U416" s="34">
        <f>'Dados - Cliente'!S416</f>
        <v>0</v>
      </c>
      <c r="V416" s="34">
        <f>'Dados - Cliente'!T416</f>
        <v>0</v>
      </c>
      <c r="W416" s="34">
        <f>'Dados - Cliente'!U416</f>
        <v>0</v>
      </c>
      <c r="X416" s="34">
        <f>'Dados - Cliente'!V416</f>
        <v>0</v>
      </c>
      <c r="Y416" s="34">
        <f>'Dados - Cliente'!W416</f>
        <v>0</v>
      </c>
      <c r="Z416" s="34">
        <f>'Dados - Cliente'!X416</f>
        <v>0</v>
      </c>
      <c r="AA416" s="33" t="e">
        <f t="shared" si="27"/>
        <v>#N/A</v>
      </c>
      <c r="AB416" s="33">
        <f>'Dados - Cliente'!Y416</f>
        <v>0</v>
      </c>
      <c r="AC416" s="33">
        <f>'Dados - Cliente'!Z416</f>
        <v>0</v>
      </c>
      <c r="AD416" s="33">
        <f>'Dados - Cliente'!AA416</f>
        <v>0</v>
      </c>
      <c r="AE416" s="33">
        <f>'Dados - Cliente'!AB416</f>
        <v>0</v>
      </c>
      <c r="AF416" s="33">
        <f>'Dados - Cliente'!AC416</f>
        <v>0</v>
      </c>
      <c r="AG416" s="35">
        <f>'Dados - Cliente'!AD416</f>
        <v>0</v>
      </c>
      <c r="AH416" s="33" t="e">
        <f>INDEX('Dados - Placas'!$A:$A,MATCH('1'!AG416,'Dados - Placas'!$D:$D,0))</f>
        <v>#N/A</v>
      </c>
      <c r="AI416" s="35" t="e">
        <f>INDEX('Dados - Placas'!$E:$E,MATCH('1'!AG416,'Dados - Placas'!$D:$D,0))</f>
        <v>#N/A</v>
      </c>
      <c r="AJ416" s="34" t="e">
        <f>INDEX('Dados - Placas'!$F:$F,MATCH('1'!AG416,'Dados - Placas'!$D:$D,0))*AF416</f>
        <v>#N/A</v>
      </c>
      <c r="AK416" s="33">
        <f>'Dados - Cliente'!AE416</f>
        <v>0</v>
      </c>
      <c r="AL416" s="33">
        <f>'Dados - Cliente'!AF416</f>
        <v>0</v>
      </c>
      <c r="AM416" s="36" t="e">
        <f>INDEX('Dados - Inversores'!$A:$A,MATCH('1'!AL416,'Dados - Inversores'!$C:$C,0))</f>
        <v>#N/A</v>
      </c>
      <c r="AN416" s="33">
        <f>'Dados - Cliente'!AG416</f>
        <v>0</v>
      </c>
      <c r="AO416" s="33" t="e">
        <f>AA416*1.25/(0.22*SQRT(INDEX('Dados - Inversores'!AK:AK,MATCH('1'!AL416,'Dados - Inversores'!C:C,0))))</f>
        <v>#N/A</v>
      </c>
      <c r="AP416" s="34">
        <f>INDEX(Dados!$E$2:$E$33,COUNTIF(Dados!$E$2:$E$33,"&lt;="&amp;AN416*1.25/(INDEX('Dados - Inversores'!AL:AL,MATCH('1'!AL416,'Dados - Inversores'!C:C,0))*SQRT(INDEX('Dados - Inversores'!AK:AK,MATCH('1'!AL416,'Dados - Inversores'!C:C,0)))))+1)</f>
        <v>2</v>
      </c>
      <c r="AQ416" s="33" t="s">
        <v>59</v>
      </c>
      <c r="AR416" s="33" t="str">
        <f t="shared" si="28"/>
        <v>Micro</v>
      </c>
      <c r="AS416" s="33">
        <f>'Dados - Cliente'!AH416</f>
        <v>0</v>
      </c>
      <c r="AT416" s="33">
        <f>'Dados - Cliente'!AI416</f>
        <v>0</v>
      </c>
      <c r="AU416" s="33" t="e">
        <f>INDEX('Dados - Placas'!$N:$N,MATCH('1'!AG416,'Dados - Placas'!$D:$D,0))-1</f>
        <v>#N/A</v>
      </c>
      <c r="AV416" s="33" t="e">
        <f>INDEX('Dados - Placas'!$O:$O,MATCH('1'!AG416,'Dados - Placas'!$D:$D,0))</f>
        <v>#N/A</v>
      </c>
      <c r="AW416" s="33" t="e">
        <f>INDEX('Dados - Inversores'!AM:AM,MATCH('1'!AL416,'Dados - Inversores'!$C:$C,0))-1</f>
        <v>#N/A</v>
      </c>
      <c r="AX416" s="33" t="e">
        <f>INDEX('Dados - Inversores'!AN:AN,MATCH('1'!AL416,'Dados - Inversores'!$C:$C,0))-1</f>
        <v>#N/A</v>
      </c>
      <c r="AY416" s="33" t="e">
        <f>MATCH('1'!H416,Dados!$D$89:$D$167,0)+1</f>
        <v>#N/A</v>
      </c>
      <c r="AZ416" s="33" t="e">
        <f>MATCH('1'!N416,'Dados - Solicitação de acesso'!$N$2:$N$8,0)</f>
        <v>#N/A</v>
      </c>
      <c r="BA416" s="33" t="e">
        <f>MATCH('1'!T416,'Dados - Solicitação de acesso'!$T$2:$T$20,0)</f>
        <v>#N/A</v>
      </c>
    </row>
    <row r="417" spans="1:53" x14ac:dyDescent="0.35">
      <c r="A417" s="33">
        <f>'Dados - Cliente'!A417</f>
        <v>0</v>
      </c>
      <c r="B417" s="33">
        <f>'Dados - Cliente'!B417</f>
        <v>0</v>
      </c>
      <c r="C417" s="33">
        <f>'Dados - Cliente'!C417</f>
        <v>0</v>
      </c>
      <c r="D417" s="33">
        <f>'Dados - Cliente'!D417</f>
        <v>0</v>
      </c>
      <c r="E417" s="33">
        <f>'Dados - Cliente'!E417</f>
        <v>0</v>
      </c>
      <c r="F417" s="33">
        <f>'Dados - Cliente'!F417</f>
        <v>0</v>
      </c>
      <c r="G417" s="33">
        <f>'Dados - Cliente'!G417</f>
        <v>0</v>
      </c>
      <c r="H417" s="33">
        <f>'Dados - Cliente'!H417</f>
        <v>0</v>
      </c>
      <c r="I417" s="75" t="s">
        <v>4313</v>
      </c>
      <c r="J417" s="52" t="s">
        <v>4314</v>
      </c>
      <c r="K417" s="52" t="s">
        <v>4314</v>
      </c>
      <c r="L417" s="33">
        <f>'Dados - Cliente'!I417</f>
        <v>0</v>
      </c>
      <c r="M417" s="33">
        <f>'Dados - Cliente'!K417</f>
        <v>0</v>
      </c>
      <c r="N417" s="33">
        <f>'Dados - Cliente'!L417</f>
        <v>0</v>
      </c>
      <c r="O417" s="33">
        <f>'Dados - Cliente'!M417</f>
        <v>0</v>
      </c>
      <c r="P417" s="33">
        <f>'Dados - Cliente'!N417</f>
        <v>0</v>
      </c>
      <c r="Q417" s="33">
        <f>'Dados - Cliente'!O417</f>
        <v>0</v>
      </c>
      <c r="R417" s="33">
        <f>'Dados - Cliente'!P417</f>
        <v>0</v>
      </c>
      <c r="S417" s="33">
        <f>'Dados - Cliente'!Q417</f>
        <v>0</v>
      </c>
      <c r="T417" s="33">
        <f>'Dados - Cliente'!R417</f>
        <v>0</v>
      </c>
      <c r="U417" s="34">
        <f>'Dados - Cliente'!S417</f>
        <v>0</v>
      </c>
      <c r="V417" s="34">
        <f>'Dados - Cliente'!T417</f>
        <v>0</v>
      </c>
      <c r="W417" s="34">
        <f>'Dados - Cliente'!U417</f>
        <v>0</v>
      </c>
      <c r="X417" s="34">
        <f>'Dados - Cliente'!V417</f>
        <v>0</v>
      </c>
      <c r="Y417" s="34">
        <f>'Dados - Cliente'!W417</f>
        <v>0</v>
      </c>
      <c r="Z417" s="34">
        <f>'Dados - Cliente'!X417</f>
        <v>0</v>
      </c>
      <c r="AA417" s="33" t="e">
        <f t="shared" si="27"/>
        <v>#N/A</v>
      </c>
      <c r="AB417" s="33">
        <f>'Dados - Cliente'!Y417</f>
        <v>0</v>
      </c>
      <c r="AC417" s="33">
        <f>'Dados - Cliente'!Z417</f>
        <v>0</v>
      </c>
      <c r="AD417" s="33">
        <f>'Dados - Cliente'!AA417</f>
        <v>0</v>
      </c>
      <c r="AE417" s="33">
        <f>'Dados - Cliente'!AB417</f>
        <v>0</v>
      </c>
      <c r="AF417" s="33">
        <f>'Dados - Cliente'!AC417</f>
        <v>0</v>
      </c>
      <c r="AG417" s="35">
        <f>'Dados - Cliente'!AD417</f>
        <v>0</v>
      </c>
      <c r="AH417" s="33" t="e">
        <f>INDEX('Dados - Placas'!$A:$A,MATCH('1'!AG417,'Dados - Placas'!$D:$D,0))</f>
        <v>#N/A</v>
      </c>
      <c r="AI417" s="35" t="e">
        <f>INDEX('Dados - Placas'!$E:$E,MATCH('1'!AG417,'Dados - Placas'!$D:$D,0))</f>
        <v>#N/A</v>
      </c>
      <c r="AJ417" s="34" t="e">
        <f>INDEX('Dados - Placas'!$F:$F,MATCH('1'!AG417,'Dados - Placas'!$D:$D,0))*AF417</f>
        <v>#N/A</v>
      </c>
      <c r="AK417" s="33">
        <f>'Dados - Cliente'!AE417</f>
        <v>0</v>
      </c>
      <c r="AL417" s="33">
        <f>'Dados - Cliente'!AF417</f>
        <v>0</v>
      </c>
      <c r="AM417" s="36" t="e">
        <f>INDEX('Dados - Inversores'!$A:$A,MATCH('1'!AL417,'Dados - Inversores'!$C:$C,0))</f>
        <v>#N/A</v>
      </c>
      <c r="AN417" s="33">
        <f>'Dados - Cliente'!AG417</f>
        <v>0</v>
      </c>
      <c r="AO417" s="33" t="e">
        <f>AA417*1.25/(0.22*SQRT(INDEX('Dados - Inversores'!AK:AK,MATCH('1'!AL417,'Dados - Inversores'!C:C,0))))</f>
        <v>#N/A</v>
      </c>
      <c r="AP417" s="34">
        <f>INDEX(Dados!$E$2:$E$33,COUNTIF(Dados!$E$2:$E$33,"&lt;="&amp;AN417*1.25/(INDEX('Dados - Inversores'!AL:AL,MATCH('1'!AL417,'Dados - Inversores'!C:C,0))*SQRT(INDEX('Dados - Inversores'!AK:AK,MATCH('1'!AL417,'Dados - Inversores'!C:C,0)))))+1)</f>
        <v>2</v>
      </c>
      <c r="AQ417" s="33" t="s">
        <v>59</v>
      </c>
      <c r="AR417" s="33" t="str">
        <f t="shared" si="28"/>
        <v>Micro</v>
      </c>
      <c r="AS417" s="33">
        <f>'Dados - Cliente'!AH417</f>
        <v>0</v>
      </c>
      <c r="AT417" s="33">
        <f>'Dados - Cliente'!AI417</f>
        <v>0</v>
      </c>
      <c r="AU417" s="33" t="e">
        <f>INDEX('Dados - Placas'!$N:$N,MATCH('1'!AG417,'Dados - Placas'!$D:$D,0))-1</f>
        <v>#N/A</v>
      </c>
      <c r="AV417" s="33" t="e">
        <f>INDEX('Dados - Placas'!$O:$O,MATCH('1'!AG417,'Dados - Placas'!$D:$D,0))</f>
        <v>#N/A</v>
      </c>
      <c r="AW417" s="33" t="e">
        <f>INDEX('Dados - Inversores'!AM:AM,MATCH('1'!AL417,'Dados - Inversores'!$C:$C,0))-1</f>
        <v>#N/A</v>
      </c>
      <c r="AX417" s="33" t="e">
        <f>INDEX('Dados - Inversores'!AN:AN,MATCH('1'!AL417,'Dados - Inversores'!$C:$C,0))-1</f>
        <v>#N/A</v>
      </c>
      <c r="AY417" s="33" t="e">
        <f>MATCH('1'!H417,Dados!$D$89:$D$167,0)+1</f>
        <v>#N/A</v>
      </c>
      <c r="AZ417" s="33" t="e">
        <f>MATCH('1'!N417,'Dados - Solicitação de acesso'!$N$2:$N$8,0)</f>
        <v>#N/A</v>
      </c>
      <c r="BA417" s="33" t="e">
        <f>MATCH('1'!T417,'Dados - Solicitação de acesso'!$T$2:$T$20,0)</f>
        <v>#N/A</v>
      </c>
    </row>
    <row r="418" spans="1:53" x14ac:dyDescent="0.35">
      <c r="A418" s="33">
        <f>'Dados - Cliente'!A418</f>
        <v>0</v>
      </c>
      <c r="B418" s="33">
        <f>'Dados - Cliente'!B418</f>
        <v>0</v>
      </c>
      <c r="C418" s="33">
        <f>'Dados - Cliente'!C418</f>
        <v>0</v>
      </c>
      <c r="D418" s="33">
        <f>'Dados - Cliente'!D418</f>
        <v>0</v>
      </c>
      <c r="E418" s="33">
        <f>'Dados - Cliente'!E418</f>
        <v>0</v>
      </c>
      <c r="F418" s="33">
        <f>'Dados - Cliente'!F418</f>
        <v>0</v>
      </c>
      <c r="G418" s="33">
        <f>'Dados - Cliente'!G418</f>
        <v>0</v>
      </c>
      <c r="H418" s="33">
        <f>'Dados - Cliente'!H418</f>
        <v>0</v>
      </c>
      <c r="I418" s="75" t="s">
        <v>4313</v>
      </c>
      <c r="J418" s="52" t="s">
        <v>4314</v>
      </c>
      <c r="K418" s="52" t="s">
        <v>4314</v>
      </c>
      <c r="L418" s="33">
        <f>'Dados - Cliente'!I418</f>
        <v>0</v>
      </c>
      <c r="M418" s="33">
        <f>'Dados - Cliente'!K418</f>
        <v>0</v>
      </c>
      <c r="N418" s="33">
        <f>'Dados - Cliente'!L418</f>
        <v>0</v>
      </c>
      <c r="O418" s="33">
        <f>'Dados - Cliente'!M418</f>
        <v>0</v>
      </c>
      <c r="P418" s="33">
        <f>'Dados - Cliente'!N418</f>
        <v>0</v>
      </c>
      <c r="Q418" s="33">
        <f>'Dados - Cliente'!O418</f>
        <v>0</v>
      </c>
      <c r="R418" s="33">
        <f>'Dados - Cliente'!P418</f>
        <v>0</v>
      </c>
      <c r="S418" s="33">
        <f>'Dados - Cliente'!Q418</f>
        <v>0</v>
      </c>
      <c r="T418" s="33">
        <f>'Dados - Cliente'!R418</f>
        <v>0</v>
      </c>
      <c r="U418" s="34">
        <f>'Dados - Cliente'!S418</f>
        <v>0</v>
      </c>
      <c r="V418" s="34">
        <f>'Dados - Cliente'!T418</f>
        <v>0</v>
      </c>
      <c r="W418" s="34">
        <f>'Dados - Cliente'!U418</f>
        <v>0</v>
      </c>
      <c r="X418" s="34">
        <f>'Dados - Cliente'!V418</f>
        <v>0</v>
      </c>
      <c r="Y418" s="34">
        <f>'Dados - Cliente'!W418</f>
        <v>0</v>
      </c>
      <c r="Z418" s="34">
        <f>'Dados - Cliente'!X418</f>
        <v>0</v>
      </c>
      <c r="AA418" s="33" t="e">
        <f t="shared" si="27"/>
        <v>#N/A</v>
      </c>
      <c r="AB418" s="33">
        <f>'Dados - Cliente'!Y418</f>
        <v>0</v>
      </c>
      <c r="AC418" s="33">
        <f>'Dados - Cliente'!Z418</f>
        <v>0</v>
      </c>
      <c r="AD418" s="33">
        <f>'Dados - Cliente'!AA418</f>
        <v>0</v>
      </c>
      <c r="AE418" s="33">
        <f>'Dados - Cliente'!AB418</f>
        <v>0</v>
      </c>
      <c r="AF418" s="33">
        <f>'Dados - Cliente'!AC418</f>
        <v>0</v>
      </c>
      <c r="AG418" s="35">
        <f>'Dados - Cliente'!AD418</f>
        <v>0</v>
      </c>
      <c r="AH418" s="33" t="e">
        <f>INDEX('Dados - Placas'!$A:$A,MATCH('1'!AG418,'Dados - Placas'!$D:$D,0))</f>
        <v>#N/A</v>
      </c>
      <c r="AI418" s="35" t="e">
        <f>INDEX('Dados - Placas'!$E:$E,MATCH('1'!AG418,'Dados - Placas'!$D:$D,0))</f>
        <v>#N/A</v>
      </c>
      <c r="AJ418" s="34" t="e">
        <f>INDEX('Dados - Placas'!$F:$F,MATCH('1'!AG418,'Dados - Placas'!$D:$D,0))*AF418</f>
        <v>#N/A</v>
      </c>
      <c r="AK418" s="33">
        <f>'Dados - Cliente'!AE418</f>
        <v>0</v>
      </c>
      <c r="AL418" s="33">
        <f>'Dados - Cliente'!AF418</f>
        <v>0</v>
      </c>
      <c r="AM418" s="36" t="e">
        <f>INDEX('Dados - Inversores'!$A:$A,MATCH('1'!AL418,'Dados - Inversores'!$C:$C,0))</f>
        <v>#N/A</v>
      </c>
      <c r="AN418" s="33">
        <f>'Dados - Cliente'!AG418</f>
        <v>0</v>
      </c>
      <c r="AO418" s="33" t="e">
        <f>AA418*1.25/(0.22*SQRT(INDEX('Dados - Inversores'!AK:AK,MATCH('1'!AL418,'Dados - Inversores'!C:C,0))))</f>
        <v>#N/A</v>
      </c>
      <c r="AP418" s="34">
        <f>INDEX(Dados!$E$2:$E$33,COUNTIF(Dados!$E$2:$E$33,"&lt;="&amp;AN418*1.25/(INDEX('Dados - Inversores'!AL:AL,MATCH('1'!AL418,'Dados - Inversores'!C:C,0))*SQRT(INDEX('Dados - Inversores'!AK:AK,MATCH('1'!AL418,'Dados - Inversores'!C:C,0)))))+1)</f>
        <v>2</v>
      </c>
      <c r="AQ418" s="33" t="s">
        <v>59</v>
      </c>
      <c r="AR418" s="33" t="str">
        <f t="shared" si="28"/>
        <v>Micro</v>
      </c>
      <c r="AS418" s="33">
        <f>'Dados - Cliente'!AH418</f>
        <v>0</v>
      </c>
      <c r="AT418" s="33">
        <f>'Dados - Cliente'!AI418</f>
        <v>0</v>
      </c>
      <c r="AU418" s="33" t="e">
        <f>INDEX('Dados - Placas'!$N:$N,MATCH('1'!AG418,'Dados - Placas'!$D:$D,0))-1</f>
        <v>#N/A</v>
      </c>
      <c r="AV418" s="33" t="e">
        <f>INDEX('Dados - Placas'!$O:$O,MATCH('1'!AG418,'Dados - Placas'!$D:$D,0))</f>
        <v>#N/A</v>
      </c>
      <c r="AW418" s="33" t="e">
        <f>INDEX('Dados - Inversores'!AM:AM,MATCH('1'!AL418,'Dados - Inversores'!$C:$C,0))-1</f>
        <v>#N/A</v>
      </c>
      <c r="AX418" s="33" t="e">
        <f>INDEX('Dados - Inversores'!AN:AN,MATCH('1'!AL418,'Dados - Inversores'!$C:$C,0))-1</f>
        <v>#N/A</v>
      </c>
      <c r="AY418" s="33" t="e">
        <f>MATCH('1'!H418,Dados!$D$89:$D$167,0)+1</f>
        <v>#N/A</v>
      </c>
      <c r="AZ418" s="33" t="e">
        <f>MATCH('1'!N418,'Dados - Solicitação de acesso'!$N$2:$N$8,0)</f>
        <v>#N/A</v>
      </c>
      <c r="BA418" s="33" t="e">
        <f>MATCH('1'!T418,'Dados - Solicitação de acesso'!$T$2:$T$20,0)</f>
        <v>#N/A</v>
      </c>
    </row>
    <row r="419" spans="1:53" x14ac:dyDescent="0.35">
      <c r="A419" s="33">
        <f>'Dados - Cliente'!A419</f>
        <v>0</v>
      </c>
      <c r="B419" s="33">
        <f>'Dados - Cliente'!B419</f>
        <v>0</v>
      </c>
      <c r="C419" s="33">
        <f>'Dados - Cliente'!C419</f>
        <v>0</v>
      </c>
      <c r="D419" s="33">
        <f>'Dados - Cliente'!D419</f>
        <v>0</v>
      </c>
      <c r="E419" s="33">
        <f>'Dados - Cliente'!E419</f>
        <v>0</v>
      </c>
      <c r="F419" s="33">
        <f>'Dados - Cliente'!F419</f>
        <v>0</v>
      </c>
      <c r="G419" s="33">
        <f>'Dados - Cliente'!G419</f>
        <v>0</v>
      </c>
      <c r="H419" s="33">
        <f>'Dados - Cliente'!H419</f>
        <v>0</v>
      </c>
      <c r="I419" s="75" t="s">
        <v>4313</v>
      </c>
      <c r="J419" s="52" t="s">
        <v>4314</v>
      </c>
      <c r="K419" s="52" t="s">
        <v>4314</v>
      </c>
      <c r="L419" s="33">
        <f>'Dados - Cliente'!I419</f>
        <v>0</v>
      </c>
      <c r="M419" s="33">
        <f>'Dados - Cliente'!K419</f>
        <v>0</v>
      </c>
      <c r="N419" s="33">
        <f>'Dados - Cliente'!L419</f>
        <v>0</v>
      </c>
      <c r="O419" s="33">
        <f>'Dados - Cliente'!M419</f>
        <v>0</v>
      </c>
      <c r="P419" s="33">
        <f>'Dados - Cliente'!N419</f>
        <v>0</v>
      </c>
      <c r="Q419" s="33">
        <f>'Dados - Cliente'!O419</f>
        <v>0</v>
      </c>
      <c r="R419" s="33">
        <f>'Dados - Cliente'!P419</f>
        <v>0</v>
      </c>
      <c r="S419" s="33">
        <f>'Dados - Cliente'!Q419</f>
        <v>0</v>
      </c>
      <c r="T419" s="33">
        <f>'Dados - Cliente'!R419</f>
        <v>0</v>
      </c>
      <c r="U419" s="34">
        <f>'Dados - Cliente'!S419</f>
        <v>0</v>
      </c>
      <c r="V419" s="34">
        <f>'Dados - Cliente'!T419</f>
        <v>0</v>
      </c>
      <c r="W419" s="34">
        <f>'Dados - Cliente'!U419</f>
        <v>0</v>
      </c>
      <c r="X419" s="34">
        <f>'Dados - Cliente'!V419</f>
        <v>0</v>
      </c>
      <c r="Y419" s="34">
        <f>'Dados - Cliente'!W419</f>
        <v>0</v>
      </c>
      <c r="Z419" s="34">
        <f>'Dados - Cliente'!X419</f>
        <v>0</v>
      </c>
      <c r="AA419" s="33" t="e">
        <f t="shared" si="27"/>
        <v>#N/A</v>
      </c>
      <c r="AB419" s="33">
        <f>'Dados - Cliente'!Y419</f>
        <v>0</v>
      </c>
      <c r="AC419" s="33">
        <f>'Dados - Cliente'!Z419</f>
        <v>0</v>
      </c>
      <c r="AD419" s="33">
        <f>'Dados - Cliente'!AA419</f>
        <v>0</v>
      </c>
      <c r="AE419" s="33">
        <f>'Dados - Cliente'!AB419</f>
        <v>0</v>
      </c>
      <c r="AF419" s="33">
        <f>'Dados - Cliente'!AC419</f>
        <v>0</v>
      </c>
      <c r="AG419" s="35">
        <f>'Dados - Cliente'!AD419</f>
        <v>0</v>
      </c>
      <c r="AH419" s="33" t="e">
        <f>INDEX('Dados - Placas'!$A:$A,MATCH('1'!AG419,'Dados - Placas'!$D:$D,0))</f>
        <v>#N/A</v>
      </c>
      <c r="AI419" s="35" t="e">
        <f>INDEX('Dados - Placas'!$E:$E,MATCH('1'!AG419,'Dados - Placas'!$D:$D,0))</f>
        <v>#N/A</v>
      </c>
      <c r="AJ419" s="34" t="e">
        <f>INDEX('Dados - Placas'!$F:$F,MATCH('1'!AG419,'Dados - Placas'!$D:$D,0))*AF419</f>
        <v>#N/A</v>
      </c>
      <c r="AK419" s="33">
        <f>'Dados - Cliente'!AE419</f>
        <v>0</v>
      </c>
      <c r="AL419" s="33">
        <f>'Dados - Cliente'!AF419</f>
        <v>0</v>
      </c>
      <c r="AM419" s="36" t="e">
        <f>INDEX('Dados - Inversores'!$A:$A,MATCH('1'!AL419,'Dados - Inversores'!$C:$C,0))</f>
        <v>#N/A</v>
      </c>
      <c r="AN419" s="33">
        <f>'Dados - Cliente'!AG419</f>
        <v>0</v>
      </c>
      <c r="AO419" s="33" t="e">
        <f>AA419*1.25/(0.22*SQRT(INDEX('Dados - Inversores'!AK:AK,MATCH('1'!AL419,'Dados - Inversores'!C:C,0))))</f>
        <v>#N/A</v>
      </c>
      <c r="AP419" s="34">
        <f>INDEX(Dados!$E$2:$E$33,COUNTIF(Dados!$E$2:$E$33,"&lt;="&amp;AN419*1.25/(INDEX('Dados - Inversores'!AL:AL,MATCH('1'!AL419,'Dados - Inversores'!C:C,0))*SQRT(INDEX('Dados - Inversores'!AK:AK,MATCH('1'!AL419,'Dados - Inversores'!C:C,0)))))+1)</f>
        <v>2</v>
      </c>
      <c r="AQ419" s="33" t="s">
        <v>59</v>
      </c>
      <c r="AR419" s="33" t="str">
        <f t="shared" si="28"/>
        <v>Micro</v>
      </c>
      <c r="AS419" s="33">
        <f>'Dados - Cliente'!AH419</f>
        <v>0</v>
      </c>
      <c r="AT419" s="33">
        <f>'Dados - Cliente'!AI419</f>
        <v>0</v>
      </c>
      <c r="AU419" s="33" t="e">
        <f>INDEX('Dados - Placas'!$N:$N,MATCH('1'!AG419,'Dados - Placas'!$D:$D,0))-1</f>
        <v>#N/A</v>
      </c>
      <c r="AV419" s="33" t="e">
        <f>INDEX('Dados - Placas'!$O:$O,MATCH('1'!AG419,'Dados - Placas'!$D:$D,0))</f>
        <v>#N/A</v>
      </c>
      <c r="AW419" s="33" t="e">
        <f>INDEX('Dados - Inversores'!AM:AM,MATCH('1'!AL419,'Dados - Inversores'!$C:$C,0))-1</f>
        <v>#N/A</v>
      </c>
      <c r="AX419" s="33" t="e">
        <f>INDEX('Dados - Inversores'!AN:AN,MATCH('1'!AL419,'Dados - Inversores'!$C:$C,0))-1</f>
        <v>#N/A</v>
      </c>
      <c r="AY419" s="33" t="e">
        <f>MATCH('1'!H419,Dados!$D$89:$D$167,0)+1</f>
        <v>#N/A</v>
      </c>
      <c r="AZ419" s="33" t="e">
        <f>MATCH('1'!N419,'Dados - Solicitação de acesso'!$N$2:$N$8,0)</f>
        <v>#N/A</v>
      </c>
      <c r="BA419" s="33" t="e">
        <f>MATCH('1'!T419,'Dados - Solicitação de acesso'!$T$2:$T$20,0)</f>
        <v>#N/A</v>
      </c>
    </row>
    <row r="420" spans="1:53" x14ac:dyDescent="0.35">
      <c r="A420" s="33">
        <f>'Dados - Cliente'!A420</f>
        <v>0</v>
      </c>
      <c r="B420" s="33">
        <f>'Dados - Cliente'!B420</f>
        <v>0</v>
      </c>
      <c r="C420" s="33">
        <f>'Dados - Cliente'!C420</f>
        <v>0</v>
      </c>
      <c r="D420" s="33">
        <f>'Dados - Cliente'!D420</f>
        <v>0</v>
      </c>
      <c r="E420" s="33">
        <f>'Dados - Cliente'!E420</f>
        <v>0</v>
      </c>
      <c r="F420" s="33">
        <f>'Dados - Cliente'!F420</f>
        <v>0</v>
      </c>
      <c r="G420" s="33">
        <f>'Dados - Cliente'!G420</f>
        <v>0</v>
      </c>
      <c r="H420" s="33">
        <f>'Dados - Cliente'!H420</f>
        <v>0</v>
      </c>
      <c r="I420" s="75" t="s">
        <v>4313</v>
      </c>
      <c r="J420" s="52" t="s">
        <v>4314</v>
      </c>
      <c r="K420" s="52" t="s">
        <v>4314</v>
      </c>
      <c r="L420" s="33">
        <f>'Dados - Cliente'!I420</f>
        <v>0</v>
      </c>
      <c r="M420" s="33">
        <f>'Dados - Cliente'!K420</f>
        <v>0</v>
      </c>
      <c r="N420" s="33">
        <f>'Dados - Cliente'!L420</f>
        <v>0</v>
      </c>
      <c r="O420" s="33">
        <f>'Dados - Cliente'!M420</f>
        <v>0</v>
      </c>
      <c r="P420" s="33">
        <f>'Dados - Cliente'!N420</f>
        <v>0</v>
      </c>
      <c r="Q420" s="33">
        <f>'Dados - Cliente'!O420</f>
        <v>0</v>
      </c>
      <c r="R420" s="33">
        <f>'Dados - Cliente'!P420</f>
        <v>0</v>
      </c>
      <c r="S420" s="33">
        <f>'Dados - Cliente'!Q420</f>
        <v>0</v>
      </c>
      <c r="T420" s="33">
        <f>'Dados - Cliente'!R420</f>
        <v>0</v>
      </c>
      <c r="U420" s="34">
        <f>'Dados - Cliente'!S420</f>
        <v>0</v>
      </c>
      <c r="V420" s="34">
        <f>'Dados - Cliente'!T420</f>
        <v>0</v>
      </c>
      <c r="W420" s="34">
        <f>'Dados - Cliente'!U420</f>
        <v>0</v>
      </c>
      <c r="X420" s="34">
        <f>'Dados - Cliente'!V420</f>
        <v>0</v>
      </c>
      <c r="Y420" s="34">
        <f>'Dados - Cliente'!W420</f>
        <v>0</v>
      </c>
      <c r="Z420" s="34">
        <f>'Dados - Cliente'!X420</f>
        <v>0</v>
      </c>
      <c r="AA420" s="33" t="e">
        <f t="shared" si="27"/>
        <v>#N/A</v>
      </c>
      <c r="AB420" s="33">
        <f>'Dados - Cliente'!Y420</f>
        <v>0</v>
      </c>
      <c r="AC420" s="33">
        <f>'Dados - Cliente'!Z420</f>
        <v>0</v>
      </c>
      <c r="AD420" s="33">
        <f>'Dados - Cliente'!AA420</f>
        <v>0</v>
      </c>
      <c r="AE420" s="33">
        <f>'Dados - Cliente'!AB420</f>
        <v>0</v>
      </c>
      <c r="AF420" s="33">
        <f>'Dados - Cliente'!AC420</f>
        <v>0</v>
      </c>
      <c r="AG420" s="35">
        <f>'Dados - Cliente'!AD420</f>
        <v>0</v>
      </c>
      <c r="AH420" s="33" t="e">
        <f>INDEX('Dados - Placas'!$A:$A,MATCH('1'!AG420,'Dados - Placas'!$D:$D,0))</f>
        <v>#N/A</v>
      </c>
      <c r="AI420" s="35" t="e">
        <f>INDEX('Dados - Placas'!$E:$E,MATCH('1'!AG420,'Dados - Placas'!$D:$D,0))</f>
        <v>#N/A</v>
      </c>
      <c r="AJ420" s="34" t="e">
        <f>INDEX('Dados - Placas'!$F:$F,MATCH('1'!AG420,'Dados - Placas'!$D:$D,0))*AF420</f>
        <v>#N/A</v>
      </c>
      <c r="AK420" s="33">
        <f>'Dados - Cliente'!AE420</f>
        <v>0</v>
      </c>
      <c r="AL420" s="33">
        <f>'Dados - Cliente'!AF420</f>
        <v>0</v>
      </c>
      <c r="AM420" s="36" t="e">
        <f>INDEX('Dados - Inversores'!$A:$A,MATCH('1'!AL420,'Dados - Inversores'!$C:$C,0))</f>
        <v>#N/A</v>
      </c>
      <c r="AN420" s="33">
        <f>'Dados - Cliente'!AG420</f>
        <v>0</v>
      </c>
      <c r="AO420" s="33" t="e">
        <f>AA420*1.25/(0.22*SQRT(INDEX('Dados - Inversores'!AK:AK,MATCH('1'!AL420,'Dados - Inversores'!C:C,0))))</f>
        <v>#N/A</v>
      </c>
      <c r="AP420" s="34">
        <f>INDEX(Dados!$E$2:$E$33,COUNTIF(Dados!$E$2:$E$33,"&lt;="&amp;AN420*1.25/(INDEX('Dados - Inversores'!AL:AL,MATCH('1'!AL420,'Dados - Inversores'!C:C,0))*SQRT(INDEX('Dados - Inversores'!AK:AK,MATCH('1'!AL420,'Dados - Inversores'!C:C,0)))))+1)</f>
        <v>2</v>
      </c>
      <c r="AQ420" s="33" t="s">
        <v>59</v>
      </c>
      <c r="AR420" s="33" t="str">
        <f t="shared" si="28"/>
        <v>Micro</v>
      </c>
      <c r="AS420" s="33">
        <f>'Dados - Cliente'!AH420</f>
        <v>0</v>
      </c>
      <c r="AT420" s="33">
        <f>'Dados - Cliente'!AI420</f>
        <v>0</v>
      </c>
      <c r="AU420" s="33" t="e">
        <f>INDEX('Dados - Placas'!$N:$N,MATCH('1'!AG420,'Dados - Placas'!$D:$D,0))-1</f>
        <v>#N/A</v>
      </c>
      <c r="AV420" s="33" t="e">
        <f>INDEX('Dados - Placas'!$O:$O,MATCH('1'!AG420,'Dados - Placas'!$D:$D,0))</f>
        <v>#N/A</v>
      </c>
      <c r="AW420" s="33" t="e">
        <f>INDEX('Dados - Inversores'!AM:AM,MATCH('1'!AL420,'Dados - Inversores'!$C:$C,0))-1</f>
        <v>#N/A</v>
      </c>
      <c r="AX420" s="33" t="e">
        <f>INDEX('Dados - Inversores'!AN:AN,MATCH('1'!AL420,'Dados - Inversores'!$C:$C,0))-1</f>
        <v>#N/A</v>
      </c>
      <c r="AY420" s="33" t="e">
        <f>MATCH('1'!H420,Dados!$D$89:$D$167,0)+1</f>
        <v>#N/A</v>
      </c>
      <c r="AZ420" s="33" t="e">
        <f>MATCH('1'!N420,'Dados - Solicitação de acesso'!$N$2:$N$8,0)</f>
        <v>#N/A</v>
      </c>
      <c r="BA420" s="33" t="e">
        <f>MATCH('1'!T420,'Dados - Solicitação de acesso'!$T$2:$T$20,0)</f>
        <v>#N/A</v>
      </c>
    </row>
    <row r="421" spans="1:53" x14ac:dyDescent="0.35">
      <c r="A421" s="33">
        <f>'Dados - Cliente'!A421</f>
        <v>0</v>
      </c>
      <c r="B421" s="33">
        <f>'Dados - Cliente'!B421</f>
        <v>0</v>
      </c>
      <c r="C421" s="33">
        <f>'Dados - Cliente'!C421</f>
        <v>0</v>
      </c>
      <c r="D421" s="33">
        <f>'Dados - Cliente'!D421</f>
        <v>0</v>
      </c>
      <c r="E421" s="33">
        <f>'Dados - Cliente'!E421</f>
        <v>0</v>
      </c>
      <c r="F421" s="33">
        <f>'Dados - Cliente'!F421</f>
        <v>0</v>
      </c>
      <c r="G421" s="33">
        <f>'Dados - Cliente'!G421</f>
        <v>0</v>
      </c>
      <c r="H421" s="33">
        <f>'Dados - Cliente'!H421</f>
        <v>0</v>
      </c>
      <c r="I421" s="75" t="s">
        <v>4313</v>
      </c>
      <c r="J421" s="52" t="s">
        <v>4314</v>
      </c>
      <c r="K421" s="52" t="s">
        <v>4314</v>
      </c>
      <c r="L421" s="33">
        <f>'Dados - Cliente'!I421</f>
        <v>0</v>
      </c>
      <c r="M421" s="33">
        <f>'Dados - Cliente'!K421</f>
        <v>0</v>
      </c>
      <c r="N421" s="33">
        <f>'Dados - Cliente'!L421</f>
        <v>0</v>
      </c>
      <c r="O421" s="33">
        <f>'Dados - Cliente'!M421</f>
        <v>0</v>
      </c>
      <c r="P421" s="33">
        <f>'Dados - Cliente'!N421</f>
        <v>0</v>
      </c>
      <c r="Q421" s="33">
        <f>'Dados - Cliente'!O421</f>
        <v>0</v>
      </c>
      <c r="R421" s="33">
        <f>'Dados - Cliente'!P421</f>
        <v>0</v>
      </c>
      <c r="S421" s="33">
        <f>'Dados - Cliente'!Q421</f>
        <v>0</v>
      </c>
      <c r="T421" s="33">
        <f>'Dados - Cliente'!R421</f>
        <v>0</v>
      </c>
      <c r="U421" s="34">
        <f>'Dados - Cliente'!S421</f>
        <v>0</v>
      </c>
      <c r="V421" s="34">
        <f>'Dados - Cliente'!T421</f>
        <v>0</v>
      </c>
      <c r="W421" s="34">
        <f>'Dados - Cliente'!U421</f>
        <v>0</v>
      </c>
      <c r="X421" s="34">
        <f>'Dados - Cliente'!V421</f>
        <v>0</v>
      </c>
      <c r="Y421" s="34">
        <f>'Dados - Cliente'!W421</f>
        <v>0</v>
      </c>
      <c r="Z421" s="34">
        <f>'Dados - Cliente'!X421</f>
        <v>0</v>
      </c>
      <c r="AA421" s="33" t="e">
        <f t="shared" si="27"/>
        <v>#N/A</v>
      </c>
      <c r="AB421" s="33">
        <f>'Dados - Cliente'!Y421</f>
        <v>0</v>
      </c>
      <c r="AC421" s="33">
        <f>'Dados - Cliente'!Z421</f>
        <v>0</v>
      </c>
      <c r="AD421" s="33">
        <f>'Dados - Cliente'!AA421</f>
        <v>0</v>
      </c>
      <c r="AE421" s="33">
        <f>'Dados - Cliente'!AB421</f>
        <v>0</v>
      </c>
      <c r="AF421" s="33">
        <f>'Dados - Cliente'!AC421</f>
        <v>0</v>
      </c>
      <c r="AG421" s="35">
        <f>'Dados - Cliente'!AD421</f>
        <v>0</v>
      </c>
      <c r="AH421" s="33" t="e">
        <f>INDEX('Dados - Placas'!$A:$A,MATCH('1'!AG421,'Dados - Placas'!$D:$D,0))</f>
        <v>#N/A</v>
      </c>
      <c r="AI421" s="35" t="e">
        <f>INDEX('Dados - Placas'!$E:$E,MATCH('1'!AG421,'Dados - Placas'!$D:$D,0))</f>
        <v>#N/A</v>
      </c>
      <c r="AJ421" s="34" t="e">
        <f>INDEX('Dados - Placas'!$F:$F,MATCH('1'!AG421,'Dados - Placas'!$D:$D,0))*AF421</f>
        <v>#N/A</v>
      </c>
      <c r="AK421" s="33">
        <f>'Dados - Cliente'!AE421</f>
        <v>0</v>
      </c>
      <c r="AL421" s="33">
        <f>'Dados - Cliente'!AF421</f>
        <v>0</v>
      </c>
      <c r="AM421" s="36" t="e">
        <f>INDEX('Dados - Inversores'!$A:$A,MATCH('1'!AL421,'Dados - Inversores'!$C:$C,0))</f>
        <v>#N/A</v>
      </c>
      <c r="AN421" s="33">
        <f>'Dados - Cliente'!AG421</f>
        <v>0</v>
      </c>
      <c r="AO421" s="33" t="e">
        <f>AA421*1.25/(0.22*SQRT(INDEX('Dados - Inversores'!AK:AK,MATCH('1'!AL421,'Dados - Inversores'!C:C,0))))</f>
        <v>#N/A</v>
      </c>
      <c r="AP421" s="34">
        <f>INDEX(Dados!$E$2:$E$33,COUNTIF(Dados!$E$2:$E$33,"&lt;="&amp;AN421*1.25/(INDEX('Dados - Inversores'!AL:AL,MATCH('1'!AL421,'Dados - Inversores'!C:C,0))*SQRT(INDEX('Dados - Inversores'!AK:AK,MATCH('1'!AL421,'Dados - Inversores'!C:C,0)))))+1)</f>
        <v>2</v>
      </c>
      <c r="AQ421" s="33" t="s">
        <v>59</v>
      </c>
      <c r="AR421" s="33" t="str">
        <f t="shared" si="28"/>
        <v>Micro</v>
      </c>
      <c r="AS421" s="33">
        <f>'Dados - Cliente'!AH421</f>
        <v>0</v>
      </c>
      <c r="AT421" s="33">
        <f>'Dados - Cliente'!AI421</f>
        <v>0</v>
      </c>
      <c r="AU421" s="33" t="e">
        <f>INDEX('Dados - Placas'!$N:$N,MATCH('1'!AG421,'Dados - Placas'!$D:$D,0))-1</f>
        <v>#N/A</v>
      </c>
      <c r="AV421" s="33" t="e">
        <f>INDEX('Dados - Placas'!$O:$O,MATCH('1'!AG421,'Dados - Placas'!$D:$D,0))</f>
        <v>#N/A</v>
      </c>
      <c r="AW421" s="33" t="e">
        <f>INDEX('Dados - Inversores'!AM:AM,MATCH('1'!AL421,'Dados - Inversores'!$C:$C,0))-1</f>
        <v>#N/A</v>
      </c>
      <c r="AX421" s="33" t="e">
        <f>INDEX('Dados - Inversores'!AN:AN,MATCH('1'!AL421,'Dados - Inversores'!$C:$C,0))-1</f>
        <v>#N/A</v>
      </c>
      <c r="AY421" s="33" t="e">
        <f>MATCH('1'!H421,Dados!$D$89:$D$167,0)+1</f>
        <v>#N/A</v>
      </c>
      <c r="AZ421" s="33" t="e">
        <f>MATCH('1'!N421,'Dados - Solicitação de acesso'!$N$2:$N$8,0)</f>
        <v>#N/A</v>
      </c>
      <c r="BA421" s="33" t="e">
        <f>MATCH('1'!T421,'Dados - Solicitação de acesso'!$T$2:$T$20,0)</f>
        <v>#N/A</v>
      </c>
    </row>
    <row r="422" spans="1:53" x14ac:dyDescent="0.35">
      <c r="A422" s="33">
        <f>'Dados - Cliente'!A422</f>
        <v>0</v>
      </c>
      <c r="B422" s="33">
        <f>'Dados - Cliente'!B422</f>
        <v>0</v>
      </c>
      <c r="C422" s="33">
        <f>'Dados - Cliente'!C422</f>
        <v>0</v>
      </c>
      <c r="D422" s="33">
        <f>'Dados - Cliente'!D422</f>
        <v>0</v>
      </c>
      <c r="E422" s="33">
        <f>'Dados - Cliente'!E422</f>
        <v>0</v>
      </c>
      <c r="F422" s="33">
        <f>'Dados - Cliente'!F422</f>
        <v>0</v>
      </c>
      <c r="G422" s="33">
        <f>'Dados - Cliente'!G422</f>
        <v>0</v>
      </c>
      <c r="H422" s="33">
        <f>'Dados - Cliente'!H422</f>
        <v>0</v>
      </c>
      <c r="I422" s="75" t="s">
        <v>4313</v>
      </c>
      <c r="J422" s="52" t="s">
        <v>4314</v>
      </c>
      <c r="K422" s="52" t="s">
        <v>4314</v>
      </c>
      <c r="L422" s="33">
        <f>'Dados - Cliente'!I422</f>
        <v>0</v>
      </c>
      <c r="M422" s="33">
        <f>'Dados - Cliente'!K422</f>
        <v>0</v>
      </c>
      <c r="N422" s="33">
        <f>'Dados - Cliente'!L422</f>
        <v>0</v>
      </c>
      <c r="O422" s="33">
        <f>'Dados - Cliente'!M422</f>
        <v>0</v>
      </c>
      <c r="P422" s="33">
        <f>'Dados - Cliente'!N422</f>
        <v>0</v>
      </c>
      <c r="Q422" s="33">
        <f>'Dados - Cliente'!O422</f>
        <v>0</v>
      </c>
      <c r="R422" s="33">
        <f>'Dados - Cliente'!P422</f>
        <v>0</v>
      </c>
      <c r="S422" s="33">
        <f>'Dados - Cliente'!Q422</f>
        <v>0</v>
      </c>
      <c r="T422" s="33">
        <f>'Dados - Cliente'!R422</f>
        <v>0</v>
      </c>
      <c r="U422" s="34">
        <f>'Dados - Cliente'!S422</f>
        <v>0</v>
      </c>
      <c r="V422" s="34">
        <f>'Dados - Cliente'!T422</f>
        <v>0</v>
      </c>
      <c r="W422" s="34">
        <f>'Dados - Cliente'!U422</f>
        <v>0</v>
      </c>
      <c r="X422" s="34">
        <f>'Dados - Cliente'!V422</f>
        <v>0</v>
      </c>
      <c r="Y422" s="34">
        <f>'Dados - Cliente'!W422</f>
        <v>0</v>
      </c>
      <c r="Z422" s="34">
        <f>'Dados - Cliente'!X422</f>
        <v>0</v>
      </c>
      <c r="AA422" s="33" t="e">
        <f t="shared" si="27"/>
        <v>#N/A</v>
      </c>
      <c r="AB422" s="33">
        <f>'Dados - Cliente'!Y422</f>
        <v>0</v>
      </c>
      <c r="AC422" s="33">
        <f>'Dados - Cliente'!Z422</f>
        <v>0</v>
      </c>
      <c r="AD422" s="33">
        <f>'Dados - Cliente'!AA422</f>
        <v>0</v>
      </c>
      <c r="AE422" s="33">
        <f>'Dados - Cliente'!AB422</f>
        <v>0</v>
      </c>
      <c r="AF422" s="33">
        <f>'Dados - Cliente'!AC422</f>
        <v>0</v>
      </c>
      <c r="AG422" s="35">
        <f>'Dados - Cliente'!AD422</f>
        <v>0</v>
      </c>
      <c r="AH422" s="33" t="e">
        <f>INDEX('Dados - Placas'!$A:$A,MATCH('1'!AG422,'Dados - Placas'!$D:$D,0))</f>
        <v>#N/A</v>
      </c>
      <c r="AI422" s="35" t="e">
        <f>INDEX('Dados - Placas'!$E:$E,MATCH('1'!AG422,'Dados - Placas'!$D:$D,0))</f>
        <v>#N/A</v>
      </c>
      <c r="AJ422" s="34" t="e">
        <f>INDEX('Dados - Placas'!$F:$F,MATCH('1'!AG422,'Dados - Placas'!$D:$D,0))*AF422</f>
        <v>#N/A</v>
      </c>
      <c r="AK422" s="33">
        <f>'Dados - Cliente'!AE422</f>
        <v>0</v>
      </c>
      <c r="AL422" s="33">
        <f>'Dados - Cliente'!AF422</f>
        <v>0</v>
      </c>
      <c r="AM422" s="36" t="e">
        <f>INDEX('Dados - Inversores'!$A:$A,MATCH('1'!AL422,'Dados - Inversores'!$C:$C,0))</f>
        <v>#N/A</v>
      </c>
      <c r="AN422" s="33">
        <f>'Dados - Cliente'!AG422</f>
        <v>0</v>
      </c>
      <c r="AO422" s="33" t="e">
        <f>AA422*1.25/(0.22*SQRT(INDEX('Dados - Inversores'!AK:AK,MATCH('1'!AL422,'Dados - Inversores'!C:C,0))))</f>
        <v>#N/A</v>
      </c>
      <c r="AP422" s="34">
        <f>INDEX(Dados!$E$2:$E$33,COUNTIF(Dados!$E$2:$E$33,"&lt;="&amp;AN422*1.25/(INDEX('Dados - Inversores'!AL:AL,MATCH('1'!AL422,'Dados - Inversores'!C:C,0))*SQRT(INDEX('Dados - Inversores'!AK:AK,MATCH('1'!AL422,'Dados - Inversores'!C:C,0)))))+1)</f>
        <v>2</v>
      </c>
      <c r="AQ422" s="33" t="s">
        <v>59</v>
      </c>
      <c r="AR422" s="33" t="str">
        <f t="shared" si="28"/>
        <v>Micro</v>
      </c>
      <c r="AS422" s="33">
        <f>'Dados - Cliente'!AH422</f>
        <v>0</v>
      </c>
      <c r="AT422" s="33">
        <f>'Dados - Cliente'!AI422</f>
        <v>0</v>
      </c>
      <c r="AU422" s="33" t="e">
        <f>INDEX('Dados - Placas'!$N:$N,MATCH('1'!AG422,'Dados - Placas'!$D:$D,0))-1</f>
        <v>#N/A</v>
      </c>
      <c r="AV422" s="33" t="e">
        <f>INDEX('Dados - Placas'!$O:$O,MATCH('1'!AG422,'Dados - Placas'!$D:$D,0))</f>
        <v>#N/A</v>
      </c>
      <c r="AW422" s="33" t="e">
        <f>INDEX('Dados - Inversores'!AM:AM,MATCH('1'!AL422,'Dados - Inversores'!$C:$C,0))-1</f>
        <v>#N/A</v>
      </c>
      <c r="AX422" s="33" t="e">
        <f>INDEX('Dados - Inversores'!AN:AN,MATCH('1'!AL422,'Dados - Inversores'!$C:$C,0))-1</f>
        <v>#N/A</v>
      </c>
      <c r="AY422" s="33" t="e">
        <f>MATCH('1'!H422,Dados!$D$89:$D$167,0)+1</f>
        <v>#N/A</v>
      </c>
      <c r="AZ422" s="33" t="e">
        <f>MATCH('1'!N422,'Dados - Solicitação de acesso'!$N$2:$N$8,0)</f>
        <v>#N/A</v>
      </c>
      <c r="BA422" s="33" t="e">
        <f>MATCH('1'!T422,'Dados - Solicitação de acesso'!$T$2:$T$20,0)</f>
        <v>#N/A</v>
      </c>
    </row>
    <row r="423" spans="1:53" x14ac:dyDescent="0.35">
      <c r="A423" s="33">
        <f>'Dados - Cliente'!A423</f>
        <v>0</v>
      </c>
      <c r="B423" s="33">
        <f>'Dados - Cliente'!B423</f>
        <v>0</v>
      </c>
      <c r="C423" s="33">
        <f>'Dados - Cliente'!C423</f>
        <v>0</v>
      </c>
      <c r="D423" s="33">
        <f>'Dados - Cliente'!D423</f>
        <v>0</v>
      </c>
      <c r="E423" s="33">
        <f>'Dados - Cliente'!E423</f>
        <v>0</v>
      </c>
      <c r="F423" s="33">
        <f>'Dados - Cliente'!F423</f>
        <v>0</v>
      </c>
      <c r="G423" s="33">
        <f>'Dados - Cliente'!G423</f>
        <v>0</v>
      </c>
      <c r="H423" s="33">
        <f>'Dados - Cliente'!H423</f>
        <v>0</v>
      </c>
      <c r="I423" s="75" t="s">
        <v>4313</v>
      </c>
      <c r="J423" s="52" t="s">
        <v>4314</v>
      </c>
      <c r="K423" s="52" t="s">
        <v>4314</v>
      </c>
      <c r="L423" s="33">
        <f>'Dados - Cliente'!I423</f>
        <v>0</v>
      </c>
      <c r="M423" s="33">
        <f>'Dados - Cliente'!K423</f>
        <v>0</v>
      </c>
      <c r="N423" s="33">
        <f>'Dados - Cliente'!L423</f>
        <v>0</v>
      </c>
      <c r="O423" s="33">
        <f>'Dados - Cliente'!M423</f>
        <v>0</v>
      </c>
      <c r="P423" s="33">
        <f>'Dados - Cliente'!N423</f>
        <v>0</v>
      </c>
      <c r="Q423" s="33">
        <f>'Dados - Cliente'!O423</f>
        <v>0</v>
      </c>
      <c r="R423" s="33">
        <f>'Dados - Cliente'!P423</f>
        <v>0</v>
      </c>
      <c r="S423" s="33">
        <f>'Dados - Cliente'!Q423</f>
        <v>0</v>
      </c>
      <c r="T423" s="33">
        <f>'Dados - Cliente'!R423</f>
        <v>0</v>
      </c>
      <c r="U423" s="34">
        <f>'Dados - Cliente'!S423</f>
        <v>0</v>
      </c>
      <c r="V423" s="34">
        <f>'Dados - Cliente'!T423</f>
        <v>0</v>
      </c>
      <c r="W423" s="34">
        <f>'Dados - Cliente'!U423</f>
        <v>0</v>
      </c>
      <c r="X423" s="34">
        <f>'Dados - Cliente'!V423</f>
        <v>0</v>
      </c>
      <c r="Y423" s="34">
        <f>'Dados - Cliente'!W423</f>
        <v>0</v>
      </c>
      <c r="Z423" s="34">
        <f>'Dados - Cliente'!X423</f>
        <v>0</v>
      </c>
      <c r="AA423" s="33" t="e">
        <f t="shared" si="27"/>
        <v>#N/A</v>
      </c>
      <c r="AB423" s="33">
        <f>'Dados - Cliente'!Y423</f>
        <v>0</v>
      </c>
      <c r="AC423" s="33">
        <f>'Dados - Cliente'!Z423</f>
        <v>0</v>
      </c>
      <c r="AD423" s="33">
        <f>'Dados - Cliente'!AA423</f>
        <v>0</v>
      </c>
      <c r="AE423" s="33">
        <f>'Dados - Cliente'!AB423</f>
        <v>0</v>
      </c>
      <c r="AF423" s="33">
        <f>'Dados - Cliente'!AC423</f>
        <v>0</v>
      </c>
      <c r="AG423" s="35">
        <f>'Dados - Cliente'!AD423</f>
        <v>0</v>
      </c>
      <c r="AH423" s="33" t="e">
        <f>INDEX('Dados - Placas'!$A:$A,MATCH('1'!AG423,'Dados - Placas'!$D:$D,0))</f>
        <v>#N/A</v>
      </c>
      <c r="AI423" s="35" t="e">
        <f>INDEX('Dados - Placas'!$E:$E,MATCH('1'!AG423,'Dados - Placas'!$D:$D,0))</f>
        <v>#N/A</v>
      </c>
      <c r="AJ423" s="34" t="e">
        <f>INDEX('Dados - Placas'!$F:$F,MATCH('1'!AG423,'Dados - Placas'!$D:$D,0))*AF423</f>
        <v>#N/A</v>
      </c>
      <c r="AK423" s="33">
        <f>'Dados - Cliente'!AE423</f>
        <v>0</v>
      </c>
      <c r="AL423" s="33">
        <f>'Dados - Cliente'!AF423</f>
        <v>0</v>
      </c>
      <c r="AM423" s="36" t="e">
        <f>INDEX('Dados - Inversores'!$A:$A,MATCH('1'!AL423,'Dados - Inversores'!$C:$C,0))</f>
        <v>#N/A</v>
      </c>
      <c r="AN423" s="33">
        <f>'Dados - Cliente'!AG423</f>
        <v>0</v>
      </c>
      <c r="AO423" s="33" t="e">
        <f>AA423*1.25/(0.22*SQRT(INDEX('Dados - Inversores'!AK:AK,MATCH('1'!AL423,'Dados - Inversores'!C:C,0))))</f>
        <v>#N/A</v>
      </c>
      <c r="AP423" s="34">
        <f>INDEX(Dados!$E$2:$E$33,COUNTIF(Dados!$E$2:$E$33,"&lt;="&amp;AN423*1.25/(INDEX('Dados - Inversores'!AL:AL,MATCH('1'!AL423,'Dados - Inversores'!C:C,0))*SQRT(INDEX('Dados - Inversores'!AK:AK,MATCH('1'!AL423,'Dados - Inversores'!C:C,0)))))+1)</f>
        <v>2</v>
      </c>
      <c r="AQ423" s="33" t="s">
        <v>59</v>
      </c>
      <c r="AR423" s="33" t="str">
        <f t="shared" si="28"/>
        <v>Micro</v>
      </c>
      <c r="AS423" s="33">
        <f>'Dados - Cliente'!AH423</f>
        <v>0</v>
      </c>
      <c r="AT423" s="33">
        <f>'Dados - Cliente'!AI423</f>
        <v>0</v>
      </c>
      <c r="AU423" s="33" t="e">
        <f>INDEX('Dados - Placas'!$N:$N,MATCH('1'!AG423,'Dados - Placas'!$D:$D,0))-1</f>
        <v>#N/A</v>
      </c>
      <c r="AV423" s="33" t="e">
        <f>INDEX('Dados - Placas'!$O:$O,MATCH('1'!AG423,'Dados - Placas'!$D:$D,0))</f>
        <v>#N/A</v>
      </c>
      <c r="AW423" s="33" t="e">
        <f>INDEX('Dados - Inversores'!AM:AM,MATCH('1'!AL423,'Dados - Inversores'!$C:$C,0))-1</f>
        <v>#N/A</v>
      </c>
      <c r="AX423" s="33" t="e">
        <f>INDEX('Dados - Inversores'!AN:AN,MATCH('1'!AL423,'Dados - Inversores'!$C:$C,0))-1</f>
        <v>#N/A</v>
      </c>
      <c r="AY423" s="33" t="e">
        <f>MATCH('1'!H423,Dados!$D$89:$D$167,0)+1</f>
        <v>#N/A</v>
      </c>
      <c r="AZ423" s="33" t="e">
        <f>MATCH('1'!N423,'Dados - Solicitação de acesso'!$N$2:$N$8,0)</f>
        <v>#N/A</v>
      </c>
      <c r="BA423" s="33" t="e">
        <f>MATCH('1'!T423,'Dados - Solicitação de acesso'!$T$2:$T$20,0)</f>
        <v>#N/A</v>
      </c>
    </row>
    <row r="424" spans="1:53" x14ac:dyDescent="0.35">
      <c r="A424" s="33">
        <f>'Dados - Cliente'!A424</f>
        <v>0</v>
      </c>
      <c r="B424" s="33">
        <f>'Dados - Cliente'!B424</f>
        <v>0</v>
      </c>
      <c r="C424" s="33">
        <f>'Dados - Cliente'!C424</f>
        <v>0</v>
      </c>
      <c r="D424" s="33">
        <f>'Dados - Cliente'!D424</f>
        <v>0</v>
      </c>
      <c r="E424" s="33">
        <f>'Dados - Cliente'!E424</f>
        <v>0</v>
      </c>
      <c r="F424" s="33">
        <f>'Dados - Cliente'!F424</f>
        <v>0</v>
      </c>
      <c r="G424" s="33">
        <f>'Dados - Cliente'!G424</f>
        <v>0</v>
      </c>
      <c r="H424" s="33">
        <f>'Dados - Cliente'!H424</f>
        <v>0</v>
      </c>
      <c r="I424" s="75" t="s">
        <v>4313</v>
      </c>
      <c r="J424" s="52" t="s">
        <v>4314</v>
      </c>
      <c r="K424" s="52" t="s">
        <v>4314</v>
      </c>
      <c r="L424" s="33">
        <f>'Dados - Cliente'!I424</f>
        <v>0</v>
      </c>
      <c r="M424" s="33">
        <f>'Dados - Cliente'!K424</f>
        <v>0</v>
      </c>
      <c r="N424" s="33">
        <f>'Dados - Cliente'!L424</f>
        <v>0</v>
      </c>
      <c r="O424" s="33">
        <f>'Dados - Cliente'!M424</f>
        <v>0</v>
      </c>
      <c r="P424" s="33">
        <f>'Dados - Cliente'!N424</f>
        <v>0</v>
      </c>
      <c r="Q424" s="33">
        <f>'Dados - Cliente'!O424</f>
        <v>0</v>
      </c>
      <c r="R424" s="33">
        <f>'Dados - Cliente'!P424</f>
        <v>0</v>
      </c>
      <c r="S424" s="33">
        <f>'Dados - Cliente'!Q424</f>
        <v>0</v>
      </c>
      <c r="T424" s="33">
        <f>'Dados - Cliente'!R424</f>
        <v>0</v>
      </c>
      <c r="U424" s="34">
        <f>'Dados - Cliente'!S424</f>
        <v>0</v>
      </c>
      <c r="V424" s="34">
        <f>'Dados - Cliente'!T424</f>
        <v>0</v>
      </c>
      <c r="W424" s="34">
        <f>'Dados - Cliente'!U424</f>
        <v>0</v>
      </c>
      <c r="X424" s="34">
        <f>'Dados - Cliente'!V424</f>
        <v>0</v>
      </c>
      <c r="Y424" s="34">
        <f>'Dados - Cliente'!W424</f>
        <v>0</v>
      </c>
      <c r="Z424" s="34">
        <f>'Dados - Cliente'!X424</f>
        <v>0</v>
      </c>
      <c r="AA424" s="33" t="e">
        <f t="shared" si="27"/>
        <v>#N/A</v>
      </c>
      <c r="AB424" s="33">
        <f>'Dados - Cliente'!Y424</f>
        <v>0</v>
      </c>
      <c r="AC424" s="33">
        <f>'Dados - Cliente'!Z424</f>
        <v>0</v>
      </c>
      <c r="AD424" s="33">
        <f>'Dados - Cliente'!AA424</f>
        <v>0</v>
      </c>
      <c r="AE424" s="33">
        <f>'Dados - Cliente'!AB424</f>
        <v>0</v>
      </c>
      <c r="AF424" s="33">
        <f>'Dados - Cliente'!AC424</f>
        <v>0</v>
      </c>
      <c r="AG424" s="35">
        <f>'Dados - Cliente'!AD424</f>
        <v>0</v>
      </c>
      <c r="AH424" s="33" t="e">
        <f>INDEX('Dados - Placas'!$A:$A,MATCH('1'!AG424,'Dados - Placas'!$D:$D,0))</f>
        <v>#N/A</v>
      </c>
      <c r="AI424" s="35" t="e">
        <f>INDEX('Dados - Placas'!$E:$E,MATCH('1'!AG424,'Dados - Placas'!$D:$D,0))</f>
        <v>#N/A</v>
      </c>
      <c r="AJ424" s="34" t="e">
        <f>INDEX('Dados - Placas'!$F:$F,MATCH('1'!AG424,'Dados - Placas'!$D:$D,0))*AF424</f>
        <v>#N/A</v>
      </c>
      <c r="AK424" s="33">
        <f>'Dados - Cliente'!AE424</f>
        <v>0</v>
      </c>
      <c r="AL424" s="33">
        <f>'Dados - Cliente'!AF424</f>
        <v>0</v>
      </c>
      <c r="AM424" s="36" t="e">
        <f>INDEX('Dados - Inversores'!$A:$A,MATCH('1'!AL424,'Dados - Inversores'!$C:$C,0))</f>
        <v>#N/A</v>
      </c>
      <c r="AN424" s="33">
        <f>'Dados - Cliente'!AG424</f>
        <v>0</v>
      </c>
      <c r="AO424" s="33" t="e">
        <f>AA424*1.25/(0.22*SQRT(INDEX('Dados - Inversores'!AK:AK,MATCH('1'!AL424,'Dados - Inversores'!C:C,0))))</f>
        <v>#N/A</v>
      </c>
      <c r="AP424" s="34">
        <f>INDEX(Dados!$E$2:$E$33,COUNTIF(Dados!$E$2:$E$33,"&lt;="&amp;AN424*1.25/(INDEX('Dados - Inversores'!AL:AL,MATCH('1'!AL424,'Dados - Inversores'!C:C,0))*SQRT(INDEX('Dados - Inversores'!AK:AK,MATCH('1'!AL424,'Dados - Inversores'!C:C,0)))))+1)</f>
        <v>2</v>
      </c>
      <c r="AQ424" s="33" t="s">
        <v>59</v>
      </c>
      <c r="AR424" s="33" t="str">
        <f t="shared" si="28"/>
        <v>Micro</v>
      </c>
      <c r="AS424" s="33">
        <f>'Dados - Cliente'!AH424</f>
        <v>0</v>
      </c>
      <c r="AT424" s="33">
        <f>'Dados - Cliente'!AI424</f>
        <v>0</v>
      </c>
      <c r="AU424" s="33" t="e">
        <f>INDEX('Dados - Placas'!$N:$N,MATCH('1'!AG424,'Dados - Placas'!$D:$D,0))-1</f>
        <v>#N/A</v>
      </c>
      <c r="AV424" s="33" t="e">
        <f>INDEX('Dados - Placas'!$O:$O,MATCH('1'!AG424,'Dados - Placas'!$D:$D,0))</f>
        <v>#N/A</v>
      </c>
      <c r="AW424" s="33" t="e">
        <f>INDEX('Dados - Inversores'!AM:AM,MATCH('1'!AL424,'Dados - Inversores'!$C:$C,0))-1</f>
        <v>#N/A</v>
      </c>
      <c r="AX424" s="33" t="e">
        <f>INDEX('Dados - Inversores'!AN:AN,MATCH('1'!AL424,'Dados - Inversores'!$C:$C,0))-1</f>
        <v>#N/A</v>
      </c>
      <c r="AY424" s="33" t="e">
        <f>MATCH('1'!H424,Dados!$D$89:$D$167,0)+1</f>
        <v>#N/A</v>
      </c>
      <c r="AZ424" s="33" t="e">
        <f>MATCH('1'!N424,'Dados - Solicitação de acesso'!$N$2:$N$8,0)</f>
        <v>#N/A</v>
      </c>
      <c r="BA424" s="33" t="e">
        <f>MATCH('1'!T424,'Dados - Solicitação de acesso'!$T$2:$T$20,0)</f>
        <v>#N/A</v>
      </c>
    </row>
    <row r="425" spans="1:53" x14ac:dyDescent="0.35">
      <c r="A425" s="33">
        <f>'Dados - Cliente'!A425</f>
        <v>0</v>
      </c>
      <c r="B425" s="33">
        <f>'Dados - Cliente'!B425</f>
        <v>0</v>
      </c>
      <c r="C425" s="33">
        <f>'Dados - Cliente'!C425</f>
        <v>0</v>
      </c>
      <c r="D425" s="33">
        <f>'Dados - Cliente'!D425</f>
        <v>0</v>
      </c>
      <c r="E425" s="33">
        <f>'Dados - Cliente'!E425</f>
        <v>0</v>
      </c>
      <c r="F425" s="33">
        <f>'Dados - Cliente'!F425</f>
        <v>0</v>
      </c>
      <c r="G425" s="33">
        <f>'Dados - Cliente'!G425</f>
        <v>0</v>
      </c>
      <c r="H425" s="33">
        <f>'Dados - Cliente'!H425</f>
        <v>0</v>
      </c>
      <c r="I425" s="75" t="s">
        <v>4313</v>
      </c>
      <c r="J425" s="52" t="s">
        <v>4314</v>
      </c>
      <c r="K425" s="52" t="s">
        <v>4314</v>
      </c>
      <c r="L425" s="33">
        <f>'Dados - Cliente'!I425</f>
        <v>0</v>
      </c>
      <c r="M425" s="33">
        <f>'Dados - Cliente'!K425</f>
        <v>0</v>
      </c>
      <c r="N425" s="33">
        <f>'Dados - Cliente'!L425</f>
        <v>0</v>
      </c>
      <c r="O425" s="33">
        <f>'Dados - Cliente'!M425</f>
        <v>0</v>
      </c>
      <c r="P425" s="33">
        <f>'Dados - Cliente'!N425</f>
        <v>0</v>
      </c>
      <c r="Q425" s="33">
        <f>'Dados - Cliente'!O425</f>
        <v>0</v>
      </c>
      <c r="R425" s="33">
        <f>'Dados - Cliente'!P425</f>
        <v>0</v>
      </c>
      <c r="S425" s="33">
        <f>'Dados - Cliente'!Q425</f>
        <v>0</v>
      </c>
      <c r="T425" s="33">
        <f>'Dados - Cliente'!R425</f>
        <v>0</v>
      </c>
      <c r="U425" s="34">
        <f>'Dados - Cliente'!S425</f>
        <v>0</v>
      </c>
      <c r="V425" s="34">
        <f>'Dados - Cliente'!T425</f>
        <v>0</v>
      </c>
      <c r="W425" s="34">
        <f>'Dados - Cliente'!U425</f>
        <v>0</v>
      </c>
      <c r="X425" s="34">
        <f>'Dados - Cliente'!V425</f>
        <v>0</v>
      </c>
      <c r="Y425" s="34">
        <f>'Dados - Cliente'!W425</f>
        <v>0</v>
      </c>
      <c r="Z425" s="34">
        <f>'Dados - Cliente'!X425</f>
        <v>0</v>
      </c>
      <c r="AA425" s="33" t="e">
        <f t="shared" si="27"/>
        <v>#N/A</v>
      </c>
      <c r="AB425" s="33">
        <f>'Dados - Cliente'!Y425</f>
        <v>0</v>
      </c>
      <c r="AC425" s="33">
        <f>'Dados - Cliente'!Z425</f>
        <v>0</v>
      </c>
      <c r="AD425" s="33">
        <f>'Dados - Cliente'!AA425</f>
        <v>0</v>
      </c>
      <c r="AE425" s="33">
        <f>'Dados - Cliente'!AB425</f>
        <v>0</v>
      </c>
      <c r="AF425" s="33">
        <f>'Dados - Cliente'!AC425</f>
        <v>0</v>
      </c>
      <c r="AG425" s="35">
        <f>'Dados - Cliente'!AD425</f>
        <v>0</v>
      </c>
      <c r="AH425" s="33" t="e">
        <f>INDEX('Dados - Placas'!$A:$A,MATCH('1'!AG425,'Dados - Placas'!$D:$D,0))</f>
        <v>#N/A</v>
      </c>
      <c r="AI425" s="35" t="e">
        <f>INDEX('Dados - Placas'!$E:$E,MATCH('1'!AG425,'Dados - Placas'!$D:$D,0))</f>
        <v>#N/A</v>
      </c>
      <c r="AJ425" s="34" t="e">
        <f>INDEX('Dados - Placas'!$F:$F,MATCH('1'!AG425,'Dados - Placas'!$D:$D,0))*AF425</f>
        <v>#N/A</v>
      </c>
      <c r="AK425" s="33">
        <f>'Dados - Cliente'!AE425</f>
        <v>0</v>
      </c>
      <c r="AL425" s="33">
        <f>'Dados - Cliente'!AF425</f>
        <v>0</v>
      </c>
      <c r="AM425" s="36" t="e">
        <f>INDEX('Dados - Inversores'!$A:$A,MATCH('1'!AL425,'Dados - Inversores'!$C:$C,0))</f>
        <v>#N/A</v>
      </c>
      <c r="AN425" s="33">
        <f>'Dados - Cliente'!AG425</f>
        <v>0</v>
      </c>
      <c r="AO425" s="33" t="e">
        <f>AA425*1.25/(0.22*SQRT(INDEX('Dados - Inversores'!AK:AK,MATCH('1'!AL425,'Dados - Inversores'!C:C,0))))</f>
        <v>#N/A</v>
      </c>
      <c r="AP425" s="34">
        <f>INDEX(Dados!$E$2:$E$33,COUNTIF(Dados!$E$2:$E$33,"&lt;="&amp;AN425*1.25/(INDEX('Dados - Inversores'!AL:AL,MATCH('1'!AL425,'Dados - Inversores'!C:C,0))*SQRT(INDEX('Dados - Inversores'!AK:AK,MATCH('1'!AL425,'Dados - Inversores'!C:C,0)))))+1)</f>
        <v>2</v>
      </c>
      <c r="AQ425" s="33" t="s">
        <v>59</v>
      </c>
      <c r="AR425" s="33" t="str">
        <f t="shared" si="28"/>
        <v>Micro</v>
      </c>
      <c r="AS425" s="33">
        <f>'Dados - Cliente'!AH425</f>
        <v>0</v>
      </c>
      <c r="AT425" s="33">
        <f>'Dados - Cliente'!AI425</f>
        <v>0</v>
      </c>
      <c r="AU425" s="33" t="e">
        <f>INDEX('Dados - Placas'!$N:$N,MATCH('1'!AG425,'Dados - Placas'!$D:$D,0))-1</f>
        <v>#N/A</v>
      </c>
      <c r="AV425" s="33" t="e">
        <f>INDEX('Dados - Placas'!$O:$O,MATCH('1'!AG425,'Dados - Placas'!$D:$D,0))</f>
        <v>#N/A</v>
      </c>
      <c r="AW425" s="33" t="e">
        <f>INDEX('Dados - Inversores'!AM:AM,MATCH('1'!AL425,'Dados - Inversores'!$C:$C,0))-1</f>
        <v>#N/A</v>
      </c>
      <c r="AX425" s="33" t="e">
        <f>INDEX('Dados - Inversores'!AN:AN,MATCH('1'!AL425,'Dados - Inversores'!$C:$C,0))-1</f>
        <v>#N/A</v>
      </c>
      <c r="AY425" s="33" t="e">
        <f>MATCH('1'!H425,Dados!$D$89:$D$167,0)+1</f>
        <v>#N/A</v>
      </c>
      <c r="AZ425" s="33" t="e">
        <f>MATCH('1'!N425,'Dados - Solicitação de acesso'!$N$2:$N$8,0)</f>
        <v>#N/A</v>
      </c>
      <c r="BA425" s="33" t="e">
        <f>MATCH('1'!T425,'Dados - Solicitação de acesso'!$T$2:$T$20,0)</f>
        <v>#N/A</v>
      </c>
    </row>
    <row r="426" spans="1:53" x14ac:dyDescent="0.35">
      <c r="A426" s="33">
        <f>'Dados - Cliente'!A426</f>
        <v>0</v>
      </c>
      <c r="B426" s="33">
        <f>'Dados - Cliente'!B426</f>
        <v>0</v>
      </c>
      <c r="C426" s="33">
        <f>'Dados - Cliente'!C426</f>
        <v>0</v>
      </c>
      <c r="D426" s="33">
        <f>'Dados - Cliente'!D426</f>
        <v>0</v>
      </c>
      <c r="E426" s="33">
        <f>'Dados - Cliente'!E426</f>
        <v>0</v>
      </c>
      <c r="F426" s="33">
        <f>'Dados - Cliente'!F426</f>
        <v>0</v>
      </c>
      <c r="G426" s="33">
        <f>'Dados - Cliente'!G426</f>
        <v>0</v>
      </c>
      <c r="H426" s="33">
        <f>'Dados - Cliente'!H426</f>
        <v>0</v>
      </c>
      <c r="I426" s="75" t="s">
        <v>4313</v>
      </c>
      <c r="J426" s="52" t="s">
        <v>4314</v>
      </c>
      <c r="K426" s="52" t="s">
        <v>4314</v>
      </c>
      <c r="L426" s="33">
        <f>'Dados - Cliente'!I426</f>
        <v>0</v>
      </c>
      <c r="M426" s="33">
        <f>'Dados - Cliente'!K426</f>
        <v>0</v>
      </c>
      <c r="N426" s="33">
        <f>'Dados - Cliente'!L426</f>
        <v>0</v>
      </c>
      <c r="O426" s="33">
        <f>'Dados - Cliente'!M426</f>
        <v>0</v>
      </c>
      <c r="P426" s="33">
        <f>'Dados - Cliente'!N426</f>
        <v>0</v>
      </c>
      <c r="Q426" s="33">
        <f>'Dados - Cliente'!O426</f>
        <v>0</v>
      </c>
      <c r="R426" s="33">
        <f>'Dados - Cliente'!P426</f>
        <v>0</v>
      </c>
      <c r="S426" s="33">
        <f>'Dados - Cliente'!Q426</f>
        <v>0</v>
      </c>
      <c r="T426" s="33">
        <f>'Dados - Cliente'!R426</f>
        <v>0</v>
      </c>
      <c r="U426" s="34">
        <f>'Dados - Cliente'!S426</f>
        <v>0</v>
      </c>
      <c r="V426" s="34">
        <f>'Dados - Cliente'!T426</f>
        <v>0</v>
      </c>
      <c r="W426" s="34">
        <f>'Dados - Cliente'!U426</f>
        <v>0</v>
      </c>
      <c r="X426" s="34">
        <f>'Dados - Cliente'!V426</f>
        <v>0</v>
      </c>
      <c r="Y426" s="34">
        <f>'Dados - Cliente'!W426</f>
        <v>0</v>
      </c>
      <c r="Z426" s="34">
        <f>'Dados - Cliente'!X426</f>
        <v>0</v>
      </c>
      <c r="AA426" s="33" t="e">
        <f t="shared" si="27"/>
        <v>#N/A</v>
      </c>
      <c r="AB426" s="33">
        <f>'Dados - Cliente'!Y426</f>
        <v>0</v>
      </c>
      <c r="AC426" s="33">
        <f>'Dados - Cliente'!Z426</f>
        <v>0</v>
      </c>
      <c r="AD426" s="33">
        <f>'Dados - Cliente'!AA426</f>
        <v>0</v>
      </c>
      <c r="AE426" s="33">
        <f>'Dados - Cliente'!AB426</f>
        <v>0</v>
      </c>
      <c r="AF426" s="33">
        <f>'Dados - Cliente'!AC426</f>
        <v>0</v>
      </c>
      <c r="AG426" s="35">
        <f>'Dados - Cliente'!AD426</f>
        <v>0</v>
      </c>
      <c r="AH426" s="33" t="e">
        <f>INDEX('Dados - Placas'!$A:$A,MATCH('1'!AG426,'Dados - Placas'!$D:$D,0))</f>
        <v>#N/A</v>
      </c>
      <c r="AI426" s="35" t="e">
        <f>INDEX('Dados - Placas'!$E:$E,MATCH('1'!AG426,'Dados - Placas'!$D:$D,0))</f>
        <v>#N/A</v>
      </c>
      <c r="AJ426" s="34" t="e">
        <f>INDEX('Dados - Placas'!$F:$F,MATCH('1'!AG426,'Dados - Placas'!$D:$D,0))*AF426</f>
        <v>#N/A</v>
      </c>
      <c r="AK426" s="33">
        <f>'Dados - Cliente'!AE426</f>
        <v>0</v>
      </c>
      <c r="AL426" s="33">
        <f>'Dados - Cliente'!AF426</f>
        <v>0</v>
      </c>
      <c r="AM426" s="36" t="e">
        <f>INDEX('Dados - Inversores'!$A:$A,MATCH('1'!AL426,'Dados - Inversores'!$C:$C,0))</f>
        <v>#N/A</v>
      </c>
      <c r="AN426" s="33">
        <f>'Dados - Cliente'!AG426</f>
        <v>0</v>
      </c>
      <c r="AO426" s="33" t="e">
        <f>AA426*1.25/(0.22*SQRT(INDEX('Dados - Inversores'!AK:AK,MATCH('1'!AL426,'Dados - Inversores'!C:C,0))))</f>
        <v>#N/A</v>
      </c>
      <c r="AP426" s="34">
        <f>INDEX(Dados!$E$2:$E$33,COUNTIF(Dados!$E$2:$E$33,"&lt;="&amp;AN426*1.25/(INDEX('Dados - Inversores'!AL:AL,MATCH('1'!AL426,'Dados - Inversores'!C:C,0))*SQRT(INDEX('Dados - Inversores'!AK:AK,MATCH('1'!AL426,'Dados - Inversores'!C:C,0)))))+1)</f>
        <v>2</v>
      </c>
      <c r="AQ426" s="33" t="s">
        <v>59</v>
      </c>
      <c r="AR426" s="33" t="str">
        <f t="shared" si="28"/>
        <v>Micro</v>
      </c>
      <c r="AS426" s="33">
        <f>'Dados - Cliente'!AH426</f>
        <v>0</v>
      </c>
      <c r="AT426" s="33">
        <f>'Dados - Cliente'!AI426</f>
        <v>0</v>
      </c>
      <c r="AU426" s="33" t="e">
        <f>INDEX('Dados - Placas'!$N:$N,MATCH('1'!AG426,'Dados - Placas'!$D:$D,0))-1</f>
        <v>#N/A</v>
      </c>
      <c r="AV426" s="33" t="e">
        <f>INDEX('Dados - Placas'!$O:$O,MATCH('1'!AG426,'Dados - Placas'!$D:$D,0))</f>
        <v>#N/A</v>
      </c>
      <c r="AW426" s="33" t="e">
        <f>INDEX('Dados - Inversores'!AM:AM,MATCH('1'!AL426,'Dados - Inversores'!$C:$C,0))-1</f>
        <v>#N/A</v>
      </c>
      <c r="AX426" s="33" t="e">
        <f>INDEX('Dados - Inversores'!AN:AN,MATCH('1'!AL426,'Dados - Inversores'!$C:$C,0))-1</f>
        <v>#N/A</v>
      </c>
      <c r="AY426" s="33" t="e">
        <f>MATCH('1'!H426,Dados!$D$89:$D$167,0)+1</f>
        <v>#N/A</v>
      </c>
      <c r="AZ426" s="33" t="e">
        <f>MATCH('1'!N426,'Dados - Solicitação de acesso'!$N$2:$N$8,0)</f>
        <v>#N/A</v>
      </c>
      <c r="BA426" s="33" t="e">
        <f>MATCH('1'!T426,'Dados - Solicitação de acesso'!$T$2:$T$20,0)</f>
        <v>#N/A</v>
      </c>
    </row>
    <row r="427" spans="1:53" x14ac:dyDescent="0.35">
      <c r="A427" s="33">
        <f>'Dados - Cliente'!A427</f>
        <v>0</v>
      </c>
      <c r="B427" s="33">
        <f>'Dados - Cliente'!B427</f>
        <v>0</v>
      </c>
      <c r="C427" s="33">
        <f>'Dados - Cliente'!C427</f>
        <v>0</v>
      </c>
      <c r="D427" s="33">
        <f>'Dados - Cliente'!D427</f>
        <v>0</v>
      </c>
      <c r="E427" s="33">
        <f>'Dados - Cliente'!E427</f>
        <v>0</v>
      </c>
      <c r="F427" s="33">
        <f>'Dados - Cliente'!F427</f>
        <v>0</v>
      </c>
      <c r="G427" s="33">
        <f>'Dados - Cliente'!G427</f>
        <v>0</v>
      </c>
      <c r="H427" s="33">
        <f>'Dados - Cliente'!H427</f>
        <v>0</v>
      </c>
      <c r="I427" s="75" t="s">
        <v>4313</v>
      </c>
      <c r="J427" s="52" t="s">
        <v>4314</v>
      </c>
      <c r="K427" s="52" t="s">
        <v>4314</v>
      </c>
      <c r="L427" s="33">
        <f>'Dados - Cliente'!I427</f>
        <v>0</v>
      </c>
      <c r="M427" s="33">
        <f>'Dados - Cliente'!K427</f>
        <v>0</v>
      </c>
      <c r="N427" s="33">
        <f>'Dados - Cliente'!L427</f>
        <v>0</v>
      </c>
      <c r="O427" s="33">
        <f>'Dados - Cliente'!M427</f>
        <v>0</v>
      </c>
      <c r="P427" s="33">
        <f>'Dados - Cliente'!N427</f>
        <v>0</v>
      </c>
      <c r="Q427" s="33">
        <f>'Dados - Cliente'!O427</f>
        <v>0</v>
      </c>
      <c r="R427" s="33">
        <f>'Dados - Cliente'!P427</f>
        <v>0</v>
      </c>
      <c r="S427" s="33">
        <f>'Dados - Cliente'!Q427</f>
        <v>0</v>
      </c>
      <c r="T427" s="33">
        <f>'Dados - Cliente'!R427</f>
        <v>0</v>
      </c>
      <c r="U427" s="34">
        <f>'Dados - Cliente'!S427</f>
        <v>0</v>
      </c>
      <c r="V427" s="34">
        <f>'Dados - Cliente'!T427</f>
        <v>0</v>
      </c>
      <c r="W427" s="34">
        <f>'Dados - Cliente'!U427</f>
        <v>0</v>
      </c>
      <c r="X427" s="34">
        <f>'Dados - Cliente'!V427</f>
        <v>0</v>
      </c>
      <c r="Y427" s="34">
        <f>'Dados - Cliente'!W427</f>
        <v>0</v>
      </c>
      <c r="Z427" s="34">
        <f>'Dados - Cliente'!X427</f>
        <v>0</v>
      </c>
      <c r="AA427" s="33" t="e">
        <f t="shared" si="27"/>
        <v>#N/A</v>
      </c>
      <c r="AB427" s="33">
        <f>'Dados - Cliente'!Y427</f>
        <v>0</v>
      </c>
      <c r="AC427" s="33">
        <f>'Dados - Cliente'!Z427</f>
        <v>0</v>
      </c>
      <c r="AD427" s="33">
        <f>'Dados - Cliente'!AA427</f>
        <v>0</v>
      </c>
      <c r="AE427" s="33">
        <f>'Dados - Cliente'!AB427</f>
        <v>0</v>
      </c>
      <c r="AF427" s="33">
        <f>'Dados - Cliente'!AC427</f>
        <v>0</v>
      </c>
      <c r="AG427" s="35">
        <f>'Dados - Cliente'!AD427</f>
        <v>0</v>
      </c>
      <c r="AH427" s="33" t="e">
        <f>INDEX('Dados - Placas'!$A:$A,MATCH('1'!AG427,'Dados - Placas'!$D:$D,0))</f>
        <v>#N/A</v>
      </c>
      <c r="AI427" s="35" t="e">
        <f>INDEX('Dados - Placas'!$E:$E,MATCH('1'!AG427,'Dados - Placas'!$D:$D,0))</f>
        <v>#N/A</v>
      </c>
      <c r="AJ427" s="34" t="e">
        <f>INDEX('Dados - Placas'!$F:$F,MATCH('1'!AG427,'Dados - Placas'!$D:$D,0))*AF427</f>
        <v>#N/A</v>
      </c>
      <c r="AK427" s="33">
        <f>'Dados - Cliente'!AE427</f>
        <v>0</v>
      </c>
      <c r="AL427" s="33">
        <f>'Dados - Cliente'!AF427</f>
        <v>0</v>
      </c>
      <c r="AM427" s="36" t="e">
        <f>INDEX('Dados - Inversores'!$A:$A,MATCH('1'!AL427,'Dados - Inversores'!$C:$C,0))</f>
        <v>#N/A</v>
      </c>
      <c r="AN427" s="33">
        <f>'Dados - Cliente'!AG427</f>
        <v>0</v>
      </c>
      <c r="AO427" s="33" t="e">
        <f>AA427*1.25/(0.22*SQRT(INDEX('Dados - Inversores'!AK:AK,MATCH('1'!AL427,'Dados - Inversores'!C:C,0))))</f>
        <v>#N/A</v>
      </c>
      <c r="AP427" s="34">
        <f>INDEX(Dados!$E$2:$E$33,COUNTIF(Dados!$E$2:$E$33,"&lt;="&amp;AN427*1.25/(INDEX('Dados - Inversores'!AL:AL,MATCH('1'!AL427,'Dados - Inversores'!C:C,0))*SQRT(INDEX('Dados - Inversores'!AK:AK,MATCH('1'!AL427,'Dados - Inversores'!C:C,0)))))+1)</f>
        <v>2</v>
      </c>
      <c r="AQ427" s="33" t="s">
        <v>59</v>
      </c>
      <c r="AR427" s="33" t="str">
        <f t="shared" si="28"/>
        <v>Micro</v>
      </c>
      <c r="AS427" s="33">
        <f>'Dados - Cliente'!AH427</f>
        <v>0</v>
      </c>
      <c r="AT427" s="33">
        <f>'Dados - Cliente'!AI427</f>
        <v>0</v>
      </c>
      <c r="AU427" s="33" t="e">
        <f>INDEX('Dados - Placas'!$N:$N,MATCH('1'!AG427,'Dados - Placas'!$D:$D,0))-1</f>
        <v>#N/A</v>
      </c>
      <c r="AV427" s="33" t="e">
        <f>INDEX('Dados - Placas'!$O:$O,MATCH('1'!AG427,'Dados - Placas'!$D:$D,0))</f>
        <v>#N/A</v>
      </c>
      <c r="AW427" s="33" t="e">
        <f>INDEX('Dados - Inversores'!AM:AM,MATCH('1'!AL427,'Dados - Inversores'!$C:$C,0))-1</f>
        <v>#N/A</v>
      </c>
      <c r="AX427" s="33" t="e">
        <f>INDEX('Dados - Inversores'!AN:AN,MATCH('1'!AL427,'Dados - Inversores'!$C:$C,0))-1</f>
        <v>#N/A</v>
      </c>
      <c r="AY427" s="33" t="e">
        <f>MATCH('1'!H427,Dados!$D$89:$D$167,0)+1</f>
        <v>#N/A</v>
      </c>
      <c r="AZ427" s="33" t="e">
        <f>MATCH('1'!N427,'Dados - Solicitação de acesso'!$N$2:$N$8,0)</f>
        <v>#N/A</v>
      </c>
      <c r="BA427" s="33" t="e">
        <f>MATCH('1'!T427,'Dados - Solicitação de acesso'!$T$2:$T$20,0)</f>
        <v>#N/A</v>
      </c>
    </row>
    <row r="428" spans="1:53" x14ac:dyDescent="0.35">
      <c r="A428" s="33">
        <f>'Dados - Cliente'!A428</f>
        <v>0</v>
      </c>
      <c r="B428" s="33">
        <f>'Dados - Cliente'!B428</f>
        <v>0</v>
      </c>
      <c r="C428" s="33">
        <f>'Dados - Cliente'!C428</f>
        <v>0</v>
      </c>
      <c r="D428" s="33">
        <f>'Dados - Cliente'!D428</f>
        <v>0</v>
      </c>
      <c r="E428" s="33">
        <f>'Dados - Cliente'!E428</f>
        <v>0</v>
      </c>
      <c r="F428" s="33">
        <f>'Dados - Cliente'!F428</f>
        <v>0</v>
      </c>
      <c r="G428" s="33">
        <f>'Dados - Cliente'!G428</f>
        <v>0</v>
      </c>
      <c r="H428" s="33">
        <f>'Dados - Cliente'!H428</f>
        <v>0</v>
      </c>
      <c r="I428" s="75" t="s">
        <v>4313</v>
      </c>
      <c r="J428" s="52" t="s">
        <v>4314</v>
      </c>
      <c r="K428" s="52" t="s">
        <v>4314</v>
      </c>
      <c r="L428" s="33">
        <f>'Dados - Cliente'!I428</f>
        <v>0</v>
      </c>
      <c r="M428" s="33">
        <f>'Dados - Cliente'!K428</f>
        <v>0</v>
      </c>
      <c r="N428" s="33">
        <f>'Dados - Cliente'!L428</f>
        <v>0</v>
      </c>
      <c r="O428" s="33">
        <f>'Dados - Cliente'!M428</f>
        <v>0</v>
      </c>
      <c r="P428" s="33">
        <f>'Dados - Cliente'!N428</f>
        <v>0</v>
      </c>
      <c r="Q428" s="33">
        <f>'Dados - Cliente'!O428</f>
        <v>0</v>
      </c>
      <c r="R428" s="33">
        <f>'Dados - Cliente'!P428</f>
        <v>0</v>
      </c>
      <c r="S428" s="33">
        <f>'Dados - Cliente'!Q428</f>
        <v>0</v>
      </c>
      <c r="T428" s="33">
        <f>'Dados - Cliente'!R428</f>
        <v>0</v>
      </c>
      <c r="U428" s="34">
        <f>'Dados - Cliente'!S428</f>
        <v>0</v>
      </c>
      <c r="V428" s="34">
        <f>'Dados - Cliente'!T428</f>
        <v>0</v>
      </c>
      <c r="W428" s="34">
        <f>'Dados - Cliente'!U428</f>
        <v>0</v>
      </c>
      <c r="X428" s="34">
        <f>'Dados - Cliente'!V428</f>
        <v>0</v>
      </c>
      <c r="Y428" s="34">
        <f>'Dados - Cliente'!W428</f>
        <v>0</v>
      </c>
      <c r="Z428" s="34">
        <f>'Dados - Cliente'!X428</f>
        <v>0</v>
      </c>
      <c r="AA428" s="33" t="e">
        <f t="shared" si="27"/>
        <v>#N/A</v>
      </c>
      <c r="AB428" s="33">
        <f>'Dados - Cliente'!Y428</f>
        <v>0</v>
      </c>
      <c r="AC428" s="33">
        <f>'Dados - Cliente'!Z428</f>
        <v>0</v>
      </c>
      <c r="AD428" s="33">
        <f>'Dados - Cliente'!AA428</f>
        <v>0</v>
      </c>
      <c r="AE428" s="33">
        <f>'Dados - Cliente'!AB428</f>
        <v>0</v>
      </c>
      <c r="AF428" s="33">
        <f>'Dados - Cliente'!AC428</f>
        <v>0</v>
      </c>
      <c r="AG428" s="35">
        <f>'Dados - Cliente'!AD428</f>
        <v>0</v>
      </c>
      <c r="AH428" s="33" t="e">
        <f>INDEX('Dados - Placas'!$A:$A,MATCH('1'!AG428,'Dados - Placas'!$D:$D,0))</f>
        <v>#N/A</v>
      </c>
      <c r="AI428" s="35" t="e">
        <f>INDEX('Dados - Placas'!$E:$E,MATCH('1'!AG428,'Dados - Placas'!$D:$D,0))</f>
        <v>#N/A</v>
      </c>
      <c r="AJ428" s="34" t="e">
        <f>INDEX('Dados - Placas'!$F:$F,MATCH('1'!AG428,'Dados - Placas'!$D:$D,0))*AF428</f>
        <v>#N/A</v>
      </c>
      <c r="AK428" s="33">
        <f>'Dados - Cliente'!AE428</f>
        <v>0</v>
      </c>
      <c r="AL428" s="33">
        <f>'Dados - Cliente'!AF428</f>
        <v>0</v>
      </c>
      <c r="AM428" s="36" t="e">
        <f>INDEX('Dados - Inversores'!$A:$A,MATCH('1'!AL428,'Dados - Inversores'!$C:$C,0))</f>
        <v>#N/A</v>
      </c>
      <c r="AN428" s="33">
        <f>'Dados - Cliente'!AG428</f>
        <v>0</v>
      </c>
      <c r="AO428" s="33" t="e">
        <f>AA428*1.25/(0.22*SQRT(INDEX('Dados - Inversores'!AK:AK,MATCH('1'!AL428,'Dados - Inversores'!C:C,0))))</f>
        <v>#N/A</v>
      </c>
      <c r="AP428" s="34">
        <f>INDEX(Dados!$E$2:$E$33,COUNTIF(Dados!$E$2:$E$33,"&lt;="&amp;AN428*1.25/(INDEX('Dados - Inversores'!AL:AL,MATCH('1'!AL428,'Dados - Inversores'!C:C,0))*SQRT(INDEX('Dados - Inversores'!AK:AK,MATCH('1'!AL428,'Dados - Inversores'!C:C,0)))))+1)</f>
        <v>2</v>
      </c>
      <c r="AQ428" s="33" t="s">
        <v>59</v>
      </c>
      <c r="AR428" s="33" t="str">
        <f t="shared" si="28"/>
        <v>Micro</v>
      </c>
      <c r="AS428" s="33">
        <f>'Dados - Cliente'!AH428</f>
        <v>0</v>
      </c>
      <c r="AT428" s="33">
        <f>'Dados - Cliente'!AI428</f>
        <v>0</v>
      </c>
      <c r="AU428" s="33" t="e">
        <f>INDEX('Dados - Placas'!$N:$N,MATCH('1'!AG428,'Dados - Placas'!$D:$D,0))-1</f>
        <v>#N/A</v>
      </c>
      <c r="AV428" s="33" t="e">
        <f>INDEX('Dados - Placas'!$O:$O,MATCH('1'!AG428,'Dados - Placas'!$D:$D,0))</f>
        <v>#N/A</v>
      </c>
      <c r="AW428" s="33" t="e">
        <f>INDEX('Dados - Inversores'!AM:AM,MATCH('1'!AL428,'Dados - Inversores'!$C:$C,0))-1</f>
        <v>#N/A</v>
      </c>
      <c r="AX428" s="33" t="e">
        <f>INDEX('Dados - Inversores'!AN:AN,MATCH('1'!AL428,'Dados - Inversores'!$C:$C,0))-1</f>
        <v>#N/A</v>
      </c>
      <c r="AY428" s="33" t="e">
        <f>MATCH('1'!H428,Dados!$D$89:$D$167,0)+1</f>
        <v>#N/A</v>
      </c>
      <c r="AZ428" s="33" t="e">
        <f>MATCH('1'!N428,'Dados - Solicitação de acesso'!$N$2:$N$8,0)</f>
        <v>#N/A</v>
      </c>
      <c r="BA428" s="33" t="e">
        <f>MATCH('1'!T428,'Dados - Solicitação de acesso'!$T$2:$T$20,0)</f>
        <v>#N/A</v>
      </c>
    </row>
    <row r="429" spans="1:53" x14ac:dyDescent="0.35">
      <c r="A429" s="33">
        <f>'Dados - Cliente'!A429</f>
        <v>0</v>
      </c>
      <c r="B429" s="33">
        <f>'Dados - Cliente'!B429</f>
        <v>0</v>
      </c>
      <c r="C429" s="33">
        <f>'Dados - Cliente'!C429</f>
        <v>0</v>
      </c>
      <c r="D429" s="33">
        <f>'Dados - Cliente'!D429</f>
        <v>0</v>
      </c>
      <c r="E429" s="33">
        <f>'Dados - Cliente'!E429</f>
        <v>0</v>
      </c>
      <c r="F429" s="33">
        <f>'Dados - Cliente'!F429</f>
        <v>0</v>
      </c>
      <c r="G429" s="33">
        <f>'Dados - Cliente'!G429</f>
        <v>0</v>
      </c>
      <c r="H429" s="33">
        <f>'Dados - Cliente'!H429</f>
        <v>0</v>
      </c>
      <c r="I429" s="75" t="s">
        <v>4313</v>
      </c>
      <c r="J429" s="52" t="s">
        <v>4314</v>
      </c>
      <c r="K429" s="52" t="s">
        <v>4314</v>
      </c>
      <c r="L429" s="33">
        <f>'Dados - Cliente'!I429</f>
        <v>0</v>
      </c>
      <c r="M429" s="33">
        <f>'Dados - Cliente'!K429</f>
        <v>0</v>
      </c>
      <c r="N429" s="33">
        <f>'Dados - Cliente'!L429</f>
        <v>0</v>
      </c>
      <c r="O429" s="33">
        <f>'Dados - Cliente'!M429</f>
        <v>0</v>
      </c>
      <c r="P429" s="33">
        <f>'Dados - Cliente'!N429</f>
        <v>0</v>
      </c>
      <c r="Q429" s="33">
        <f>'Dados - Cliente'!O429</f>
        <v>0</v>
      </c>
      <c r="R429" s="33">
        <f>'Dados - Cliente'!P429</f>
        <v>0</v>
      </c>
      <c r="S429" s="33">
        <f>'Dados - Cliente'!Q429</f>
        <v>0</v>
      </c>
      <c r="T429" s="33">
        <f>'Dados - Cliente'!R429</f>
        <v>0</v>
      </c>
      <c r="U429" s="34">
        <f>'Dados - Cliente'!S429</f>
        <v>0</v>
      </c>
      <c r="V429" s="34">
        <f>'Dados - Cliente'!T429</f>
        <v>0</v>
      </c>
      <c r="W429" s="34">
        <f>'Dados - Cliente'!U429</f>
        <v>0</v>
      </c>
      <c r="X429" s="34">
        <f>'Dados - Cliente'!V429</f>
        <v>0</v>
      </c>
      <c r="Y429" s="34">
        <f>'Dados - Cliente'!W429</f>
        <v>0</v>
      </c>
      <c r="Z429" s="34">
        <f>'Dados - Cliente'!X429</f>
        <v>0</v>
      </c>
      <c r="AA429" s="33" t="e">
        <f t="shared" si="27"/>
        <v>#N/A</v>
      </c>
      <c r="AB429" s="33">
        <f>'Dados - Cliente'!Y429</f>
        <v>0</v>
      </c>
      <c r="AC429" s="33">
        <f>'Dados - Cliente'!Z429</f>
        <v>0</v>
      </c>
      <c r="AD429" s="33">
        <f>'Dados - Cliente'!AA429</f>
        <v>0</v>
      </c>
      <c r="AE429" s="33">
        <f>'Dados - Cliente'!AB429</f>
        <v>0</v>
      </c>
      <c r="AF429" s="33">
        <f>'Dados - Cliente'!AC429</f>
        <v>0</v>
      </c>
      <c r="AG429" s="35">
        <f>'Dados - Cliente'!AD429</f>
        <v>0</v>
      </c>
      <c r="AH429" s="33" t="e">
        <f>INDEX('Dados - Placas'!$A:$A,MATCH('1'!AG429,'Dados - Placas'!$D:$D,0))</f>
        <v>#N/A</v>
      </c>
      <c r="AI429" s="35" t="e">
        <f>INDEX('Dados - Placas'!$E:$E,MATCH('1'!AG429,'Dados - Placas'!$D:$D,0))</f>
        <v>#N/A</v>
      </c>
      <c r="AJ429" s="34" t="e">
        <f>INDEX('Dados - Placas'!$F:$F,MATCH('1'!AG429,'Dados - Placas'!$D:$D,0))*AF429</f>
        <v>#N/A</v>
      </c>
      <c r="AK429" s="33">
        <f>'Dados - Cliente'!AE429</f>
        <v>0</v>
      </c>
      <c r="AL429" s="33">
        <f>'Dados - Cliente'!AF429</f>
        <v>0</v>
      </c>
      <c r="AM429" s="36" t="e">
        <f>INDEX('Dados - Inversores'!$A:$A,MATCH('1'!AL429,'Dados - Inversores'!$C:$C,0))</f>
        <v>#N/A</v>
      </c>
      <c r="AN429" s="33">
        <f>'Dados - Cliente'!AG429</f>
        <v>0</v>
      </c>
      <c r="AO429" s="33" t="e">
        <f>AA429*1.25/(0.22*SQRT(INDEX('Dados - Inversores'!AK:AK,MATCH('1'!AL429,'Dados - Inversores'!C:C,0))))</f>
        <v>#N/A</v>
      </c>
      <c r="AP429" s="34">
        <f>INDEX(Dados!$E$2:$E$33,COUNTIF(Dados!$E$2:$E$33,"&lt;="&amp;AN429*1.25/(INDEX('Dados - Inversores'!AL:AL,MATCH('1'!AL429,'Dados - Inversores'!C:C,0))*SQRT(INDEX('Dados - Inversores'!AK:AK,MATCH('1'!AL429,'Dados - Inversores'!C:C,0)))))+1)</f>
        <v>2</v>
      </c>
      <c r="AQ429" s="33" t="s">
        <v>59</v>
      </c>
      <c r="AR429" s="33" t="str">
        <f t="shared" si="28"/>
        <v>Micro</v>
      </c>
      <c r="AS429" s="33">
        <f>'Dados - Cliente'!AH429</f>
        <v>0</v>
      </c>
      <c r="AT429" s="33">
        <f>'Dados - Cliente'!AI429</f>
        <v>0</v>
      </c>
      <c r="AU429" s="33" t="e">
        <f>INDEX('Dados - Placas'!$N:$N,MATCH('1'!AG429,'Dados - Placas'!$D:$D,0))-1</f>
        <v>#N/A</v>
      </c>
      <c r="AV429" s="33" t="e">
        <f>INDEX('Dados - Placas'!$O:$O,MATCH('1'!AG429,'Dados - Placas'!$D:$D,0))</f>
        <v>#N/A</v>
      </c>
      <c r="AW429" s="33" t="e">
        <f>INDEX('Dados - Inversores'!AM:AM,MATCH('1'!AL429,'Dados - Inversores'!$C:$C,0))-1</f>
        <v>#N/A</v>
      </c>
      <c r="AX429" s="33" t="e">
        <f>INDEX('Dados - Inversores'!AN:AN,MATCH('1'!AL429,'Dados - Inversores'!$C:$C,0))-1</f>
        <v>#N/A</v>
      </c>
      <c r="AY429" s="33" t="e">
        <f>MATCH('1'!H429,Dados!$D$89:$D$167,0)+1</f>
        <v>#N/A</v>
      </c>
      <c r="AZ429" s="33" t="e">
        <f>MATCH('1'!N429,'Dados - Solicitação de acesso'!$N$2:$N$8,0)</f>
        <v>#N/A</v>
      </c>
      <c r="BA429" s="33" t="e">
        <f>MATCH('1'!T429,'Dados - Solicitação de acesso'!$T$2:$T$20,0)</f>
        <v>#N/A</v>
      </c>
    </row>
    <row r="430" spans="1:53" x14ac:dyDescent="0.35">
      <c r="A430" s="33">
        <f>'Dados - Cliente'!A430</f>
        <v>0</v>
      </c>
      <c r="B430" s="33">
        <f>'Dados - Cliente'!B430</f>
        <v>0</v>
      </c>
      <c r="C430" s="33">
        <f>'Dados - Cliente'!C430</f>
        <v>0</v>
      </c>
      <c r="D430" s="33">
        <f>'Dados - Cliente'!D430</f>
        <v>0</v>
      </c>
      <c r="E430" s="33">
        <f>'Dados - Cliente'!E430</f>
        <v>0</v>
      </c>
      <c r="F430" s="33">
        <f>'Dados - Cliente'!F430</f>
        <v>0</v>
      </c>
      <c r="G430" s="33">
        <f>'Dados - Cliente'!G430</f>
        <v>0</v>
      </c>
      <c r="H430" s="33">
        <f>'Dados - Cliente'!H430</f>
        <v>0</v>
      </c>
      <c r="I430" s="75" t="s">
        <v>4313</v>
      </c>
      <c r="J430" s="52" t="s">
        <v>4314</v>
      </c>
      <c r="K430" s="52" t="s">
        <v>4314</v>
      </c>
      <c r="L430" s="33">
        <f>'Dados - Cliente'!I430</f>
        <v>0</v>
      </c>
      <c r="M430" s="33">
        <f>'Dados - Cliente'!K430</f>
        <v>0</v>
      </c>
      <c r="N430" s="33">
        <f>'Dados - Cliente'!L430</f>
        <v>0</v>
      </c>
      <c r="O430" s="33">
        <f>'Dados - Cliente'!M430</f>
        <v>0</v>
      </c>
      <c r="P430" s="33">
        <f>'Dados - Cliente'!N430</f>
        <v>0</v>
      </c>
      <c r="Q430" s="33">
        <f>'Dados - Cliente'!O430</f>
        <v>0</v>
      </c>
      <c r="R430" s="33">
        <f>'Dados - Cliente'!P430</f>
        <v>0</v>
      </c>
      <c r="S430" s="33">
        <f>'Dados - Cliente'!Q430</f>
        <v>0</v>
      </c>
      <c r="T430" s="33">
        <f>'Dados - Cliente'!R430</f>
        <v>0</v>
      </c>
      <c r="U430" s="34">
        <f>'Dados - Cliente'!S430</f>
        <v>0</v>
      </c>
      <c r="V430" s="34">
        <f>'Dados - Cliente'!T430</f>
        <v>0</v>
      </c>
      <c r="W430" s="34">
        <f>'Dados - Cliente'!U430</f>
        <v>0</v>
      </c>
      <c r="X430" s="34">
        <f>'Dados - Cliente'!V430</f>
        <v>0</v>
      </c>
      <c r="Y430" s="34">
        <f>'Dados - Cliente'!W430</f>
        <v>0</v>
      </c>
      <c r="Z430" s="34">
        <f>'Dados - Cliente'!X430</f>
        <v>0</v>
      </c>
      <c r="AA430" s="33" t="e">
        <f t="shared" si="27"/>
        <v>#N/A</v>
      </c>
      <c r="AB430" s="33">
        <f>'Dados - Cliente'!Y430</f>
        <v>0</v>
      </c>
      <c r="AC430" s="33">
        <f>'Dados - Cliente'!Z430</f>
        <v>0</v>
      </c>
      <c r="AD430" s="33">
        <f>'Dados - Cliente'!AA430</f>
        <v>0</v>
      </c>
      <c r="AE430" s="33">
        <f>'Dados - Cliente'!AB430</f>
        <v>0</v>
      </c>
      <c r="AF430" s="33">
        <f>'Dados - Cliente'!AC430</f>
        <v>0</v>
      </c>
      <c r="AG430" s="35">
        <f>'Dados - Cliente'!AD430</f>
        <v>0</v>
      </c>
      <c r="AH430" s="33" t="e">
        <f>INDEX('Dados - Placas'!$A:$A,MATCH('1'!AG430,'Dados - Placas'!$D:$D,0))</f>
        <v>#N/A</v>
      </c>
      <c r="AI430" s="35" t="e">
        <f>INDEX('Dados - Placas'!$E:$E,MATCH('1'!AG430,'Dados - Placas'!$D:$D,0))</f>
        <v>#N/A</v>
      </c>
      <c r="AJ430" s="34" t="e">
        <f>INDEX('Dados - Placas'!$F:$F,MATCH('1'!AG430,'Dados - Placas'!$D:$D,0))*AF430</f>
        <v>#N/A</v>
      </c>
      <c r="AK430" s="33">
        <f>'Dados - Cliente'!AE430</f>
        <v>0</v>
      </c>
      <c r="AL430" s="33">
        <f>'Dados - Cliente'!AF430</f>
        <v>0</v>
      </c>
      <c r="AM430" s="36" t="e">
        <f>INDEX('Dados - Inversores'!$A:$A,MATCH('1'!AL430,'Dados - Inversores'!$C:$C,0))</f>
        <v>#N/A</v>
      </c>
      <c r="AN430" s="33">
        <f>'Dados - Cliente'!AG430</f>
        <v>0</v>
      </c>
      <c r="AO430" s="33" t="e">
        <f>AA430*1.25/(0.22*SQRT(INDEX('Dados - Inversores'!AK:AK,MATCH('1'!AL430,'Dados - Inversores'!C:C,0))))</f>
        <v>#N/A</v>
      </c>
      <c r="AP430" s="34">
        <f>INDEX(Dados!$E$2:$E$33,COUNTIF(Dados!$E$2:$E$33,"&lt;="&amp;AN430*1.25/(INDEX('Dados - Inversores'!AL:AL,MATCH('1'!AL430,'Dados - Inversores'!C:C,0))*SQRT(INDEX('Dados - Inversores'!AK:AK,MATCH('1'!AL430,'Dados - Inversores'!C:C,0)))))+1)</f>
        <v>2</v>
      </c>
      <c r="AQ430" s="33" t="s">
        <v>59</v>
      </c>
      <c r="AR430" s="33" t="str">
        <f t="shared" si="28"/>
        <v>Micro</v>
      </c>
      <c r="AS430" s="33">
        <f>'Dados - Cliente'!AH430</f>
        <v>0</v>
      </c>
      <c r="AT430" s="33">
        <f>'Dados - Cliente'!AI430</f>
        <v>0</v>
      </c>
      <c r="AU430" s="33" t="e">
        <f>INDEX('Dados - Placas'!$N:$N,MATCH('1'!AG430,'Dados - Placas'!$D:$D,0))-1</f>
        <v>#N/A</v>
      </c>
      <c r="AV430" s="33" t="e">
        <f>INDEX('Dados - Placas'!$O:$O,MATCH('1'!AG430,'Dados - Placas'!$D:$D,0))</f>
        <v>#N/A</v>
      </c>
      <c r="AW430" s="33" t="e">
        <f>INDEX('Dados - Inversores'!AM:AM,MATCH('1'!AL430,'Dados - Inversores'!$C:$C,0))-1</f>
        <v>#N/A</v>
      </c>
      <c r="AX430" s="33" t="e">
        <f>INDEX('Dados - Inversores'!AN:AN,MATCH('1'!AL430,'Dados - Inversores'!$C:$C,0))-1</f>
        <v>#N/A</v>
      </c>
      <c r="AY430" s="33" t="e">
        <f>MATCH('1'!H430,Dados!$D$89:$D$167,0)+1</f>
        <v>#N/A</v>
      </c>
      <c r="AZ430" s="33" t="e">
        <f>MATCH('1'!N430,'Dados - Solicitação de acesso'!$N$2:$N$8,0)</f>
        <v>#N/A</v>
      </c>
      <c r="BA430" s="33" t="e">
        <f>MATCH('1'!T430,'Dados - Solicitação de acesso'!$T$2:$T$20,0)</f>
        <v>#N/A</v>
      </c>
    </row>
    <row r="431" spans="1:53" x14ac:dyDescent="0.35">
      <c r="A431" s="33">
        <f>'Dados - Cliente'!A431</f>
        <v>0</v>
      </c>
      <c r="B431" s="33">
        <f>'Dados - Cliente'!B431</f>
        <v>0</v>
      </c>
      <c r="C431" s="33">
        <f>'Dados - Cliente'!C431</f>
        <v>0</v>
      </c>
      <c r="D431" s="33">
        <f>'Dados - Cliente'!D431</f>
        <v>0</v>
      </c>
      <c r="E431" s="33">
        <f>'Dados - Cliente'!E431</f>
        <v>0</v>
      </c>
      <c r="F431" s="33">
        <f>'Dados - Cliente'!F431</f>
        <v>0</v>
      </c>
      <c r="G431" s="33">
        <f>'Dados - Cliente'!G431</f>
        <v>0</v>
      </c>
      <c r="H431" s="33">
        <f>'Dados - Cliente'!H431</f>
        <v>0</v>
      </c>
      <c r="I431" s="75" t="s">
        <v>4313</v>
      </c>
      <c r="J431" s="52" t="s">
        <v>4314</v>
      </c>
      <c r="K431" s="52" t="s">
        <v>4314</v>
      </c>
      <c r="L431" s="33">
        <f>'Dados - Cliente'!I431</f>
        <v>0</v>
      </c>
      <c r="M431" s="33">
        <f>'Dados - Cliente'!K431</f>
        <v>0</v>
      </c>
      <c r="N431" s="33">
        <f>'Dados - Cliente'!L431</f>
        <v>0</v>
      </c>
      <c r="O431" s="33">
        <f>'Dados - Cliente'!M431</f>
        <v>0</v>
      </c>
      <c r="P431" s="33">
        <f>'Dados - Cliente'!N431</f>
        <v>0</v>
      </c>
      <c r="Q431" s="33">
        <f>'Dados - Cliente'!O431</f>
        <v>0</v>
      </c>
      <c r="R431" s="33">
        <f>'Dados - Cliente'!P431</f>
        <v>0</v>
      </c>
      <c r="S431" s="33">
        <f>'Dados - Cliente'!Q431</f>
        <v>0</v>
      </c>
      <c r="T431" s="33">
        <f>'Dados - Cliente'!R431</f>
        <v>0</v>
      </c>
      <c r="U431" s="34">
        <f>'Dados - Cliente'!S431</f>
        <v>0</v>
      </c>
      <c r="V431" s="34">
        <f>'Dados - Cliente'!T431</f>
        <v>0</v>
      </c>
      <c r="W431" s="34">
        <f>'Dados - Cliente'!U431</f>
        <v>0</v>
      </c>
      <c r="X431" s="34">
        <f>'Dados - Cliente'!V431</f>
        <v>0</v>
      </c>
      <c r="Y431" s="34">
        <f>'Dados - Cliente'!W431</f>
        <v>0</v>
      </c>
      <c r="Z431" s="34">
        <f>'Dados - Cliente'!X431</f>
        <v>0</v>
      </c>
      <c r="AA431" s="33" t="e">
        <f t="shared" si="27"/>
        <v>#N/A</v>
      </c>
      <c r="AB431" s="33">
        <f>'Dados - Cliente'!Y431</f>
        <v>0</v>
      </c>
      <c r="AC431" s="33">
        <f>'Dados - Cliente'!Z431</f>
        <v>0</v>
      </c>
      <c r="AD431" s="33">
        <f>'Dados - Cliente'!AA431</f>
        <v>0</v>
      </c>
      <c r="AE431" s="33">
        <f>'Dados - Cliente'!AB431</f>
        <v>0</v>
      </c>
      <c r="AF431" s="33">
        <f>'Dados - Cliente'!AC431</f>
        <v>0</v>
      </c>
      <c r="AG431" s="35">
        <f>'Dados - Cliente'!AD431</f>
        <v>0</v>
      </c>
      <c r="AH431" s="33" t="e">
        <f>INDEX('Dados - Placas'!$A:$A,MATCH('1'!AG431,'Dados - Placas'!$D:$D,0))</f>
        <v>#N/A</v>
      </c>
      <c r="AI431" s="35" t="e">
        <f>INDEX('Dados - Placas'!$E:$E,MATCH('1'!AG431,'Dados - Placas'!$D:$D,0))</f>
        <v>#N/A</v>
      </c>
      <c r="AJ431" s="34" t="e">
        <f>INDEX('Dados - Placas'!$F:$F,MATCH('1'!AG431,'Dados - Placas'!$D:$D,0))*AF431</f>
        <v>#N/A</v>
      </c>
      <c r="AK431" s="33">
        <f>'Dados - Cliente'!AE431</f>
        <v>0</v>
      </c>
      <c r="AL431" s="33">
        <f>'Dados - Cliente'!AF431</f>
        <v>0</v>
      </c>
      <c r="AM431" s="36" t="e">
        <f>INDEX('Dados - Inversores'!$A:$A,MATCH('1'!AL431,'Dados - Inversores'!$C:$C,0))</f>
        <v>#N/A</v>
      </c>
      <c r="AN431" s="33">
        <f>'Dados - Cliente'!AG431</f>
        <v>0</v>
      </c>
      <c r="AO431" s="33" t="e">
        <f>AA431*1.25/(0.22*SQRT(INDEX('Dados - Inversores'!AK:AK,MATCH('1'!AL431,'Dados - Inversores'!C:C,0))))</f>
        <v>#N/A</v>
      </c>
      <c r="AP431" s="34">
        <f>INDEX(Dados!$E$2:$E$33,COUNTIF(Dados!$E$2:$E$33,"&lt;="&amp;AN431*1.25/(INDEX('Dados - Inversores'!AL:AL,MATCH('1'!AL431,'Dados - Inversores'!C:C,0))*SQRT(INDEX('Dados - Inversores'!AK:AK,MATCH('1'!AL431,'Dados - Inversores'!C:C,0)))))+1)</f>
        <v>2</v>
      </c>
      <c r="AQ431" s="33" t="s">
        <v>59</v>
      </c>
      <c r="AR431" s="33" t="str">
        <f t="shared" si="28"/>
        <v>Micro</v>
      </c>
      <c r="AS431" s="33">
        <f>'Dados - Cliente'!AH431</f>
        <v>0</v>
      </c>
      <c r="AT431" s="33">
        <f>'Dados - Cliente'!AI431</f>
        <v>0</v>
      </c>
      <c r="AU431" s="33" t="e">
        <f>INDEX('Dados - Placas'!$N:$N,MATCH('1'!AG431,'Dados - Placas'!$D:$D,0))-1</f>
        <v>#N/A</v>
      </c>
      <c r="AV431" s="33" t="e">
        <f>INDEX('Dados - Placas'!$O:$O,MATCH('1'!AG431,'Dados - Placas'!$D:$D,0))</f>
        <v>#N/A</v>
      </c>
      <c r="AW431" s="33" t="e">
        <f>INDEX('Dados - Inversores'!AM:AM,MATCH('1'!AL431,'Dados - Inversores'!$C:$C,0))-1</f>
        <v>#N/A</v>
      </c>
      <c r="AX431" s="33" t="e">
        <f>INDEX('Dados - Inversores'!AN:AN,MATCH('1'!AL431,'Dados - Inversores'!$C:$C,0))-1</f>
        <v>#N/A</v>
      </c>
      <c r="AY431" s="33" t="e">
        <f>MATCH('1'!H431,Dados!$D$89:$D$167,0)+1</f>
        <v>#N/A</v>
      </c>
      <c r="AZ431" s="33" t="e">
        <f>MATCH('1'!N431,'Dados - Solicitação de acesso'!$N$2:$N$8,0)</f>
        <v>#N/A</v>
      </c>
      <c r="BA431" s="33" t="e">
        <f>MATCH('1'!T431,'Dados - Solicitação de acesso'!$T$2:$T$20,0)</f>
        <v>#N/A</v>
      </c>
    </row>
    <row r="432" spans="1:53" x14ac:dyDescent="0.35">
      <c r="A432" s="33">
        <f>'Dados - Cliente'!A432</f>
        <v>0</v>
      </c>
      <c r="B432" s="33">
        <f>'Dados - Cliente'!B432</f>
        <v>0</v>
      </c>
      <c r="C432" s="33">
        <f>'Dados - Cliente'!C432</f>
        <v>0</v>
      </c>
      <c r="D432" s="33">
        <f>'Dados - Cliente'!D432</f>
        <v>0</v>
      </c>
      <c r="E432" s="33">
        <f>'Dados - Cliente'!E432</f>
        <v>0</v>
      </c>
      <c r="F432" s="33">
        <f>'Dados - Cliente'!F432</f>
        <v>0</v>
      </c>
      <c r="G432" s="33">
        <f>'Dados - Cliente'!G432</f>
        <v>0</v>
      </c>
      <c r="H432" s="33">
        <f>'Dados - Cliente'!H432</f>
        <v>0</v>
      </c>
      <c r="I432" s="75" t="s">
        <v>4313</v>
      </c>
      <c r="J432" s="52" t="s">
        <v>4314</v>
      </c>
      <c r="K432" s="52" t="s">
        <v>4314</v>
      </c>
      <c r="L432" s="33">
        <f>'Dados - Cliente'!I432</f>
        <v>0</v>
      </c>
      <c r="M432" s="33">
        <f>'Dados - Cliente'!K432</f>
        <v>0</v>
      </c>
      <c r="N432" s="33">
        <f>'Dados - Cliente'!L432</f>
        <v>0</v>
      </c>
      <c r="O432" s="33">
        <f>'Dados - Cliente'!M432</f>
        <v>0</v>
      </c>
      <c r="P432" s="33">
        <f>'Dados - Cliente'!N432</f>
        <v>0</v>
      </c>
      <c r="Q432" s="33">
        <f>'Dados - Cliente'!O432</f>
        <v>0</v>
      </c>
      <c r="R432" s="33">
        <f>'Dados - Cliente'!P432</f>
        <v>0</v>
      </c>
      <c r="S432" s="33">
        <f>'Dados - Cliente'!Q432</f>
        <v>0</v>
      </c>
      <c r="T432" s="33">
        <f>'Dados - Cliente'!R432</f>
        <v>0</v>
      </c>
      <c r="U432" s="34">
        <f>'Dados - Cliente'!S432</f>
        <v>0</v>
      </c>
      <c r="V432" s="34">
        <f>'Dados - Cliente'!T432</f>
        <v>0</v>
      </c>
      <c r="W432" s="34">
        <f>'Dados - Cliente'!U432</f>
        <v>0</v>
      </c>
      <c r="X432" s="34">
        <f>'Dados - Cliente'!V432</f>
        <v>0</v>
      </c>
      <c r="Y432" s="34">
        <f>'Dados - Cliente'!W432</f>
        <v>0</v>
      </c>
      <c r="Z432" s="34">
        <f>'Dados - Cliente'!X432</f>
        <v>0</v>
      </c>
      <c r="AA432" s="33" t="e">
        <f t="shared" si="27"/>
        <v>#N/A</v>
      </c>
      <c r="AB432" s="33">
        <f>'Dados - Cliente'!Y432</f>
        <v>0</v>
      </c>
      <c r="AC432" s="33">
        <f>'Dados - Cliente'!Z432</f>
        <v>0</v>
      </c>
      <c r="AD432" s="33">
        <f>'Dados - Cliente'!AA432</f>
        <v>0</v>
      </c>
      <c r="AE432" s="33">
        <f>'Dados - Cliente'!AB432</f>
        <v>0</v>
      </c>
      <c r="AF432" s="33">
        <f>'Dados - Cliente'!AC432</f>
        <v>0</v>
      </c>
      <c r="AG432" s="35">
        <f>'Dados - Cliente'!AD432</f>
        <v>0</v>
      </c>
      <c r="AH432" s="33" t="e">
        <f>INDEX('Dados - Placas'!$A:$A,MATCH('1'!AG432,'Dados - Placas'!$D:$D,0))</f>
        <v>#N/A</v>
      </c>
      <c r="AI432" s="35" t="e">
        <f>INDEX('Dados - Placas'!$E:$E,MATCH('1'!AG432,'Dados - Placas'!$D:$D,0))</f>
        <v>#N/A</v>
      </c>
      <c r="AJ432" s="34" t="e">
        <f>INDEX('Dados - Placas'!$F:$F,MATCH('1'!AG432,'Dados - Placas'!$D:$D,0))*AF432</f>
        <v>#N/A</v>
      </c>
      <c r="AK432" s="33">
        <f>'Dados - Cliente'!AE432</f>
        <v>0</v>
      </c>
      <c r="AL432" s="33">
        <f>'Dados - Cliente'!AF432</f>
        <v>0</v>
      </c>
      <c r="AM432" s="36" t="e">
        <f>INDEX('Dados - Inversores'!$A:$A,MATCH('1'!AL432,'Dados - Inversores'!$C:$C,0))</f>
        <v>#N/A</v>
      </c>
      <c r="AN432" s="33">
        <f>'Dados - Cliente'!AG432</f>
        <v>0</v>
      </c>
      <c r="AO432" s="33" t="e">
        <f>AA432*1.25/(0.22*SQRT(INDEX('Dados - Inversores'!AK:AK,MATCH('1'!AL432,'Dados - Inversores'!C:C,0))))</f>
        <v>#N/A</v>
      </c>
      <c r="AP432" s="34">
        <f>INDEX(Dados!$E$2:$E$33,COUNTIF(Dados!$E$2:$E$33,"&lt;="&amp;AN432*1.25/(INDEX('Dados - Inversores'!AL:AL,MATCH('1'!AL432,'Dados - Inversores'!C:C,0))*SQRT(INDEX('Dados - Inversores'!AK:AK,MATCH('1'!AL432,'Dados - Inversores'!C:C,0)))))+1)</f>
        <v>2</v>
      </c>
      <c r="AQ432" s="33" t="s">
        <v>59</v>
      </c>
      <c r="AR432" s="33" t="str">
        <f t="shared" si="28"/>
        <v>Micro</v>
      </c>
      <c r="AS432" s="33">
        <f>'Dados - Cliente'!AH432</f>
        <v>0</v>
      </c>
      <c r="AT432" s="33">
        <f>'Dados - Cliente'!AI432</f>
        <v>0</v>
      </c>
      <c r="AU432" s="33" t="e">
        <f>INDEX('Dados - Placas'!$N:$N,MATCH('1'!AG432,'Dados - Placas'!$D:$D,0))-1</f>
        <v>#N/A</v>
      </c>
      <c r="AV432" s="33" t="e">
        <f>INDEX('Dados - Placas'!$O:$O,MATCH('1'!AG432,'Dados - Placas'!$D:$D,0))</f>
        <v>#N/A</v>
      </c>
      <c r="AW432" s="33" t="e">
        <f>INDEX('Dados - Inversores'!AM:AM,MATCH('1'!AL432,'Dados - Inversores'!$C:$C,0))-1</f>
        <v>#N/A</v>
      </c>
      <c r="AX432" s="33" t="e">
        <f>INDEX('Dados - Inversores'!AN:AN,MATCH('1'!AL432,'Dados - Inversores'!$C:$C,0))-1</f>
        <v>#N/A</v>
      </c>
      <c r="AY432" s="33" t="e">
        <f>MATCH('1'!H432,Dados!$D$89:$D$167,0)+1</f>
        <v>#N/A</v>
      </c>
      <c r="AZ432" s="33" t="e">
        <f>MATCH('1'!N432,'Dados - Solicitação de acesso'!$N$2:$N$8,0)</f>
        <v>#N/A</v>
      </c>
      <c r="BA432" s="33" t="e">
        <f>MATCH('1'!T432,'Dados - Solicitação de acesso'!$T$2:$T$20,0)</f>
        <v>#N/A</v>
      </c>
    </row>
    <row r="433" spans="1:53" x14ac:dyDescent="0.35">
      <c r="A433" s="33">
        <f>'Dados - Cliente'!A433</f>
        <v>0</v>
      </c>
      <c r="B433" s="33">
        <f>'Dados - Cliente'!B433</f>
        <v>0</v>
      </c>
      <c r="C433" s="33">
        <f>'Dados - Cliente'!C433</f>
        <v>0</v>
      </c>
      <c r="D433" s="33">
        <f>'Dados - Cliente'!D433</f>
        <v>0</v>
      </c>
      <c r="E433" s="33">
        <f>'Dados - Cliente'!E433</f>
        <v>0</v>
      </c>
      <c r="F433" s="33">
        <f>'Dados - Cliente'!F433</f>
        <v>0</v>
      </c>
      <c r="G433" s="33">
        <f>'Dados - Cliente'!G433</f>
        <v>0</v>
      </c>
      <c r="H433" s="33">
        <f>'Dados - Cliente'!H433</f>
        <v>0</v>
      </c>
      <c r="I433" s="75" t="s">
        <v>4313</v>
      </c>
      <c r="J433" s="52" t="s">
        <v>4314</v>
      </c>
      <c r="K433" s="52" t="s">
        <v>4314</v>
      </c>
      <c r="L433" s="33">
        <f>'Dados - Cliente'!I433</f>
        <v>0</v>
      </c>
      <c r="M433" s="33">
        <f>'Dados - Cliente'!K433</f>
        <v>0</v>
      </c>
      <c r="N433" s="33">
        <f>'Dados - Cliente'!L433</f>
        <v>0</v>
      </c>
      <c r="O433" s="33">
        <f>'Dados - Cliente'!M433</f>
        <v>0</v>
      </c>
      <c r="P433" s="33">
        <f>'Dados - Cliente'!N433</f>
        <v>0</v>
      </c>
      <c r="Q433" s="33">
        <f>'Dados - Cliente'!O433</f>
        <v>0</v>
      </c>
      <c r="R433" s="33">
        <f>'Dados - Cliente'!P433</f>
        <v>0</v>
      </c>
      <c r="S433" s="33">
        <f>'Dados - Cliente'!Q433</f>
        <v>0</v>
      </c>
      <c r="T433" s="33">
        <f>'Dados - Cliente'!R433</f>
        <v>0</v>
      </c>
      <c r="U433" s="34">
        <f>'Dados - Cliente'!S433</f>
        <v>0</v>
      </c>
      <c r="V433" s="34">
        <f>'Dados - Cliente'!T433</f>
        <v>0</v>
      </c>
      <c r="W433" s="34">
        <f>'Dados - Cliente'!U433</f>
        <v>0</v>
      </c>
      <c r="X433" s="34">
        <f>'Dados - Cliente'!V433</f>
        <v>0</v>
      </c>
      <c r="Y433" s="34">
        <f>'Dados - Cliente'!W433</f>
        <v>0</v>
      </c>
      <c r="Z433" s="34">
        <f>'Dados - Cliente'!X433</f>
        <v>0</v>
      </c>
      <c r="AA433" s="33" t="e">
        <f t="shared" si="27"/>
        <v>#N/A</v>
      </c>
      <c r="AB433" s="33">
        <f>'Dados - Cliente'!Y433</f>
        <v>0</v>
      </c>
      <c r="AC433" s="33">
        <f>'Dados - Cliente'!Z433</f>
        <v>0</v>
      </c>
      <c r="AD433" s="33">
        <f>'Dados - Cliente'!AA433</f>
        <v>0</v>
      </c>
      <c r="AE433" s="33">
        <f>'Dados - Cliente'!AB433</f>
        <v>0</v>
      </c>
      <c r="AF433" s="33">
        <f>'Dados - Cliente'!AC433</f>
        <v>0</v>
      </c>
      <c r="AG433" s="35">
        <f>'Dados - Cliente'!AD433</f>
        <v>0</v>
      </c>
      <c r="AH433" s="33" t="e">
        <f>INDEX('Dados - Placas'!$A:$A,MATCH('1'!AG433,'Dados - Placas'!$D:$D,0))</f>
        <v>#N/A</v>
      </c>
      <c r="AI433" s="35" t="e">
        <f>INDEX('Dados - Placas'!$E:$E,MATCH('1'!AG433,'Dados - Placas'!$D:$D,0))</f>
        <v>#N/A</v>
      </c>
      <c r="AJ433" s="34" t="e">
        <f>INDEX('Dados - Placas'!$F:$F,MATCH('1'!AG433,'Dados - Placas'!$D:$D,0))*AF433</f>
        <v>#N/A</v>
      </c>
      <c r="AK433" s="33">
        <f>'Dados - Cliente'!AE433</f>
        <v>0</v>
      </c>
      <c r="AL433" s="33">
        <f>'Dados - Cliente'!AF433</f>
        <v>0</v>
      </c>
      <c r="AM433" s="36" t="e">
        <f>INDEX('Dados - Inversores'!$A:$A,MATCH('1'!AL433,'Dados - Inversores'!$C:$C,0))</f>
        <v>#N/A</v>
      </c>
      <c r="AN433" s="33">
        <f>'Dados - Cliente'!AG433</f>
        <v>0</v>
      </c>
      <c r="AO433" s="33" t="e">
        <f>AA433*1.25/(0.22*SQRT(INDEX('Dados - Inversores'!AK:AK,MATCH('1'!AL433,'Dados - Inversores'!C:C,0))))</f>
        <v>#N/A</v>
      </c>
      <c r="AP433" s="34">
        <f>INDEX(Dados!$E$2:$E$33,COUNTIF(Dados!$E$2:$E$33,"&lt;="&amp;AN433*1.25/(INDEX('Dados - Inversores'!AL:AL,MATCH('1'!AL433,'Dados - Inversores'!C:C,0))*SQRT(INDEX('Dados - Inversores'!AK:AK,MATCH('1'!AL433,'Dados - Inversores'!C:C,0)))))+1)</f>
        <v>2</v>
      </c>
      <c r="AQ433" s="33" t="s">
        <v>59</v>
      </c>
      <c r="AR433" s="33" t="str">
        <f t="shared" si="28"/>
        <v>Micro</v>
      </c>
      <c r="AS433" s="33">
        <f>'Dados - Cliente'!AH433</f>
        <v>0</v>
      </c>
      <c r="AT433" s="33">
        <f>'Dados - Cliente'!AI433</f>
        <v>0</v>
      </c>
      <c r="AU433" s="33" t="e">
        <f>INDEX('Dados - Placas'!$N:$N,MATCH('1'!AG433,'Dados - Placas'!$D:$D,0))-1</f>
        <v>#N/A</v>
      </c>
      <c r="AV433" s="33" t="e">
        <f>INDEX('Dados - Placas'!$O:$O,MATCH('1'!AG433,'Dados - Placas'!$D:$D,0))</f>
        <v>#N/A</v>
      </c>
      <c r="AW433" s="33" t="e">
        <f>INDEX('Dados - Inversores'!AM:AM,MATCH('1'!AL433,'Dados - Inversores'!$C:$C,0))-1</f>
        <v>#N/A</v>
      </c>
      <c r="AX433" s="33" t="e">
        <f>INDEX('Dados - Inversores'!AN:AN,MATCH('1'!AL433,'Dados - Inversores'!$C:$C,0))-1</f>
        <v>#N/A</v>
      </c>
      <c r="AY433" s="33" t="e">
        <f>MATCH('1'!H433,Dados!$D$89:$D$167,0)+1</f>
        <v>#N/A</v>
      </c>
      <c r="AZ433" s="33" t="e">
        <f>MATCH('1'!N433,'Dados - Solicitação de acesso'!$N$2:$N$8,0)</f>
        <v>#N/A</v>
      </c>
      <c r="BA433" s="33" t="e">
        <f>MATCH('1'!T433,'Dados - Solicitação de acesso'!$T$2:$T$20,0)</f>
        <v>#N/A</v>
      </c>
    </row>
    <row r="434" spans="1:53" x14ac:dyDescent="0.35">
      <c r="A434" s="33">
        <f>'Dados - Cliente'!A434</f>
        <v>0</v>
      </c>
      <c r="B434" s="33">
        <f>'Dados - Cliente'!B434</f>
        <v>0</v>
      </c>
      <c r="C434" s="33">
        <f>'Dados - Cliente'!C434</f>
        <v>0</v>
      </c>
      <c r="D434" s="33">
        <f>'Dados - Cliente'!D434</f>
        <v>0</v>
      </c>
      <c r="E434" s="33">
        <f>'Dados - Cliente'!E434</f>
        <v>0</v>
      </c>
      <c r="F434" s="33">
        <f>'Dados - Cliente'!F434</f>
        <v>0</v>
      </c>
      <c r="G434" s="33">
        <f>'Dados - Cliente'!G434</f>
        <v>0</v>
      </c>
      <c r="H434" s="33">
        <f>'Dados - Cliente'!H434</f>
        <v>0</v>
      </c>
      <c r="I434" s="75" t="s">
        <v>4313</v>
      </c>
      <c r="J434" s="52" t="s">
        <v>4314</v>
      </c>
      <c r="K434" s="52" t="s">
        <v>4314</v>
      </c>
      <c r="L434" s="33">
        <f>'Dados - Cliente'!I434</f>
        <v>0</v>
      </c>
      <c r="M434" s="33">
        <f>'Dados - Cliente'!K434</f>
        <v>0</v>
      </c>
      <c r="N434" s="33">
        <f>'Dados - Cliente'!L434</f>
        <v>0</v>
      </c>
      <c r="O434" s="33">
        <f>'Dados - Cliente'!M434</f>
        <v>0</v>
      </c>
      <c r="P434" s="33">
        <f>'Dados - Cliente'!N434</f>
        <v>0</v>
      </c>
      <c r="Q434" s="33">
        <f>'Dados - Cliente'!O434</f>
        <v>0</v>
      </c>
      <c r="R434" s="33">
        <f>'Dados - Cliente'!P434</f>
        <v>0</v>
      </c>
      <c r="S434" s="33">
        <f>'Dados - Cliente'!Q434</f>
        <v>0</v>
      </c>
      <c r="T434" s="33">
        <f>'Dados - Cliente'!R434</f>
        <v>0</v>
      </c>
      <c r="U434" s="34">
        <f>'Dados - Cliente'!S434</f>
        <v>0</v>
      </c>
      <c r="V434" s="34">
        <f>'Dados - Cliente'!T434</f>
        <v>0</v>
      </c>
      <c r="W434" s="34">
        <f>'Dados - Cliente'!U434</f>
        <v>0</v>
      </c>
      <c r="X434" s="34">
        <f>'Dados - Cliente'!V434</f>
        <v>0</v>
      </c>
      <c r="Y434" s="34">
        <f>'Dados - Cliente'!W434</f>
        <v>0</v>
      </c>
      <c r="Z434" s="34">
        <f>'Dados - Cliente'!X434</f>
        <v>0</v>
      </c>
      <c r="AA434" s="33" t="e">
        <f t="shared" si="27"/>
        <v>#N/A</v>
      </c>
      <c r="AB434" s="33">
        <f>'Dados - Cliente'!Y434</f>
        <v>0</v>
      </c>
      <c r="AC434" s="33">
        <f>'Dados - Cliente'!Z434</f>
        <v>0</v>
      </c>
      <c r="AD434" s="33">
        <f>'Dados - Cliente'!AA434</f>
        <v>0</v>
      </c>
      <c r="AE434" s="33">
        <f>'Dados - Cliente'!AB434</f>
        <v>0</v>
      </c>
      <c r="AF434" s="33">
        <f>'Dados - Cliente'!AC434</f>
        <v>0</v>
      </c>
      <c r="AG434" s="35">
        <f>'Dados - Cliente'!AD434</f>
        <v>0</v>
      </c>
      <c r="AH434" s="33" t="e">
        <f>INDEX('Dados - Placas'!$A:$A,MATCH('1'!AG434,'Dados - Placas'!$D:$D,0))</f>
        <v>#N/A</v>
      </c>
      <c r="AI434" s="35" t="e">
        <f>INDEX('Dados - Placas'!$E:$E,MATCH('1'!AG434,'Dados - Placas'!$D:$D,0))</f>
        <v>#N/A</v>
      </c>
      <c r="AJ434" s="34" t="e">
        <f>INDEX('Dados - Placas'!$F:$F,MATCH('1'!AG434,'Dados - Placas'!$D:$D,0))*AF434</f>
        <v>#N/A</v>
      </c>
      <c r="AK434" s="33">
        <f>'Dados - Cliente'!AE434</f>
        <v>0</v>
      </c>
      <c r="AL434" s="33">
        <f>'Dados - Cliente'!AF434</f>
        <v>0</v>
      </c>
      <c r="AM434" s="36" t="e">
        <f>INDEX('Dados - Inversores'!$A:$A,MATCH('1'!AL434,'Dados - Inversores'!$C:$C,0))</f>
        <v>#N/A</v>
      </c>
      <c r="AN434" s="33">
        <f>'Dados - Cliente'!AG434</f>
        <v>0</v>
      </c>
      <c r="AO434" s="33" t="e">
        <f>AA434*1.25/(0.22*SQRT(INDEX('Dados - Inversores'!AK:AK,MATCH('1'!AL434,'Dados - Inversores'!C:C,0))))</f>
        <v>#N/A</v>
      </c>
      <c r="AP434" s="34">
        <f>INDEX(Dados!$E$2:$E$33,COUNTIF(Dados!$E$2:$E$33,"&lt;="&amp;AN434*1.25/(INDEX('Dados - Inversores'!AL:AL,MATCH('1'!AL434,'Dados - Inversores'!C:C,0))*SQRT(INDEX('Dados - Inversores'!AK:AK,MATCH('1'!AL434,'Dados - Inversores'!C:C,0)))))+1)</f>
        <v>2</v>
      </c>
      <c r="AQ434" s="33" t="s">
        <v>59</v>
      </c>
      <c r="AR434" s="33" t="str">
        <f t="shared" si="28"/>
        <v>Micro</v>
      </c>
      <c r="AS434" s="33">
        <f>'Dados - Cliente'!AH434</f>
        <v>0</v>
      </c>
      <c r="AT434" s="33">
        <f>'Dados - Cliente'!AI434</f>
        <v>0</v>
      </c>
      <c r="AU434" s="33" t="e">
        <f>INDEX('Dados - Placas'!$N:$N,MATCH('1'!AG434,'Dados - Placas'!$D:$D,0))-1</f>
        <v>#N/A</v>
      </c>
      <c r="AV434" s="33" t="e">
        <f>INDEX('Dados - Placas'!$O:$O,MATCH('1'!AG434,'Dados - Placas'!$D:$D,0))</f>
        <v>#N/A</v>
      </c>
      <c r="AW434" s="33" t="e">
        <f>INDEX('Dados - Inversores'!AM:AM,MATCH('1'!AL434,'Dados - Inversores'!$C:$C,0))-1</f>
        <v>#N/A</v>
      </c>
      <c r="AX434" s="33" t="e">
        <f>INDEX('Dados - Inversores'!AN:AN,MATCH('1'!AL434,'Dados - Inversores'!$C:$C,0))-1</f>
        <v>#N/A</v>
      </c>
      <c r="AY434" s="33" t="e">
        <f>MATCH('1'!H434,Dados!$D$89:$D$167,0)+1</f>
        <v>#N/A</v>
      </c>
      <c r="AZ434" s="33" t="e">
        <f>MATCH('1'!N434,'Dados - Solicitação de acesso'!$N$2:$N$8,0)</f>
        <v>#N/A</v>
      </c>
      <c r="BA434" s="33" t="e">
        <f>MATCH('1'!T434,'Dados - Solicitação de acesso'!$T$2:$T$20,0)</f>
        <v>#N/A</v>
      </c>
    </row>
    <row r="435" spans="1:53" x14ac:dyDescent="0.35">
      <c r="A435" s="33">
        <f>'Dados - Cliente'!A435</f>
        <v>0</v>
      </c>
      <c r="B435" s="33">
        <f>'Dados - Cliente'!B435</f>
        <v>0</v>
      </c>
      <c r="C435" s="33">
        <f>'Dados - Cliente'!C435</f>
        <v>0</v>
      </c>
      <c r="D435" s="33">
        <f>'Dados - Cliente'!D435</f>
        <v>0</v>
      </c>
      <c r="E435" s="33">
        <f>'Dados - Cliente'!E435</f>
        <v>0</v>
      </c>
      <c r="F435" s="33">
        <f>'Dados - Cliente'!F435</f>
        <v>0</v>
      </c>
      <c r="G435" s="33">
        <f>'Dados - Cliente'!G435</f>
        <v>0</v>
      </c>
      <c r="H435" s="33">
        <f>'Dados - Cliente'!H435</f>
        <v>0</v>
      </c>
      <c r="I435" s="75" t="s">
        <v>4313</v>
      </c>
      <c r="J435" s="52" t="s">
        <v>4314</v>
      </c>
      <c r="K435" s="52" t="s">
        <v>4314</v>
      </c>
      <c r="L435" s="33">
        <f>'Dados - Cliente'!I435</f>
        <v>0</v>
      </c>
      <c r="M435" s="33">
        <f>'Dados - Cliente'!K435</f>
        <v>0</v>
      </c>
      <c r="N435" s="33">
        <f>'Dados - Cliente'!L435</f>
        <v>0</v>
      </c>
      <c r="O435" s="33">
        <f>'Dados - Cliente'!M435</f>
        <v>0</v>
      </c>
      <c r="P435" s="33">
        <f>'Dados - Cliente'!N435</f>
        <v>0</v>
      </c>
      <c r="Q435" s="33">
        <f>'Dados - Cliente'!O435</f>
        <v>0</v>
      </c>
      <c r="R435" s="33">
        <f>'Dados - Cliente'!P435</f>
        <v>0</v>
      </c>
      <c r="S435" s="33">
        <f>'Dados - Cliente'!Q435</f>
        <v>0</v>
      </c>
      <c r="T435" s="33">
        <f>'Dados - Cliente'!R435</f>
        <v>0</v>
      </c>
      <c r="U435" s="34">
        <f>'Dados - Cliente'!S435</f>
        <v>0</v>
      </c>
      <c r="V435" s="34">
        <f>'Dados - Cliente'!T435</f>
        <v>0</v>
      </c>
      <c r="W435" s="34">
        <f>'Dados - Cliente'!U435</f>
        <v>0</v>
      </c>
      <c r="X435" s="34">
        <f>'Dados - Cliente'!V435</f>
        <v>0</v>
      </c>
      <c r="Y435" s="34">
        <f>'Dados - Cliente'!W435</f>
        <v>0</v>
      </c>
      <c r="Z435" s="34">
        <f>'Dados - Cliente'!X435</f>
        <v>0</v>
      </c>
      <c r="AA435" s="33" t="e">
        <f t="shared" ref="AA435:AA452" si="29">AI435*AF435</f>
        <v>#N/A</v>
      </c>
      <c r="AB435" s="33">
        <f>'Dados - Cliente'!Y435</f>
        <v>0</v>
      </c>
      <c r="AC435" s="33">
        <f>'Dados - Cliente'!Z435</f>
        <v>0</v>
      </c>
      <c r="AD435" s="33">
        <f>'Dados - Cliente'!AA435</f>
        <v>0</v>
      </c>
      <c r="AE435" s="33">
        <f>'Dados - Cliente'!AB435</f>
        <v>0</v>
      </c>
      <c r="AF435" s="33">
        <f>'Dados - Cliente'!AC435</f>
        <v>0</v>
      </c>
      <c r="AG435" s="35">
        <f>'Dados - Cliente'!AD435</f>
        <v>0</v>
      </c>
      <c r="AH435" s="33" t="e">
        <f>INDEX('Dados - Placas'!$A:$A,MATCH('1'!AG435,'Dados - Placas'!$D:$D,0))</f>
        <v>#N/A</v>
      </c>
      <c r="AI435" s="35" t="e">
        <f>INDEX('Dados - Placas'!$E:$E,MATCH('1'!AG435,'Dados - Placas'!$D:$D,0))</f>
        <v>#N/A</v>
      </c>
      <c r="AJ435" s="34" t="e">
        <f>INDEX('Dados - Placas'!$F:$F,MATCH('1'!AG435,'Dados - Placas'!$D:$D,0))*AF435</f>
        <v>#N/A</v>
      </c>
      <c r="AK435" s="33">
        <f>'Dados - Cliente'!AE435</f>
        <v>0</v>
      </c>
      <c r="AL435" s="33">
        <f>'Dados - Cliente'!AF435</f>
        <v>0</v>
      </c>
      <c r="AM435" s="36" t="e">
        <f>INDEX('Dados - Inversores'!$A:$A,MATCH('1'!AL435,'Dados - Inversores'!$C:$C,0))</f>
        <v>#N/A</v>
      </c>
      <c r="AN435" s="33">
        <f>'Dados - Cliente'!AG435</f>
        <v>0</v>
      </c>
      <c r="AO435" s="33" t="e">
        <f>AA435*1.25/(0.22*SQRT(INDEX('Dados - Inversores'!AK:AK,MATCH('1'!AL435,'Dados - Inversores'!C:C,0))))</f>
        <v>#N/A</v>
      </c>
      <c r="AP435" s="34">
        <f>INDEX(Dados!$E$2:$E$33,COUNTIF(Dados!$E$2:$E$33,"&lt;="&amp;AN435*1.25/(INDEX('Dados - Inversores'!AL:AL,MATCH('1'!AL435,'Dados - Inversores'!C:C,0))*SQRT(INDEX('Dados - Inversores'!AK:AK,MATCH('1'!AL435,'Dados - Inversores'!C:C,0)))))+1)</f>
        <v>2</v>
      </c>
      <c r="AQ435" s="33" t="s">
        <v>59</v>
      </c>
      <c r="AR435" s="33" t="str">
        <f t="shared" ref="AR435:AR452" si="30">IF((AN435*AK435)&gt;10,"Mini","Micro")</f>
        <v>Micro</v>
      </c>
      <c r="AS435" s="33">
        <f>'Dados - Cliente'!AH435</f>
        <v>0</v>
      </c>
      <c r="AT435" s="33">
        <f>'Dados - Cliente'!AI435</f>
        <v>0</v>
      </c>
      <c r="AU435" s="33" t="e">
        <f>INDEX('Dados - Placas'!$N:$N,MATCH('1'!AG435,'Dados - Placas'!$D:$D,0))-1</f>
        <v>#N/A</v>
      </c>
      <c r="AV435" s="33" t="e">
        <f>INDEX('Dados - Placas'!$O:$O,MATCH('1'!AG435,'Dados - Placas'!$D:$D,0))</f>
        <v>#N/A</v>
      </c>
      <c r="AW435" s="33" t="e">
        <f>INDEX('Dados - Inversores'!AM:AM,MATCH('1'!AL435,'Dados - Inversores'!$C:$C,0))-1</f>
        <v>#N/A</v>
      </c>
      <c r="AX435" s="33" t="e">
        <f>INDEX('Dados - Inversores'!AN:AN,MATCH('1'!AL435,'Dados - Inversores'!$C:$C,0))-1</f>
        <v>#N/A</v>
      </c>
      <c r="AY435" s="33" t="e">
        <f>MATCH('1'!H435,Dados!$D$89:$D$167,0)+1</f>
        <v>#N/A</v>
      </c>
      <c r="AZ435" s="33" t="e">
        <f>MATCH('1'!N435,'Dados - Solicitação de acesso'!$N$2:$N$8,0)</f>
        <v>#N/A</v>
      </c>
      <c r="BA435" s="33" t="e">
        <f>MATCH('1'!T435,'Dados - Solicitação de acesso'!$T$2:$T$20,0)</f>
        <v>#N/A</v>
      </c>
    </row>
    <row r="436" spans="1:53" x14ac:dyDescent="0.35">
      <c r="A436" s="33">
        <f>'Dados - Cliente'!A436</f>
        <v>0</v>
      </c>
      <c r="B436" s="33">
        <f>'Dados - Cliente'!B436</f>
        <v>0</v>
      </c>
      <c r="C436" s="33">
        <f>'Dados - Cliente'!C436</f>
        <v>0</v>
      </c>
      <c r="D436" s="33">
        <f>'Dados - Cliente'!D436</f>
        <v>0</v>
      </c>
      <c r="E436" s="33">
        <f>'Dados - Cliente'!E436</f>
        <v>0</v>
      </c>
      <c r="F436" s="33">
        <f>'Dados - Cliente'!F436</f>
        <v>0</v>
      </c>
      <c r="G436" s="33">
        <f>'Dados - Cliente'!G436</f>
        <v>0</v>
      </c>
      <c r="H436" s="33">
        <f>'Dados - Cliente'!H436</f>
        <v>0</v>
      </c>
      <c r="I436" s="75" t="s">
        <v>4313</v>
      </c>
      <c r="J436" s="52" t="s">
        <v>4314</v>
      </c>
      <c r="K436" s="52" t="s">
        <v>4314</v>
      </c>
      <c r="L436" s="33">
        <f>'Dados - Cliente'!I436</f>
        <v>0</v>
      </c>
      <c r="M436" s="33">
        <f>'Dados - Cliente'!K436</f>
        <v>0</v>
      </c>
      <c r="N436" s="33">
        <f>'Dados - Cliente'!L436</f>
        <v>0</v>
      </c>
      <c r="O436" s="33">
        <f>'Dados - Cliente'!M436</f>
        <v>0</v>
      </c>
      <c r="P436" s="33">
        <f>'Dados - Cliente'!N436</f>
        <v>0</v>
      </c>
      <c r="Q436" s="33">
        <f>'Dados - Cliente'!O436</f>
        <v>0</v>
      </c>
      <c r="R436" s="33">
        <f>'Dados - Cliente'!P436</f>
        <v>0</v>
      </c>
      <c r="S436" s="33">
        <f>'Dados - Cliente'!Q436</f>
        <v>0</v>
      </c>
      <c r="T436" s="33">
        <f>'Dados - Cliente'!R436</f>
        <v>0</v>
      </c>
      <c r="U436" s="34">
        <f>'Dados - Cliente'!S436</f>
        <v>0</v>
      </c>
      <c r="V436" s="34">
        <f>'Dados - Cliente'!T436</f>
        <v>0</v>
      </c>
      <c r="W436" s="34">
        <f>'Dados - Cliente'!U436</f>
        <v>0</v>
      </c>
      <c r="X436" s="34">
        <f>'Dados - Cliente'!V436</f>
        <v>0</v>
      </c>
      <c r="Y436" s="34">
        <f>'Dados - Cliente'!W436</f>
        <v>0</v>
      </c>
      <c r="Z436" s="34">
        <f>'Dados - Cliente'!X436</f>
        <v>0</v>
      </c>
      <c r="AA436" s="33" t="e">
        <f t="shared" si="29"/>
        <v>#N/A</v>
      </c>
      <c r="AB436" s="33">
        <f>'Dados - Cliente'!Y436</f>
        <v>0</v>
      </c>
      <c r="AC436" s="33">
        <f>'Dados - Cliente'!Z436</f>
        <v>0</v>
      </c>
      <c r="AD436" s="33">
        <f>'Dados - Cliente'!AA436</f>
        <v>0</v>
      </c>
      <c r="AE436" s="33">
        <f>'Dados - Cliente'!AB436</f>
        <v>0</v>
      </c>
      <c r="AF436" s="33">
        <f>'Dados - Cliente'!AC436</f>
        <v>0</v>
      </c>
      <c r="AG436" s="35">
        <f>'Dados - Cliente'!AD436</f>
        <v>0</v>
      </c>
      <c r="AH436" s="33" t="e">
        <f>INDEX('Dados - Placas'!$A:$A,MATCH('1'!AG436,'Dados - Placas'!$D:$D,0))</f>
        <v>#N/A</v>
      </c>
      <c r="AI436" s="35" t="e">
        <f>INDEX('Dados - Placas'!$E:$E,MATCH('1'!AG436,'Dados - Placas'!$D:$D,0))</f>
        <v>#N/A</v>
      </c>
      <c r="AJ436" s="34" t="e">
        <f>INDEX('Dados - Placas'!$F:$F,MATCH('1'!AG436,'Dados - Placas'!$D:$D,0))*AF436</f>
        <v>#N/A</v>
      </c>
      <c r="AK436" s="33">
        <f>'Dados - Cliente'!AE436</f>
        <v>0</v>
      </c>
      <c r="AL436" s="33">
        <f>'Dados - Cliente'!AF436</f>
        <v>0</v>
      </c>
      <c r="AM436" s="36" t="e">
        <f>INDEX('Dados - Inversores'!$A:$A,MATCH('1'!AL436,'Dados - Inversores'!$C:$C,0))</f>
        <v>#N/A</v>
      </c>
      <c r="AN436" s="33">
        <f>'Dados - Cliente'!AG436</f>
        <v>0</v>
      </c>
      <c r="AO436" s="33" t="e">
        <f>AA436*1.25/(0.22*SQRT(INDEX('Dados - Inversores'!AK:AK,MATCH('1'!AL436,'Dados - Inversores'!C:C,0))))</f>
        <v>#N/A</v>
      </c>
      <c r="AP436" s="34">
        <f>INDEX(Dados!$E$2:$E$33,COUNTIF(Dados!$E$2:$E$33,"&lt;="&amp;AN436*1.25/(INDEX('Dados - Inversores'!AL:AL,MATCH('1'!AL436,'Dados - Inversores'!C:C,0))*SQRT(INDEX('Dados - Inversores'!AK:AK,MATCH('1'!AL436,'Dados - Inversores'!C:C,0)))))+1)</f>
        <v>2</v>
      </c>
      <c r="AQ436" s="33" t="s">
        <v>59</v>
      </c>
      <c r="AR436" s="33" t="str">
        <f t="shared" si="30"/>
        <v>Micro</v>
      </c>
      <c r="AS436" s="33">
        <f>'Dados - Cliente'!AH436</f>
        <v>0</v>
      </c>
      <c r="AT436" s="33">
        <f>'Dados - Cliente'!AI436</f>
        <v>0</v>
      </c>
      <c r="AU436" s="33" t="e">
        <f>INDEX('Dados - Placas'!$N:$N,MATCH('1'!AG436,'Dados - Placas'!$D:$D,0))-1</f>
        <v>#N/A</v>
      </c>
      <c r="AV436" s="33" t="e">
        <f>INDEX('Dados - Placas'!$O:$O,MATCH('1'!AG436,'Dados - Placas'!$D:$D,0))</f>
        <v>#N/A</v>
      </c>
      <c r="AW436" s="33" t="e">
        <f>INDEX('Dados - Inversores'!AM:AM,MATCH('1'!AL436,'Dados - Inversores'!$C:$C,0))-1</f>
        <v>#N/A</v>
      </c>
      <c r="AX436" s="33" t="e">
        <f>INDEX('Dados - Inversores'!AN:AN,MATCH('1'!AL436,'Dados - Inversores'!$C:$C,0))-1</f>
        <v>#N/A</v>
      </c>
      <c r="AY436" s="33" t="e">
        <f>MATCH('1'!H436,Dados!$D$89:$D$167,0)+1</f>
        <v>#N/A</v>
      </c>
      <c r="AZ436" s="33" t="e">
        <f>MATCH('1'!N436,'Dados - Solicitação de acesso'!$N$2:$N$8,0)</f>
        <v>#N/A</v>
      </c>
      <c r="BA436" s="33" t="e">
        <f>MATCH('1'!T436,'Dados - Solicitação de acesso'!$T$2:$T$20,0)</f>
        <v>#N/A</v>
      </c>
    </row>
    <row r="437" spans="1:53" x14ac:dyDescent="0.35">
      <c r="A437" s="33">
        <f>'Dados - Cliente'!A437</f>
        <v>0</v>
      </c>
      <c r="B437" s="33">
        <f>'Dados - Cliente'!B437</f>
        <v>0</v>
      </c>
      <c r="C437" s="33">
        <f>'Dados - Cliente'!C437</f>
        <v>0</v>
      </c>
      <c r="D437" s="33">
        <f>'Dados - Cliente'!D437</f>
        <v>0</v>
      </c>
      <c r="E437" s="33">
        <f>'Dados - Cliente'!E437</f>
        <v>0</v>
      </c>
      <c r="F437" s="33">
        <f>'Dados - Cliente'!F437</f>
        <v>0</v>
      </c>
      <c r="G437" s="33">
        <f>'Dados - Cliente'!G437</f>
        <v>0</v>
      </c>
      <c r="H437" s="33">
        <f>'Dados - Cliente'!H437</f>
        <v>0</v>
      </c>
      <c r="I437" s="75" t="s">
        <v>4313</v>
      </c>
      <c r="J437" s="52" t="s">
        <v>4314</v>
      </c>
      <c r="K437" s="52" t="s">
        <v>4314</v>
      </c>
      <c r="L437" s="33">
        <f>'Dados - Cliente'!I437</f>
        <v>0</v>
      </c>
      <c r="M437" s="33">
        <f>'Dados - Cliente'!K437</f>
        <v>0</v>
      </c>
      <c r="N437" s="33">
        <f>'Dados - Cliente'!L437</f>
        <v>0</v>
      </c>
      <c r="O437" s="33">
        <f>'Dados - Cliente'!M437</f>
        <v>0</v>
      </c>
      <c r="P437" s="33">
        <f>'Dados - Cliente'!N437</f>
        <v>0</v>
      </c>
      <c r="Q437" s="33">
        <f>'Dados - Cliente'!O437</f>
        <v>0</v>
      </c>
      <c r="R437" s="33">
        <f>'Dados - Cliente'!P437</f>
        <v>0</v>
      </c>
      <c r="S437" s="33">
        <f>'Dados - Cliente'!Q437</f>
        <v>0</v>
      </c>
      <c r="T437" s="33">
        <f>'Dados - Cliente'!R437</f>
        <v>0</v>
      </c>
      <c r="U437" s="34">
        <f>'Dados - Cliente'!S437</f>
        <v>0</v>
      </c>
      <c r="V437" s="34">
        <f>'Dados - Cliente'!T437</f>
        <v>0</v>
      </c>
      <c r="W437" s="34">
        <f>'Dados - Cliente'!U437</f>
        <v>0</v>
      </c>
      <c r="X437" s="34">
        <f>'Dados - Cliente'!V437</f>
        <v>0</v>
      </c>
      <c r="Y437" s="34">
        <f>'Dados - Cliente'!W437</f>
        <v>0</v>
      </c>
      <c r="Z437" s="34">
        <f>'Dados - Cliente'!X437</f>
        <v>0</v>
      </c>
      <c r="AA437" s="33" t="e">
        <f t="shared" si="29"/>
        <v>#N/A</v>
      </c>
      <c r="AB437" s="33">
        <f>'Dados - Cliente'!Y437</f>
        <v>0</v>
      </c>
      <c r="AC437" s="33">
        <f>'Dados - Cliente'!Z437</f>
        <v>0</v>
      </c>
      <c r="AD437" s="33">
        <f>'Dados - Cliente'!AA437</f>
        <v>0</v>
      </c>
      <c r="AE437" s="33">
        <f>'Dados - Cliente'!AB437</f>
        <v>0</v>
      </c>
      <c r="AF437" s="33">
        <f>'Dados - Cliente'!AC437</f>
        <v>0</v>
      </c>
      <c r="AG437" s="35">
        <f>'Dados - Cliente'!AD437</f>
        <v>0</v>
      </c>
      <c r="AH437" s="33" t="e">
        <f>INDEX('Dados - Placas'!$A:$A,MATCH('1'!AG437,'Dados - Placas'!$D:$D,0))</f>
        <v>#N/A</v>
      </c>
      <c r="AI437" s="35" t="e">
        <f>INDEX('Dados - Placas'!$E:$E,MATCH('1'!AG437,'Dados - Placas'!$D:$D,0))</f>
        <v>#N/A</v>
      </c>
      <c r="AJ437" s="34" t="e">
        <f>INDEX('Dados - Placas'!$F:$F,MATCH('1'!AG437,'Dados - Placas'!$D:$D,0))*AF437</f>
        <v>#N/A</v>
      </c>
      <c r="AK437" s="33">
        <f>'Dados - Cliente'!AE437</f>
        <v>0</v>
      </c>
      <c r="AL437" s="33">
        <f>'Dados - Cliente'!AF437</f>
        <v>0</v>
      </c>
      <c r="AM437" s="36" t="e">
        <f>INDEX('Dados - Inversores'!$A:$A,MATCH('1'!AL437,'Dados - Inversores'!$C:$C,0))</f>
        <v>#N/A</v>
      </c>
      <c r="AN437" s="33">
        <f>'Dados - Cliente'!AG437</f>
        <v>0</v>
      </c>
      <c r="AO437" s="33" t="e">
        <f>AA437*1.25/(0.22*SQRT(INDEX('Dados - Inversores'!AK:AK,MATCH('1'!AL437,'Dados - Inversores'!C:C,0))))</f>
        <v>#N/A</v>
      </c>
      <c r="AP437" s="34">
        <f>INDEX(Dados!$E$2:$E$33,COUNTIF(Dados!$E$2:$E$33,"&lt;="&amp;AN437*1.25/(INDEX('Dados - Inversores'!AL:AL,MATCH('1'!AL437,'Dados - Inversores'!C:C,0))*SQRT(INDEX('Dados - Inversores'!AK:AK,MATCH('1'!AL437,'Dados - Inversores'!C:C,0)))))+1)</f>
        <v>2</v>
      </c>
      <c r="AQ437" s="33" t="s">
        <v>59</v>
      </c>
      <c r="AR437" s="33" t="str">
        <f t="shared" si="30"/>
        <v>Micro</v>
      </c>
      <c r="AS437" s="33">
        <f>'Dados - Cliente'!AH437</f>
        <v>0</v>
      </c>
      <c r="AT437" s="33">
        <f>'Dados - Cliente'!AI437</f>
        <v>0</v>
      </c>
      <c r="AU437" s="33" t="e">
        <f>INDEX('Dados - Placas'!$N:$N,MATCH('1'!AG437,'Dados - Placas'!$D:$D,0))-1</f>
        <v>#N/A</v>
      </c>
      <c r="AV437" s="33" t="e">
        <f>INDEX('Dados - Placas'!$O:$O,MATCH('1'!AG437,'Dados - Placas'!$D:$D,0))</f>
        <v>#N/A</v>
      </c>
      <c r="AW437" s="33" t="e">
        <f>INDEX('Dados - Inversores'!AM:AM,MATCH('1'!AL437,'Dados - Inversores'!$C:$C,0))-1</f>
        <v>#N/A</v>
      </c>
      <c r="AX437" s="33" t="e">
        <f>INDEX('Dados - Inversores'!AN:AN,MATCH('1'!AL437,'Dados - Inversores'!$C:$C,0))-1</f>
        <v>#N/A</v>
      </c>
      <c r="AY437" s="33" t="e">
        <f>MATCH('1'!H437,Dados!$D$89:$D$167,0)+1</f>
        <v>#N/A</v>
      </c>
      <c r="AZ437" s="33" t="e">
        <f>MATCH('1'!N437,'Dados - Solicitação de acesso'!$N$2:$N$8,0)</f>
        <v>#N/A</v>
      </c>
      <c r="BA437" s="33" t="e">
        <f>MATCH('1'!T437,'Dados - Solicitação de acesso'!$T$2:$T$20,0)</f>
        <v>#N/A</v>
      </c>
    </row>
    <row r="438" spans="1:53" x14ac:dyDescent="0.35">
      <c r="A438" s="33">
        <f>'Dados - Cliente'!A438</f>
        <v>0</v>
      </c>
      <c r="B438" s="33">
        <f>'Dados - Cliente'!B438</f>
        <v>0</v>
      </c>
      <c r="C438" s="33">
        <f>'Dados - Cliente'!C438</f>
        <v>0</v>
      </c>
      <c r="D438" s="33">
        <f>'Dados - Cliente'!D438</f>
        <v>0</v>
      </c>
      <c r="E438" s="33">
        <f>'Dados - Cliente'!E438</f>
        <v>0</v>
      </c>
      <c r="F438" s="33">
        <f>'Dados - Cliente'!F438</f>
        <v>0</v>
      </c>
      <c r="G438" s="33">
        <f>'Dados - Cliente'!G438</f>
        <v>0</v>
      </c>
      <c r="H438" s="33">
        <f>'Dados - Cliente'!H438</f>
        <v>0</v>
      </c>
      <c r="I438" s="75" t="s">
        <v>4313</v>
      </c>
      <c r="J438" s="52" t="s">
        <v>4314</v>
      </c>
      <c r="K438" s="52" t="s">
        <v>4314</v>
      </c>
      <c r="L438" s="33">
        <f>'Dados - Cliente'!I438</f>
        <v>0</v>
      </c>
      <c r="M438" s="33">
        <f>'Dados - Cliente'!K438</f>
        <v>0</v>
      </c>
      <c r="N438" s="33">
        <f>'Dados - Cliente'!L438</f>
        <v>0</v>
      </c>
      <c r="O438" s="33">
        <f>'Dados - Cliente'!M438</f>
        <v>0</v>
      </c>
      <c r="P438" s="33">
        <f>'Dados - Cliente'!N438</f>
        <v>0</v>
      </c>
      <c r="Q438" s="33">
        <f>'Dados - Cliente'!O438</f>
        <v>0</v>
      </c>
      <c r="R438" s="33">
        <f>'Dados - Cliente'!P438</f>
        <v>0</v>
      </c>
      <c r="S438" s="33">
        <f>'Dados - Cliente'!Q438</f>
        <v>0</v>
      </c>
      <c r="T438" s="33">
        <f>'Dados - Cliente'!R438</f>
        <v>0</v>
      </c>
      <c r="U438" s="34">
        <f>'Dados - Cliente'!S438</f>
        <v>0</v>
      </c>
      <c r="V438" s="34">
        <f>'Dados - Cliente'!T438</f>
        <v>0</v>
      </c>
      <c r="W438" s="34">
        <f>'Dados - Cliente'!U438</f>
        <v>0</v>
      </c>
      <c r="X438" s="34">
        <f>'Dados - Cliente'!V438</f>
        <v>0</v>
      </c>
      <c r="Y438" s="34">
        <f>'Dados - Cliente'!W438</f>
        <v>0</v>
      </c>
      <c r="Z438" s="34">
        <f>'Dados - Cliente'!X438</f>
        <v>0</v>
      </c>
      <c r="AA438" s="33" t="e">
        <f t="shared" si="29"/>
        <v>#N/A</v>
      </c>
      <c r="AB438" s="33">
        <f>'Dados - Cliente'!Y438</f>
        <v>0</v>
      </c>
      <c r="AC438" s="33">
        <f>'Dados - Cliente'!Z438</f>
        <v>0</v>
      </c>
      <c r="AD438" s="33">
        <f>'Dados - Cliente'!AA438</f>
        <v>0</v>
      </c>
      <c r="AE438" s="33">
        <f>'Dados - Cliente'!AB438</f>
        <v>0</v>
      </c>
      <c r="AF438" s="33">
        <f>'Dados - Cliente'!AC438</f>
        <v>0</v>
      </c>
      <c r="AG438" s="35">
        <f>'Dados - Cliente'!AD438</f>
        <v>0</v>
      </c>
      <c r="AH438" s="33" t="e">
        <f>INDEX('Dados - Placas'!$A:$A,MATCH('1'!AG438,'Dados - Placas'!$D:$D,0))</f>
        <v>#N/A</v>
      </c>
      <c r="AI438" s="35" t="e">
        <f>INDEX('Dados - Placas'!$E:$E,MATCH('1'!AG438,'Dados - Placas'!$D:$D,0))</f>
        <v>#N/A</v>
      </c>
      <c r="AJ438" s="34" t="e">
        <f>INDEX('Dados - Placas'!$F:$F,MATCH('1'!AG438,'Dados - Placas'!$D:$D,0))*AF438</f>
        <v>#N/A</v>
      </c>
      <c r="AK438" s="33">
        <f>'Dados - Cliente'!AE438</f>
        <v>0</v>
      </c>
      <c r="AL438" s="33">
        <f>'Dados - Cliente'!AF438</f>
        <v>0</v>
      </c>
      <c r="AM438" s="36" t="e">
        <f>INDEX('Dados - Inversores'!$A:$A,MATCH('1'!AL438,'Dados - Inversores'!$C:$C,0))</f>
        <v>#N/A</v>
      </c>
      <c r="AN438" s="33">
        <f>'Dados - Cliente'!AG438</f>
        <v>0</v>
      </c>
      <c r="AO438" s="33" t="e">
        <f>AA438*1.25/(0.22*SQRT(INDEX('Dados - Inversores'!AK:AK,MATCH('1'!AL438,'Dados - Inversores'!C:C,0))))</f>
        <v>#N/A</v>
      </c>
      <c r="AP438" s="34">
        <f>INDEX(Dados!$E$2:$E$33,COUNTIF(Dados!$E$2:$E$33,"&lt;="&amp;AN438*1.25/(INDEX('Dados - Inversores'!AL:AL,MATCH('1'!AL438,'Dados - Inversores'!C:C,0))*SQRT(INDEX('Dados - Inversores'!AK:AK,MATCH('1'!AL438,'Dados - Inversores'!C:C,0)))))+1)</f>
        <v>2</v>
      </c>
      <c r="AQ438" s="33" t="s">
        <v>59</v>
      </c>
      <c r="AR438" s="33" t="str">
        <f t="shared" si="30"/>
        <v>Micro</v>
      </c>
      <c r="AS438" s="33">
        <f>'Dados - Cliente'!AH438</f>
        <v>0</v>
      </c>
      <c r="AT438" s="33">
        <f>'Dados - Cliente'!AI438</f>
        <v>0</v>
      </c>
      <c r="AU438" s="33" t="e">
        <f>INDEX('Dados - Placas'!$N:$N,MATCH('1'!AG438,'Dados - Placas'!$D:$D,0))-1</f>
        <v>#N/A</v>
      </c>
      <c r="AV438" s="33" t="e">
        <f>INDEX('Dados - Placas'!$O:$O,MATCH('1'!AG438,'Dados - Placas'!$D:$D,0))</f>
        <v>#N/A</v>
      </c>
      <c r="AW438" s="33" t="e">
        <f>INDEX('Dados - Inversores'!AM:AM,MATCH('1'!AL438,'Dados - Inversores'!$C:$C,0))-1</f>
        <v>#N/A</v>
      </c>
      <c r="AX438" s="33" t="e">
        <f>INDEX('Dados - Inversores'!AN:AN,MATCH('1'!AL438,'Dados - Inversores'!$C:$C,0))-1</f>
        <v>#N/A</v>
      </c>
      <c r="AY438" s="33" t="e">
        <f>MATCH('1'!H438,Dados!$D$89:$D$167,0)+1</f>
        <v>#N/A</v>
      </c>
      <c r="AZ438" s="33" t="e">
        <f>MATCH('1'!N438,'Dados - Solicitação de acesso'!$N$2:$N$8,0)</f>
        <v>#N/A</v>
      </c>
      <c r="BA438" s="33" t="e">
        <f>MATCH('1'!T438,'Dados - Solicitação de acesso'!$T$2:$T$20,0)</f>
        <v>#N/A</v>
      </c>
    </row>
    <row r="439" spans="1:53" x14ac:dyDescent="0.35">
      <c r="A439" s="33">
        <f>'Dados - Cliente'!A439</f>
        <v>0</v>
      </c>
      <c r="B439" s="33">
        <f>'Dados - Cliente'!B439</f>
        <v>0</v>
      </c>
      <c r="C439" s="33">
        <f>'Dados - Cliente'!C439</f>
        <v>0</v>
      </c>
      <c r="D439" s="33">
        <f>'Dados - Cliente'!D439</f>
        <v>0</v>
      </c>
      <c r="E439" s="33">
        <f>'Dados - Cliente'!E439</f>
        <v>0</v>
      </c>
      <c r="F439" s="33">
        <f>'Dados - Cliente'!F439</f>
        <v>0</v>
      </c>
      <c r="G439" s="33">
        <f>'Dados - Cliente'!G439</f>
        <v>0</v>
      </c>
      <c r="H439" s="33">
        <f>'Dados - Cliente'!H439</f>
        <v>0</v>
      </c>
      <c r="I439" s="75" t="s">
        <v>4313</v>
      </c>
      <c r="J439" s="52" t="s">
        <v>4314</v>
      </c>
      <c r="K439" s="52" t="s">
        <v>4314</v>
      </c>
      <c r="L439" s="33">
        <f>'Dados - Cliente'!I439</f>
        <v>0</v>
      </c>
      <c r="M439" s="33">
        <f>'Dados - Cliente'!K439</f>
        <v>0</v>
      </c>
      <c r="N439" s="33">
        <f>'Dados - Cliente'!L439</f>
        <v>0</v>
      </c>
      <c r="O439" s="33">
        <f>'Dados - Cliente'!M439</f>
        <v>0</v>
      </c>
      <c r="P439" s="33">
        <f>'Dados - Cliente'!N439</f>
        <v>0</v>
      </c>
      <c r="Q439" s="33">
        <f>'Dados - Cliente'!O439</f>
        <v>0</v>
      </c>
      <c r="R439" s="33">
        <f>'Dados - Cliente'!P439</f>
        <v>0</v>
      </c>
      <c r="S439" s="33">
        <f>'Dados - Cliente'!Q439</f>
        <v>0</v>
      </c>
      <c r="T439" s="33">
        <f>'Dados - Cliente'!R439</f>
        <v>0</v>
      </c>
      <c r="U439" s="34">
        <f>'Dados - Cliente'!S439</f>
        <v>0</v>
      </c>
      <c r="V439" s="34">
        <f>'Dados - Cliente'!T439</f>
        <v>0</v>
      </c>
      <c r="W439" s="34">
        <f>'Dados - Cliente'!U439</f>
        <v>0</v>
      </c>
      <c r="X439" s="34">
        <f>'Dados - Cliente'!V439</f>
        <v>0</v>
      </c>
      <c r="Y439" s="34">
        <f>'Dados - Cliente'!W439</f>
        <v>0</v>
      </c>
      <c r="Z439" s="34">
        <f>'Dados - Cliente'!X439</f>
        <v>0</v>
      </c>
      <c r="AA439" s="33" t="e">
        <f t="shared" si="29"/>
        <v>#N/A</v>
      </c>
      <c r="AB439" s="33">
        <f>'Dados - Cliente'!Y439</f>
        <v>0</v>
      </c>
      <c r="AC439" s="33">
        <f>'Dados - Cliente'!Z439</f>
        <v>0</v>
      </c>
      <c r="AD439" s="33">
        <f>'Dados - Cliente'!AA439</f>
        <v>0</v>
      </c>
      <c r="AE439" s="33">
        <f>'Dados - Cliente'!AB439</f>
        <v>0</v>
      </c>
      <c r="AF439" s="33">
        <f>'Dados - Cliente'!AC439</f>
        <v>0</v>
      </c>
      <c r="AG439" s="35">
        <f>'Dados - Cliente'!AD439</f>
        <v>0</v>
      </c>
      <c r="AH439" s="33" t="e">
        <f>INDEX('Dados - Placas'!$A:$A,MATCH('1'!AG439,'Dados - Placas'!$D:$D,0))</f>
        <v>#N/A</v>
      </c>
      <c r="AI439" s="35" t="e">
        <f>INDEX('Dados - Placas'!$E:$E,MATCH('1'!AG439,'Dados - Placas'!$D:$D,0))</f>
        <v>#N/A</v>
      </c>
      <c r="AJ439" s="34" t="e">
        <f>INDEX('Dados - Placas'!$F:$F,MATCH('1'!AG439,'Dados - Placas'!$D:$D,0))*AF439</f>
        <v>#N/A</v>
      </c>
      <c r="AK439" s="33">
        <f>'Dados - Cliente'!AE439</f>
        <v>0</v>
      </c>
      <c r="AL439" s="33">
        <f>'Dados - Cliente'!AF439</f>
        <v>0</v>
      </c>
      <c r="AM439" s="36" t="e">
        <f>INDEX('Dados - Inversores'!$A:$A,MATCH('1'!AL439,'Dados - Inversores'!$C:$C,0))</f>
        <v>#N/A</v>
      </c>
      <c r="AN439" s="33">
        <f>'Dados - Cliente'!AG439</f>
        <v>0</v>
      </c>
      <c r="AO439" s="33" t="e">
        <f>AA439*1.25/(0.22*SQRT(INDEX('Dados - Inversores'!AK:AK,MATCH('1'!AL439,'Dados - Inversores'!C:C,0))))</f>
        <v>#N/A</v>
      </c>
      <c r="AP439" s="34">
        <f>INDEX(Dados!$E$2:$E$33,COUNTIF(Dados!$E$2:$E$33,"&lt;="&amp;AN439*1.25/(INDEX('Dados - Inversores'!AL:AL,MATCH('1'!AL439,'Dados - Inversores'!C:C,0))*SQRT(INDEX('Dados - Inversores'!AK:AK,MATCH('1'!AL439,'Dados - Inversores'!C:C,0)))))+1)</f>
        <v>2</v>
      </c>
      <c r="AQ439" s="33" t="s">
        <v>59</v>
      </c>
      <c r="AR439" s="33" t="str">
        <f t="shared" si="30"/>
        <v>Micro</v>
      </c>
      <c r="AS439" s="33">
        <f>'Dados - Cliente'!AH439</f>
        <v>0</v>
      </c>
      <c r="AT439" s="33">
        <f>'Dados - Cliente'!AI439</f>
        <v>0</v>
      </c>
      <c r="AU439" s="33" t="e">
        <f>INDEX('Dados - Placas'!$N:$N,MATCH('1'!AG439,'Dados - Placas'!$D:$D,0))-1</f>
        <v>#N/A</v>
      </c>
      <c r="AV439" s="33" t="e">
        <f>INDEX('Dados - Placas'!$O:$O,MATCH('1'!AG439,'Dados - Placas'!$D:$D,0))</f>
        <v>#N/A</v>
      </c>
      <c r="AW439" s="33" t="e">
        <f>INDEX('Dados - Inversores'!AM:AM,MATCH('1'!AL439,'Dados - Inversores'!$C:$C,0))-1</f>
        <v>#N/A</v>
      </c>
      <c r="AX439" s="33" t="e">
        <f>INDEX('Dados - Inversores'!AN:AN,MATCH('1'!AL439,'Dados - Inversores'!$C:$C,0))-1</f>
        <v>#N/A</v>
      </c>
      <c r="AY439" s="33" t="e">
        <f>MATCH('1'!H439,Dados!$D$89:$D$167,0)+1</f>
        <v>#N/A</v>
      </c>
      <c r="AZ439" s="33" t="e">
        <f>MATCH('1'!N439,'Dados - Solicitação de acesso'!$N$2:$N$8,0)</f>
        <v>#N/A</v>
      </c>
      <c r="BA439" s="33" t="e">
        <f>MATCH('1'!T439,'Dados - Solicitação de acesso'!$T$2:$T$20,0)</f>
        <v>#N/A</v>
      </c>
    </row>
    <row r="440" spans="1:53" x14ac:dyDescent="0.35">
      <c r="A440" s="33">
        <f>'Dados - Cliente'!A440</f>
        <v>0</v>
      </c>
      <c r="B440" s="33">
        <f>'Dados - Cliente'!B440</f>
        <v>0</v>
      </c>
      <c r="C440" s="33">
        <f>'Dados - Cliente'!C440</f>
        <v>0</v>
      </c>
      <c r="D440" s="33">
        <f>'Dados - Cliente'!D440</f>
        <v>0</v>
      </c>
      <c r="E440" s="33">
        <f>'Dados - Cliente'!E440</f>
        <v>0</v>
      </c>
      <c r="F440" s="33">
        <f>'Dados - Cliente'!F440</f>
        <v>0</v>
      </c>
      <c r="G440" s="33">
        <f>'Dados - Cliente'!G440</f>
        <v>0</v>
      </c>
      <c r="H440" s="33">
        <f>'Dados - Cliente'!H440</f>
        <v>0</v>
      </c>
      <c r="I440" s="75" t="s">
        <v>4313</v>
      </c>
      <c r="J440" s="52" t="s">
        <v>4314</v>
      </c>
      <c r="K440" s="52" t="s">
        <v>4314</v>
      </c>
      <c r="L440" s="33">
        <f>'Dados - Cliente'!I440</f>
        <v>0</v>
      </c>
      <c r="M440" s="33">
        <f>'Dados - Cliente'!K440</f>
        <v>0</v>
      </c>
      <c r="N440" s="33">
        <f>'Dados - Cliente'!L440</f>
        <v>0</v>
      </c>
      <c r="O440" s="33">
        <f>'Dados - Cliente'!M440</f>
        <v>0</v>
      </c>
      <c r="P440" s="33">
        <f>'Dados - Cliente'!N440</f>
        <v>0</v>
      </c>
      <c r="Q440" s="33">
        <f>'Dados - Cliente'!O440</f>
        <v>0</v>
      </c>
      <c r="R440" s="33">
        <f>'Dados - Cliente'!P440</f>
        <v>0</v>
      </c>
      <c r="S440" s="33">
        <f>'Dados - Cliente'!Q440</f>
        <v>0</v>
      </c>
      <c r="T440" s="33">
        <f>'Dados - Cliente'!R440</f>
        <v>0</v>
      </c>
      <c r="U440" s="34">
        <f>'Dados - Cliente'!S440</f>
        <v>0</v>
      </c>
      <c r="V440" s="34">
        <f>'Dados - Cliente'!T440</f>
        <v>0</v>
      </c>
      <c r="W440" s="34">
        <f>'Dados - Cliente'!U440</f>
        <v>0</v>
      </c>
      <c r="X440" s="34">
        <f>'Dados - Cliente'!V440</f>
        <v>0</v>
      </c>
      <c r="Y440" s="34">
        <f>'Dados - Cliente'!W440</f>
        <v>0</v>
      </c>
      <c r="Z440" s="34">
        <f>'Dados - Cliente'!X440</f>
        <v>0</v>
      </c>
      <c r="AA440" s="33" t="e">
        <f t="shared" si="29"/>
        <v>#N/A</v>
      </c>
      <c r="AB440" s="33">
        <f>'Dados - Cliente'!Y440</f>
        <v>0</v>
      </c>
      <c r="AC440" s="33">
        <f>'Dados - Cliente'!Z440</f>
        <v>0</v>
      </c>
      <c r="AD440" s="33">
        <f>'Dados - Cliente'!AA440</f>
        <v>0</v>
      </c>
      <c r="AE440" s="33">
        <f>'Dados - Cliente'!AB440</f>
        <v>0</v>
      </c>
      <c r="AF440" s="33">
        <f>'Dados - Cliente'!AC440</f>
        <v>0</v>
      </c>
      <c r="AG440" s="35">
        <f>'Dados - Cliente'!AD440</f>
        <v>0</v>
      </c>
      <c r="AH440" s="33" t="e">
        <f>INDEX('Dados - Placas'!$A:$A,MATCH('1'!AG440,'Dados - Placas'!$D:$D,0))</f>
        <v>#N/A</v>
      </c>
      <c r="AI440" s="35" t="e">
        <f>INDEX('Dados - Placas'!$E:$E,MATCH('1'!AG440,'Dados - Placas'!$D:$D,0))</f>
        <v>#N/A</v>
      </c>
      <c r="AJ440" s="34" t="e">
        <f>INDEX('Dados - Placas'!$F:$F,MATCH('1'!AG440,'Dados - Placas'!$D:$D,0))*AF440</f>
        <v>#N/A</v>
      </c>
      <c r="AK440" s="33">
        <f>'Dados - Cliente'!AE440</f>
        <v>0</v>
      </c>
      <c r="AL440" s="33">
        <f>'Dados - Cliente'!AF440</f>
        <v>0</v>
      </c>
      <c r="AM440" s="36" t="e">
        <f>INDEX('Dados - Inversores'!$A:$A,MATCH('1'!AL440,'Dados - Inversores'!$C:$C,0))</f>
        <v>#N/A</v>
      </c>
      <c r="AN440" s="33">
        <f>'Dados - Cliente'!AG440</f>
        <v>0</v>
      </c>
      <c r="AO440" s="33" t="e">
        <f>AA440*1.25/(0.22*SQRT(INDEX('Dados - Inversores'!AK:AK,MATCH('1'!AL440,'Dados - Inversores'!C:C,0))))</f>
        <v>#N/A</v>
      </c>
      <c r="AP440" s="34">
        <f>INDEX(Dados!$E$2:$E$33,COUNTIF(Dados!$E$2:$E$33,"&lt;="&amp;AN440*1.25/(INDEX('Dados - Inversores'!AL:AL,MATCH('1'!AL440,'Dados - Inversores'!C:C,0))*SQRT(INDEX('Dados - Inversores'!AK:AK,MATCH('1'!AL440,'Dados - Inversores'!C:C,0)))))+1)</f>
        <v>2</v>
      </c>
      <c r="AQ440" s="33" t="s">
        <v>59</v>
      </c>
      <c r="AR440" s="33" t="str">
        <f t="shared" si="30"/>
        <v>Micro</v>
      </c>
      <c r="AS440" s="33">
        <f>'Dados - Cliente'!AH440</f>
        <v>0</v>
      </c>
      <c r="AT440" s="33">
        <f>'Dados - Cliente'!AI440</f>
        <v>0</v>
      </c>
      <c r="AU440" s="33" t="e">
        <f>INDEX('Dados - Placas'!$N:$N,MATCH('1'!AG440,'Dados - Placas'!$D:$D,0))-1</f>
        <v>#N/A</v>
      </c>
      <c r="AV440" s="33" t="e">
        <f>INDEX('Dados - Placas'!$O:$O,MATCH('1'!AG440,'Dados - Placas'!$D:$D,0))</f>
        <v>#N/A</v>
      </c>
      <c r="AW440" s="33" t="e">
        <f>INDEX('Dados - Inversores'!AM:AM,MATCH('1'!AL440,'Dados - Inversores'!$C:$C,0))-1</f>
        <v>#N/A</v>
      </c>
      <c r="AX440" s="33" t="e">
        <f>INDEX('Dados - Inversores'!AN:AN,MATCH('1'!AL440,'Dados - Inversores'!$C:$C,0))-1</f>
        <v>#N/A</v>
      </c>
      <c r="AY440" s="33" t="e">
        <f>MATCH('1'!H440,Dados!$D$89:$D$167,0)+1</f>
        <v>#N/A</v>
      </c>
      <c r="AZ440" s="33" t="e">
        <f>MATCH('1'!N440,'Dados - Solicitação de acesso'!$N$2:$N$8,0)</f>
        <v>#N/A</v>
      </c>
      <c r="BA440" s="33" t="e">
        <f>MATCH('1'!T440,'Dados - Solicitação de acesso'!$T$2:$T$20,0)</f>
        <v>#N/A</v>
      </c>
    </row>
    <row r="441" spans="1:53" x14ac:dyDescent="0.35">
      <c r="A441" s="33">
        <f>'Dados - Cliente'!A441</f>
        <v>0</v>
      </c>
      <c r="B441" s="33">
        <f>'Dados - Cliente'!B441</f>
        <v>0</v>
      </c>
      <c r="C441" s="33">
        <f>'Dados - Cliente'!C441</f>
        <v>0</v>
      </c>
      <c r="D441" s="33">
        <f>'Dados - Cliente'!D441</f>
        <v>0</v>
      </c>
      <c r="E441" s="33">
        <f>'Dados - Cliente'!E441</f>
        <v>0</v>
      </c>
      <c r="F441" s="33">
        <f>'Dados - Cliente'!F441</f>
        <v>0</v>
      </c>
      <c r="G441" s="33">
        <f>'Dados - Cliente'!G441</f>
        <v>0</v>
      </c>
      <c r="H441" s="33">
        <f>'Dados - Cliente'!H441</f>
        <v>0</v>
      </c>
      <c r="I441" s="75" t="s">
        <v>4313</v>
      </c>
      <c r="J441" s="52" t="s">
        <v>4314</v>
      </c>
      <c r="K441" s="52" t="s">
        <v>4314</v>
      </c>
      <c r="L441" s="33">
        <f>'Dados - Cliente'!I441</f>
        <v>0</v>
      </c>
      <c r="M441" s="33">
        <f>'Dados - Cliente'!K441</f>
        <v>0</v>
      </c>
      <c r="N441" s="33">
        <f>'Dados - Cliente'!L441</f>
        <v>0</v>
      </c>
      <c r="O441" s="33">
        <f>'Dados - Cliente'!M441</f>
        <v>0</v>
      </c>
      <c r="P441" s="33">
        <f>'Dados - Cliente'!N441</f>
        <v>0</v>
      </c>
      <c r="Q441" s="33">
        <f>'Dados - Cliente'!O441</f>
        <v>0</v>
      </c>
      <c r="R441" s="33">
        <f>'Dados - Cliente'!P441</f>
        <v>0</v>
      </c>
      <c r="S441" s="33">
        <f>'Dados - Cliente'!Q441</f>
        <v>0</v>
      </c>
      <c r="T441" s="33">
        <f>'Dados - Cliente'!R441</f>
        <v>0</v>
      </c>
      <c r="U441" s="34">
        <f>'Dados - Cliente'!S441</f>
        <v>0</v>
      </c>
      <c r="V441" s="34">
        <f>'Dados - Cliente'!T441</f>
        <v>0</v>
      </c>
      <c r="W441" s="34">
        <f>'Dados - Cliente'!U441</f>
        <v>0</v>
      </c>
      <c r="X441" s="34">
        <f>'Dados - Cliente'!V441</f>
        <v>0</v>
      </c>
      <c r="Y441" s="34">
        <f>'Dados - Cliente'!W441</f>
        <v>0</v>
      </c>
      <c r="Z441" s="34">
        <f>'Dados - Cliente'!X441</f>
        <v>0</v>
      </c>
      <c r="AA441" s="33" t="e">
        <f t="shared" si="29"/>
        <v>#N/A</v>
      </c>
      <c r="AB441" s="33">
        <f>'Dados - Cliente'!Y441</f>
        <v>0</v>
      </c>
      <c r="AC441" s="33">
        <f>'Dados - Cliente'!Z441</f>
        <v>0</v>
      </c>
      <c r="AD441" s="33">
        <f>'Dados - Cliente'!AA441</f>
        <v>0</v>
      </c>
      <c r="AE441" s="33">
        <f>'Dados - Cliente'!AB441</f>
        <v>0</v>
      </c>
      <c r="AF441" s="33">
        <f>'Dados - Cliente'!AC441</f>
        <v>0</v>
      </c>
      <c r="AG441" s="35">
        <f>'Dados - Cliente'!AD441</f>
        <v>0</v>
      </c>
      <c r="AH441" s="33" t="e">
        <f>INDEX('Dados - Placas'!$A:$A,MATCH('1'!AG441,'Dados - Placas'!$D:$D,0))</f>
        <v>#N/A</v>
      </c>
      <c r="AI441" s="35" t="e">
        <f>INDEX('Dados - Placas'!$E:$E,MATCH('1'!AG441,'Dados - Placas'!$D:$D,0))</f>
        <v>#N/A</v>
      </c>
      <c r="AJ441" s="34" t="e">
        <f>INDEX('Dados - Placas'!$F:$F,MATCH('1'!AG441,'Dados - Placas'!$D:$D,0))*AF441</f>
        <v>#N/A</v>
      </c>
      <c r="AK441" s="33">
        <f>'Dados - Cliente'!AE441</f>
        <v>0</v>
      </c>
      <c r="AL441" s="33">
        <f>'Dados - Cliente'!AF441</f>
        <v>0</v>
      </c>
      <c r="AM441" s="36" t="e">
        <f>INDEX('Dados - Inversores'!$A:$A,MATCH('1'!AL441,'Dados - Inversores'!$C:$C,0))</f>
        <v>#N/A</v>
      </c>
      <c r="AN441" s="33">
        <f>'Dados - Cliente'!AG441</f>
        <v>0</v>
      </c>
      <c r="AO441" s="33" t="e">
        <f>AA441*1.25/(0.22*SQRT(INDEX('Dados - Inversores'!AK:AK,MATCH('1'!AL441,'Dados - Inversores'!C:C,0))))</f>
        <v>#N/A</v>
      </c>
      <c r="AP441" s="34">
        <f>INDEX(Dados!$E$2:$E$33,COUNTIF(Dados!$E$2:$E$33,"&lt;="&amp;AN441*1.25/(INDEX('Dados - Inversores'!AL:AL,MATCH('1'!AL441,'Dados - Inversores'!C:C,0))*SQRT(INDEX('Dados - Inversores'!AK:AK,MATCH('1'!AL441,'Dados - Inversores'!C:C,0)))))+1)</f>
        <v>2</v>
      </c>
      <c r="AQ441" s="33" t="s">
        <v>59</v>
      </c>
      <c r="AR441" s="33" t="str">
        <f t="shared" si="30"/>
        <v>Micro</v>
      </c>
      <c r="AS441" s="33">
        <f>'Dados - Cliente'!AH441</f>
        <v>0</v>
      </c>
      <c r="AT441" s="33">
        <f>'Dados - Cliente'!AI441</f>
        <v>0</v>
      </c>
      <c r="AU441" s="33" t="e">
        <f>INDEX('Dados - Placas'!$N:$N,MATCH('1'!AG441,'Dados - Placas'!$D:$D,0))-1</f>
        <v>#N/A</v>
      </c>
      <c r="AV441" s="33" t="e">
        <f>INDEX('Dados - Placas'!$O:$O,MATCH('1'!AG441,'Dados - Placas'!$D:$D,0))</f>
        <v>#N/A</v>
      </c>
      <c r="AW441" s="33" t="e">
        <f>INDEX('Dados - Inversores'!AM:AM,MATCH('1'!AL441,'Dados - Inversores'!$C:$C,0))-1</f>
        <v>#N/A</v>
      </c>
      <c r="AX441" s="33" t="e">
        <f>INDEX('Dados - Inversores'!AN:AN,MATCH('1'!AL441,'Dados - Inversores'!$C:$C,0))-1</f>
        <v>#N/A</v>
      </c>
      <c r="AY441" s="33" t="e">
        <f>MATCH('1'!H441,Dados!$D$89:$D$167,0)+1</f>
        <v>#N/A</v>
      </c>
      <c r="AZ441" s="33" t="e">
        <f>MATCH('1'!N441,'Dados - Solicitação de acesso'!$N$2:$N$8,0)</f>
        <v>#N/A</v>
      </c>
      <c r="BA441" s="33" t="e">
        <f>MATCH('1'!T441,'Dados - Solicitação de acesso'!$T$2:$T$20,0)</f>
        <v>#N/A</v>
      </c>
    </row>
    <row r="442" spans="1:53" x14ac:dyDescent="0.35">
      <c r="A442" s="33">
        <f>'Dados - Cliente'!A442</f>
        <v>0</v>
      </c>
      <c r="B442" s="33">
        <f>'Dados - Cliente'!B442</f>
        <v>0</v>
      </c>
      <c r="C442" s="33">
        <f>'Dados - Cliente'!C442</f>
        <v>0</v>
      </c>
      <c r="D442" s="33">
        <f>'Dados - Cliente'!D442</f>
        <v>0</v>
      </c>
      <c r="E442" s="33">
        <f>'Dados - Cliente'!E442</f>
        <v>0</v>
      </c>
      <c r="F442" s="33">
        <f>'Dados - Cliente'!F442</f>
        <v>0</v>
      </c>
      <c r="G442" s="33">
        <f>'Dados - Cliente'!G442</f>
        <v>0</v>
      </c>
      <c r="H442" s="33">
        <f>'Dados - Cliente'!H442</f>
        <v>0</v>
      </c>
      <c r="I442" s="75" t="s">
        <v>4313</v>
      </c>
      <c r="J442" s="52" t="s">
        <v>4314</v>
      </c>
      <c r="K442" s="52" t="s">
        <v>4314</v>
      </c>
      <c r="L442" s="33">
        <f>'Dados - Cliente'!I442</f>
        <v>0</v>
      </c>
      <c r="M442" s="33">
        <f>'Dados - Cliente'!K442</f>
        <v>0</v>
      </c>
      <c r="N442" s="33">
        <f>'Dados - Cliente'!L442</f>
        <v>0</v>
      </c>
      <c r="O442" s="33">
        <f>'Dados - Cliente'!M442</f>
        <v>0</v>
      </c>
      <c r="P442" s="33">
        <f>'Dados - Cliente'!N442</f>
        <v>0</v>
      </c>
      <c r="Q442" s="33">
        <f>'Dados - Cliente'!O442</f>
        <v>0</v>
      </c>
      <c r="R442" s="33">
        <f>'Dados - Cliente'!P442</f>
        <v>0</v>
      </c>
      <c r="S442" s="33">
        <f>'Dados - Cliente'!Q442</f>
        <v>0</v>
      </c>
      <c r="T442" s="33">
        <f>'Dados - Cliente'!R442</f>
        <v>0</v>
      </c>
      <c r="U442" s="34">
        <f>'Dados - Cliente'!S442</f>
        <v>0</v>
      </c>
      <c r="V442" s="34">
        <f>'Dados - Cliente'!T442</f>
        <v>0</v>
      </c>
      <c r="W442" s="34">
        <f>'Dados - Cliente'!U442</f>
        <v>0</v>
      </c>
      <c r="X442" s="34">
        <f>'Dados - Cliente'!V442</f>
        <v>0</v>
      </c>
      <c r="Y442" s="34">
        <f>'Dados - Cliente'!W442</f>
        <v>0</v>
      </c>
      <c r="Z442" s="34">
        <f>'Dados - Cliente'!X442</f>
        <v>0</v>
      </c>
      <c r="AA442" s="33" t="e">
        <f t="shared" si="29"/>
        <v>#N/A</v>
      </c>
      <c r="AB442" s="33">
        <f>'Dados - Cliente'!Y442</f>
        <v>0</v>
      </c>
      <c r="AC442" s="33">
        <f>'Dados - Cliente'!Z442</f>
        <v>0</v>
      </c>
      <c r="AD442" s="33">
        <f>'Dados - Cliente'!AA442</f>
        <v>0</v>
      </c>
      <c r="AE442" s="33">
        <f>'Dados - Cliente'!AB442</f>
        <v>0</v>
      </c>
      <c r="AF442" s="33">
        <f>'Dados - Cliente'!AC442</f>
        <v>0</v>
      </c>
      <c r="AG442" s="35">
        <f>'Dados - Cliente'!AD442</f>
        <v>0</v>
      </c>
      <c r="AH442" s="33" t="e">
        <f>INDEX('Dados - Placas'!$A:$A,MATCH('1'!AG442,'Dados - Placas'!$D:$D,0))</f>
        <v>#N/A</v>
      </c>
      <c r="AI442" s="35" t="e">
        <f>INDEX('Dados - Placas'!$E:$E,MATCH('1'!AG442,'Dados - Placas'!$D:$D,0))</f>
        <v>#N/A</v>
      </c>
      <c r="AJ442" s="34" t="e">
        <f>INDEX('Dados - Placas'!$F:$F,MATCH('1'!AG442,'Dados - Placas'!$D:$D,0))*AF442</f>
        <v>#N/A</v>
      </c>
      <c r="AK442" s="33">
        <f>'Dados - Cliente'!AE442</f>
        <v>0</v>
      </c>
      <c r="AL442" s="33">
        <f>'Dados - Cliente'!AF442</f>
        <v>0</v>
      </c>
      <c r="AM442" s="36" t="e">
        <f>INDEX('Dados - Inversores'!$A:$A,MATCH('1'!AL442,'Dados - Inversores'!$C:$C,0))</f>
        <v>#N/A</v>
      </c>
      <c r="AN442" s="33">
        <f>'Dados - Cliente'!AG442</f>
        <v>0</v>
      </c>
      <c r="AO442" s="33" t="e">
        <f>AA442*1.25/(0.22*SQRT(INDEX('Dados - Inversores'!AK:AK,MATCH('1'!AL442,'Dados - Inversores'!C:C,0))))</f>
        <v>#N/A</v>
      </c>
      <c r="AP442" s="34">
        <f>INDEX(Dados!$E$2:$E$33,COUNTIF(Dados!$E$2:$E$33,"&lt;="&amp;AN442*1.25/(INDEX('Dados - Inversores'!AL:AL,MATCH('1'!AL442,'Dados - Inversores'!C:C,0))*SQRT(INDEX('Dados - Inversores'!AK:AK,MATCH('1'!AL442,'Dados - Inversores'!C:C,0)))))+1)</f>
        <v>2</v>
      </c>
      <c r="AQ442" s="33" t="s">
        <v>59</v>
      </c>
      <c r="AR442" s="33" t="str">
        <f t="shared" si="30"/>
        <v>Micro</v>
      </c>
      <c r="AS442" s="33">
        <f>'Dados - Cliente'!AH442</f>
        <v>0</v>
      </c>
      <c r="AT442" s="33">
        <f>'Dados - Cliente'!AI442</f>
        <v>0</v>
      </c>
      <c r="AU442" s="33" t="e">
        <f>INDEX('Dados - Placas'!$N:$N,MATCH('1'!AG442,'Dados - Placas'!$D:$D,0))-1</f>
        <v>#N/A</v>
      </c>
      <c r="AV442" s="33" t="e">
        <f>INDEX('Dados - Placas'!$O:$O,MATCH('1'!AG442,'Dados - Placas'!$D:$D,0))</f>
        <v>#N/A</v>
      </c>
      <c r="AW442" s="33" t="e">
        <f>INDEX('Dados - Inversores'!AM:AM,MATCH('1'!AL442,'Dados - Inversores'!$C:$C,0))-1</f>
        <v>#N/A</v>
      </c>
      <c r="AX442" s="33" t="e">
        <f>INDEX('Dados - Inversores'!AN:AN,MATCH('1'!AL442,'Dados - Inversores'!$C:$C,0))-1</f>
        <v>#N/A</v>
      </c>
      <c r="AY442" s="33" t="e">
        <f>MATCH('1'!H442,Dados!$D$89:$D$167,0)+1</f>
        <v>#N/A</v>
      </c>
      <c r="AZ442" s="33" t="e">
        <f>MATCH('1'!N442,'Dados - Solicitação de acesso'!$N$2:$N$8,0)</f>
        <v>#N/A</v>
      </c>
      <c r="BA442" s="33" t="e">
        <f>MATCH('1'!T442,'Dados - Solicitação de acesso'!$T$2:$T$20,0)</f>
        <v>#N/A</v>
      </c>
    </row>
    <row r="443" spans="1:53" x14ac:dyDescent="0.35">
      <c r="A443" s="33">
        <f>'Dados - Cliente'!A443</f>
        <v>0</v>
      </c>
      <c r="B443" s="33">
        <f>'Dados - Cliente'!B443</f>
        <v>0</v>
      </c>
      <c r="C443" s="33">
        <f>'Dados - Cliente'!C443</f>
        <v>0</v>
      </c>
      <c r="D443" s="33">
        <f>'Dados - Cliente'!D443</f>
        <v>0</v>
      </c>
      <c r="E443" s="33">
        <f>'Dados - Cliente'!E443</f>
        <v>0</v>
      </c>
      <c r="F443" s="33">
        <f>'Dados - Cliente'!F443</f>
        <v>0</v>
      </c>
      <c r="G443" s="33">
        <f>'Dados - Cliente'!G443</f>
        <v>0</v>
      </c>
      <c r="H443" s="33">
        <f>'Dados - Cliente'!H443</f>
        <v>0</v>
      </c>
      <c r="I443" s="75" t="s">
        <v>4313</v>
      </c>
      <c r="J443" s="52" t="s">
        <v>4314</v>
      </c>
      <c r="K443" s="52" t="s">
        <v>4314</v>
      </c>
      <c r="L443" s="33">
        <f>'Dados - Cliente'!I443</f>
        <v>0</v>
      </c>
      <c r="M443" s="33">
        <f>'Dados - Cliente'!K443</f>
        <v>0</v>
      </c>
      <c r="N443" s="33">
        <f>'Dados - Cliente'!L443</f>
        <v>0</v>
      </c>
      <c r="O443" s="33">
        <f>'Dados - Cliente'!M443</f>
        <v>0</v>
      </c>
      <c r="P443" s="33">
        <f>'Dados - Cliente'!N443</f>
        <v>0</v>
      </c>
      <c r="Q443" s="33">
        <f>'Dados - Cliente'!O443</f>
        <v>0</v>
      </c>
      <c r="R443" s="33">
        <f>'Dados - Cliente'!P443</f>
        <v>0</v>
      </c>
      <c r="S443" s="33">
        <f>'Dados - Cliente'!Q443</f>
        <v>0</v>
      </c>
      <c r="T443" s="33">
        <f>'Dados - Cliente'!R443</f>
        <v>0</v>
      </c>
      <c r="U443" s="34">
        <f>'Dados - Cliente'!S443</f>
        <v>0</v>
      </c>
      <c r="V443" s="34">
        <f>'Dados - Cliente'!T443</f>
        <v>0</v>
      </c>
      <c r="W443" s="34">
        <f>'Dados - Cliente'!U443</f>
        <v>0</v>
      </c>
      <c r="X443" s="34">
        <f>'Dados - Cliente'!V443</f>
        <v>0</v>
      </c>
      <c r="Y443" s="34">
        <f>'Dados - Cliente'!W443</f>
        <v>0</v>
      </c>
      <c r="Z443" s="34">
        <f>'Dados - Cliente'!X443</f>
        <v>0</v>
      </c>
      <c r="AA443" s="33" t="e">
        <f t="shared" si="29"/>
        <v>#N/A</v>
      </c>
      <c r="AB443" s="33">
        <f>'Dados - Cliente'!Y443</f>
        <v>0</v>
      </c>
      <c r="AC443" s="33">
        <f>'Dados - Cliente'!Z443</f>
        <v>0</v>
      </c>
      <c r="AD443" s="33">
        <f>'Dados - Cliente'!AA443</f>
        <v>0</v>
      </c>
      <c r="AE443" s="33">
        <f>'Dados - Cliente'!AB443</f>
        <v>0</v>
      </c>
      <c r="AF443" s="33">
        <f>'Dados - Cliente'!AC443</f>
        <v>0</v>
      </c>
      <c r="AG443" s="35">
        <f>'Dados - Cliente'!AD443</f>
        <v>0</v>
      </c>
      <c r="AH443" s="33" t="e">
        <f>INDEX('Dados - Placas'!$A:$A,MATCH('1'!AG443,'Dados - Placas'!$D:$D,0))</f>
        <v>#N/A</v>
      </c>
      <c r="AI443" s="35" t="e">
        <f>INDEX('Dados - Placas'!$E:$E,MATCH('1'!AG443,'Dados - Placas'!$D:$D,0))</f>
        <v>#N/A</v>
      </c>
      <c r="AJ443" s="34" t="e">
        <f>INDEX('Dados - Placas'!$F:$F,MATCH('1'!AG443,'Dados - Placas'!$D:$D,0))*AF443</f>
        <v>#N/A</v>
      </c>
      <c r="AK443" s="33">
        <f>'Dados - Cliente'!AE443</f>
        <v>0</v>
      </c>
      <c r="AL443" s="33">
        <f>'Dados - Cliente'!AF443</f>
        <v>0</v>
      </c>
      <c r="AM443" s="36" t="e">
        <f>INDEX('Dados - Inversores'!$A:$A,MATCH('1'!AL443,'Dados - Inversores'!$C:$C,0))</f>
        <v>#N/A</v>
      </c>
      <c r="AN443" s="33">
        <f>'Dados - Cliente'!AG443</f>
        <v>0</v>
      </c>
      <c r="AO443" s="33" t="e">
        <f>AA443*1.25/(0.22*SQRT(INDEX('Dados - Inversores'!AK:AK,MATCH('1'!AL443,'Dados - Inversores'!C:C,0))))</f>
        <v>#N/A</v>
      </c>
      <c r="AP443" s="34">
        <f>INDEX(Dados!$E$2:$E$33,COUNTIF(Dados!$E$2:$E$33,"&lt;="&amp;AN443*1.25/(INDEX('Dados - Inversores'!AL:AL,MATCH('1'!AL443,'Dados - Inversores'!C:C,0))*SQRT(INDEX('Dados - Inversores'!AK:AK,MATCH('1'!AL443,'Dados - Inversores'!C:C,0)))))+1)</f>
        <v>2</v>
      </c>
      <c r="AQ443" s="33" t="s">
        <v>59</v>
      </c>
      <c r="AR443" s="33" t="str">
        <f t="shared" si="30"/>
        <v>Micro</v>
      </c>
      <c r="AS443" s="33">
        <f>'Dados - Cliente'!AH443</f>
        <v>0</v>
      </c>
      <c r="AT443" s="33">
        <f>'Dados - Cliente'!AI443</f>
        <v>0</v>
      </c>
      <c r="AU443" s="33" t="e">
        <f>INDEX('Dados - Placas'!$N:$N,MATCH('1'!AG443,'Dados - Placas'!$D:$D,0))-1</f>
        <v>#N/A</v>
      </c>
      <c r="AV443" s="33" t="e">
        <f>INDEX('Dados - Placas'!$O:$O,MATCH('1'!AG443,'Dados - Placas'!$D:$D,0))</f>
        <v>#N/A</v>
      </c>
      <c r="AW443" s="33" t="e">
        <f>INDEX('Dados - Inversores'!AM:AM,MATCH('1'!AL443,'Dados - Inversores'!$C:$C,0))-1</f>
        <v>#N/A</v>
      </c>
      <c r="AX443" s="33" t="e">
        <f>INDEX('Dados - Inversores'!AN:AN,MATCH('1'!AL443,'Dados - Inversores'!$C:$C,0))-1</f>
        <v>#N/A</v>
      </c>
      <c r="AY443" s="33" t="e">
        <f>MATCH('1'!H443,Dados!$D$89:$D$167,0)+1</f>
        <v>#N/A</v>
      </c>
      <c r="AZ443" s="33" t="e">
        <f>MATCH('1'!N443,'Dados - Solicitação de acesso'!$N$2:$N$8,0)</f>
        <v>#N/A</v>
      </c>
      <c r="BA443" s="33" t="e">
        <f>MATCH('1'!T443,'Dados - Solicitação de acesso'!$T$2:$T$20,0)</f>
        <v>#N/A</v>
      </c>
    </row>
    <row r="444" spans="1:53" x14ac:dyDescent="0.35">
      <c r="A444" s="33">
        <f>'Dados - Cliente'!A444</f>
        <v>0</v>
      </c>
      <c r="B444" s="33">
        <f>'Dados - Cliente'!B444</f>
        <v>0</v>
      </c>
      <c r="C444" s="33">
        <f>'Dados - Cliente'!C444</f>
        <v>0</v>
      </c>
      <c r="D444" s="33">
        <f>'Dados - Cliente'!D444</f>
        <v>0</v>
      </c>
      <c r="E444" s="33">
        <f>'Dados - Cliente'!E444</f>
        <v>0</v>
      </c>
      <c r="F444" s="33">
        <f>'Dados - Cliente'!F444</f>
        <v>0</v>
      </c>
      <c r="G444" s="33">
        <f>'Dados - Cliente'!G444</f>
        <v>0</v>
      </c>
      <c r="H444" s="33">
        <f>'Dados - Cliente'!H444</f>
        <v>0</v>
      </c>
      <c r="I444" s="75" t="s">
        <v>4313</v>
      </c>
      <c r="J444" s="52" t="s">
        <v>4314</v>
      </c>
      <c r="K444" s="52" t="s">
        <v>4314</v>
      </c>
      <c r="L444" s="33">
        <f>'Dados - Cliente'!I444</f>
        <v>0</v>
      </c>
      <c r="M444" s="33">
        <f>'Dados - Cliente'!K444</f>
        <v>0</v>
      </c>
      <c r="N444" s="33">
        <f>'Dados - Cliente'!L444</f>
        <v>0</v>
      </c>
      <c r="O444" s="33">
        <f>'Dados - Cliente'!M444</f>
        <v>0</v>
      </c>
      <c r="P444" s="33">
        <f>'Dados - Cliente'!N444</f>
        <v>0</v>
      </c>
      <c r="Q444" s="33">
        <f>'Dados - Cliente'!O444</f>
        <v>0</v>
      </c>
      <c r="R444" s="33">
        <f>'Dados - Cliente'!P444</f>
        <v>0</v>
      </c>
      <c r="S444" s="33">
        <f>'Dados - Cliente'!Q444</f>
        <v>0</v>
      </c>
      <c r="T444" s="33">
        <f>'Dados - Cliente'!R444</f>
        <v>0</v>
      </c>
      <c r="U444" s="34">
        <f>'Dados - Cliente'!S444</f>
        <v>0</v>
      </c>
      <c r="V444" s="34">
        <f>'Dados - Cliente'!T444</f>
        <v>0</v>
      </c>
      <c r="W444" s="34">
        <f>'Dados - Cliente'!U444</f>
        <v>0</v>
      </c>
      <c r="X444" s="34">
        <f>'Dados - Cliente'!V444</f>
        <v>0</v>
      </c>
      <c r="Y444" s="34">
        <f>'Dados - Cliente'!W444</f>
        <v>0</v>
      </c>
      <c r="Z444" s="34">
        <f>'Dados - Cliente'!X444</f>
        <v>0</v>
      </c>
      <c r="AA444" s="33" t="e">
        <f t="shared" si="29"/>
        <v>#N/A</v>
      </c>
      <c r="AB444" s="33">
        <f>'Dados - Cliente'!Y444</f>
        <v>0</v>
      </c>
      <c r="AC444" s="33">
        <f>'Dados - Cliente'!Z444</f>
        <v>0</v>
      </c>
      <c r="AD444" s="33">
        <f>'Dados - Cliente'!AA444</f>
        <v>0</v>
      </c>
      <c r="AE444" s="33">
        <f>'Dados - Cliente'!AB444</f>
        <v>0</v>
      </c>
      <c r="AF444" s="33">
        <f>'Dados - Cliente'!AC444</f>
        <v>0</v>
      </c>
      <c r="AG444" s="35">
        <f>'Dados - Cliente'!AD444</f>
        <v>0</v>
      </c>
      <c r="AH444" s="33" t="e">
        <f>INDEX('Dados - Placas'!$A:$A,MATCH('1'!AG444,'Dados - Placas'!$D:$D,0))</f>
        <v>#N/A</v>
      </c>
      <c r="AI444" s="35" t="e">
        <f>INDEX('Dados - Placas'!$E:$E,MATCH('1'!AG444,'Dados - Placas'!$D:$D,0))</f>
        <v>#N/A</v>
      </c>
      <c r="AJ444" s="34" t="e">
        <f>INDEX('Dados - Placas'!$F:$F,MATCH('1'!AG444,'Dados - Placas'!$D:$D,0))*AF444</f>
        <v>#N/A</v>
      </c>
      <c r="AK444" s="33">
        <f>'Dados - Cliente'!AE444</f>
        <v>0</v>
      </c>
      <c r="AL444" s="33">
        <f>'Dados - Cliente'!AF444</f>
        <v>0</v>
      </c>
      <c r="AM444" s="36" t="e">
        <f>INDEX('Dados - Inversores'!$A:$A,MATCH('1'!AL444,'Dados - Inversores'!$C:$C,0))</f>
        <v>#N/A</v>
      </c>
      <c r="AN444" s="33">
        <f>'Dados - Cliente'!AG444</f>
        <v>0</v>
      </c>
      <c r="AO444" s="33" t="e">
        <f>AA444*1.25/(0.22*SQRT(INDEX('Dados - Inversores'!AK:AK,MATCH('1'!AL444,'Dados - Inversores'!C:C,0))))</f>
        <v>#N/A</v>
      </c>
      <c r="AP444" s="34">
        <f>INDEX(Dados!$E$2:$E$33,COUNTIF(Dados!$E$2:$E$33,"&lt;="&amp;AN444*1.25/(INDEX('Dados - Inversores'!AL:AL,MATCH('1'!AL444,'Dados - Inversores'!C:C,0))*SQRT(INDEX('Dados - Inversores'!AK:AK,MATCH('1'!AL444,'Dados - Inversores'!C:C,0)))))+1)</f>
        <v>2</v>
      </c>
      <c r="AQ444" s="33" t="s">
        <v>59</v>
      </c>
      <c r="AR444" s="33" t="str">
        <f t="shared" si="30"/>
        <v>Micro</v>
      </c>
      <c r="AS444" s="33">
        <f>'Dados - Cliente'!AH444</f>
        <v>0</v>
      </c>
      <c r="AT444" s="33">
        <f>'Dados - Cliente'!AI444</f>
        <v>0</v>
      </c>
      <c r="AU444" s="33" t="e">
        <f>INDEX('Dados - Placas'!$N:$N,MATCH('1'!AG444,'Dados - Placas'!$D:$D,0))-1</f>
        <v>#N/A</v>
      </c>
      <c r="AV444" s="33" t="e">
        <f>INDEX('Dados - Placas'!$O:$O,MATCH('1'!AG444,'Dados - Placas'!$D:$D,0))</f>
        <v>#N/A</v>
      </c>
      <c r="AW444" s="33" t="e">
        <f>INDEX('Dados - Inversores'!AM:AM,MATCH('1'!AL444,'Dados - Inversores'!$C:$C,0))-1</f>
        <v>#N/A</v>
      </c>
      <c r="AX444" s="33" t="e">
        <f>INDEX('Dados - Inversores'!AN:AN,MATCH('1'!AL444,'Dados - Inversores'!$C:$C,0))-1</f>
        <v>#N/A</v>
      </c>
      <c r="AY444" s="33" t="e">
        <f>MATCH('1'!H444,Dados!$D$89:$D$167,0)+1</f>
        <v>#N/A</v>
      </c>
      <c r="AZ444" s="33" t="e">
        <f>MATCH('1'!N444,'Dados - Solicitação de acesso'!$N$2:$N$8,0)</f>
        <v>#N/A</v>
      </c>
      <c r="BA444" s="33" t="e">
        <f>MATCH('1'!T444,'Dados - Solicitação de acesso'!$T$2:$T$20,0)</f>
        <v>#N/A</v>
      </c>
    </row>
    <row r="445" spans="1:53" x14ac:dyDescent="0.35">
      <c r="A445" s="33">
        <f>'Dados - Cliente'!A445</f>
        <v>0</v>
      </c>
      <c r="B445" s="33">
        <f>'Dados - Cliente'!B445</f>
        <v>0</v>
      </c>
      <c r="C445" s="33">
        <f>'Dados - Cliente'!C445</f>
        <v>0</v>
      </c>
      <c r="D445" s="33">
        <f>'Dados - Cliente'!D445</f>
        <v>0</v>
      </c>
      <c r="E445" s="33">
        <f>'Dados - Cliente'!E445</f>
        <v>0</v>
      </c>
      <c r="F445" s="33">
        <f>'Dados - Cliente'!F445</f>
        <v>0</v>
      </c>
      <c r="G445" s="33">
        <f>'Dados - Cliente'!G445</f>
        <v>0</v>
      </c>
      <c r="H445" s="33">
        <f>'Dados - Cliente'!H445</f>
        <v>0</v>
      </c>
      <c r="I445" s="75" t="s">
        <v>4313</v>
      </c>
      <c r="J445" s="52" t="s">
        <v>4314</v>
      </c>
      <c r="K445" s="52" t="s">
        <v>4314</v>
      </c>
      <c r="L445" s="33">
        <f>'Dados - Cliente'!I445</f>
        <v>0</v>
      </c>
      <c r="M445" s="33">
        <f>'Dados - Cliente'!K445</f>
        <v>0</v>
      </c>
      <c r="N445" s="33">
        <f>'Dados - Cliente'!L445</f>
        <v>0</v>
      </c>
      <c r="O445" s="33">
        <f>'Dados - Cliente'!M445</f>
        <v>0</v>
      </c>
      <c r="P445" s="33">
        <f>'Dados - Cliente'!N445</f>
        <v>0</v>
      </c>
      <c r="Q445" s="33">
        <f>'Dados - Cliente'!O445</f>
        <v>0</v>
      </c>
      <c r="R445" s="33">
        <f>'Dados - Cliente'!P445</f>
        <v>0</v>
      </c>
      <c r="S445" s="33">
        <f>'Dados - Cliente'!Q445</f>
        <v>0</v>
      </c>
      <c r="T445" s="33">
        <f>'Dados - Cliente'!R445</f>
        <v>0</v>
      </c>
      <c r="U445" s="34">
        <f>'Dados - Cliente'!S445</f>
        <v>0</v>
      </c>
      <c r="V445" s="34">
        <f>'Dados - Cliente'!T445</f>
        <v>0</v>
      </c>
      <c r="W445" s="34">
        <f>'Dados - Cliente'!U445</f>
        <v>0</v>
      </c>
      <c r="X445" s="34">
        <f>'Dados - Cliente'!V445</f>
        <v>0</v>
      </c>
      <c r="Y445" s="34">
        <f>'Dados - Cliente'!W445</f>
        <v>0</v>
      </c>
      <c r="Z445" s="34">
        <f>'Dados - Cliente'!X445</f>
        <v>0</v>
      </c>
      <c r="AA445" s="33" t="e">
        <f t="shared" si="29"/>
        <v>#N/A</v>
      </c>
      <c r="AB445" s="33">
        <f>'Dados - Cliente'!Y445</f>
        <v>0</v>
      </c>
      <c r="AC445" s="33">
        <f>'Dados - Cliente'!Z445</f>
        <v>0</v>
      </c>
      <c r="AD445" s="33">
        <f>'Dados - Cliente'!AA445</f>
        <v>0</v>
      </c>
      <c r="AE445" s="33">
        <f>'Dados - Cliente'!AB445</f>
        <v>0</v>
      </c>
      <c r="AF445" s="33">
        <f>'Dados - Cliente'!AC445</f>
        <v>0</v>
      </c>
      <c r="AG445" s="35">
        <f>'Dados - Cliente'!AD445</f>
        <v>0</v>
      </c>
      <c r="AH445" s="33" t="e">
        <f>INDEX('Dados - Placas'!$A:$A,MATCH('1'!AG445,'Dados - Placas'!$D:$D,0))</f>
        <v>#N/A</v>
      </c>
      <c r="AI445" s="35" t="e">
        <f>INDEX('Dados - Placas'!$E:$E,MATCH('1'!AG445,'Dados - Placas'!$D:$D,0))</f>
        <v>#N/A</v>
      </c>
      <c r="AJ445" s="34" t="e">
        <f>INDEX('Dados - Placas'!$F:$F,MATCH('1'!AG445,'Dados - Placas'!$D:$D,0))*AF445</f>
        <v>#N/A</v>
      </c>
      <c r="AK445" s="33">
        <f>'Dados - Cliente'!AE445</f>
        <v>0</v>
      </c>
      <c r="AL445" s="33">
        <f>'Dados - Cliente'!AF445</f>
        <v>0</v>
      </c>
      <c r="AM445" s="36" t="e">
        <f>INDEX('Dados - Inversores'!$A:$A,MATCH('1'!AL445,'Dados - Inversores'!$C:$C,0))</f>
        <v>#N/A</v>
      </c>
      <c r="AN445" s="33">
        <f>'Dados - Cliente'!AG445</f>
        <v>0</v>
      </c>
      <c r="AO445" s="33" t="e">
        <f>AA445*1.25/(0.22*SQRT(INDEX('Dados - Inversores'!AK:AK,MATCH('1'!AL445,'Dados - Inversores'!C:C,0))))</f>
        <v>#N/A</v>
      </c>
      <c r="AP445" s="34">
        <f>INDEX(Dados!$E$2:$E$33,COUNTIF(Dados!$E$2:$E$33,"&lt;="&amp;AN445*1.25/(INDEX('Dados - Inversores'!AL:AL,MATCH('1'!AL445,'Dados - Inversores'!C:C,0))*SQRT(INDEX('Dados - Inversores'!AK:AK,MATCH('1'!AL445,'Dados - Inversores'!C:C,0)))))+1)</f>
        <v>2</v>
      </c>
      <c r="AQ445" s="33" t="s">
        <v>59</v>
      </c>
      <c r="AR445" s="33" t="str">
        <f t="shared" si="30"/>
        <v>Micro</v>
      </c>
      <c r="AS445" s="33">
        <f>'Dados - Cliente'!AH445</f>
        <v>0</v>
      </c>
      <c r="AT445" s="33">
        <f>'Dados - Cliente'!AI445</f>
        <v>0</v>
      </c>
      <c r="AU445" s="33" t="e">
        <f>INDEX('Dados - Placas'!$N:$N,MATCH('1'!AG445,'Dados - Placas'!$D:$D,0))-1</f>
        <v>#N/A</v>
      </c>
      <c r="AV445" s="33" t="e">
        <f>INDEX('Dados - Placas'!$O:$O,MATCH('1'!AG445,'Dados - Placas'!$D:$D,0))</f>
        <v>#N/A</v>
      </c>
      <c r="AW445" s="33" t="e">
        <f>INDEX('Dados - Inversores'!AM:AM,MATCH('1'!AL445,'Dados - Inversores'!$C:$C,0))-1</f>
        <v>#N/A</v>
      </c>
      <c r="AX445" s="33" t="e">
        <f>INDEX('Dados - Inversores'!AN:AN,MATCH('1'!AL445,'Dados - Inversores'!$C:$C,0))-1</f>
        <v>#N/A</v>
      </c>
      <c r="AY445" s="33" t="e">
        <f>MATCH('1'!H445,Dados!$D$89:$D$167,0)+1</f>
        <v>#N/A</v>
      </c>
      <c r="AZ445" s="33" t="e">
        <f>MATCH('1'!N445,'Dados - Solicitação de acesso'!$N$2:$N$8,0)</f>
        <v>#N/A</v>
      </c>
      <c r="BA445" s="33" t="e">
        <f>MATCH('1'!T445,'Dados - Solicitação de acesso'!$T$2:$T$20,0)</f>
        <v>#N/A</v>
      </c>
    </row>
    <row r="446" spans="1:53" x14ac:dyDescent="0.35">
      <c r="A446" s="33">
        <f>'Dados - Cliente'!A446</f>
        <v>0</v>
      </c>
      <c r="B446" s="33">
        <f>'Dados - Cliente'!B446</f>
        <v>0</v>
      </c>
      <c r="C446" s="33">
        <f>'Dados - Cliente'!C446</f>
        <v>0</v>
      </c>
      <c r="D446" s="33">
        <f>'Dados - Cliente'!D446</f>
        <v>0</v>
      </c>
      <c r="E446" s="33">
        <f>'Dados - Cliente'!E446</f>
        <v>0</v>
      </c>
      <c r="F446" s="33">
        <f>'Dados - Cliente'!F446</f>
        <v>0</v>
      </c>
      <c r="G446" s="33">
        <f>'Dados - Cliente'!G446</f>
        <v>0</v>
      </c>
      <c r="H446" s="33">
        <f>'Dados - Cliente'!H446</f>
        <v>0</v>
      </c>
      <c r="I446" s="75" t="s">
        <v>4313</v>
      </c>
      <c r="J446" s="52" t="s">
        <v>4314</v>
      </c>
      <c r="K446" s="52" t="s">
        <v>4314</v>
      </c>
      <c r="L446" s="33">
        <f>'Dados - Cliente'!I446</f>
        <v>0</v>
      </c>
      <c r="M446" s="33">
        <f>'Dados - Cliente'!K446</f>
        <v>0</v>
      </c>
      <c r="N446" s="33">
        <f>'Dados - Cliente'!L446</f>
        <v>0</v>
      </c>
      <c r="O446" s="33">
        <f>'Dados - Cliente'!M446</f>
        <v>0</v>
      </c>
      <c r="P446" s="33">
        <f>'Dados - Cliente'!N446</f>
        <v>0</v>
      </c>
      <c r="Q446" s="33">
        <f>'Dados - Cliente'!O446</f>
        <v>0</v>
      </c>
      <c r="R446" s="33">
        <f>'Dados - Cliente'!P446</f>
        <v>0</v>
      </c>
      <c r="S446" s="33">
        <f>'Dados - Cliente'!Q446</f>
        <v>0</v>
      </c>
      <c r="T446" s="33">
        <f>'Dados - Cliente'!R446</f>
        <v>0</v>
      </c>
      <c r="U446" s="34">
        <f>'Dados - Cliente'!S446</f>
        <v>0</v>
      </c>
      <c r="V446" s="34">
        <f>'Dados - Cliente'!T446</f>
        <v>0</v>
      </c>
      <c r="W446" s="34">
        <f>'Dados - Cliente'!U446</f>
        <v>0</v>
      </c>
      <c r="X446" s="34">
        <f>'Dados - Cliente'!V446</f>
        <v>0</v>
      </c>
      <c r="Y446" s="34">
        <f>'Dados - Cliente'!W446</f>
        <v>0</v>
      </c>
      <c r="Z446" s="34">
        <f>'Dados - Cliente'!X446</f>
        <v>0</v>
      </c>
      <c r="AA446" s="33" t="e">
        <f t="shared" si="29"/>
        <v>#N/A</v>
      </c>
      <c r="AB446" s="33">
        <f>'Dados - Cliente'!Y446</f>
        <v>0</v>
      </c>
      <c r="AC446" s="33">
        <f>'Dados - Cliente'!Z446</f>
        <v>0</v>
      </c>
      <c r="AD446" s="33">
        <f>'Dados - Cliente'!AA446</f>
        <v>0</v>
      </c>
      <c r="AE446" s="33">
        <f>'Dados - Cliente'!AB446</f>
        <v>0</v>
      </c>
      <c r="AF446" s="33">
        <f>'Dados - Cliente'!AC446</f>
        <v>0</v>
      </c>
      <c r="AG446" s="35">
        <f>'Dados - Cliente'!AD446</f>
        <v>0</v>
      </c>
      <c r="AH446" s="33" t="e">
        <f>INDEX('Dados - Placas'!$A:$A,MATCH('1'!AG446,'Dados - Placas'!$D:$D,0))</f>
        <v>#N/A</v>
      </c>
      <c r="AI446" s="35" t="e">
        <f>INDEX('Dados - Placas'!$E:$E,MATCH('1'!AG446,'Dados - Placas'!$D:$D,0))</f>
        <v>#N/A</v>
      </c>
      <c r="AJ446" s="34" t="e">
        <f>INDEX('Dados - Placas'!$F:$F,MATCH('1'!AG446,'Dados - Placas'!$D:$D,0))*AF446</f>
        <v>#N/A</v>
      </c>
      <c r="AK446" s="33">
        <f>'Dados - Cliente'!AE446</f>
        <v>0</v>
      </c>
      <c r="AL446" s="33">
        <f>'Dados - Cliente'!AF446</f>
        <v>0</v>
      </c>
      <c r="AM446" s="36" t="e">
        <f>INDEX('Dados - Inversores'!$A:$A,MATCH('1'!AL446,'Dados - Inversores'!$C:$C,0))</f>
        <v>#N/A</v>
      </c>
      <c r="AN446" s="33">
        <f>'Dados - Cliente'!AG446</f>
        <v>0</v>
      </c>
      <c r="AO446" s="33" t="e">
        <f>AA446*1.25/(0.22*SQRT(INDEX('Dados - Inversores'!AK:AK,MATCH('1'!AL446,'Dados - Inversores'!C:C,0))))</f>
        <v>#N/A</v>
      </c>
      <c r="AP446" s="34">
        <f>INDEX(Dados!$E$2:$E$33,COUNTIF(Dados!$E$2:$E$33,"&lt;="&amp;AN446*1.25/(INDEX('Dados - Inversores'!AL:AL,MATCH('1'!AL446,'Dados - Inversores'!C:C,0))*SQRT(INDEX('Dados - Inversores'!AK:AK,MATCH('1'!AL446,'Dados - Inversores'!C:C,0)))))+1)</f>
        <v>2</v>
      </c>
      <c r="AQ446" s="33" t="s">
        <v>59</v>
      </c>
      <c r="AR446" s="33" t="str">
        <f t="shared" si="30"/>
        <v>Micro</v>
      </c>
      <c r="AS446" s="33">
        <f>'Dados - Cliente'!AH446</f>
        <v>0</v>
      </c>
      <c r="AT446" s="33">
        <f>'Dados - Cliente'!AI446</f>
        <v>0</v>
      </c>
      <c r="AU446" s="33" t="e">
        <f>INDEX('Dados - Placas'!$N:$N,MATCH('1'!AG446,'Dados - Placas'!$D:$D,0))-1</f>
        <v>#N/A</v>
      </c>
      <c r="AV446" s="33" t="e">
        <f>INDEX('Dados - Placas'!$O:$O,MATCH('1'!AG446,'Dados - Placas'!$D:$D,0))</f>
        <v>#N/A</v>
      </c>
      <c r="AW446" s="33" t="e">
        <f>INDEX('Dados - Inversores'!AM:AM,MATCH('1'!AL446,'Dados - Inversores'!$C:$C,0))-1</f>
        <v>#N/A</v>
      </c>
      <c r="AX446" s="33" t="e">
        <f>INDEX('Dados - Inversores'!AN:AN,MATCH('1'!AL446,'Dados - Inversores'!$C:$C,0))-1</f>
        <v>#N/A</v>
      </c>
      <c r="AY446" s="33" t="e">
        <f>MATCH('1'!H446,Dados!$D$89:$D$167,0)+1</f>
        <v>#N/A</v>
      </c>
      <c r="AZ446" s="33" t="e">
        <f>MATCH('1'!N446,'Dados - Solicitação de acesso'!$N$2:$N$8,0)</f>
        <v>#N/A</v>
      </c>
      <c r="BA446" s="33" t="e">
        <f>MATCH('1'!T446,'Dados - Solicitação de acesso'!$T$2:$T$20,0)</f>
        <v>#N/A</v>
      </c>
    </row>
    <row r="447" spans="1:53" x14ac:dyDescent="0.35">
      <c r="A447" s="33">
        <f>'Dados - Cliente'!A447</f>
        <v>0</v>
      </c>
      <c r="B447" s="33">
        <f>'Dados - Cliente'!B447</f>
        <v>0</v>
      </c>
      <c r="C447" s="33">
        <f>'Dados - Cliente'!C447</f>
        <v>0</v>
      </c>
      <c r="D447" s="33">
        <f>'Dados - Cliente'!D447</f>
        <v>0</v>
      </c>
      <c r="E447" s="33">
        <f>'Dados - Cliente'!E447</f>
        <v>0</v>
      </c>
      <c r="F447" s="33">
        <f>'Dados - Cliente'!F447</f>
        <v>0</v>
      </c>
      <c r="G447" s="33">
        <f>'Dados - Cliente'!G447</f>
        <v>0</v>
      </c>
      <c r="H447" s="33">
        <f>'Dados - Cliente'!H447</f>
        <v>0</v>
      </c>
      <c r="I447" s="75" t="s">
        <v>4313</v>
      </c>
      <c r="J447" s="52" t="s">
        <v>4314</v>
      </c>
      <c r="K447" s="52" t="s">
        <v>4314</v>
      </c>
      <c r="L447" s="33">
        <f>'Dados - Cliente'!I447</f>
        <v>0</v>
      </c>
      <c r="M447" s="33">
        <f>'Dados - Cliente'!K447</f>
        <v>0</v>
      </c>
      <c r="N447" s="33">
        <f>'Dados - Cliente'!L447</f>
        <v>0</v>
      </c>
      <c r="O447" s="33">
        <f>'Dados - Cliente'!M447</f>
        <v>0</v>
      </c>
      <c r="P447" s="33">
        <f>'Dados - Cliente'!N447</f>
        <v>0</v>
      </c>
      <c r="Q447" s="33">
        <f>'Dados - Cliente'!O447</f>
        <v>0</v>
      </c>
      <c r="R447" s="33">
        <f>'Dados - Cliente'!P447</f>
        <v>0</v>
      </c>
      <c r="S447" s="33">
        <f>'Dados - Cliente'!Q447</f>
        <v>0</v>
      </c>
      <c r="T447" s="33">
        <f>'Dados - Cliente'!R447</f>
        <v>0</v>
      </c>
      <c r="U447" s="34">
        <f>'Dados - Cliente'!S447</f>
        <v>0</v>
      </c>
      <c r="V447" s="34">
        <f>'Dados - Cliente'!T447</f>
        <v>0</v>
      </c>
      <c r="W447" s="34">
        <f>'Dados - Cliente'!U447</f>
        <v>0</v>
      </c>
      <c r="X447" s="34">
        <f>'Dados - Cliente'!V447</f>
        <v>0</v>
      </c>
      <c r="Y447" s="34">
        <f>'Dados - Cliente'!W447</f>
        <v>0</v>
      </c>
      <c r="Z447" s="34">
        <f>'Dados - Cliente'!X447</f>
        <v>0</v>
      </c>
      <c r="AA447" s="33" t="e">
        <f t="shared" si="29"/>
        <v>#N/A</v>
      </c>
      <c r="AB447" s="33">
        <f>'Dados - Cliente'!Y447</f>
        <v>0</v>
      </c>
      <c r="AC447" s="33">
        <f>'Dados - Cliente'!Z447</f>
        <v>0</v>
      </c>
      <c r="AD447" s="33">
        <f>'Dados - Cliente'!AA447</f>
        <v>0</v>
      </c>
      <c r="AE447" s="33">
        <f>'Dados - Cliente'!AB447</f>
        <v>0</v>
      </c>
      <c r="AF447" s="33">
        <f>'Dados - Cliente'!AC447</f>
        <v>0</v>
      </c>
      <c r="AG447" s="35">
        <f>'Dados - Cliente'!AD447</f>
        <v>0</v>
      </c>
      <c r="AH447" s="33" t="e">
        <f>INDEX('Dados - Placas'!$A:$A,MATCH('1'!AG447,'Dados - Placas'!$D:$D,0))</f>
        <v>#N/A</v>
      </c>
      <c r="AI447" s="35" t="e">
        <f>INDEX('Dados - Placas'!$E:$E,MATCH('1'!AG447,'Dados - Placas'!$D:$D,0))</f>
        <v>#N/A</v>
      </c>
      <c r="AJ447" s="34" t="e">
        <f>INDEX('Dados - Placas'!$F:$F,MATCH('1'!AG447,'Dados - Placas'!$D:$D,0))*AF447</f>
        <v>#N/A</v>
      </c>
      <c r="AK447" s="33">
        <f>'Dados - Cliente'!AE447</f>
        <v>0</v>
      </c>
      <c r="AL447" s="33">
        <f>'Dados - Cliente'!AF447</f>
        <v>0</v>
      </c>
      <c r="AM447" s="36" t="e">
        <f>INDEX('Dados - Inversores'!$A:$A,MATCH('1'!AL447,'Dados - Inversores'!$C:$C,0))</f>
        <v>#N/A</v>
      </c>
      <c r="AN447" s="33">
        <f>'Dados - Cliente'!AG447</f>
        <v>0</v>
      </c>
      <c r="AO447" s="33" t="e">
        <f>AA447*1.25/(0.22*SQRT(INDEX('Dados - Inversores'!AK:AK,MATCH('1'!AL447,'Dados - Inversores'!C:C,0))))</f>
        <v>#N/A</v>
      </c>
      <c r="AP447" s="34">
        <f>INDEX(Dados!$E$2:$E$33,COUNTIF(Dados!$E$2:$E$33,"&lt;="&amp;AN447*1.25/(INDEX('Dados - Inversores'!AL:AL,MATCH('1'!AL447,'Dados - Inversores'!C:C,0))*SQRT(INDEX('Dados - Inversores'!AK:AK,MATCH('1'!AL447,'Dados - Inversores'!C:C,0)))))+1)</f>
        <v>2</v>
      </c>
      <c r="AQ447" s="33" t="s">
        <v>59</v>
      </c>
      <c r="AR447" s="33" t="str">
        <f t="shared" si="30"/>
        <v>Micro</v>
      </c>
      <c r="AS447" s="33">
        <f>'Dados - Cliente'!AH447</f>
        <v>0</v>
      </c>
      <c r="AT447" s="33">
        <f>'Dados - Cliente'!AI447</f>
        <v>0</v>
      </c>
      <c r="AU447" s="33" t="e">
        <f>INDEX('Dados - Placas'!$N:$N,MATCH('1'!AG447,'Dados - Placas'!$D:$D,0))-1</f>
        <v>#N/A</v>
      </c>
      <c r="AV447" s="33" t="e">
        <f>INDEX('Dados - Placas'!$O:$O,MATCH('1'!AG447,'Dados - Placas'!$D:$D,0))</f>
        <v>#N/A</v>
      </c>
      <c r="AW447" s="33" t="e">
        <f>INDEX('Dados - Inversores'!AM:AM,MATCH('1'!AL447,'Dados - Inversores'!$C:$C,0))-1</f>
        <v>#N/A</v>
      </c>
      <c r="AX447" s="33" t="e">
        <f>INDEX('Dados - Inversores'!AN:AN,MATCH('1'!AL447,'Dados - Inversores'!$C:$C,0))-1</f>
        <v>#N/A</v>
      </c>
      <c r="AY447" s="33" t="e">
        <f>MATCH('1'!H447,Dados!$D$89:$D$167,0)+1</f>
        <v>#N/A</v>
      </c>
      <c r="AZ447" s="33" t="e">
        <f>MATCH('1'!N447,'Dados - Solicitação de acesso'!$N$2:$N$8,0)</f>
        <v>#N/A</v>
      </c>
      <c r="BA447" s="33" t="e">
        <f>MATCH('1'!T447,'Dados - Solicitação de acesso'!$T$2:$T$20,0)</f>
        <v>#N/A</v>
      </c>
    </row>
    <row r="448" spans="1:53" x14ac:dyDescent="0.35">
      <c r="A448" s="33">
        <f>'Dados - Cliente'!A448</f>
        <v>0</v>
      </c>
      <c r="B448" s="33">
        <f>'Dados - Cliente'!B448</f>
        <v>0</v>
      </c>
      <c r="C448" s="33">
        <f>'Dados - Cliente'!C448</f>
        <v>0</v>
      </c>
      <c r="D448" s="33">
        <f>'Dados - Cliente'!D448</f>
        <v>0</v>
      </c>
      <c r="E448" s="33">
        <f>'Dados - Cliente'!E448</f>
        <v>0</v>
      </c>
      <c r="F448" s="33">
        <f>'Dados - Cliente'!F448</f>
        <v>0</v>
      </c>
      <c r="G448" s="33">
        <f>'Dados - Cliente'!G448</f>
        <v>0</v>
      </c>
      <c r="H448" s="33">
        <f>'Dados - Cliente'!H448</f>
        <v>0</v>
      </c>
      <c r="I448" s="75" t="s">
        <v>4313</v>
      </c>
      <c r="J448" s="52" t="s">
        <v>4314</v>
      </c>
      <c r="K448" s="52" t="s">
        <v>4314</v>
      </c>
      <c r="L448" s="33">
        <f>'Dados - Cliente'!I448</f>
        <v>0</v>
      </c>
      <c r="M448" s="33">
        <f>'Dados - Cliente'!K448</f>
        <v>0</v>
      </c>
      <c r="N448" s="33">
        <f>'Dados - Cliente'!L448</f>
        <v>0</v>
      </c>
      <c r="O448" s="33">
        <f>'Dados - Cliente'!M448</f>
        <v>0</v>
      </c>
      <c r="P448" s="33">
        <f>'Dados - Cliente'!N448</f>
        <v>0</v>
      </c>
      <c r="Q448" s="33">
        <f>'Dados - Cliente'!O448</f>
        <v>0</v>
      </c>
      <c r="R448" s="33">
        <f>'Dados - Cliente'!P448</f>
        <v>0</v>
      </c>
      <c r="S448" s="33">
        <f>'Dados - Cliente'!Q448</f>
        <v>0</v>
      </c>
      <c r="T448" s="33">
        <f>'Dados - Cliente'!R448</f>
        <v>0</v>
      </c>
      <c r="U448" s="34">
        <f>'Dados - Cliente'!S448</f>
        <v>0</v>
      </c>
      <c r="V448" s="34">
        <f>'Dados - Cliente'!T448</f>
        <v>0</v>
      </c>
      <c r="W448" s="34">
        <f>'Dados - Cliente'!U448</f>
        <v>0</v>
      </c>
      <c r="X448" s="34">
        <f>'Dados - Cliente'!V448</f>
        <v>0</v>
      </c>
      <c r="Y448" s="34">
        <f>'Dados - Cliente'!W448</f>
        <v>0</v>
      </c>
      <c r="Z448" s="34">
        <f>'Dados - Cliente'!X448</f>
        <v>0</v>
      </c>
      <c r="AA448" s="33" t="e">
        <f t="shared" si="29"/>
        <v>#N/A</v>
      </c>
      <c r="AB448" s="33">
        <f>'Dados - Cliente'!Y448</f>
        <v>0</v>
      </c>
      <c r="AC448" s="33">
        <f>'Dados - Cliente'!Z448</f>
        <v>0</v>
      </c>
      <c r="AD448" s="33">
        <f>'Dados - Cliente'!AA448</f>
        <v>0</v>
      </c>
      <c r="AE448" s="33">
        <f>'Dados - Cliente'!AB448</f>
        <v>0</v>
      </c>
      <c r="AF448" s="33">
        <f>'Dados - Cliente'!AC448</f>
        <v>0</v>
      </c>
      <c r="AG448" s="35">
        <f>'Dados - Cliente'!AD448</f>
        <v>0</v>
      </c>
      <c r="AH448" s="33" t="e">
        <f>INDEX('Dados - Placas'!$A:$A,MATCH('1'!AG448,'Dados - Placas'!$D:$D,0))</f>
        <v>#N/A</v>
      </c>
      <c r="AI448" s="35" t="e">
        <f>INDEX('Dados - Placas'!$E:$E,MATCH('1'!AG448,'Dados - Placas'!$D:$D,0))</f>
        <v>#N/A</v>
      </c>
      <c r="AJ448" s="34" t="e">
        <f>INDEX('Dados - Placas'!$F:$F,MATCH('1'!AG448,'Dados - Placas'!$D:$D,0))*AF448</f>
        <v>#N/A</v>
      </c>
      <c r="AK448" s="33">
        <f>'Dados - Cliente'!AE448</f>
        <v>0</v>
      </c>
      <c r="AL448" s="33">
        <f>'Dados - Cliente'!AF448</f>
        <v>0</v>
      </c>
      <c r="AM448" s="36" t="e">
        <f>INDEX('Dados - Inversores'!$A:$A,MATCH('1'!AL448,'Dados - Inversores'!$C:$C,0))</f>
        <v>#N/A</v>
      </c>
      <c r="AN448" s="33">
        <f>'Dados - Cliente'!AG448</f>
        <v>0</v>
      </c>
      <c r="AO448" s="33" t="e">
        <f>AA448*1.25/(0.22*SQRT(INDEX('Dados - Inversores'!AK:AK,MATCH('1'!AL448,'Dados - Inversores'!C:C,0))))</f>
        <v>#N/A</v>
      </c>
      <c r="AP448" s="34">
        <f>INDEX(Dados!$E$2:$E$33,COUNTIF(Dados!$E$2:$E$33,"&lt;="&amp;AN448*1.25/(INDEX('Dados - Inversores'!AL:AL,MATCH('1'!AL448,'Dados - Inversores'!C:C,0))*SQRT(INDEX('Dados - Inversores'!AK:AK,MATCH('1'!AL448,'Dados - Inversores'!C:C,0)))))+1)</f>
        <v>2</v>
      </c>
      <c r="AQ448" s="33" t="s">
        <v>59</v>
      </c>
      <c r="AR448" s="33" t="str">
        <f t="shared" si="30"/>
        <v>Micro</v>
      </c>
      <c r="AS448" s="33">
        <f>'Dados - Cliente'!AH448</f>
        <v>0</v>
      </c>
      <c r="AT448" s="33">
        <f>'Dados - Cliente'!AI448</f>
        <v>0</v>
      </c>
      <c r="AU448" s="33" t="e">
        <f>INDEX('Dados - Placas'!$N:$N,MATCH('1'!AG448,'Dados - Placas'!$D:$D,0))-1</f>
        <v>#N/A</v>
      </c>
      <c r="AV448" s="33" t="e">
        <f>INDEX('Dados - Placas'!$O:$O,MATCH('1'!AG448,'Dados - Placas'!$D:$D,0))</f>
        <v>#N/A</v>
      </c>
      <c r="AW448" s="33" t="e">
        <f>INDEX('Dados - Inversores'!AM:AM,MATCH('1'!AL448,'Dados - Inversores'!$C:$C,0))-1</f>
        <v>#N/A</v>
      </c>
      <c r="AX448" s="33" t="e">
        <f>INDEX('Dados - Inversores'!AN:AN,MATCH('1'!AL448,'Dados - Inversores'!$C:$C,0))-1</f>
        <v>#N/A</v>
      </c>
      <c r="AY448" s="33" t="e">
        <f>MATCH('1'!H448,Dados!$D$89:$D$167,0)+1</f>
        <v>#N/A</v>
      </c>
      <c r="AZ448" s="33" t="e">
        <f>MATCH('1'!N448,'Dados - Solicitação de acesso'!$N$2:$N$8,0)</f>
        <v>#N/A</v>
      </c>
      <c r="BA448" s="33" t="e">
        <f>MATCH('1'!T448,'Dados - Solicitação de acesso'!$T$2:$T$20,0)</f>
        <v>#N/A</v>
      </c>
    </row>
    <row r="449" spans="1:53" x14ac:dyDescent="0.35">
      <c r="A449" s="33">
        <f>'Dados - Cliente'!A449</f>
        <v>0</v>
      </c>
      <c r="B449" s="33">
        <f>'Dados - Cliente'!B449</f>
        <v>0</v>
      </c>
      <c r="C449" s="33">
        <f>'Dados - Cliente'!C449</f>
        <v>0</v>
      </c>
      <c r="D449" s="33">
        <f>'Dados - Cliente'!D449</f>
        <v>0</v>
      </c>
      <c r="E449" s="33">
        <f>'Dados - Cliente'!E449</f>
        <v>0</v>
      </c>
      <c r="F449" s="33">
        <f>'Dados - Cliente'!F449</f>
        <v>0</v>
      </c>
      <c r="G449" s="33">
        <f>'Dados - Cliente'!G449</f>
        <v>0</v>
      </c>
      <c r="H449" s="33">
        <f>'Dados - Cliente'!H449</f>
        <v>0</v>
      </c>
      <c r="I449" s="75" t="s">
        <v>4313</v>
      </c>
      <c r="J449" s="52" t="s">
        <v>4314</v>
      </c>
      <c r="K449" s="52" t="s">
        <v>4314</v>
      </c>
      <c r="L449" s="33">
        <f>'Dados - Cliente'!I449</f>
        <v>0</v>
      </c>
      <c r="M449" s="33">
        <f>'Dados - Cliente'!K449</f>
        <v>0</v>
      </c>
      <c r="N449" s="33">
        <f>'Dados - Cliente'!L449</f>
        <v>0</v>
      </c>
      <c r="O449" s="33">
        <f>'Dados - Cliente'!M449</f>
        <v>0</v>
      </c>
      <c r="P449" s="33">
        <f>'Dados - Cliente'!N449</f>
        <v>0</v>
      </c>
      <c r="Q449" s="33">
        <f>'Dados - Cliente'!O449</f>
        <v>0</v>
      </c>
      <c r="R449" s="33">
        <f>'Dados - Cliente'!P449</f>
        <v>0</v>
      </c>
      <c r="S449" s="33">
        <f>'Dados - Cliente'!Q449</f>
        <v>0</v>
      </c>
      <c r="T449" s="33">
        <f>'Dados - Cliente'!R449</f>
        <v>0</v>
      </c>
      <c r="U449" s="34">
        <f>'Dados - Cliente'!S449</f>
        <v>0</v>
      </c>
      <c r="V449" s="34">
        <f>'Dados - Cliente'!T449</f>
        <v>0</v>
      </c>
      <c r="W449" s="34">
        <f>'Dados - Cliente'!U449</f>
        <v>0</v>
      </c>
      <c r="X449" s="34">
        <f>'Dados - Cliente'!V449</f>
        <v>0</v>
      </c>
      <c r="Y449" s="34">
        <f>'Dados - Cliente'!W449</f>
        <v>0</v>
      </c>
      <c r="Z449" s="34">
        <f>'Dados - Cliente'!X449</f>
        <v>0</v>
      </c>
      <c r="AA449" s="33" t="e">
        <f t="shared" si="29"/>
        <v>#N/A</v>
      </c>
      <c r="AB449" s="33">
        <f>'Dados - Cliente'!Y449</f>
        <v>0</v>
      </c>
      <c r="AC449" s="33">
        <f>'Dados - Cliente'!Z449</f>
        <v>0</v>
      </c>
      <c r="AD449" s="33">
        <f>'Dados - Cliente'!AA449</f>
        <v>0</v>
      </c>
      <c r="AE449" s="33">
        <f>'Dados - Cliente'!AB449</f>
        <v>0</v>
      </c>
      <c r="AF449" s="33">
        <f>'Dados - Cliente'!AC449</f>
        <v>0</v>
      </c>
      <c r="AG449" s="35">
        <f>'Dados - Cliente'!AD449</f>
        <v>0</v>
      </c>
      <c r="AH449" s="33" t="e">
        <f>INDEX('Dados - Placas'!$A:$A,MATCH('1'!AG449,'Dados - Placas'!$D:$D,0))</f>
        <v>#N/A</v>
      </c>
      <c r="AI449" s="35" t="e">
        <f>INDEX('Dados - Placas'!$E:$E,MATCH('1'!AG449,'Dados - Placas'!$D:$D,0))</f>
        <v>#N/A</v>
      </c>
      <c r="AJ449" s="34" t="e">
        <f>INDEX('Dados - Placas'!$F:$F,MATCH('1'!AG449,'Dados - Placas'!$D:$D,0))*AF449</f>
        <v>#N/A</v>
      </c>
      <c r="AK449" s="33">
        <f>'Dados - Cliente'!AE449</f>
        <v>0</v>
      </c>
      <c r="AL449" s="33">
        <f>'Dados - Cliente'!AF449</f>
        <v>0</v>
      </c>
      <c r="AM449" s="36" t="e">
        <f>INDEX('Dados - Inversores'!$A:$A,MATCH('1'!AL449,'Dados - Inversores'!$C:$C,0))</f>
        <v>#N/A</v>
      </c>
      <c r="AN449" s="33">
        <f>'Dados - Cliente'!AG449</f>
        <v>0</v>
      </c>
      <c r="AO449" s="33" t="e">
        <f>AA449*1.25/(0.22*SQRT(INDEX('Dados - Inversores'!AK:AK,MATCH('1'!AL449,'Dados - Inversores'!C:C,0))))</f>
        <v>#N/A</v>
      </c>
      <c r="AP449" s="34">
        <f>INDEX(Dados!$E$2:$E$33,COUNTIF(Dados!$E$2:$E$33,"&lt;="&amp;AN449*1.25/(INDEX('Dados - Inversores'!AL:AL,MATCH('1'!AL449,'Dados - Inversores'!C:C,0))*SQRT(INDEX('Dados - Inversores'!AK:AK,MATCH('1'!AL449,'Dados - Inversores'!C:C,0)))))+1)</f>
        <v>2</v>
      </c>
      <c r="AQ449" s="33" t="s">
        <v>59</v>
      </c>
      <c r="AR449" s="33" t="str">
        <f t="shared" si="30"/>
        <v>Micro</v>
      </c>
      <c r="AS449" s="33">
        <f>'Dados - Cliente'!AH449</f>
        <v>0</v>
      </c>
      <c r="AT449" s="33">
        <f>'Dados - Cliente'!AI449</f>
        <v>0</v>
      </c>
      <c r="AU449" s="33" t="e">
        <f>INDEX('Dados - Placas'!$N:$N,MATCH('1'!AG449,'Dados - Placas'!$D:$D,0))-1</f>
        <v>#N/A</v>
      </c>
      <c r="AV449" s="33" t="e">
        <f>INDEX('Dados - Placas'!$O:$O,MATCH('1'!AG449,'Dados - Placas'!$D:$D,0))</f>
        <v>#N/A</v>
      </c>
      <c r="AW449" s="33" t="e">
        <f>INDEX('Dados - Inversores'!AM:AM,MATCH('1'!AL449,'Dados - Inversores'!$C:$C,0))-1</f>
        <v>#N/A</v>
      </c>
      <c r="AX449" s="33" t="e">
        <f>INDEX('Dados - Inversores'!AN:AN,MATCH('1'!AL449,'Dados - Inversores'!$C:$C,0))-1</f>
        <v>#N/A</v>
      </c>
      <c r="AY449" s="33" t="e">
        <f>MATCH('1'!H449,Dados!$D$89:$D$167,0)+1</f>
        <v>#N/A</v>
      </c>
      <c r="AZ449" s="33" t="e">
        <f>MATCH('1'!N449,'Dados - Solicitação de acesso'!$N$2:$N$8,0)</f>
        <v>#N/A</v>
      </c>
      <c r="BA449" s="33" t="e">
        <f>MATCH('1'!T449,'Dados - Solicitação de acesso'!$T$2:$T$20,0)</f>
        <v>#N/A</v>
      </c>
    </row>
    <row r="450" spans="1:53" x14ac:dyDescent="0.35">
      <c r="A450" s="33">
        <f>'Dados - Cliente'!A450</f>
        <v>0</v>
      </c>
      <c r="B450" s="33">
        <f>'Dados - Cliente'!B450</f>
        <v>0</v>
      </c>
      <c r="C450" s="33">
        <f>'Dados - Cliente'!C450</f>
        <v>0</v>
      </c>
      <c r="D450" s="33">
        <f>'Dados - Cliente'!D450</f>
        <v>0</v>
      </c>
      <c r="E450" s="33">
        <f>'Dados - Cliente'!E450</f>
        <v>0</v>
      </c>
      <c r="F450" s="33">
        <f>'Dados - Cliente'!F450</f>
        <v>0</v>
      </c>
      <c r="G450" s="33">
        <f>'Dados - Cliente'!G450</f>
        <v>0</v>
      </c>
      <c r="H450" s="33">
        <f>'Dados - Cliente'!H450</f>
        <v>0</v>
      </c>
      <c r="I450" s="75" t="s">
        <v>4313</v>
      </c>
      <c r="J450" s="52" t="s">
        <v>4314</v>
      </c>
      <c r="K450" s="52" t="s">
        <v>4314</v>
      </c>
      <c r="L450" s="33">
        <f>'Dados - Cliente'!I450</f>
        <v>0</v>
      </c>
      <c r="M450" s="33">
        <f>'Dados - Cliente'!K450</f>
        <v>0</v>
      </c>
      <c r="N450" s="33">
        <f>'Dados - Cliente'!L450</f>
        <v>0</v>
      </c>
      <c r="O450" s="33">
        <f>'Dados - Cliente'!M450</f>
        <v>0</v>
      </c>
      <c r="P450" s="33">
        <f>'Dados - Cliente'!N450</f>
        <v>0</v>
      </c>
      <c r="Q450" s="33">
        <f>'Dados - Cliente'!O450</f>
        <v>0</v>
      </c>
      <c r="R450" s="33">
        <f>'Dados - Cliente'!P450</f>
        <v>0</v>
      </c>
      <c r="S450" s="33">
        <f>'Dados - Cliente'!Q450</f>
        <v>0</v>
      </c>
      <c r="T450" s="33">
        <f>'Dados - Cliente'!R450</f>
        <v>0</v>
      </c>
      <c r="U450" s="34">
        <f>'Dados - Cliente'!S450</f>
        <v>0</v>
      </c>
      <c r="V450" s="34">
        <f>'Dados - Cliente'!T450</f>
        <v>0</v>
      </c>
      <c r="W450" s="34">
        <f>'Dados - Cliente'!U450</f>
        <v>0</v>
      </c>
      <c r="X450" s="34">
        <f>'Dados - Cliente'!V450</f>
        <v>0</v>
      </c>
      <c r="Y450" s="34">
        <f>'Dados - Cliente'!W450</f>
        <v>0</v>
      </c>
      <c r="Z450" s="34">
        <f>'Dados - Cliente'!X450</f>
        <v>0</v>
      </c>
      <c r="AA450" s="33" t="e">
        <f t="shared" si="29"/>
        <v>#N/A</v>
      </c>
      <c r="AB450" s="33">
        <f>'Dados - Cliente'!Y450</f>
        <v>0</v>
      </c>
      <c r="AC450" s="33">
        <f>'Dados - Cliente'!Z450</f>
        <v>0</v>
      </c>
      <c r="AD450" s="33">
        <f>'Dados - Cliente'!AA450</f>
        <v>0</v>
      </c>
      <c r="AE450" s="33">
        <f>'Dados - Cliente'!AB450</f>
        <v>0</v>
      </c>
      <c r="AF450" s="33">
        <f>'Dados - Cliente'!AC450</f>
        <v>0</v>
      </c>
      <c r="AG450" s="35">
        <f>'Dados - Cliente'!AD450</f>
        <v>0</v>
      </c>
      <c r="AH450" s="33" t="e">
        <f>INDEX('Dados - Placas'!$A:$A,MATCH('1'!AG450,'Dados - Placas'!$D:$D,0))</f>
        <v>#N/A</v>
      </c>
      <c r="AI450" s="35" t="e">
        <f>INDEX('Dados - Placas'!$E:$E,MATCH('1'!AG450,'Dados - Placas'!$D:$D,0))</f>
        <v>#N/A</v>
      </c>
      <c r="AJ450" s="34" t="e">
        <f>INDEX('Dados - Placas'!$F:$F,MATCH('1'!AG450,'Dados - Placas'!$D:$D,0))*AF450</f>
        <v>#N/A</v>
      </c>
      <c r="AK450" s="33">
        <f>'Dados - Cliente'!AE450</f>
        <v>0</v>
      </c>
      <c r="AL450" s="33">
        <f>'Dados - Cliente'!AF450</f>
        <v>0</v>
      </c>
      <c r="AM450" s="36" t="e">
        <f>INDEX('Dados - Inversores'!$A:$A,MATCH('1'!AL450,'Dados - Inversores'!$C:$C,0))</f>
        <v>#N/A</v>
      </c>
      <c r="AN450" s="33">
        <f>'Dados - Cliente'!AG450</f>
        <v>0</v>
      </c>
      <c r="AO450" s="33" t="e">
        <f>AA450*1.25/(0.22*SQRT(INDEX('Dados - Inversores'!AK:AK,MATCH('1'!AL450,'Dados - Inversores'!C:C,0))))</f>
        <v>#N/A</v>
      </c>
      <c r="AP450" s="34">
        <f>INDEX(Dados!$E$2:$E$33,COUNTIF(Dados!$E$2:$E$33,"&lt;="&amp;AN450*1.25/(INDEX('Dados - Inversores'!AL:AL,MATCH('1'!AL450,'Dados - Inversores'!C:C,0))*SQRT(INDEX('Dados - Inversores'!AK:AK,MATCH('1'!AL450,'Dados - Inversores'!C:C,0)))))+1)</f>
        <v>2</v>
      </c>
      <c r="AQ450" s="33" t="s">
        <v>59</v>
      </c>
      <c r="AR450" s="33" t="str">
        <f t="shared" si="30"/>
        <v>Micro</v>
      </c>
      <c r="AS450" s="33">
        <f>'Dados - Cliente'!AH450</f>
        <v>0</v>
      </c>
      <c r="AT450" s="33">
        <f>'Dados - Cliente'!AI450</f>
        <v>0</v>
      </c>
      <c r="AU450" s="33" t="e">
        <f>INDEX('Dados - Placas'!$N:$N,MATCH('1'!AG450,'Dados - Placas'!$D:$D,0))-1</f>
        <v>#N/A</v>
      </c>
      <c r="AV450" s="33" t="e">
        <f>INDEX('Dados - Placas'!$O:$O,MATCH('1'!AG450,'Dados - Placas'!$D:$D,0))</f>
        <v>#N/A</v>
      </c>
      <c r="AW450" s="33" t="e">
        <f>INDEX('Dados - Inversores'!AM:AM,MATCH('1'!AL450,'Dados - Inversores'!$C:$C,0))-1</f>
        <v>#N/A</v>
      </c>
      <c r="AX450" s="33" t="e">
        <f>INDEX('Dados - Inversores'!AN:AN,MATCH('1'!AL450,'Dados - Inversores'!$C:$C,0))-1</f>
        <v>#N/A</v>
      </c>
      <c r="AY450" s="33" t="e">
        <f>MATCH('1'!H450,Dados!$D$89:$D$167,0)+1</f>
        <v>#N/A</v>
      </c>
      <c r="AZ450" s="33" t="e">
        <f>MATCH('1'!N450,'Dados - Solicitação de acesso'!$N$2:$N$8,0)</f>
        <v>#N/A</v>
      </c>
      <c r="BA450" s="33" t="e">
        <f>MATCH('1'!T450,'Dados - Solicitação de acesso'!$T$2:$T$20,0)</f>
        <v>#N/A</v>
      </c>
    </row>
    <row r="451" spans="1:53" x14ac:dyDescent="0.35">
      <c r="A451" s="33">
        <f>'Dados - Cliente'!A451</f>
        <v>0</v>
      </c>
      <c r="B451" s="33">
        <f>'Dados - Cliente'!B451</f>
        <v>0</v>
      </c>
      <c r="C451" s="33">
        <f>'Dados - Cliente'!C451</f>
        <v>0</v>
      </c>
      <c r="D451" s="33">
        <f>'Dados - Cliente'!D451</f>
        <v>0</v>
      </c>
      <c r="E451" s="33">
        <f>'Dados - Cliente'!E451</f>
        <v>0</v>
      </c>
      <c r="F451" s="33">
        <f>'Dados - Cliente'!F451</f>
        <v>0</v>
      </c>
      <c r="G451" s="33">
        <f>'Dados - Cliente'!G451</f>
        <v>0</v>
      </c>
      <c r="H451" s="33">
        <f>'Dados - Cliente'!H451</f>
        <v>0</v>
      </c>
      <c r="I451" s="75" t="s">
        <v>4313</v>
      </c>
      <c r="J451" s="52" t="s">
        <v>4314</v>
      </c>
      <c r="K451" s="52" t="s">
        <v>4314</v>
      </c>
      <c r="L451" s="33">
        <f>'Dados - Cliente'!I451</f>
        <v>0</v>
      </c>
      <c r="M451" s="33">
        <f>'Dados - Cliente'!K451</f>
        <v>0</v>
      </c>
      <c r="N451" s="33">
        <f>'Dados - Cliente'!L451</f>
        <v>0</v>
      </c>
      <c r="O451" s="33">
        <f>'Dados - Cliente'!M451</f>
        <v>0</v>
      </c>
      <c r="P451" s="33">
        <f>'Dados - Cliente'!N451</f>
        <v>0</v>
      </c>
      <c r="Q451" s="33">
        <f>'Dados - Cliente'!O451</f>
        <v>0</v>
      </c>
      <c r="R451" s="33">
        <f>'Dados - Cliente'!P451</f>
        <v>0</v>
      </c>
      <c r="S451" s="33">
        <f>'Dados - Cliente'!Q451</f>
        <v>0</v>
      </c>
      <c r="T451" s="33">
        <f>'Dados - Cliente'!R451</f>
        <v>0</v>
      </c>
      <c r="U451" s="34">
        <f>'Dados - Cliente'!S451</f>
        <v>0</v>
      </c>
      <c r="V451" s="34">
        <f>'Dados - Cliente'!T451</f>
        <v>0</v>
      </c>
      <c r="W451" s="34">
        <f>'Dados - Cliente'!U451</f>
        <v>0</v>
      </c>
      <c r="X451" s="34">
        <f>'Dados - Cliente'!V451</f>
        <v>0</v>
      </c>
      <c r="Y451" s="34">
        <f>'Dados - Cliente'!W451</f>
        <v>0</v>
      </c>
      <c r="Z451" s="34">
        <f>'Dados - Cliente'!X451</f>
        <v>0</v>
      </c>
      <c r="AA451" s="33" t="e">
        <f t="shared" si="29"/>
        <v>#N/A</v>
      </c>
      <c r="AB451" s="33">
        <f>'Dados - Cliente'!Y451</f>
        <v>0</v>
      </c>
      <c r="AC451" s="33">
        <f>'Dados - Cliente'!Z451</f>
        <v>0</v>
      </c>
      <c r="AD451" s="33">
        <f>'Dados - Cliente'!AA451</f>
        <v>0</v>
      </c>
      <c r="AE451" s="33">
        <f>'Dados - Cliente'!AB451</f>
        <v>0</v>
      </c>
      <c r="AF451" s="33">
        <f>'Dados - Cliente'!AC451</f>
        <v>0</v>
      </c>
      <c r="AG451" s="35">
        <f>'Dados - Cliente'!AD451</f>
        <v>0</v>
      </c>
      <c r="AH451" s="33" t="e">
        <f>INDEX('Dados - Placas'!$A:$A,MATCH('1'!AG451,'Dados - Placas'!$D:$D,0))</f>
        <v>#N/A</v>
      </c>
      <c r="AI451" s="35" t="e">
        <f>INDEX('Dados - Placas'!$E:$E,MATCH('1'!AG451,'Dados - Placas'!$D:$D,0))</f>
        <v>#N/A</v>
      </c>
      <c r="AJ451" s="34" t="e">
        <f>INDEX('Dados - Placas'!$F:$F,MATCH('1'!AG451,'Dados - Placas'!$D:$D,0))*AF451</f>
        <v>#N/A</v>
      </c>
      <c r="AK451" s="33">
        <f>'Dados - Cliente'!AE451</f>
        <v>0</v>
      </c>
      <c r="AL451" s="33">
        <f>'Dados - Cliente'!AF451</f>
        <v>0</v>
      </c>
      <c r="AM451" s="36" t="e">
        <f>INDEX('Dados - Inversores'!$A:$A,MATCH('1'!AL451,'Dados - Inversores'!$C:$C,0))</f>
        <v>#N/A</v>
      </c>
      <c r="AN451" s="33">
        <f>'Dados - Cliente'!AG451</f>
        <v>0</v>
      </c>
      <c r="AO451" s="33" t="e">
        <f>AA451*1.25/(0.22*SQRT(INDEX('Dados - Inversores'!AK:AK,MATCH('1'!AL451,'Dados - Inversores'!C:C,0))))</f>
        <v>#N/A</v>
      </c>
      <c r="AP451" s="34">
        <f>INDEX(Dados!$E$2:$E$33,COUNTIF(Dados!$E$2:$E$33,"&lt;="&amp;AN451*1.25/(INDEX('Dados - Inversores'!AL:AL,MATCH('1'!AL451,'Dados - Inversores'!C:C,0))*SQRT(INDEX('Dados - Inversores'!AK:AK,MATCH('1'!AL451,'Dados - Inversores'!C:C,0)))))+1)</f>
        <v>2</v>
      </c>
      <c r="AQ451" s="33" t="s">
        <v>59</v>
      </c>
      <c r="AR451" s="33" t="str">
        <f t="shared" si="30"/>
        <v>Micro</v>
      </c>
      <c r="AS451" s="33">
        <f>'Dados - Cliente'!AH451</f>
        <v>0</v>
      </c>
      <c r="AT451" s="33">
        <f>'Dados - Cliente'!AI451</f>
        <v>0</v>
      </c>
      <c r="AU451" s="33" t="e">
        <f>INDEX('Dados - Placas'!$N:$N,MATCH('1'!AG451,'Dados - Placas'!$D:$D,0))-1</f>
        <v>#N/A</v>
      </c>
      <c r="AV451" s="33" t="e">
        <f>INDEX('Dados - Placas'!$O:$O,MATCH('1'!AG451,'Dados - Placas'!$D:$D,0))</f>
        <v>#N/A</v>
      </c>
      <c r="AW451" s="33" t="e">
        <f>INDEX('Dados - Inversores'!AM:AM,MATCH('1'!AL451,'Dados - Inversores'!$C:$C,0))-1</f>
        <v>#N/A</v>
      </c>
      <c r="AX451" s="33" t="e">
        <f>INDEX('Dados - Inversores'!AN:AN,MATCH('1'!AL451,'Dados - Inversores'!$C:$C,0))-1</f>
        <v>#N/A</v>
      </c>
      <c r="AY451" s="33" t="e">
        <f>MATCH('1'!H451,Dados!$D$89:$D$167,0)+1</f>
        <v>#N/A</v>
      </c>
      <c r="AZ451" s="33" t="e">
        <f>MATCH('1'!N451,'Dados - Solicitação de acesso'!$N$2:$N$8,0)</f>
        <v>#N/A</v>
      </c>
      <c r="BA451" s="33" t="e">
        <f>MATCH('1'!T451,'Dados - Solicitação de acesso'!$T$2:$T$20,0)</f>
        <v>#N/A</v>
      </c>
    </row>
    <row r="452" spans="1:53" x14ac:dyDescent="0.35">
      <c r="A452" s="33">
        <f>'Dados - Cliente'!A452</f>
        <v>0</v>
      </c>
      <c r="B452" s="33">
        <f>'Dados - Cliente'!B452</f>
        <v>0</v>
      </c>
      <c r="C452" s="33">
        <f>'Dados - Cliente'!C452</f>
        <v>0</v>
      </c>
      <c r="D452" s="33">
        <f>'Dados - Cliente'!D452</f>
        <v>0</v>
      </c>
      <c r="E452" s="33">
        <f>'Dados - Cliente'!E452</f>
        <v>0</v>
      </c>
      <c r="F452" s="33">
        <f>'Dados - Cliente'!F452</f>
        <v>0</v>
      </c>
      <c r="G452" s="33">
        <f>'Dados - Cliente'!G452</f>
        <v>0</v>
      </c>
      <c r="H452" s="33">
        <f>'Dados - Cliente'!H452</f>
        <v>0</v>
      </c>
      <c r="I452" s="75" t="s">
        <v>4313</v>
      </c>
      <c r="J452" s="52" t="s">
        <v>4314</v>
      </c>
      <c r="K452" s="52" t="s">
        <v>4314</v>
      </c>
      <c r="L452" s="33">
        <f>'Dados - Cliente'!I452</f>
        <v>0</v>
      </c>
      <c r="M452" s="33">
        <f>'Dados - Cliente'!K452</f>
        <v>0</v>
      </c>
      <c r="N452" s="33">
        <f>'Dados - Cliente'!L452</f>
        <v>0</v>
      </c>
      <c r="O452" s="33">
        <f>'Dados - Cliente'!M452</f>
        <v>0</v>
      </c>
      <c r="P452" s="33">
        <f>'Dados - Cliente'!N452</f>
        <v>0</v>
      </c>
      <c r="Q452" s="33">
        <f>'Dados - Cliente'!O452</f>
        <v>0</v>
      </c>
      <c r="R452" s="33">
        <f>'Dados - Cliente'!P452</f>
        <v>0</v>
      </c>
      <c r="S452" s="33">
        <f>'Dados - Cliente'!Q452</f>
        <v>0</v>
      </c>
      <c r="T452" s="33">
        <f>'Dados - Cliente'!R452</f>
        <v>0</v>
      </c>
      <c r="U452" s="34">
        <f>'Dados - Cliente'!S452</f>
        <v>0</v>
      </c>
      <c r="V452" s="34">
        <f>'Dados - Cliente'!T452</f>
        <v>0</v>
      </c>
      <c r="W452" s="34">
        <f>'Dados - Cliente'!U452</f>
        <v>0</v>
      </c>
      <c r="X452" s="34">
        <f>'Dados - Cliente'!V452</f>
        <v>0</v>
      </c>
      <c r="Y452" s="34">
        <f>'Dados - Cliente'!W452</f>
        <v>0</v>
      </c>
      <c r="Z452" s="34">
        <f>'Dados - Cliente'!X452</f>
        <v>0</v>
      </c>
      <c r="AA452" s="33" t="e">
        <f t="shared" si="29"/>
        <v>#N/A</v>
      </c>
      <c r="AB452" s="33">
        <f>'Dados - Cliente'!Y452</f>
        <v>0</v>
      </c>
      <c r="AC452" s="33">
        <f>'Dados - Cliente'!Z452</f>
        <v>0</v>
      </c>
      <c r="AD452" s="33">
        <f>'Dados - Cliente'!AA452</f>
        <v>0</v>
      </c>
      <c r="AE452" s="33">
        <f>'Dados - Cliente'!AB452</f>
        <v>0</v>
      </c>
      <c r="AF452" s="33">
        <f>'Dados - Cliente'!AC452</f>
        <v>0</v>
      </c>
      <c r="AG452" s="35">
        <f>'Dados - Cliente'!AD452</f>
        <v>0</v>
      </c>
      <c r="AH452" s="33" t="e">
        <f>INDEX('Dados - Placas'!$A:$A,MATCH('1'!AG452,'Dados - Placas'!$D:$D,0))</f>
        <v>#N/A</v>
      </c>
      <c r="AI452" s="35" t="e">
        <f>INDEX('Dados - Placas'!$E:$E,MATCH('1'!AG452,'Dados - Placas'!$D:$D,0))</f>
        <v>#N/A</v>
      </c>
      <c r="AJ452" s="34" t="e">
        <f>INDEX('Dados - Placas'!$F:$F,MATCH('1'!AG452,'Dados - Placas'!$D:$D,0))*AF452</f>
        <v>#N/A</v>
      </c>
      <c r="AK452" s="33">
        <f>'Dados - Cliente'!AE452</f>
        <v>0</v>
      </c>
      <c r="AL452" s="33">
        <f>'Dados - Cliente'!AF452</f>
        <v>0</v>
      </c>
      <c r="AM452" s="36" t="e">
        <f>INDEX('Dados - Inversores'!$A:$A,MATCH('1'!AL452,'Dados - Inversores'!$C:$C,0))</f>
        <v>#N/A</v>
      </c>
      <c r="AN452" s="33">
        <f>'Dados - Cliente'!AG452</f>
        <v>0</v>
      </c>
      <c r="AO452" s="33" t="e">
        <f>AA452*1.25/(0.22*SQRT(INDEX('Dados - Inversores'!AK:AK,MATCH('1'!AL452,'Dados - Inversores'!C:C,0))))</f>
        <v>#N/A</v>
      </c>
      <c r="AP452" s="34">
        <f>INDEX(Dados!$E$2:$E$33,COUNTIF(Dados!$E$2:$E$33,"&lt;="&amp;AN452*1.25/(INDEX('Dados - Inversores'!AL:AL,MATCH('1'!AL452,'Dados - Inversores'!C:C,0))*SQRT(INDEX('Dados - Inversores'!AK:AK,MATCH('1'!AL452,'Dados - Inversores'!C:C,0)))))+1)</f>
        <v>2</v>
      </c>
      <c r="AQ452" s="33" t="s">
        <v>59</v>
      </c>
      <c r="AR452" s="33" t="str">
        <f t="shared" si="30"/>
        <v>Micro</v>
      </c>
      <c r="AS452" s="33">
        <f>'Dados - Cliente'!AH452</f>
        <v>0</v>
      </c>
      <c r="AT452" s="33">
        <f>'Dados - Cliente'!AI452</f>
        <v>0</v>
      </c>
      <c r="AU452" s="33" t="e">
        <f>INDEX('Dados - Placas'!$N:$N,MATCH('1'!AG452,'Dados - Placas'!$D:$D,0))-1</f>
        <v>#N/A</v>
      </c>
      <c r="AV452" s="33" t="e">
        <f>INDEX('Dados - Placas'!$O:$O,MATCH('1'!AG452,'Dados - Placas'!$D:$D,0))</f>
        <v>#N/A</v>
      </c>
      <c r="AW452" s="33" t="e">
        <f>INDEX('Dados - Inversores'!AM:AM,MATCH('1'!AL452,'Dados - Inversores'!$C:$C,0))-1</f>
        <v>#N/A</v>
      </c>
      <c r="AX452" s="33" t="e">
        <f>INDEX('Dados - Inversores'!AN:AN,MATCH('1'!AL452,'Dados - Inversores'!$C:$C,0))-1</f>
        <v>#N/A</v>
      </c>
      <c r="AY452" s="33" t="e">
        <f>MATCH('1'!H452,Dados!$D$89:$D$167,0)+1</f>
        <v>#N/A</v>
      </c>
      <c r="AZ452" s="33" t="e">
        <f>MATCH('1'!N452,'Dados - Solicitação de acesso'!$N$2:$N$8,0)</f>
        <v>#N/A</v>
      </c>
      <c r="BA452" s="33" t="e">
        <f>MATCH('1'!T452,'Dados - Solicitação de acesso'!$T$2:$T$20,0)</f>
        <v>#N/A</v>
      </c>
    </row>
    <row r="453" spans="1:53" x14ac:dyDescent="0.35">
      <c r="I453" s="75" t="s">
        <v>4313</v>
      </c>
      <c r="J453" s="52" t="s">
        <v>4314</v>
      </c>
      <c r="K453" s="52" t="s">
        <v>4314</v>
      </c>
    </row>
    <row r="454" spans="1:53" x14ac:dyDescent="0.35">
      <c r="I454" s="75" t="s">
        <v>4313</v>
      </c>
      <c r="J454" s="52" t="s">
        <v>4314</v>
      </c>
      <c r="K454" s="52" t="s">
        <v>4314</v>
      </c>
    </row>
    <row r="455" spans="1:53" x14ac:dyDescent="0.35">
      <c r="I455" s="75" t="s">
        <v>4313</v>
      </c>
      <c r="J455" s="52" t="s">
        <v>4314</v>
      </c>
      <c r="K455" s="52" t="s">
        <v>4314</v>
      </c>
    </row>
    <row r="456" spans="1:53" x14ac:dyDescent="0.35">
      <c r="I456" s="75" t="s">
        <v>4313</v>
      </c>
      <c r="J456" s="52" t="s">
        <v>4314</v>
      </c>
      <c r="K456" s="52" t="s">
        <v>4314</v>
      </c>
    </row>
    <row r="457" spans="1:53" x14ac:dyDescent="0.35">
      <c r="I457" s="75" t="s">
        <v>4313</v>
      </c>
      <c r="J457" s="52" t="s">
        <v>4314</v>
      </c>
      <c r="K457" s="52" t="s">
        <v>4314</v>
      </c>
    </row>
    <row r="458" spans="1:53" x14ac:dyDescent="0.35">
      <c r="I458" s="75" t="s">
        <v>4313</v>
      </c>
      <c r="J458" s="52" t="s">
        <v>4314</v>
      </c>
      <c r="K458" s="52" t="s">
        <v>4314</v>
      </c>
    </row>
    <row r="459" spans="1:53" x14ac:dyDescent="0.35">
      <c r="I459" s="75" t="s">
        <v>4313</v>
      </c>
      <c r="J459" s="52" t="s">
        <v>4314</v>
      </c>
      <c r="K459" s="52" t="s">
        <v>4314</v>
      </c>
    </row>
    <row r="460" spans="1:53" x14ac:dyDescent="0.35">
      <c r="I460" s="75" t="s">
        <v>4313</v>
      </c>
      <c r="J460" s="52" t="s">
        <v>4314</v>
      </c>
      <c r="K460" s="52" t="s">
        <v>4314</v>
      </c>
    </row>
    <row r="461" spans="1:53" x14ac:dyDescent="0.35">
      <c r="I461" s="75" t="s">
        <v>4313</v>
      </c>
      <c r="J461" s="52" t="s">
        <v>4314</v>
      </c>
      <c r="K461" s="52" t="s">
        <v>4314</v>
      </c>
    </row>
    <row r="462" spans="1:53" x14ac:dyDescent="0.35">
      <c r="I462" s="75" t="s">
        <v>4313</v>
      </c>
      <c r="J462" s="52" t="s">
        <v>4314</v>
      </c>
      <c r="K462" s="52" t="s">
        <v>4314</v>
      </c>
    </row>
    <row r="463" spans="1:53" x14ac:dyDescent="0.35">
      <c r="I463" s="75" t="s">
        <v>4313</v>
      </c>
      <c r="J463" s="52" t="s">
        <v>4314</v>
      </c>
      <c r="K463" s="52" t="s">
        <v>4314</v>
      </c>
    </row>
    <row r="464" spans="1:53" x14ac:dyDescent="0.35">
      <c r="I464" s="75" t="s">
        <v>4313</v>
      </c>
      <c r="J464" s="52" t="s">
        <v>4314</v>
      </c>
      <c r="K464" s="52" t="s">
        <v>4314</v>
      </c>
    </row>
    <row r="465" spans="9:11" x14ac:dyDescent="0.35">
      <c r="I465" s="75" t="s">
        <v>4313</v>
      </c>
      <c r="J465" s="52" t="s">
        <v>4314</v>
      </c>
      <c r="K465" s="52" t="s">
        <v>4314</v>
      </c>
    </row>
    <row r="466" spans="9:11" x14ac:dyDescent="0.35">
      <c r="I466" s="75" t="s">
        <v>4313</v>
      </c>
      <c r="J466" s="52" t="s">
        <v>4314</v>
      </c>
      <c r="K466" s="52" t="s">
        <v>4314</v>
      </c>
    </row>
    <row r="467" spans="9:11" x14ac:dyDescent="0.35">
      <c r="I467" s="75" t="s">
        <v>4313</v>
      </c>
      <c r="J467" s="52" t="s">
        <v>4314</v>
      </c>
      <c r="K467" s="52" t="s">
        <v>4314</v>
      </c>
    </row>
    <row r="468" spans="9:11" x14ac:dyDescent="0.35">
      <c r="I468" s="75" t="s">
        <v>4313</v>
      </c>
      <c r="J468" s="52" t="s">
        <v>4314</v>
      </c>
      <c r="K468" s="52" t="s">
        <v>4314</v>
      </c>
    </row>
    <row r="469" spans="9:11" x14ac:dyDescent="0.35">
      <c r="I469" s="75" t="s">
        <v>4313</v>
      </c>
      <c r="J469" s="52" t="s">
        <v>4314</v>
      </c>
      <c r="K469" s="52" t="s">
        <v>4314</v>
      </c>
    </row>
    <row r="470" spans="9:11" x14ac:dyDescent="0.35">
      <c r="I470" s="75" t="s">
        <v>4313</v>
      </c>
      <c r="J470" s="52" t="s">
        <v>4314</v>
      </c>
      <c r="K470" s="52" t="s">
        <v>4314</v>
      </c>
    </row>
    <row r="471" spans="9:11" x14ac:dyDescent="0.35">
      <c r="I471" s="75" t="s">
        <v>4313</v>
      </c>
      <c r="J471" s="52" t="s">
        <v>4314</v>
      </c>
      <c r="K471" s="52" t="s">
        <v>4314</v>
      </c>
    </row>
    <row r="472" spans="9:11" x14ac:dyDescent="0.35">
      <c r="I472" s="75" t="s">
        <v>4313</v>
      </c>
      <c r="J472" s="52" t="s">
        <v>4314</v>
      </c>
      <c r="K472" s="52" t="s">
        <v>4314</v>
      </c>
    </row>
    <row r="473" spans="9:11" x14ac:dyDescent="0.35">
      <c r="I473" s="75" t="s">
        <v>4313</v>
      </c>
      <c r="J473" s="52" t="s">
        <v>4314</v>
      </c>
      <c r="K473" s="52" t="s">
        <v>4314</v>
      </c>
    </row>
    <row r="474" spans="9:11" x14ac:dyDescent="0.35">
      <c r="I474" s="75" t="s">
        <v>4313</v>
      </c>
      <c r="J474" s="52" t="s">
        <v>4314</v>
      </c>
      <c r="K474" s="52" t="s">
        <v>4314</v>
      </c>
    </row>
    <row r="475" spans="9:11" x14ac:dyDescent="0.35">
      <c r="I475" s="75" t="s">
        <v>4313</v>
      </c>
      <c r="J475" s="52" t="s">
        <v>4314</v>
      </c>
      <c r="K475" s="52" t="s">
        <v>4314</v>
      </c>
    </row>
    <row r="476" spans="9:11" x14ac:dyDescent="0.35">
      <c r="I476" s="75" t="s">
        <v>4313</v>
      </c>
      <c r="J476" s="52" t="s">
        <v>4314</v>
      </c>
      <c r="K476" s="52" t="s">
        <v>4314</v>
      </c>
    </row>
    <row r="477" spans="9:11" x14ac:dyDescent="0.35">
      <c r="I477" s="75" t="s">
        <v>4313</v>
      </c>
      <c r="J477" s="52" t="s">
        <v>4314</v>
      </c>
      <c r="K477" s="52" t="s">
        <v>4314</v>
      </c>
    </row>
    <row r="478" spans="9:11" x14ac:dyDescent="0.35">
      <c r="I478" s="75" t="s">
        <v>4313</v>
      </c>
      <c r="J478" s="52" t="s">
        <v>4314</v>
      </c>
      <c r="K478" s="52" t="s">
        <v>4314</v>
      </c>
    </row>
    <row r="479" spans="9:11" x14ac:dyDescent="0.35">
      <c r="I479" s="75" t="s">
        <v>4313</v>
      </c>
      <c r="J479" s="52" t="s">
        <v>4314</v>
      </c>
      <c r="K479" s="52" t="s">
        <v>4314</v>
      </c>
    </row>
    <row r="480" spans="9:11" x14ac:dyDescent="0.35">
      <c r="I480" s="75" t="s">
        <v>4313</v>
      </c>
      <c r="J480" s="52" t="s">
        <v>4314</v>
      </c>
      <c r="K480" s="52" t="s">
        <v>4314</v>
      </c>
    </row>
    <row r="481" spans="9:11" x14ac:dyDescent="0.35">
      <c r="I481" s="75" t="s">
        <v>4313</v>
      </c>
      <c r="J481" s="52" t="s">
        <v>4314</v>
      </c>
      <c r="K481" s="52" t="s">
        <v>4314</v>
      </c>
    </row>
    <row r="482" spans="9:11" x14ac:dyDescent="0.35">
      <c r="I482" s="75" t="s">
        <v>4313</v>
      </c>
      <c r="J482" s="52" t="s">
        <v>4314</v>
      </c>
      <c r="K482" s="52" t="s">
        <v>4314</v>
      </c>
    </row>
    <row r="483" spans="9:11" x14ac:dyDescent="0.35">
      <c r="I483" s="75" t="s">
        <v>4313</v>
      </c>
      <c r="J483" s="52" t="s">
        <v>4314</v>
      </c>
      <c r="K483" s="52" t="s">
        <v>4314</v>
      </c>
    </row>
    <row r="484" spans="9:11" x14ac:dyDescent="0.35">
      <c r="I484" s="75" t="s">
        <v>4313</v>
      </c>
      <c r="J484" s="52" t="s">
        <v>4314</v>
      </c>
      <c r="K484" s="52" t="s">
        <v>4314</v>
      </c>
    </row>
    <row r="485" spans="9:11" x14ac:dyDescent="0.35">
      <c r="I485" s="75" t="s">
        <v>4313</v>
      </c>
      <c r="J485" s="52" t="s">
        <v>4314</v>
      </c>
      <c r="K485" s="52" t="s">
        <v>4314</v>
      </c>
    </row>
    <row r="486" spans="9:11" x14ac:dyDescent="0.35">
      <c r="I486" s="75" t="s">
        <v>4313</v>
      </c>
      <c r="J486" s="52" t="s">
        <v>4314</v>
      </c>
      <c r="K486" s="52" t="s">
        <v>4314</v>
      </c>
    </row>
    <row r="487" spans="9:11" x14ac:dyDescent="0.35">
      <c r="I487" s="75" t="s">
        <v>4313</v>
      </c>
      <c r="J487" s="52" t="s">
        <v>4314</v>
      </c>
      <c r="K487" s="52" t="s">
        <v>4314</v>
      </c>
    </row>
    <row r="488" spans="9:11" x14ac:dyDescent="0.35">
      <c r="I488" s="75" t="s">
        <v>4313</v>
      </c>
      <c r="J488" s="52" t="s">
        <v>4314</v>
      </c>
      <c r="K488" s="52" t="s">
        <v>4314</v>
      </c>
    </row>
    <row r="489" spans="9:11" x14ac:dyDescent="0.35">
      <c r="I489" s="75" t="s">
        <v>4313</v>
      </c>
      <c r="J489" s="52" t="s">
        <v>4314</v>
      </c>
      <c r="K489" s="52" t="s">
        <v>4314</v>
      </c>
    </row>
    <row r="490" spans="9:11" x14ac:dyDescent="0.35">
      <c r="I490" s="75" t="s">
        <v>4313</v>
      </c>
      <c r="J490" s="52" t="s">
        <v>4314</v>
      </c>
      <c r="K490" s="52" t="s">
        <v>4314</v>
      </c>
    </row>
    <row r="491" spans="9:11" x14ac:dyDescent="0.35">
      <c r="I491" s="75" t="s">
        <v>4313</v>
      </c>
      <c r="J491" s="52" t="s">
        <v>4314</v>
      </c>
      <c r="K491" s="52" t="s">
        <v>4314</v>
      </c>
    </row>
    <row r="492" spans="9:11" x14ac:dyDescent="0.35">
      <c r="I492" s="75" t="s">
        <v>4313</v>
      </c>
      <c r="J492" s="52" t="s">
        <v>4314</v>
      </c>
      <c r="K492" s="52" t="s">
        <v>4314</v>
      </c>
    </row>
    <row r="493" spans="9:11" x14ac:dyDescent="0.35">
      <c r="I493" s="75" t="s">
        <v>4313</v>
      </c>
      <c r="J493" s="52" t="s">
        <v>4314</v>
      </c>
      <c r="K493" s="52" t="s">
        <v>4314</v>
      </c>
    </row>
    <row r="494" spans="9:11" x14ac:dyDescent="0.35">
      <c r="I494" s="75" t="s">
        <v>4313</v>
      </c>
      <c r="J494" s="52" t="s">
        <v>4314</v>
      </c>
      <c r="K494" s="52" t="s">
        <v>4314</v>
      </c>
    </row>
    <row r="495" spans="9:11" x14ac:dyDescent="0.35">
      <c r="I495" s="75" t="s">
        <v>4313</v>
      </c>
      <c r="J495" s="52" t="s">
        <v>4314</v>
      </c>
      <c r="K495" s="52" t="s">
        <v>4314</v>
      </c>
    </row>
    <row r="496" spans="9:11" x14ac:dyDescent="0.35">
      <c r="I496" s="75" t="s">
        <v>4313</v>
      </c>
      <c r="J496" s="52" t="s">
        <v>4314</v>
      </c>
      <c r="K496" s="52" t="s">
        <v>4314</v>
      </c>
    </row>
    <row r="497" spans="9:11" x14ac:dyDescent="0.35">
      <c r="I497" s="75" t="s">
        <v>4313</v>
      </c>
      <c r="J497" s="52" t="s">
        <v>4314</v>
      </c>
      <c r="K497" s="52" t="s">
        <v>4314</v>
      </c>
    </row>
    <row r="498" spans="9:11" x14ac:dyDescent="0.35">
      <c r="I498" s="75" t="s">
        <v>4313</v>
      </c>
      <c r="J498" s="52" t="s">
        <v>4314</v>
      </c>
      <c r="K498" s="52" t="s">
        <v>4314</v>
      </c>
    </row>
    <row r="499" spans="9:11" x14ac:dyDescent="0.35">
      <c r="I499" s="75" t="s">
        <v>4313</v>
      </c>
      <c r="J499" s="52" t="s">
        <v>4314</v>
      </c>
      <c r="K499" s="52" t="s">
        <v>4314</v>
      </c>
    </row>
    <row r="500" spans="9:11" x14ac:dyDescent="0.35">
      <c r="I500" s="75" t="s">
        <v>4313</v>
      </c>
      <c r="J500" s="52" t="s">
        <v>4314</v>
      </c>
      <c r="K500" s="52" t="s">
        <v>4314</v>
      </c>
    </row>
    <row r="501" spans="9:11" x14ac:dyDescent="0.35">
      <c r="I501" s="75" t="s">
        <v>4313</v>
      </c>
      <c r="J501" s="52" t="s">
        <v>4314</v>
      </c>
      <c r="K501" s="52" t="s">
        <v>4314</v>
      </c>
    </row>
    <row r="502" spans="9:11" x14ac:dyDescent="0.35">
      <c r="I502" s="75" t="s">
        <v>4313</v>
      </c>
      <c r="J502" s="52" t="s">
        <v>4314</v>
      </c>
      <c r="K502" s="52" t="s">
        <v>4314</v>
      </c>
    </row>
    <row r="503" spans="9:11" x14ac:dyDescent="0.35">
      <c r="I503" s="75" t="s">
        <v>4313</v>
      </c>
      <c r="J503" s="52" t="s">
        <v>4314</v>
      </c>
      <c r="K503" s="52" t="s">
        <v>4314</v>
      </c>
    </row>
    <row r="504" spans="9:11" x14ac:dyDescent="0.35">
      <c r="I504" s="75" t="s">
        <v>4313</v>
      </c>
      <c r="J504" s="52" t="s">
        <v>4314</v>
      </c>
      <c r="K504" s="52" t="s">
        <v>4314</v>
      </c>
    </row>
    <row r="505" spans="9:11" x14ac:dyDescent="0.35">
      <c r="I505" s="75" t="s">
        <v>4313</v>
      </c>
      <c r="J505" s="52" t="s">
        <v>4314</v>
      </c>
      <c r="K505" s="52" t="s">
        <v>4314</v>
      </c>
    </row>
    <row r="506" spans="9:11" x14ac:dyDescent="0.35">
      <c r="I506" s="75" t="s">
        <v>4313</v>
      </c>
      <c r="J506" s="52" t="s">
        <v>4314</v>
      </c>
      <c r="K506" s="52" t="s">
        <v>4314</v>
      </c>
    </row>
    <row r="507" spans="9:11" x14ac:dyDescent="0.35">
      <c r="I507" s="75" t="s">
        <v>4313</v>
      </c>
      <c r="J507" s="52" t="s">
        <v>4314</v>
      </c>
      <c r="K507" s="52" t="s">
        <v>4314</v>
      </c>
    </row>
    <row r="508" spans="9:11" x14ac:dyDescent="0.35">
      <c r="I508" s="75" t="s">
        <v>4313</v>
      </c>
      <c r="J508" s="52" t="s">
        <v>4314</v>
      </c>
      <c r="K508" s="52" t="s">
        <v>4314</v>
      </c>
    </row>
    <row r="509" spans="9:11" x14ac:dyDescent="0.35">
      <c r="I509" s="75" t="s">
        <v>4313</v>
      </c>
      <c r="J509" s="52" t="s">
        <v>4314</v>
      </c>
      <c r="K509" s="52" t="s">
        <v>4314</v>
      </c>
    </row>
    <row r="510" spans="9:11" x14ac:dyDescent="0.35">
      <c r="I510" s="75" t="s">
        <v>4313</v>
      </c>
      <c r="J510" s="52" t="s">
        <v>4314</v>
      </c>
      <c r="K510" s="52" t="s">
        <v>4314</v>
      </c>
    </row>
    <row r="511" spans="9:11" x14ac:dyDescent="0.35">
      <c r="I511" s="75" t="s">
        <v>4313</v>
      </c>
      <c r="J511" s="52" t="s">
        <v>4314</v>
      </c>
      <c r="K511" s="52" t="s">
        <v>4314</v>
      </c>
    </row>
    <row r="512" spans="9:11" x14ac:dyDescent="0.35">
      <c r="I512" s="75" t="s">
        <v>4313</v>
      </c>
      <c r="J512" s="52" t="s">
        <v>4314</v>
      </c>
      <c r="K512" s="52" t="s">
        <v>4314</v>
      </c>
    </row>
    <row r="513" spans="9:11" x14ac:dyDescent="0.35">
      <c r="I513" s="75" t="s">
        <v>4313</v>
      </c>
      <c r="J513" s="52" t="s">
        <v>4314</v>
      </c>
      <c r="K513" s="52" t="s">
        <v>4314</v>
      </c>
    </row>
    <row r="514" spans="9:11" x14ac:dyDescent="0.35">
      <c r="I514" s="75" t="s">
        <v>4313</v>
      </c>
      <c r="J514" s="52" t="s">
        <v>4314</v>
      </c>
      <c r="K514" s="52" t="s">
        <v>4314</v>
      </c>
    </row>
    <row r="515" spans="9:11" x14ac:dyDescent="0.35">
      <c r="I515" s="75" t="s">
        <v>4313</v>
      </c>
      <c r="J515" s="52" t="s">
        <v>4314</v>
      </c>
      <c r="K515" s="52" t="s">
        <v>4314</v>
      </c>
    </row>
    <row r="516" spans="9:11" x14ac:dyDescent="0.35">
      <c r="I516" s="75" t="s">
        <v>4313</v>
      </c>
      <c r="J516" s="52" t="s">
        <v>4314</v>
      </c>
      <c r="K516" s="52" t="s">
        <v>4314</v>
      </c>
    </row>
    <row r="517" spans="9:11" x14ac:dyDescent="0.35">
      <c r="I517" s="75" t="s">
        <v>4313</v>
      </c>
      <c r="J517" s="52" t="s">
        <v>4314</v>
      </c>
      <c r="K517" s="52" t="s">
        <v>4314</v>
      </c>
    </row>
    <row r="518" spans="9:11" x14ac:dyDescent="0.35">
      <c r="I518" s="75" t="s">
        <v>4313</v>
      </c>
      <c r="J518" s="52" t="s">
        <v>4314</v>
      </c>
      <c r="K518" s="52" t="s">
        <v>4314</v>
      </c>
    </row>
    <row r="519" spans="9:11" x14ac:dyDescent="0.35">
      <c r="I519" s="75" t="s">
        <v>4313</v>
      </c>
      <c r="J519" s="52" t="s">
        <v>4314</v>
      </c>
      <c r="K519" s="52" t="s">
        <v>4314</v>
      </c>
    </row>
    <row r="520" spans="9:11" x14ac:dyDescent="0.35">
      <c r="I520" s="75" t="s">
        <v>4313</v>
      </c>
      <c r="J520" s="52" t="s">
        <v>4314</v>
      </c>
      <c r="K520" s="52" t="s">
        <v>4314</v>
      </c>
    </row>
    <row r="521" spans="9:11" x14ac:dyDescent="0.35">
      <c r="I521" s="75" t="s">
        <v>4313</v>
      </c>
      <c r="J521" s="52" t="s">
        <v>4314</v>
      </c>
      <c r="K521" s="52" t="s">
        <v>4314</v>
      </c>
    </row>
    <row r="522" spans="9:11" x14ac:dyDescent="0.35">
      <c r="I522" s="75" t="s">
        <v>4313</v>
      </c>
      <c r="J522" s="52" t="s">
        <v>4314</v>
      </c>
      <c r="K522" s="52" t="s">
        <v>4314</v>
      </c>
    </row>
    <row r="523" spans="9:11" x14ac:dyDescent="0.35">
      <c r="I523" s="75" t="s">
        <v>4313</v>
      </c>
      <c r="J523" s="52" t="s">
        <v>4314</v>
      </c>
      <c r="K523" s="52" t="s">
        <v>4314</v>
      </c>
    </row>
    <row r="524" spans="9:11" x14ac:dyDescent="0.35">
      <c r="I524" s="75" t="s">
        <v>4313</v>
      </c>
      <c r="J524" s="52" t="s">
        <v>4314</v>
      </c>
      <c r="K524" s="52" t="s">
        <v>4314</v>
      </c>
    </row>
    <row r="525" spans="9:11" x14ac:dyDescent="0.35">
      <c r="I525" s="75" t="s">
        <v>4313</v>
      </c>
      <c r="J525" s="52" t="s">
        <v>4314</v>
      </c>
      <c r="K525" s="52" t="s">
        <v>4314</v>
      </c>
    </row>
    <row r="526" spans="9:11" x14ac:dyDescent="0.35">
      <c r="I526" s="75" t="s">
        <v>4313</v>
      </c>
      <c r="J526" s="52" t="s">
        <v>4314</v>
      </c>
      <c r="K526" s="52" t="s">
        <v>4314</v>
      </c>
    </row>
    <row r="527" spans="9:11" x14ac:dyDescent="0.35">
      <c r="I527" s="75" t="s">
        <v>4313</v>
      </c>
      <c r="J527" s="52" t="s">
        <v>4314</v>
      </c>
      <c r="K527" s="52" t="s">
        <v>4314</v>
      </c>
    </row>
    <row r="528" spans="9:11" x14ac:dyDescent="0.35">
      <c r="I528" s="75" t="s">
        <v>4313</v>
      </c>
      <c r="J528" s="52" t="s">
        <v>4314</v>
      </c>
      <c r="K528" s="52" t="s">
        <v>4314</v>
      </c>
    </row>
    <row r="529" spans="9:11" x14ac:dyDescent="0.35">
      <c r="I529" s="75" t="s">
        <v>4313</v>
      </c>
      <c r="J529" s="52" t="s">
        <v>4314</v>
      </c>
      <c r="K529" s="52" t="s">
        <v>4314</v>
      </c>
    </row>
    <row r="530" spans="9:11" x14ac:dyDescent="0.35">
      <c r="I530" s="75" t="s">
        <v>4313</v>
      </c>
      <c r="J530" s="52" t="s">
        <v>4314</v>
      </c>
      <c r="K530" s="52" t="s">
        <v>4314</v>
      </c>
    </row>
    <row r="531" spans="9:11" x14ac:dyDescent="0.35">
      <c r="I531" s="75" t="s">
        <v>4313</v>
      </c>
      <c r="J531" s="52" t="s">
        <v>4314</v>
      </c>
      <c r="K531" s="52" t="s">
        <v>4314</v>
      </c>
    </row>
    <row r="532" spans="9:11" x14ac:dyDescent="0.35">
      <c r="I532" s="75" t="s">
        <v>4313</v>
      </c>
      <c r="J532" s="52" t="s">
        <v>4314</v>
      </c>
      <c r="K532" s="52" t="s">
        <v>4314</v>
      </c>
    </row>
    <row r="533" spans="9:11" x14ac:dyDescent="0.35">
      <c r="I533" s="75" t="s">
        <v>4313</v>
      </c>
      <c r="J533" s="52" t="s">
        <v>4314</v>
      </c>
      <c r="K533" s="52" t="s">
        <v>4314</v>
      </c>
    </row>
    <row r="534" spans="9:11" x14ac:dyDescent="0.35">
      <c r="I534" s="75" t="s">
        <v>4313</v>
      </c>
      <c r="J534" s="52" t="s">
        <v>4314</v>
      </c>
      <c r="K534" s="52" t="s">
        <v>4314</v>
      </c>
    </row>
    <row r="535" spans="9:11" x14ac:dyDescent="0.35">
      <c r="I535" s="75" t="s">
        <v>4313</v>
      </c>
      <c r="J535" s="52" t="s">
        <v>4314</v>
      </c>
      <c r="K535" s="52" t="s">
        <v>4314</v>
      </c>
    </row>
    <row r="536" spans="9:11" x14ac:dyDescent="0.35">
      <c r="I536" s="75" t="s">
        <v>4313</v>
      </c>
      <c r="J536" s="52" t="s">
        <v>4314</v>
      </c>
      <c r="K536" s="52" t="s">
        <v>4314</v>
      </c>
    </row>
    <row r="537" spans="9:11" x14ac:dyDescent="0.35">
      <c r="I537" s="75" t="s">
        <v>4313</v>
      </c>
      <c r="J537" s="52" t="s">
        <v>4314</v>
      </c>
      <c r="K537" s="52" t="s">
        <v>4314</v>
      </c>
    </row>
    <row r="538" spans="9:11" x14ac:dyDescent="0.35">
      <c r="I538" s="75" t="s">
        <v>4313</v>
      </c>
      <c r="J538" s="52" t="s">
        <v>4314</v>
      </c>
      <c r="K538" s="52" t="s">
        <v>4314</v>
      </c>
    </row>
    <row r="539" spans="9:11" x14ac:dyDescent="0.35">
      <c r="I539" s="75" t="s">
        <v>4313</v>
      </c>
      <c r="J539" s="52" t="s">
        <v>4314</v>
      </c>
      <c r="K539" s="52" t="s">
        <v>4314</v>
      </c>
    </row>
    <row r="540" spans="9:11" x14ac:dyDescent="0.35">
      <c r="I540" s="75" t="s">
        <v>4313</v>
      </c>
      <c r="J540" s="52" t="s">
        <v>4314</v>
      </c>
      <c r="K540" s="52" t="s">
        <v>4314</v>
      </c>
    </row>
    <row r="541" spans="9:11" x14ac:dyDescent="0.35">
      <c r="I541" s="75" t="s">
        <v>4313</v>
      </c>
      <c r="J541" s="52" t="s">
        <v>4314</v>
      </c>
      <c r="K541" s="52" t="s">
        <v>4314</v>
      </c>
    </row>
    <row r="542" spans="9:11" x14ac:dyDescent="0.35">
      <c r="I542" s="75" t="s">
        <v>4313</v>
      </c>
      <c r="J542" s="52" t="s">
        <v>4314</v>
      </c>
      <c r="K542" s="52" t="s">
        <v>4314</v>
      </c>
    </row>
    <row r="543" spans="9:11" x14ac:dyDescent="0.35">
      <c r="I543" s="75" t="s">
        <v>4313</v>
      </c>
      <c r="J543" s="52" t="s">
        <v>4314</v>
      </c>
      <c r="K543" s="52" t="s">
        <v>4314</v>
      </c>
    </row>
    <row r="544" spans="9:11" x14ac:dyDescent="0.35">
      <c r="I544" s="75" t="s">
        <v>4313</v>
      </c>
      <c r="J544" s="52" t="s">
        <v>4314</v>
      </c>
      <c r="K544" s="52" t="s">
        <v>4314</v>
      </c>
    </row>
    <row r="545" spans="9:11" x14ac:dyDescent="0.35">
      <c r="I545" s="75" t="s">
        <v>4313</v>
      </c>
      <c r="J545" s="52" t="s">
        <v>4314</v>
      </c>
      <c r="K545" s="52" t="s">
        <v>4314</v>
      </c>
    </row>
    <row r="546" spans="9:11" x14ac:dyDescent="0.35">
      <c r="I546" s="75" t="s">
        <v>4313</v>
      </c>
      <c r="J546" s="52" t="s">
        <v>4314</v>
      </c>
      <c r="K546" s="52" t="s">
        <v>4314</v>
      </c>
    </row>
    <row r="547" spans="9:11" x14ac:dyDescent="0.35">
      <c r="I547" s="75" t="s">
        <v>4313</v>
      </c>
      <c r="J547" s="52" t="s">
        <v>4314</v>
      </c>
      <c r="K547" s="52" t="s">
        <v>4314</v>
      </c>
    </row>
    <row r="548" spans="9:11" x14ac:dyDescent="0.35">
      <c r="I548" s="75" t="s">
        <v>4313</v>
      </c>
      <c r="J548" s="52" t="s">
        <v>4314</v>
      </c>
      <c r="K548" s="52" t="s">
        <v>4314</v>
      </c>
    </row>
    <row r="549" spans="9:11" x14ac:dyDescent="0.35">
      <c r="I549" s="75" t="s">
        <v>4313</v>
      </c>
      <c r="J549" s="52" t="s">
        <v>4314</v>
      </c>
      <c r="K549" s="52" t="s">
        <v>4314</v>
      </c>
    </row>
    <row r="550" spans="9:11" x14ac:dyDescent="0.35">
      <c r="I550" s="75" t="s">
        <v>4313</v>
      </c>
      <c r="J550" s="52" t="s">
        <v>4314</v>
      </c>
      <c r="K550" s="52" t="s">
        <v>4314</v>
      </c>
    </row>
    <row r="551" spans="9:11" x14ac:dyDescent="0.35">
      <c r="I551" s="75" t="s">
        <v>4313</v>
      </c>
      <c r="J551" s="52" t="s">
        <v>4314</v>
      </c>
      <c r="K551" s="52" t="s">
        <v>4314</v>
      </c>
    </row>
    <row r="552" spans="9:11" x14ac:dyDescent="0.35">
      <c r="I552" s="75" t="s">
        <v>4313</v>
      </c>
      <c r="J552" s="52" t="s">
        <v>4314</v>
      </c>
      <c r="K552" s="52" t="s">
        <v>4314</v>
      </c>
    </row>
    <row r="553" spans="9:11" x14ac:dyDescent="0.35">
      <c r="I553" s="75" t="s">
        <v>4313</v>
      </c>
      <c r="J553" s="52" t="s">
        <v>4314</v>
      </c>
      <c r="K553" s="52" t="s">
        <v>4314</v>
      </c>
    </row>
    <row r="554" spans="9:11" x14ac:dyDescent="0.35">
      <c r="I554" s="75" t="s">
        <v>4313</v>
      </c>
      <c r="J554" s="52" t="s">
        <v>4314</v>
      </c>
      <c r="K554" s="52" t="s">
        <v>4314</v>
      </c>
    </row>
    <row r="555" spans="9:11" x14ac:dyDescent="0.35">
      <c r="I555" s="75" t="s">
        <v>4313</v>
      </c>
      <c r="J555" s="52" t="s">
        <v>4314</v>
      </c>
      <c r="K555" s="52" t="s">
        <v>4314</v>
      </c>
    </row>
    <row r="556" spans="9:11" x14ac:dyDescent="0.35">
      <c r="I556" s="75" t="s">
        <v>4313</v>
      </c>
      <c r="J556" s="52" t="s">
        <v>4314</v>
      </c>
      <c r="K556" s="52" t="s">
        <v>4314</v>
      </c>
    </row>
    <row r="557" spans="9:11" x14ac:dyDescent="0.35">
      <c r="I557" s="75" t="s">
        <v>4313</v>
      </c>
      <c r="J557" s="52" t="s">
        <v>4314</v>
      </c>
      <c r="K557" s="52" t="s">
        <v>4314</v>
      </c>
    </row>
    <row r="558" spans="9:11" x14ac:dyDescent="0.35">
      <c r="I558" s="75" t="s">
        <v>4313</v>
      </c>
      <c r="J558" s="52" t="s">
        <v>4314</v>
      </c>
      <c r="K558" s="52" t="s">
        <v>4314</v>
      </c>
    </row>
    <row r="559" spans="9:11" x14ac:dyDescent="0.35">
      <c r="I559" s="75" t="s">
        <v>4313</v>
      </c>
      <c r="J559" s="52" t="s">
        <v>4314</v>
      </c>
      <c r="K559" s="52" t="s">
        <v>4314</v>
      </c>
    </row>
    <row r="560" spans="9:11" x14ac:dyDescent="0.35">
      <c r="I560" s="75" t="s">
        <v>4313</v>
      </c>
      <c r="J560" s="52" t="s">
        <v>4314</v>
      </c>
      <c r="K560" s="52" t="s">
        <v>4314</v>
      </c>
    </row>
    <row r="561" spans="9:11" x14ac:dyDescent="0.35">
      <c r="I561" s="75" t="s">
        <v>4313</v>
      </c>
      <c r="J561" s="52" t="s">
        <v>4314</v>
      </c>
      <c r="K561" s="52" t="s">
        <v>4314</v>
      </c>
    </row>
    <row r="562" spans="9:11" x14ac:dyDescent="0.35">
      <c r="I562" s="75" t="s">
        <v>4313</v>
      </c>
      <c r="J562" s="52" t="s">
        <v>4314</v>
      </c>
      <c r="K562" s="52" t="s">
        <v>4314</v>
      </c>
    </row>
    <row r="563" spans="9:11" x14ac:dyDescent="0.35">
      <c r="I563" s="75" t="s">
        <v>4313</v>
      </c>
      <c r="J563" s="52" t="s">
        <v>4314</v>
      </c>
      <c r="K563" s="52" t="s">
        <v>4314</v>
      </c>
    </row>
    <row r="564" spans="9:11" x14ac:dyDescent="0.35">
      <c r="I564" s="75" t="s">
        <v>4313</v>
      </c>
      <c r="J564" s="52" t="s">
        <v>4314</v>
      </c>
      <c r="K564" s="52" t="s">
        <v>4314</v>
      </c>
    </row>
    <row r="565" spans="9:11" x14ac:dyDescent="0.35">
      <c r="I565" s="75" t="s">
        <v>4313</v>
      </c>
      <c r="J565" s="52" t="s">
        <v>4314</v>
      </c>
      <c r="K565" s="52" t="s">
        <v>4314</v>
      </c>
    </row>
    <row r="566" spans="9:11" x14ac:dyDescent="0.35">
      <c r="I566" s="75" t="s">
        <v>4313</v>
      </c>
      <c r="J566" s="52" t="s">
        <v>4314</v>
      </c>
      <c r="K566" s="52" t="s">
        <v>4314</v>
      </c>
    </row>
    <row r="567" spans="9:11" x14ac:dyDescent="0.35">
      <c r="I567" s="75" t="s">
        <v>4313</v>
      </c>
      <c r="J567" s="52" t="s">
        <v>4314</v>
      </c>
      <c r="K567" s="52" t="s">
        <v>4314</v>
      </c>
    </row>
    <row r="568" spans="9:11" x14ac:dyDescent="0.35">
      <c r="I568" s="75" t="s">
        <v>4313</v>
      </c>
      <c r="J568" s="52" t="s">
        <v>4314</v>
      </c>
      <c r="K568" s="52" t="s">
        <v>4314</v>
      </c>
    </row>
    <row r="569" spans="9:11" x14ac:dyDescent="0.35">
      <c r="I569" s="75" t="s">
        <v>4313</v>
      </c>
      <c r="J569" s="52" t="s">
        <v>4314</v>
      </c>
      <c r="K569" s="52" t="s">
        <v>4314</v>
      </c>
    </row>
    <row r="570" spans="9:11" x14ac:dyDescent="0.35">
      <c r="I570" s="75" t="s">
        <v>4313</v>
      </c>
      <c r="J570" s="52" t="s">
        <v>4314</v>
      </c>
      <c r="K570" s="52" t="s">
        <v>4314</v>
      </c>
    </row>
    <row r="571" spans="9:11" x14ac:dyDescent="0.35">
      <c r="I571" s="75" t="s">
        <v>4313</v>
      </c>
      <c r="J571" s="52" t="s">
        <v>4314</v>
      </c>
      <c r="K571" s="52" t="s">
        <v>4314</v>
      </c>
    </row>
    <row r="572" spans="9:11" x14ac:dyDescent="0.35">
      <c r="I572" s="75" t="s">
        <v>4313</v>
      </c>
      <c r="J572" s="52" t="s">
        <v>4314</v>
      </c>
      <c r="K572" s="52" t="s">
        <v>4314</v>
      </c>
    </row>
    <row r="573" spans="9:11" x14ac:dyDescent="0.35">
      <c r="I573" s="75" t="s">
        <v>4313</v>
      </c>
      <c r="J573" s="52" t="s">
        <v>4314</v>
      </c>
      <c r="K573" s="52" t="s">
        <v>4314</v>
      </c>
    </row>
    <row r="574" spans="9:11" x14ac:dyDescent="0.35">
      <c r="I574" s="75" t="s">
        <v>4313</v>
      </c>
      <c r="J574" s="52" t="s">
        <v>4314</v>
      </c>
      <c r="K574" s="52" t="s">
        <v>4314</v>
      </c>
    </row>
    <row r="575" spans="9:11" x14ac:dyDescent="0.35">
      <c r="I575" s="75" t="s">
        <v>4313</v>
      </c>
      <c r="J575" s="52" t="s">
        <v>4314</v>
      </c>
      <c r="K575" s="52" t="s">
        <v>4314</v>
      </c>
    </row>
    <row r="576" spans="9:11" x14ac:dyDescent="0.35">
      <c r="I576" s="75" t="s">
        <v>4313</v>
      </c>
      <c r="J576" s="52" t="s">
        <v>4314</v>
      </c>
      <c r="K576" s="52" t="s">
        <v>4314</v>
      </c>
    </row>
    <row r="577" spans="9:11" x14ac:dyDescent="0.35">
      <c r="I577" s="75" t="s">
        <v>4313</v>
      </c>
      <c r="J577" s="52" t="s">
        <v>4314</v>
      </c>
      <c r="K577" s="52" t="s">
        <v>4314</v>
      </c>
    </row>
    <row r="578" spans="9:11" x14ac:dyDescent="0.35">
      <c r="I578" s="75" t="s">
        <v>4313</v>
      </c>
      <c r="J578" s="52" t="s">
        <v>4314</v>
      </c>
      <c r="K578" s="52" t="s">
        <v>4314</v>
      </c>
    </row>
    <row r="579" spans="9:11" x14ac:dyDescent="0.35">
      <c r="I579" s="75" t="s">
        <v>4313</v>
      </c>
      <c r="J579" s="52" t="s">
        <v>4314</v>
      </c>
      <c r="K579" s="52" t="s">
        <v>4314</v>
      </c>
    </row>
    <row r="580" spans="9:11" x14ac:dyDescent="0.35">
      <c r="I580" s="75" t="s">
        <v>4313</v>
      </c>
      <c r="J580" s="52" t="s">
        <v>4314</v>
      </c>
      <c r="K580" s="52" t="s">
        <v>4314</v>
      </c>
    </row>
    <row r="581" spans="9:11" x14ac:dyDescent="0.35">
      <c r="I581" s="75" t="s">
        <v>4313</v>
      </c>
      <c r="J581" s="52" t="s">
        <v>4314</v>
      </c>
      <c r="K581" s="52" t="s">
        <v>4314</v>
      </c>
    </row>
    <row r="582" spans="9:11" x14ac:dyDescent="0.35">
      <c r="I582" s="75" t="s">
        <v>4313</v>
      </c>
      <c r="J582" s="52" t="s">
        <v>4314</v>
      </c>
      <c r="K582" s="52" t="s">
        <v>4314</v>
      </c>
    </row>
    <row r="583" spans="9:11" x14ac:dyDescent="0.35">
      <c r="I583" s="75" t="s">
        <v>4313</v>
      </c>
      <c r="J583" s="52" t="s">
        <v>4314</v>
      </c>
      <c r="K583" s="52" t="s">
        <v>4314</v>
      </c>
    </row>
    <row r="584" spans="9:11" x14ac:dyDescent="0.35">
      <c r="I584" s="75" t="s">
        <v>4313</v>
      </c>
      <c r="J584" s="52" t="s">
        <v>4314</v>
      </c>
      <c r="K584" s="52" t="s">
        <v>4314</v>
      </c>
    </row>
    <row r="585" spans="9:11" x14ac:dyDescent="0.35">
      <c r="I585" s="75" t="s">
        <v>4313</v>
      </c>
      <c r="J585" s="52" t="s">
        <v>4314</v>
      </c>
      <c r="K585" s="52" t="s">
        <v>4314</v>
      </c>
    </row>
    <row r="586" spans="9:11" x14ac:dyDescent="0.35">
      <c r="I586" s="75" t="s">
        <v>4313</v>
      </c>
      <c r="J586" s="52" t="s">
        <v>4314</v>
      </c>
      <c r="K586" s="52" t="s">
        <v>4314</v>
      </c>
    </row>
    <row r="587" spans="9:11" x14ac:dyDescent="0.35">
      <c r="I587" s="75" t="s">
        <v>4313</v>
      </c>
      <c r="J587" s="52" t="s">
        <v>4314</v>
      </c>
      <c r="K587" s="52" t="s">
        <v>4314</v>
      </c>
    </row>
    <row r="588" spans="9:11" x14ac:dyDescent="0.35">
      <c r="I588" s="75" t="s">
        <v>4313</v>
      </c>
      <c r="J588" s="52" t="s">
        <v>4314</v>
      </c>
      <c r="K588" s="52" t="s">
        <v>4314</v>
      </c>
    </row>
    <row r="589" spans="9:11" x14ac:dyDescent="0.35">
      <c r="I589" s="75" t="s">
        <v>4313</v>
      </c>
      <c r="J589" s="52" t="s">
        <v>4314</v>
      </c>
      <c r="K589" s="52" t="s">
        <v>4314</v>
      </c>
    </row>
    <row r="590" spans="9:11" x14ac:dyDescent="0.35">
      <c r="I590" s="75" t="s">
        <v>4313</v>
      </c>
      <c r="J590" s="52" t="s">
        <v>4314</v>
      </c>
      <c r="K590" s="52" t="s">
        <v>4314</v>
      </c>
    </row>
    <row r="591" spans="9:11" x14ac:dyDescent="0.35">
      <c r="I591" s="75" t="s">
        <v>4313</v>
      </c>
      <c r="J591" s="52" t="s">
        <v>4314</v>
      </c>
      <c r="K591" s="52" t="s">
        <v>4314</v>
      </c>
    </row>
    <row r="592" spans="9:11" x14ac:dyDescent="0.35">
      <c r="I592" s="75" t="s">
        <v>4313</v>
      </c>
      <c r="J592" s="52" t="s">
        <v>4314</v>
      </c>
      <c r="K592" s="52" t="s">
        <v>4314</v>
      </c>
    </row>
    <row r="593" spans="9:11" x14ac:dyDescent="0.35">
      <c r="I593" s="75" t="s">
        <v>4313</v>
      </c>
      <c r="J593" s="52" t="s">
        <v>4314</v>
      </c>
      <c r="K593" s="52" t="s">
        <v>4314</v>
      </c>
    </row>
    <row r="594" spans="9:11" x14ac:dyDescent="0.35">
      <c r="I594" s="75" t="s">
        <v>4313</v>
      </c>
      <c r="J594" s="52" t="s">
        <v>4314</v>
      </c>
      <c r="K594" s="52" t="s">
        <v>4314</v>
      </c>
    </row>
    <row r="595" spans="9:11" x14ac:dyDescent="0.35">
      <c r="I595" s="75" t="s">
        <v>4313</v>
      </c>
      <c r="J595" s="52" t="s">
        <v>4314</v>
      </c>
      <c r="K595" s="52" t="s">
        <v>4314</v>
      </c>
    </row>
    <row r="596" spans="9:11" x14ac:dyDescent="0.35">
      <c r="I596" s="75" t="s">
        <v>4313</v>
      </c>
      <c r="J596" s="52" t="s">
        <v>4314</v>
      </c>
      <c r="K596" s="52" t="s">
        <v>4314</v>
      </c>
    </row>
    <row r="597" spans="9:11" x14ac:dyDescent="0.35">
      <c r="I597" s="75" t="s">
        <v>4313</v>
      </c>
      <c r="J597" s="52" t="s">
        <v>4314</v>
      </c>
      <c r="K597" s="52" t="s">
        <v>4314</v>
      </c>
    </row>
    <row r="598" spans="9:11" x14ac:dyDescent="0.35">
      <c r="I598" s="75" t="s">
        <v>4313</v>
      </c>
      <c r="J598" s="52" t="s">
        <v>4314</v>
      </c>
      <c r="K598" s="52" t="s">
        <v>4314</v>
      </c>
    </row>
    <row r="599" spans="9:11" x14ac:dyDescent="0.35">
      <c r="I599" s="75" t="s">
        <v>4313</v>
      </c>
      <c r="J599" s="52" t="s">
        <v>4314</v>
      </c>
      <c r="K599" s="52" t="s">
        <v>4314</v>
      </c>
    </row>
    <row r="600" spans="9:11" x14ac:dyDescent="0.35">
      <c r="I600" s="75" t="s">
        <v>4313</v>
      </c>
      <c r="J600" s="52" t="s">
        <v>4314</v>
      </c>
      <c r="K600" s="52" t="s">
        <v>4314</v>
      </c>
    </row>
    <row r="601" spans="9:11" x14ac:dyDescent="0.35">
      <c r="I601" s="75" t="s">
        <v>4313</v>
      </c>
      <c r="J601" s="52" t="s">
        <v>4314</v>
      </c>
      <c r="K601" s="52" t="s">
        <v>4314</v>
      </c>
    </row>
    <row r="602" spans="9:11" x14ac:dyDescent="0.35">
      <c r="I602" s="75" t="s">
        <v>4313</v>
      </c>
      <c r="J602" s="52" t="s">
        <v>4314</v>
      </c>
      <c r="K602" s="52" t="s">
        <v>4314</v>
      </c>
    </row>
    <row r="603" spans="9:11" x14ac:dyDescent="0.35">
      <c r="I603" s="75" t="s">
        <v>4313</v>
      </c>
      <c r="J603" s="52" t="s">
        <v>4314</v>
      </c>
      <c r="K603" s="52" t="s">
        <v>4314</v>
      </c>
    </row>
    <row r="604" spans="9:11" x14ac:dyDescent="0.35">
      <c r="I604" s="75" t="s">
        <v>4313</v>
      </c>
      <c r="J604" s="52" t="s">
        <v>4314</v>
      </c>
      <c r="K604" s="52" t="s">
        <v>4314</v>
      </c>
    </row>
    <row r="605" spans="9:11" x14ac:dyDescent="0.35">
      <c r="I605" s="75" t="s">
        <v>4313</v>
      </c>
      <c r="J605" s="52" t="s">
        <v>4314</v>
      </c>
      <c r="K605" s="52" t="s">
        <v>4314</v>
      </c>
    </row>
    <row r="606" spans="9:11" x14ac:dyDescent="0.35">
      <c r="I606" s="75" t="s">
        <v>4313</v>
      </c>
      <c r="J606" s="52" t="s">
        <v>4314</v>
      </c>
      <c r="K606" s="52" t="s">
        <v>4314</v>
      </c>
    </row>
    <row r="607" spans="9:11" x14ac:dyDescent="0.35">
      <c r="I607" s="75" t="s">
        <v>4313</v>
      </c>
      <c r="J607" s="52" t="s">
        <v>4314</v>
      </c>
      <c r="K607" s="52" t="s">
        <v>4314</v>
      </c>
    </row>
    <row r="608" spans="9:11" x14ac:dyDescent="0.35">
      <c r="I608" s="75" t="s">
        <v>4313</v>
      </c>
      <c r="J608" s="52" t="s">
        <v>4314</v>
      </c>
      <c r="K608" s="52" t="s">
        <v>4314</v>
      </c>
    </row>
    <row r="609" spans="9:11" x14ac:dyDescent="0.35">
      <c r="I609" s="75" t="s">
        <v>4313</v>
      </c>
      <c r="J609" s="52" t="s">
        <v>4314</v>
      </c>
      <c r="K609" s="52" t="s">
        <v>4314</v>
      </c>
    </row>
    <row r="610" spans="9:11" x14ac:dyDescent="0.35">
      <c r="I610" s="75" t="s">
        <v>4313</v>
      </c>
      <c r="J610" s="52" t="s">
        <v>4314</v>
      </c>
      <c r="K610" s="52" t="s">
        <v>4314</v>
      </c>
    </row>
    <row r="611" spans="9:11" x14ac:dyDescent="0.35">
      <c r="I611" s="75" t="s">
        <v>4313</v>
      </c>
      <c r="J611" s="52" t="s">
        <v>4314</v>
      </c>
      <c r="K611" s="52" t="s">
        <v>4314</v>
      </c>
    </row>
    <row r="612" spans="9:11" x14ac:dyDescent="0.35">
      <c r="I612" s="75" t="s">
        <v>4313</v>
      </c>
      <c r="J612" s="52" t="s">
        <v>4314</v>
      </c>
      <c r="K612" s="52" t="s">
        <v>4314</v>
      </c>
    </row>
    <row r="613" spans="9:11" x14ac:dyDescent="0.35">
      <c r="I613" s="75" t="s">
        <v>4313</v>
      </c>
      <c r="J613" s="52" t="s">
        <v>4314</v>
      </c>
      <c r="K613" s="52" t="s">
        <v>4314</v>
      </c>
    </row>
    <row r="614" spans="9:11" x14ac:dyDescent="0.35">
      <c r="I614" s="75" t="s">
        <v>4313</v>
      </c>
      <c r="J614" s="52" t="s">
        <v>4314</v>
      </c>
      <c r="K614" s="52" t="s">
        <v>4314</v>
      </c>
    </row>
    <row r="615" spans="9:11" x14ac:dyDescent="0.35">
      <c r="I615" s="75" t="s">
        <v>4313</v>
      </c>
      <c r="J615" s="52" t="s">
        <v>4314</v>
      </c>
      <c r="K615" s="52" t="s">
        <v>4314</v>
      </c>
    </row>
    <row r="616" spans="9:11" x14ac:dyDescent="0.35">
      <c r="I616" s="75" t="s">
        <v>4313</v>
      </c>
      <c r="J616" s="52" t="s">
        <v>4314</v>
      </c>
      <c r="K616" s="52" t="s">
        <v>4314</v>
      </c>
    </row>
    <row r="617" spans="9:11" x14ac:dyDescent="0.35">
      <c r="I617" s="75" t="s">
        <v>4313</v>
      </c>
      <c r="J617" s="52" t="s">
        <v>4314</v>
      </c>
      <c r="K617" s="52" t="s">
        <v>4314</v>
      </c>
    </row>
    <row r="618" spans="9:11" x14ac:dyDescent="0.35">
      <c r="I618" s="75" t="s">
        <v>4313</v>
      </c>
      <c r="J618" s="52" t="s">
        <v>4314</v>
      </c>
      <c r="K618" s="52" t="s">
        <v>4314</v>
      </c>
    </row>
    <row r="619" spans="9:11" x14ac:dyDescent="0.35">
      <c r="I619" s="75" t="s">
        <v>4313</v>
      </c>
      <c r="J619" s="52" t="s">
        <v>4314</v>
      </c>
      <c r="K619" s="52" t="s">
        <v>4314</v>
      </c>
    </row>
    <row r="620" spans="9:11" x14ac:dyDescent="0.35">
      <c r="I620" s="75" t="s">
        <v>4313</v>
      </c>
      <c r="J620" s="52" t="s">
        <v>4314</v>
      </c>
      <c r="K620" s="52" t="s">
        <v>4314</v>
      </c>
    </row>
    <row r="621" spans="9:11" x14ac:dyDescent="0.35">
      <c r="I621" s="75" t="s">
        <v>4313</v>
      </c>
      <c r="J621" s="52" t="s">
        <v>4314</v>
      </c>
      <c r="K621" s="52" t="s">
        <v>4314</v>
      </c>
    </row>
    <row r="622" spans="9:11" x14ac:dyDescent="0.35">
      <c r="I622" s="75" t="s">
        <v>4313</v>
      </c>
      <c r="J622" s="52" t="s">
        <v>4314</v>
      </c>
      <c r="K622" s="52" t="s">
        <v>4314</v>
      </c>
    </row>
    <row r="623" spans="9:11" x14ac:dyDescent="0.35">
      <c r="I623" s="75" t="s">
        <v>4313</v>
      </c>
      <c r="J623" s="52" t="s">
        <v>4314</v>
      </c>
      <c r="K623" s="52" t="s">
        <v>4314</v>
      </c>
    </row>
    <row r="624" spans="9:11" x14ac:dyDescent="0.35">
      <c r="I624" s="75" t="s">
        <v>4313</v>
      </c>
      <c r="J624" s="52" t="s">
        <v>4314</v>
      </c>
      <c r="K624" s="52" t="s">
        <v>4314</v>
      </c>
    </row>
    <row r="625" spans="9:11" x14ac:dyDescent="0.35">
      <c r="I625" s="75" t="s">
        <v>4313</v>
      </c>
      <c r="J625" s="52" t="s">
        <v>4314</v>
      </c>
      <c r="K625" s="52" t="s">
        <v>4314</v>
      </c>
    </row>
    <row r="626" spans="9:11" x14ac:dyDescent="0.35">
      <c r="I626" s="75" t="s">
        <v>4313</v>
      </c>
      <c r="J626" s="52" t="s">
        <v>4314</v>
      </c>
      <c r="K626" s="52" t="s">
        <v>4314</v>
      </c>
    </row>
    <row r="627" spans="9:11" x14ac:dyDescent="0.35">
      <c r="I627" s="75" t="s">
        <v>4313</v>
      </c>
      <c r="J627" s="52" t="s">
        <v>4314</v>
      </c>
      <c r="K627" s="52" t="s">
        <v>4314</v>
      </c>
    </row>
    <row r="628" spans="9:11" x14ac:dyDescent="0.35">
      <c r="I628" s="75" t="s">
        <v>4313</v>
      </c>
      <c r="J628" s="52" t="s">
        <v>4314</v>
      </c>
      <c r="K628" s="52" t="s">
        <v>4314</v>
      </c>
    </row>
    <row r="629" spans="9:11" x14ac:dyDescent="0.35">
      <c r="I629" s="75" t="s">
        <v>4313</v>
      </c>
      <c r="J629" s="52" t="s">
        <v>4314</v>
      </c>
      <c r="K629" s="52" t="s">
        <v>4314</v>
      </c>
    </row>
    <row r="630" spans="9:11" x14ac:dyDescent="0.35">
      <c r="I630" s="75" t="s">
        <v>4313</v>
      </c>
      <c r="J630" s="52" t="s">
        <v>4314</v>
      </c>
      <c r="K630" s="52" t="s">
        <v>4314</v>
      </c>
    </row>
    <row r="631" spans="9:11" x14ac:dyDescent="0.35">
      <c r="I631" s="75" t="s">
        <v>4313</v>
      </c>
      <c r="J631" s="52" t="s">
        <v>4314</v>
      </c>
      <c r="K631" s="52" t="s">
        <v>4314</v>
      </c>
    </row>
    <row r="632" spans="9:11" x14ac:dyDescent="0.35">
      <c r="I632" s="75" t="s">
        <v>4313</v>
      </c>
      <c r="J632" s="52" t="s">
        <v>4314</v>
      </c>
      <c r="K632" s="52" t="s">
        <v>4314</v>
      </c>
    </row>
    <row r="633" spans="9:11" x14ac:dyDescent="0.35">
      <c r="I633" s="75" t="s">
        <v>4313</v>
      </c>
      <c r="J633" s="52" t="s">
        <v>4314</v>
      </c>
      <c r="K633" s="52" t="s">
        <v>4314</v>
      </c>
    </row>
    <row r="634" spans="9:11" x14ac:dyDescent="0.35">
      <c r="I634" s="75" t="s">
        <v>4313</v>
      </c>
      <c r="J634" s="52" t="s">
        <v>4314</v>
      </c>
      <c r="K634" s="52" t="s">
        <v>4314</v>
      </c>
    </row>
    <row r="635" spans="9:11" x14ac:dyDescent="0.35">
      <c r="I635" s="75" t="s">
        <v>4313</v>
      </c>
      <c r="J635" s="52" t="s">
        <v>4314</v>
      </c>
      <c r="K635" s="52" t="s">
        <v>4314</v>
      </c>
    </row>
    <row r="636" spans="9:11" x14ac:dyDescent="0.35">
      <c r="I636" s="75" t="s">
        <v>4313</v>
      </c>
      <c r="J636" s="52" t="s">
        <v>4314</v>
      </c>
      <c r="K636" s="52" t="s">
        <v>4314</v>
      </c>
    </row>
    <row r="637" spans="9:11" x14ac:dyDescent="0.35">
      <c r="I637" s="75" t="s">
        <v>4313</v>
      </c>
      <c r="J637" s="52" t="s">
        <v>4314</v>
      </c>
      <c r="K637" s="52" t="s">
        <v>4314</v>
      </c>
    </row>
    <row r="638" spans="9:11" x14ac:dyDescent="0.35">
      <c r="I638" s="75" t="s">
        <v>4313</v>
      </c>
      <c r="J638" s="52" t="s">
        <v>4314</v>
      </c>
      <c r="K638" s="52" t="s">
        <v>4314</v>
      </c>
    </row>
    <row r="639" spans="9:11" x14ac:dyDescent="0.35">
      <c r="I639" s="75" t="s">
        <v>4313</v>
      </c>
      <c r="J639" s="52" t="s">
        <v>4314</v>
      </c>
      <c r="K639" s="52" t="s">
        <v>4314</v>
      </c>
    </row>
    <row r="640" spans="9:11" x14ac:dyDescent="0.35">
      <c r="I640" s="75" t="s">
        <v>4313</v>
      </c>
      <c r="J640" s="52" t="s">
        <v>4314</v>
      </c>
      <c r="K640" s="52" t="s">
        <v>4314</v>
      </c>
    </row>
    <row r="641" spans="9:11" x14ac:dyDescent="0.35">
      <c r="I641" s="75" t="s">
        <v>4313</v>
      </c>
      <c r="J641" s="52" t="s">
        <v>4314</v>
      </c>
      <c r="K641" s="52" t="s">
        <v>4314</v>
      </c>
    </row>
    <row r="642" spans="9:11" x14ac:dyDescent="0.35">
      <c r="I642" s="75" t="s">
        <v>4313</v>
      </c>
      <c r="J642" s="52" t="s">
        <v>4314</v>
      </c>
      <c r="K642" s="52" t="s">
        <v>4314</v>
      </c>
    </row>
    <row r="643" spans="9:11" x14ac:dyDescent="0.35">
      <c r="I643" s="75" t="s">
        <v>4313</v>
      </c>
      <c r="J643" s="52" t="s">
        <v>4314</v>
      </c>
      <c r="K643" s="52" t="s">
        <v>4314</v>
      </c>
    </row>
    <row r="644" spans="9:11" x14ac:dyDescent="0.35">
      <c r="I644" s="75" t="s">
        <v>4313</v>
      </c>
      <c r="J644" s="52" t="s">
        <v>4314</v>
      </c>
      <c r="K644" s="52" t="s">
        <v>4314</v>
      </c>
    </row>
    <row r="645" spans="9:11" x14ac:dyDescent="0.35">
      <c r="I645" s="75" t="s">
        <v>4313</v>
      </c>
      <c r="J645" s="52" t="s">
        <v>4314</v>
      </c>
      <c r="K645" s="52" t="s">
        <v>4314</v>
      </c>
    </row>
    <row r="646" spans="9:11" x14ac:dyDescent="0.35">
      <c r="I646" s="75" t="s">
        <v>4313</v>
      </c>
      <c r="J646" s="52" t="s">
        <v>4314</v>
      </c>
      <c r="K646" s="52" t="s">
        <v>4314</v>
      </c>
    </row>
    <row r="647" spans="9:11" x14ac:dyDescent="0.35">
      <c r="I647" s="75" t="s">
        <v>4313</v>
      </c>
      <c r="J647" s="52" t="s">
        <v>4314</v>
      </c>
      <c r="K647" s="52" t="s">
        <v>4314</v>
      </c>
    </row>
    <row r="648" spans="9:11" x14ac:dyDescent="0.35">
      <c r="I648" s="75" t="s">
        <v>4313</v>
      </c>
      <c r="J648" s="52" t="s">
        <v>4314</v>
      </c>
      <c r="K648" s="52" t="s">
        <v>4314</v>
      </c>
    </row>
    <row r="649" spans="9:11" x14ac:dyDescent="0.35">
      <c r="I649" s="75" t="s">
        <v>4313</v>
      </c>
      <c r="J649" s="52" t="s">
        <v>4314</v>
      </c>
      <c r="K649" s="52" t="s">
        <v>4314</v>
      </c>
    </row>
    <row r="650" spans="9:11" x14ac:dyDescent="0.35">
      <c r="I650" s="75" t="s">
        <v>4313</v>
      </c>
      <c r="J650" s="52" t="s">
        <v>4314</v>
      </c>
      <c r="K650" s="52" t="s">
        <v>4314</v>
      </c>
    </row>
    <row r="651" spans="9:11" x14ac:dyDescent="0.35">
      <c r="I651" s="75" t="s">
        <v>4313</v>
      </c>
      <c r="J651" s="52" t="s">
        <v>4314</v>
      </c>
      <c r="K651" s="52" t="s">
        <v>4314</v>
      </c>
    </row>
    <row r="652" spans="9:11" x14ac:dyDescent="0.35">
      <c r="I652" s="75" t="s">
        <v>4313</v>
      </c>
      <c r="J652" s="52" t="s">
        <v>4314</v>
      </c>
      <c r="K652" s="52" t="s">
        <v>4314</v>
      </c>
    </row>
    <row r="653" spans="9:11" x14ac:dyDescent="0.35">
      <c r="I653" s="75" t="s">
        <v>4313</v>
      </c>
      <c r="J653" s="52" t="s">
        <v>4314</v>
      </c>
      <c r="K653" s="52" t="s">
        <v>4314</v>
      </c>
    </row>
    <row r="654" spans="9:11" x14ac:dyDescent="0.35">
      <c r="I654" s="75" t="s">
        <v>4313</v>
      </c>
      <c r="J654" s="52" t="s">
        <v>4314</v>
      </c>
      <c r="K654" s="52" t="s">
        <v>4314</v>
      </c>
    </row>
    <row r="655" spans="9:11" x14ac:dyDescent="0.35">
      <c r="I655" s="75" t="s">
        <v>4313</v>
      </c>
      <c r="J655" s="52" t="s">
        <v>4314</v>
      </c>
      <c r="K655" s="52" t="s">
        <v>4314</v>
      </c>
    </row>
    <row r="656" spans="9:11" x14ac:dyDescent="0.35">
      <c r="I656" s="75" t="s">
        <v>4313</v>
      </c>
      <c r="J656" s="52" t="s">
        <v>4314</v>
      </c>
      <c r="K656" s="52" t="s">
        <v>4314</v>
      </c>
    </row>
    <row r="657" spans="9:11" x14ac:dyDescent="0.35">
      <c r="I657" s="75" t="s">
        <v>4313</v>
      </c>
      <c r="J657" s="52" t="s">
        <v>4314</v>
      </c>
      <c r="K657" s="52" t="s">
        <v>4314</v>
      </c>
    </row>
    <row r="658" spans="9:11" x14ac:dyDescent="0.35">
      <c r="I658" s="75" t="s">
        <v>4313</v>
      </c>
      <c r="J658" s="52" t="s">
        <v>4314</v>
      </c>
      <c r="K658" s="52" t="s">
        <v>4314</v>
      </c>
    </row>
    <row r="659" spans="9:11" x14ac:dyDescent="0.35">
      <c r="I659" s="75" t="s">
        <v>4313</v>
      </c>
      <c r="J659" s="52" t="s">
        <v>4314</v>
      </c>
      <c r="K659" s="52" t="s">
        <v>4314</v>
      </c>
    </row>
    <row r="660" spans="9:11" x14ac:dyDescent="0.35">
      <c r="I660" s="75" t="s">
        <v>4313</v>
      </c>
      <c r="J660" s="52" t="s">
        <v>4314</v>
      </c>
      <c r="K660" s="52" t="s">
        <v>4314</v>
      </c>
    </row>
    <row r="661" spans="9:11" x14ac:dyDescent="0.35">
      <c r="I661" s="75" t="s">
        <v>4313</v>
      </c>
      <c r="J661" s="52" t="s">
        <v>4314</v>
      </c>
      <c r="K661" s="52" t="s">
        <v>4314</v>
      </c>
    </row>
    <row r="662" spans="9:11" x14ac:dyDescent="0.35">
      <c r="I662" s="75" t="s">
        <v>4313</v>
      </c>
      <c r="J662" s="52" t="s">
        <v>4314</v>
      </c>
      <c r="K662" s="52" t="s">
        <v>4314</v>
      </c>
    </row>
    <row r="663" spans="9:11" x14ac:dyDescent="0.35">
      <c r="I663" s="75" t="s">
        <v>4313</v>
      </c>
      <c r="J663" s="52" t="s">
        <v>4314</v>
      </c>
      <c r="K663" s="52" t="s">
        <v>4314</v>
      </c>
    </row>
    <row r="664" spans="9:11" x14ac:dyDescent="0.35">
      <c r="I664" s="75" t="s">
        <v>4313</v>
      </c>
      <c r="J664" s="52" t="s">
        <v>4314</v>
      </c>
      <c r="K664" s="52" t="s">
        <v>4314</v>
      </c>
    </row>
    <row r="665" spans="9:11" x14ac:dyDescent="0.35">
      <c r="I665" s="75" t="s">
        <v>4313</v>
      </c>
      <c r="J665" s="52" t="s">
        <v>4314</v>
      </c>
      <c r="K665" s="52" t="s">
        <v>4314</v>
      </c>
    </row>
    <row r="666" spans="9:11" x14ac:dyDescent="0.35">
      <c r="I666" s="75" t="s">
        <v>4313</v>
      </c>
      <c r="J666" s="52" t="s">
        <v>4314</v>
      </c>
      <c r="K666" s="52" t="s">
        <v>4314</v>
      </c>
    </row>
    <row r="667" spans="9:11" x14ac:dyDescent="0.35">
      <c r="I667" s="75" t="s">
        <v>4313</v>
      </c>
      <c r="J667" s="52" t="s">
        <v>4314</v>
      </c>
      <c r="K667" s="52" t="s">
        <v>4314</v>
      </c>
    </row>
    <row r="668" spans="9:11" x14ac:dyDescent="0.35">
      <c r="I668" s="75" t="s">
        <v>4313</v>
      </c>
      <c r="J668" s="52" t="s">
        <v>4314</v>
      </c>
      <c r="K668" s="52" t="s">
        <v>4314</v>
      </c>
    </row>
    <row r="669" spans="9:11" x14ac:dyDescent="0.35">
      <c r="I669" s="75" t="s">
        <v>4313</v>
      </c>
      <c r="J669" s="52" t="s">
        <v>4314</v>
      </c>
      <c r="K669" s="52" t="s">
        <v>4314</v>
      </c>
    </row>
    <row r="670" spans="9:11" x14ac:dyDescent="0.35">
      <c r="I670" s="75" t="s">
        <v>4313</v>
      </c>
      <c r="J670" s="52" t="s">
        <v>4314</v>
      </c>
      <c r="K670" s="52" t="s">
        <v>4314</v>
      </c>
    </row>
    <row r="671" spans="9:11" x14ac:dyDescent="0.35">
      <c r="I671" s="75" t="s">
        <v>4313</v>
      </c>
      <c r="J671" s="52" t="s">
        <v>4314</v>
      </c>
      <c r="K671" s="52" t="s">
        <v>4314</v>
      </c>
    </row>
    <row r="672" spans="9:11" x14ac:dyDescent="0.35">
      <c r="I672" s="75" t="s">
        <v>4313</v>
      </c>
      <c r="J672" s="52" t="s">
        <v>4314</v>
      </c>
      <c r="K672" s="52" t="s">
        <v>4314</v>
      </c>
    </row>
    <row r="673" spans="9:11" x14ac:dyDescent="0.35">
      <c r="I673" s="75" t="s">
        <v>4313</v>
      </c>
      <c r="J673" s="52" t="s">
        <v>4314</v>
      </c>
      <c r="K673" s="52" t="s">
        <v>4314</v>
      </c>
    </row>
    <row r="674" spans="9:11" x14ac:dyDescent="0.35">
      <c r="I674" s="75" t="s">
        <v>4313</v>
      </c>
      <c r="J674" s="52" t="s">
        <v>4314</v>
      </c>
      <c r="K674" s="52" t="s">
        <v>4314</v>
      </c>
    </row>
    <row r="675" spans="9:11" x14ac:dyDescent="0.35">
      <c r="I675" s="75" t="s">
        <v>4313</v>
      </c>
      <c r="J675" s="52" t="s">
        <v>4314</v>
      </c>
      <c r="K675" s="52" t="s">
        <v>4314</v>
      </c>
    </row>
    <row r="676" spans="9:11" x14ac:dyDescent="0.35">
      <c r="I676" s="75" t="s">
        <v>4313</v>
      </c>
      <c r="J676" s="52" t="s">
        <v>4314</v>
      </c>
      <c r="K676" s="52" t="s">
        <v>4314</v>
      </c>
    </row>
    <row r="677" spans="9:11" x14ac:dyDescent="0.35">
      <c r="I677" s="75" t="s">
        <v>4313</v>
      </c>
      <c r="J677" s="52" t="s">
        <v>4314</v>
      </c>
      <c r="K677" s="52" t="s">
        <v>4314</v>
      </c>
    </row>
    <row r="678" spans="9:11" x14ac:dyDescent="0.35">
      <c r="I678" s="75" t="s">
        <v>4313</v>
      </c>
      <c r="J678" s="52" t="s">
        <v>4314</v>
      </c>
      <c r="K678" s="52" t="s">
        <v>4314</v>
      </c>
    </row>
    <row r="679" spans="9:11" x14ac:dyDescent="0.35">
      <c r="I679" s="75" t="s">
        <v>4313</v>
      </c>
      <c r="J679" s="52" t="s">
        <v>4314</v>
      </c>
      <c r="K679" s="52" t="s">
        <v>4314</v>
      </c>
    </row>
    <row r="680" spans="9:11" x14ac:dyDescent="0.35">
      <c r="I680" s="75" t="s">
        <v>4313</v>
      </c>
      <c r="J680" s="52" t="s">
        <v>4314</v>
      </c>
      <c r="K680" s="52" t="s">
        <v>4314</v>
      </c>
    </row>
    <row r="681" spans="9:11" x14ac:dyDescent="0.35">
      <c r="I681" s="75" t="s">
        <v>4313</v>
      </c>
      <c r="J681" s="52" t="s">
        <v>4314</v>
      </c>
      <c r="K681" s="52" t="s">
        <v>4314</v>
      </c>
    </row>
    <row r="682" spans="9:11" x14ac:dyDescent="0.35">
      <c r="I682" s="75" t="s">
        <v>4313</v>
      </c>
      <c r="J682" s="52" t="s">
        <v>4314</v>
      </c>
      <c r="K682" s="52" t="s">
        <v>4314</v>
      </c>
    </row>
    <row r="683" spans="9:11" x14ac:dyDescent="0.35">
      <c r="I683" s="75" t="s">
        <v>4313</v>
      </c>
      <c r="J683" s="52" t="s">
        <v>4314</v>
      </c>
      <c r="K683" s="52" t="s">
        <v>4314</v>
      </c>
    </row>
    <row r="684" spans="9:11" x14ac:dyDescent="0.35">
      <c r="I684" s="75" t="s">
        <v>4313</v>
      </c>
      <c r="J684" s="52" t="s">
        <v>4314</v>
      </c>
      <c r="K684" s="52" t="s">
        <v>4314</v>
      </c>
    </row>
    <row r="685" spans="9:11" x14ac:dyDescent="0.35">
      <c r="I685" s="75" t="s">
        <v>4313</v>
      </c>
      <c r="J685" s="52" t="s">
        <v>4314</v>
      </c>
      <c r="K685" s="52" t="s">
        <v>4314</v>
      </c>
    </row>
    <row r="686" spans="9:11" x14ac:dyDescent="0.35">
      <c r="I686" s="75" t="s">
        <v>4313</v>
      </c>
      <c r="J686" s="52" t="s">
        <v>4314</v>
      </c>
      <c r="K686" s="52" t="s">
        <v>4314</v>
      </c>
    </row>
    <row r="687" spans="9:11" x14ac:dyDescent="0.35">
      <c r="I687" s="75" t="s">
        <v>4313</v>
      </c>
      <c r="J687" s="52" t="s">
        <v>4314</v>
      </c>
      <c r="K687" s="52" t="s">
        <v>4314</v>
      </c>
    </row>
    <row r="688" spans="9:11" x14ac:dyDescent="0.35">
      <c r="I688" s="75" t="s">
        <v>4313</v>
      </c>
      <c r="J688" s="52" t="s">
        <v>4314</v>
      </c>
      <c r="K688" s="52" t="s">
        <v>4314</v>
      </c>
    </row>
    <row r="689" spans="9:11" x14ac:dyDescent="0.35">
      <c r="I689" s="75" t="s">
        <v>4313</v>
      </c>
      <c r="J689" s="52" t="s">
        <v>4314</v>
      </c>
      <c r="K689" s="52" t="s">
        <v>4314</v>
      </c>
    </row>
    <row r="690" spans="9:11" x14ac:dyDescent="0.35">
      <c r="I690" s="75" t="s">
        <v>4313</v>
      </c>
      <c r="J690" s="52" t="s">
        <v>4314</v>
      </c>
      <c r="K690" s="52" t="s">
        <v>4314</v>
      </c>
    </row>
    <row r="691" spans="9:11" x14ac:dyDescent="0.35">
      <c r="I691" s="75" t="s">
        <v>4313</v>
      </c>
      <c r="J691" s="52" t="s">
        <v>4314</v>
      </c>
      <c r="K691" s="52" t="s">
        <v>4314</v>
      </c>
    </row>
    <row r="692" spans="9:11" x14ac:dyDescent="0.35">
      <c r="I692" s="75" t="s">
        <v>4313</v>
      </c>
      <c r="J692" s="52" t="s">
        <v>4314</v>
      </c>
      <c r="K692" s="52" t="s">
        <v>4314</v>
      </c>
    </row>
    <row r="693" spans="9:11" x14ac:dyDescent="0.35">
      <c r="I693" s="75" t="s">
        <v>4313</v>
      </c>
      <c r="J693" s="52" t="s">
        <v>4314</v>
      </c>
      <c r="K693" s="52" t="s">
        <v>4314</v>
      </c>
    </row>
    <row r="694" spans="9:11" x14ac:dyDescent="0.35">
      <c r="I694" s="75" t="s">
        <v>4313</v>
      </c>
      <c r="J694" s="52" t="s">
        <v>4314</v>
      </c>
      <c r="K694" s="52" t="s">
        <v>4314</v>
      </c>
    </row>
    <row r="695" spans="9:11" x14ac:dyDescent="0.35">
      <c r="I695" s="75" t="s">
        <v>4313</v>
      </c>
      <c r="J695" s="52" t="s">
        <v>4314</v>
      </c>
      <c r="K695" s="52" t="s">
        <v>4314</v>
      </c>
    </row>
    <row r="696" spans="9:11" x14ac:dyDescent="0.35">
      <c r="I696" s="75" t="s">
        <v>4313</v>
      </c>
      <c r="J696" s="52" t="s">
        <v>4314</v>
      </c>
      <c r="K696" s="52" t="s">
        <v>4314</v>
      </c>
    </row>
    <row r="697" spans="9:11" x14ac:dyDescent="0.35">
      <c r="I697" s="75" t="s">
        <v>4313</v>
      </c>
      <c r="J697" s="52" t="s">
        <v>4314</v>
      </c>
      <c r="K697" s="52" t="s">
        <v>4314</v>
      </c>
    </row>
    <row r="698" spans="9:11" x14ac:dyDescent="0.35">
      <c r="I698" s="75" t="s">
        <v>4313</v>
      </c>
      <c r="J698" s="52" t="s">
        <v>4314</v>
      </c>
      <c r="K698" s="52" t="s">
        <v>4314</v>
      </c>
    </row>
    <row r="699" spans="9:11" x14ac:dyDescent="0.35">
      <c r="I699" s="75" t="s">
        <v>4313</v>
      </c>
      <c r="J699" s="52" t="s">
        <v>4314</v>
      </c>
      <c r="K699" s="52" t="s">
        <v>4314</v>
      </c>
    </row>
    <row r="700" spans="9:11" x14ac:dyDescent="0.35">
      <c r="I700" s="75" t="s">
        <v>4313</v>
      </c>
      <c r="J700" s="52" t="s">
        <v>4314</v>
      </c>
      <c r="K700" s="52" t="s">
        <v>4314</v>
      </c>
    </row>
    <row r="701" spans="9:11" x14ac:dyDescent="0.35">
      <c r="I701" s="75" t="s">
        <v>4313</v>
      </c>
      <c r="J701" s="52" t="s">
        <v>4314</v>
      </c>
      <c r="K701" s="52" t="s">
        <v>4314</v>
      </c>
    </row>
    <row r="702" spans="9:11" x14ac:dyDescent="0.35">
      <c r="I702" s="75" t="s">
        <v>4313</v>
      </c>
      <c r="J702" s="52" t="s">
        <v>4314</v>
      </c>
      <c r="K702" s="52" t="s">
        <v>4314</v>
      </c>
    </row>
    <row r="703" spans="9:11" x14ac:dyDescent="0.35">
      <c r="I703" s="75" t="s">
        <v>4313</v>
      </c>
      <c r="J703" s="52" t="s">
        <v>4314</v>
      </c>
      <c r="K703" s="52" t="s">
        <v>4314</v>
      </c>
    </row>
    <row r="704" spans="9:11" x14ac:dyDescent="0.35">
      <c r="I704" s="75" t="s">
        <v>4313</v>
      </c>
      <c r="J704" s="52" t="s">
        <v>4314</v>
      </c>
      <c r="K704" s="52" t="s">
        <v>4314</v>
      </c>
    </row>
    <row r="705" spans="9:11" x14ac:dyDescent="0.35">
      <c r="I705" s="75" t="s">
        <v>4313</v>
      </c>
      <c r="J705" s="52" t="s">
        <v>4314</v>
      </c>
      <c r="K705" s="52" t="s">
        <v>4314</v>
      </c>
    </row>
    <row r="706" spans="9:11" x14ac:dyDescent="0.35">
      <c r="I706" s="75" t="s">
        <v>4313</v>
      </c>
      <c r="J706" s="52" t="s">
        <v>4314</v>
      </c>
      <c r="K706" s="52" t="s">
        <v>4314</v>
      </c>
    </row>
    <row r="707" spans="9:11" x14ac:dyDescent="0.35">
      <c r="I707" s="75" t="s">
        <v>4313</v>
      </c>
      <c r="J707" s="52" t="s">
        <v>4314</v>
      </c>
      <c r="K707" s="52" t="s">
        <v>4314</v>
      </c>
    </row>
    <row r="708" spans="9:11" x14ac:dyDescent="0.35">
      <c r="I708" s="75" t="s">
        <v>4313</v>
      </c>
      <c r="J708" s="52" t="s">
        <v>4314</v>
      </c>
      <c r="K708" s="52" t="s">
        <v>4314</v>
      </c>
    </row>
    <row r="709" spans="9:11" x14ac:dyDescent="0.35">
      <c r="I709" s="75" t="s">
        <v>4313</v>
      </c>
      <c r="J709" s="52" t="s">
        <v>4314</v>
      </c>
      <c r="K709" s="52" t="s">
        <v>4314</v>
      </c>
    </row>
    <row r="710" spans="9:11" x14ac:dyDescent="0.35">
      <c r="I710" s="75" t="s">
        <v>4313</v>
      </c>
      <c r="J710" s="52" t="s">
        <v>4314</v>
      </c>
      <c r="K710" s="52" t="s">
        <v>4314</v>
      </c>
    </row>
    <row r="711" spans="9:11" x14ac:dyDescent="0.35">
      <c r="I711" s="75" t="s">
        <v>4313</v>
      </c>
      <c r="J711" s="52" t="s">
        <v>4314</v>
      </c>
      <c r="K711" s="52" t="s">
        <v>4314</v>
      </c>
    </row>
    <row r="712" spans="9:11" x14ac:dyDescent="0.35">
      <c r="I712" s="75" t="s">
        <v>4313</v>
      </c>
      <c r="J712" s="52" t="s">
        <v>4314</v>
      </c>
      <c r="K712" s="52" t="s">
        <v>4314</v>
      </c>
    </row>
    <row r="713" spans="9:11" x14ac:dyDescent="0.35">
      <c r="I713" s="75" t="s">
        <v>4313</v>
      </c>
      <c r="J713" s="52" t="s">
        <v>4314</v>
      </c>
      <c r="K713" s="52" t="s">
        <v>4314</v>
      </c>
    </row>
    <row r="714" spans="9:11" x14ac:dyDescent="0.35">
      <c r="I714" s="75" t="s">
        <v>4313</v>
      </c>
      <c r="J714" s="52" t="s">
        <v>4314</v>
      </c>
      <c r="K714" s="52" t="s">
        <v>4314</v>
      </c>
    </row>
    <row r="715" spans="9:11" x14ac:dyDescent="0.35">
      <c r="I715" s="75" t="s">
        <v>4313</v>
      </c>
      <c r="J715" s="52" t="s">
        <v>4314</v>
      </c>
      <c r="K715" s="52" t="s">
        <v>4314</v>
      </c>
    </row>
    <row r="716" spans="9:11" x14ac:dyDescent="0.35">
      <c r="I716" s="75" t="s">
        <v>4313</v>
      </c>
      <c r="J716" s="52" t="s">
        <v>4314</v>
      </c>
      <c r="K716" s="52" t="s">
        <v>4314</v>
      </c>
    </row>
    <row r="717" spans="9:11" x14ac:dyDescent="0.35">
      <c r="I717" s="75" t="s">
        <v>4313</v>
      </c>
      <c r="J717" s="52" t="s">
        <v>4314</v>
      </c>
      <c r="K717" s="52" t="s">
        <v>4314</v>
      </c>
    </row>
    <row r="718" spans="9:11" x14ac:dyDescent="0.35">
      <c r="I718" s="75" t="s">
        <v>4313</v>
      </c>
      <c r="J718" s="52" t="s">
        <v>4314</v>
      </c>
      <c r="K718" s="52" t="s">
        <v>4314</v>
      </c>
    </row>
    <row r="719" spans="9:11" x14ac:dyDescent="0.35">
      <c r="I719" s="75" t="s">
        <v>4313</v>
      </c>
      <c r="J719" s="52" t="s">
        <v>4314</v>
      </c>
      <c r="K719" s="52" t="s">
        <v>4314</v>
      </c>
    </row>
    <row r="720" spans="9:11" x14ac:dyDescent="0.35">
      <c r="I720" s="75" t="s">
        <v>4313</v>
      </c>
      <c r="J720" s="52" t="s">
        <v>4314</v>
      </c>
      <c r="K720" s="52" t="s">
        <v>4314</v>
      </c>
    </row>
    <row r="721" spans="9:11" x14ac:dyDescent="0.35">
      <c r="I721" s="75" t="s">
        <v>4313</v>
      </c>
      <c r="J721" s="52" t="s">
        <v>4314</v>
      </c>
      <c r="K721" s="52" t="s">
        <v>4314</v>
      </c>
    </row>
    <row r="722" spans="9:11" x14ac:dyDescent="0.35">
      <c r="I722" s="75" t="s">
        <v>4313</v>
      </c>
      <c r="J722" s="52" t="s">
        <v>4314</v>
      </c>
      <c r="K722" s="52" t="s">
        <v>4314</v>
      </c>
    </row>
    <row r="723" spans="9:11" x14ac:dyDescent="0.35">
      <c r="I723" s="75" t="s">
        <v>4313</v>
      </c>
      <c r="J723" s="52" t="s">
        <v>4314</v>
      </c>
      <c r="K723" s="52" t="s">
        <v>4314</v>
      </c>
    </row>
    <row r="724" spans="9:11" x14ac:dyDescent="0.35">
      <c r="I724" s="75" t="s">
        <v>4313</v>
      </c>
      <c r="J724" s="52" t="s">
        <v>4314</v>
      </c>
      <c r="K724" s="52" t="s">
        <v>4314</v>
      </c>
    </row>
    <row r="725" spans="9:11" x14ac:dyDescent="0.35">
      <c r="I725" s="75" t="s">
        <v>4313</v>
      </c>
      <c r="J725" s="52" t="s">
        <v>4314</v>
      </c>
      <c r="K725" s="52" t="s">
        <v>4314</v>
      </c>
    </row>
    <row r="726" spans="9:11" x14ac:dyDescent="0.35">
      <c r="I726" s="75" t="s">
        <v>4313</v>
      </c>
      <c r="J726" s="52" t="s">
        <v>4314</v>
      </c>
      <c r="K726" s="52" t="s">
        <v>4314</v>
      </c>
    </row>
    <row r="727" spans="9:11" x14ac:dyDescent="0.35">
      <c r="I727" s="75" t="s">
        <v>4313</v>
      </c>
      <c r="J727" s="52" t="s">
        <v>4314</v>
      </c>
      <c r="K727" s="52" t="s">
        <v>4314</v>
      </c>
    </row>
    <row r="728" spans="9:11" x14ac:dyDescent="0.35">
      <c r="I728" s="75" t="s">
        <v>4313</v>
      </c>
      <c r="J728" s="52" t="s">
        <v>4314</v>
      </c>
      <c r="K728" s="52" t="s">
        <v>4314</v>
      </c>
    </row>
    <row r="729" spans="9:11" x14ac:dyDescent="0.35">
      <c r="I729" s="75" t="s">
        <v>4313</v>
      </c>
      <c r="J729" s="52" t="s">
        <v>4314</v>
      </c>
      <c r="K729" s="52" t="s">
        <v>4314</v>
      </c>
    </row>
    <row r="730" spans="9:11" x14ac:dyDescent="0.35">
      <c r="I730" s="75" t="s">
        <v>4313</v>
      </c>
      <c r="J730" s="52" t="s">
        <v>4314</v>
      </c>
      <c r="K730" s="52" t="s">
        <v>4314</v>
      </c>
    </row>
    <row r="731" spans="9:11" x14ac:dyDescent="0.35">
      <c r="I731" s="75" t="s">
        <v>4313</v>
      </c>
      <c r="J731" s="52" t="s">
        <v>4314</v>
      </c>
      <c r="K731" s="52" t="s">
        <v>4314</v>
      </c>
    </row>
    <row r="732" spans="9:11" x14ac:dyDescent="0.35">
      <c r="I732" s="75" t="s">
        <v>4313</v>
      </c>
      <c r="J732" s="52" t="s">
        <v>4314</v>
      </c>
      <c r="K732" s="52" t="s">
        <v>4314</v>
      </c>
    </row>
    <row r="733" spans="9:11" x14ac:dyDescent="0.35">
      <c r="I733" s="75" t="s">
        <v>4313</v>
      </c>
      <c r="J733" s="52" t="s">
        <v>4314</v>
      </c>
      <c r="K733" s="52" t="s">
        <v>4314</v>
      </c>
    </row>
    <row r="734" spans="9:11" x14ac:dyDescent="0.35">
      <c r="I734" s="75" t="s">
        <v>4313</v>
      </c>
      <c r="J734" s="52" t="s">
        <v>4314</v>
      </c>
      <c r="K734" s="52" t="s">
        <v>4314</v>
      </c>
    </row>
    <row r="735" spans="9:11" x14ac:dyDescent="0.35">
      <c r="I735" s="75" t="s">
        <v>4313</v>
      </c>
      <c r="J735" s="52" t="s">
        <v>4314</v>
      </c>
      <c r="K735" s="52" t="s">
        <v>4314</v>
      </c>
    </row>
    <row r="736" spans="9:11" x14ac:dyDescent="0.35">
      <c r="I736" s="75" t="s">
        <v>4313</v>
      </c>
      <c r="J736" s="52" t="s">
        <v>4314</v>
      </c>
      <c r="K736" s="52" t="s">
        <v>4314</v>
      </c>
    </row>
    <row r="737" spans="9:11" x14ac:dyDescent="0.35">
      <c r="I737" s="75" t="s">
        <v>4313</v>
      </c>
      <c r="J737" s="52" t="s">
        <v>4314</v>
      </c>
      <c r="K737" s="52" t="s">
        <v>4314</v>
      </c>
    </row>
    <row r="738" spans="9:11" x14ac:dyDescent="0.35">
      <c r="I738" s="75" t="s">
        <v>4313</v>
      </c>
      <c r="J738" s="52" t="s">
        <v>4314</v>
      </c>
      <c r="K738" s="52" t="s">
        <v>4314</v>
      </c>
    </row>
    <row r="739" spans="9:11" x14ac:dyDescent="0.35">
      <c r="I739" s="75" t="s">
        <v>4313</v>
      </c>
      <c r="J739" s="52" t="s">
        <v>4314</v>
      </c>
      <c r="K739" s="52" t="s">
        <v>4314</v>
      </c>
    </row>
    <row r="740" spans="9:11" x14ac:dyDescent="0.35">
      <c r="I740" s="75" t="s">
        <v>4313</v>
      </c>
      <c r="J740" s="52" t="s">
        <v>4314</v>
      </c>
      <c r="K740" s="52" t="s">
        <v>4314</v>
      </c>
    </row>
    <row r="741" spans="9:11" x14ac:dyDescent="0.35">
      <c r="I741" s="75" t="s">
        <v>4313</v>
      </c>
      <c r="J741" s="52" t="s">
        <v>4314</v>
      </c>
      <c r="K741" s="52" t="s">
        <v>4314</v>
      </c>
    </row>
    <row r="742" spans="9:11" x14ac:dyDescent="0.35">
      <c r="I742" s="75" t="s">
        <v>4313</v>
      </c>
      <c r="J742" s="52" t="s">
        <v>4314</v>
      </c>
      <c r="K742" s="52" t="s">
        <v>4314</v>
      </c>
    </row>
    <row r="743" spans="9:11" x14ac:dyDescent="0.35">
      <c r="I743" s="75" t="s">
        <v>4313</v>
      </c>
      <c r="J743" s="52" t="s">
        <v>4314</v>
      </c>
      <c r="K743" s="52" t="s">
        <v>4314</v>
      </c>
    </row>
    <row r="744" spans="9:11" x14ac:dyDescent="0.35">
      <c r="I744" s="75" t="s">
        <v>4313</v>
      </c>
      <c r="J744" s="52" t="s">
        <v>4314</v>
      </c>
      <c r="K744" s="52" t="s">
        <v>4314</v>
      </c>
    </row>
    <row r="745" spans="9:11" x14ac:dyDescent="0.35">
      <c r="I745" s="75" t="s">
        <v>4313</v>
      </c>
      <c r="J745" s="52" t="s">
        <v>4314</v>
      </c>
      <c r="K745" s="52" t="s">
        <v>4314</v>
      </c>
    </row>
    <row r="746" spans="9:11" x14ac:dyDescent="0.35">
      <c r="I746" s="75" t="s">
        <v>4313</v>
      </c>
      <c r="J746" s="52" t="s">
        <v>4314</v>
      </c>
      <c r="K746" s="52" t="s">
        <v>4314</v>
      </c>
    </row>
    <row r="747" spans="9:11" x14ac:dyDescent="0.35">
      <c r="I747" s="75" t="s">
        <v>4313</v>
      </c>
      <c r="J747" s="52" t="s">
        <v>4314</v>
      </c>
      <c r="K747" s="52" t="s">
        <v>4314</v>
      </c>
    </row>
    <row r="748" spans="9:11" x14ac:dyDescent="0.35">
      <c r="I748" s="75" t="s">
        <v>4313</v>
      </c>
      <c r="J748" s="52" t="s">
        <v>4314</v>
      </c>
      <c r="K748" s="52" t="s">
        <v>4314</v>
      </c>
    </row>
    <row r="749" spans="9:11" x14ac:dyDescent="0.35">
      <c r="I749" s="75" t="s">
        <v>4313</v>
      </c>
      <c r="J749" s="52" t="s">
        <v>4314</v>
      </c>
      <c r="K749" s="52" t="s">
        <v>4314</v>
      </c>
    </row>
    <row r="750" spans="9:11" x14ac:dyDescent="0.35">
      <c r="I750" s="75" t="s">
        <v>4313</v>
      </c>
      <c r="J750" s="52" t="s">
        <v>4314</v>
      </c>
      <c r="K750" s="52" t="s">
        <v>4314</v>
      </c>
    </row>
    <row r="751" spans="9:11" x14ac:dyDescent="0.35">
      <c r="I751" s="75" t="s">
        <v>4313</v>
      </c>
      <c r="J751" s="52" t="s">
        <v>4314</v>
      </c>
      <c r="K751" s="52" t="s">
        <v>4314</v>
      </c>
    </row>
    <row r="752" spans="9:11" x14ac:dyDescent="0.35">
      <c r="I752" s="75" t="s">
        <v>4313</v>
      </c>
      <c r="J752" s="52" t="s">
        <v>4314</v>
      </c>
      <c r="K752" s="52" t="s">
        <v>4314</v>
      </c>
    </row>
    <row r="753" spans="9:11" x14ac:dyDescent="0.35">
      <c r="I753" s="75" t="s">
        <v>4313</v>
      </c>
      <c r="J753" s="52" t="s">
        <v>4314</v>
      </c>
      <c r="K753" s="52" t="s">
        <v>4314</v>
      </c>
    </row>
    <row r="754" spans="9:11" x14ac:dyDescent="0.35">
      <c r="I754" s="75" t="s">
        <v>4313</v>
      </c>
      <c r="J754" s="52" t="s">
        <v>4314</v>
      </c>
      <c r="K754" s="52" t="s">
        <v>4314</v>
      </c>
    </row>
    <row r="755" spans="9:11" x14ac:dyDescent="0.35">
      <c r="I755" s="75" t="s">
        <v>4313</v>
      </c>
      <c r="J755" s="52" t="s">
        <v>4314</v>
      </c>
      <c r="K755" s="52" t="s">
        <v>4314</v>
      </c>
    </row>
    <row r="756" spans="9:11" x14ac:dyDescent="0.35">
      <c r="I756" s="75" t="s">
        <v>4313</v>
      </c>
      <c r="J756" s="52" t="s">
        <v>4314</v>
      </c>
      <c r="K756" s="52" t="s">
        <v>4314</v>
      </c>
    </row>
    <row r="757" spans="9:11" x14ac:dyDescent="0.35">
      <c r="I757" s="75" t="s">
        <v>4313</v>
      </c>
      <c r="J757" s="52" t="s">
        <v>4314</v>
      </c>
      <c r="K757" s="52" t="s">
        <v>4314</v>
      </c>
    </row>
    <row r="758" spans="9:11" x14ac:dyDescent="0.35">
      <c r="I758" s="75" t="s">
        <v>4313</v>
      </c>
      <c r="J758" s="52" t="s">
        <v>4314</v>
      </c>
      <c r="K758" s="52" t="s">
        <v>4314</v>
      </c>
    </row>
    <row r="759" spans="9:11" x14ac:dyDescent="0.35">
      <c r="I759" s="75" t="s">
        <v>4313</v>
      </c>
      <c r="J759" s="52" t="s">
        <v>4314</v>
      </c>
      <c r="K759" s="52" t="s">
        <v>4314</v>
      </c>
    </row>
    <row r="760" spans="9:11" x14ac:dyDescent="0.35">
      <c r="I760" s="75" t="s">
        <v>4313</v>
      </c>
      <c r="J760" s="52" t="s">
        <v>4314</v>
      </c>
      <c r="K760" s="52" t="s">
        <v>4314</v>
      </c>
    </row>
    <row r="761" spans="9:11" x14ac:dyDescent="0.35">
      <c r="I761" s="75" t="s">
        <v>4313</v>
      </c>
      <c r="J761" s="52" t="s">
        <v>4314</v>
      </c>
      <c r="K761" s="52" t="s">
        <v>4314</v>
      </c>
    </row>
    <row r="762" spans="9:11" x14ac:dyDescent="0.35">
      <c r="I762" s="75" t="s">
        <v>4313</v>
      </c>
      <c r="J762" s="52" t="s">
        <v>4314</v>
      </c>
      <c r="K762" s="52" t="s">
        <v>4314</v>
      </c>
    </row>
    <row r="763" spans="9:11" x14ac:dyDescent="0.35">
      <c r="I763" s="75" t="s">
        <v>4313</v>
      </c>
      <c r="J763" s="52" t="s">
        <v>4314</v>
      </c>
      <c r="K763" s="52" t="s">
        <v>4314</v>
      </c>
    </row>
    <row r="764" spans="9:11" x14ac:dyDescent="0.35">
      <c r="I764" s="75" t="s">
        <v>4313</v>
      </c>
      <c r="J764" s="52" t="s">
        <v>4314</v>
      </c>
      <c r="K764" s="52" t="s">
        <v>4314</v>
      </c>
    </row>
    <row r="765" spans="9:11" x14ac:dyDescent="0.35">
      <c r="I765" s="75" t="s">
        <v>4313</v>
      </c>
      <c r="J765" s="52" t="s">
        <v>4314</v>
      </c>
      <c r="K765" s="52" t="s">
        <v>4314</v>
      </c>
    </row>
    <row r="766" spans="9:11" x14ac:dyDescent="0.35">
      <c r="I766" s="75" t="s">
        <v>4313</v>
      </c>
      <c r="J766" s="52" t="s">
        <v>4314</v>
      </c>
      <c r="K766" s="52" t="s">
        <v>4314</v>
      </c>
    </row>
    <row r="767" spans="9:11" x14ac:dyDescent="0.35">
      <c r="I767" s="75" t="s">
        <v>4313</v>
      </c>
      <c r="J767" s="52" t="s">
        <v>4314</v>
      </c>
      <c r="K767" s="52" t="s">
        <v>4314</v>
      </c>
    </row>
    <row r="768" spans="9:11" x14ac:dyDescent="0.35">
      <c r="I768" s="75" t="s">
        <v>4313</v>
      </c>
      <c r="J768" s="52" t="s">
        <v>4314</v>
      </c>
      <c r="K768" s="52" t="s">
        <v>4314</v>
      </c>
    </row>
    <row r="769" spans="9:11" x14ac:dyDescent="0.35">
      <c r="I769" s="75" t="s">
        <v>4313</v>
      </c>
      <c r="J769" s="52" t="s">
        <v>4314</v>
      </c>
      <c r="K769" s="52" t="s">
        <v>4314</v>
      </c>
    </row>
    <row r="770" spans="9:11" x14ac:dyDescent="0.35">
      <c r="I770" s="75" t="s">
        <v>4313</v>
      </c>
      <c r="J770" s="52" t="s">
        <v>4314</v>
      </c>
      <c r="K770" s="52" t="s">
        <v>4314</v>
      </c>
    </row>
    <row r="771" spans="9:11" x14ac:dyDescent="0.35">
      <c r="I771" s="75" t="s">
        <v>4313</v>
      </c>
      <c r="J771" s="52" t="s">
        <v>4314</v>
      </c>
      <c r="K771" s="52" t="s">
        <v>4314</v>
      </c>
    </row>
    <row r="772" spans="9:11" x14ac:dyDescent="0.35">
      <c r="I772" s="75" t="s">
        <v>4313</v>
      </c>
      <c r="J772" s="52" t="s">
        <v>4314</v>
      </c>
      <c r="K772" s="52" t="s">
        <v>4314</v>
      </c>
    </row>
    <row r="773" spans="9:11" x14ac:dyDescent="0.35">
      <c r="I773" s="75" t="s">
        <v>4313</v>
      </c>
      <c r="J773" s="52" t="s">
        <v>4314</v>
      </c>
      <c r="K773" s="52" t="s">
        <v>4314</v>
      </c>
    </row>
    <row r="774" spans="9:11" x14ac:dyDescent="0.35">
      <c r="I774" s="75" t="s">
        <v>4313</v>
      </c>
      <c r="J774" s="52" t="s">
        <v>4314</v>
      </c>
      <c r="K774" s="52" t="s">
        <v>4314</v>
      </c>
    </row>
    <row r="775" spans="9:11" x14ac:dyDescent="0.35">
      <c r="I775" s="75" t="s">
        <v>4313</v>
      </c>
      <c r="J775" s="52" t="s">
        <v>4314</v>
      </c>
      <c r="K775" s="52" t="s">
        <v>4314</v>
      </c>
    </row>
    <row r="776" spans="9:11" x14ac:dyDescent="0.35">
      <c r="I776" s="75" t="s">
        <v>4313</v>
      </c>
      <c r="J776" s="52" t="s">
        <v>4314</v>
      </c>
      <c r="K776" s="52" t="s">
        <v>4314</v>
      </c>
    </row>
    <row r="777" spans="9:11" x14ac:dyDescent="0.35">
      <c r="I777" s="75" t="s">
        <v>4313</v>
      </c>
      <c r="J777" s="52" t="s">
        <v>4314</v>
      </c>
      <c r="K777" s="52" t="s">
        <v>4314</v>
      </c>
    </row>
    <row r="778" spans="9:11" x14ac:dyDescent="0.35">
      <c r="I778" s="75" t="s">
        <v>4313</v>
      </c>
      <c r="J778" s="52" t="s">
        <v>4314</v>
      </c>
      <c r="K778" s="52" t="s">
        <v>4314</v>
      </c>
    </row>
    <row r="779" spans="9:11" x14ac:dyDescent="0.35">
      <c r="I779" s="75" t="s">
        <v>4313</v>
      </c>
      <c r="J779" s="52" t="s">
        <v>4314</v>
      </c>
      <c r="K779" s="52" t="s">
        <v>4314</v>
      </c>
    </row>
    <row r="780" spans="9:11" x14ac:dyDescent="0.35">
      <c r="I780" s="75" t="s">
        <v>4313</v>
      </c>
      <c r="J780" s="52" t="s">
        <v>4314</v>
      </c>
      <c r="K780" s="52" t="s">
        <v>4314</v>
      </c>
    </row>
    <row r="781" spans="9:11" x14ac:dyDescent="0.35">
      <c r="I781" s="75" t="s">
        <v>4313</v>
      </c>
      <c r="J781" s="52" t="s">
        <v>4314</v>
      </c>
      <c r="K781" s="52" t="s">
        <v>4314</v>
      </c>
    </row>
    <row r="782" spans="9:11" x14ac:dyDescent="0.35">
      <c r="I782" s="75" t="s">
        <v>4313</v>
      </c>
      <c r="J782" s="52" t="s">
        <v>4314</v>
      </c>
      <c r="K782" s="52" t="s">
        <v>4314</v>
      </c>
    </row>
    <row r="783" spans="9:11" x14ac:dyDescent="0.35">
      <c r="I783" s="75" t="s">
        <v>4313</v>
      </c>
      <c r="J783" s="52" t="s">
        <v>4314</v>
      </c>
      <c r="K783" s="52" t="s">
        <v>4314</v>
      </c>
    </row>
    <row r="784" spans="9:11" x14ac:dyDescent="0.35">
      <c r="I784" s="75" t="s">
        <v>4313</v>
      </c>
      <c r="J784" s="52" t="s">
        <v>4314</v>
      </c>
      <c r="K784" s="52" t="s">
        <v>4314</v>
      </c>
    </row>
    <row r="785" spans="9:11" x14ac:dyDescent="0.35">
      <c r="I785" s="75" t="s">
        <v>4313</v>
      </c>
      <c r="J785" s="52" t="s">
        <v>4314</v>
      </c>
      <c r="K785" s="52" t="s">
        <v>4314</v>
      </c>
    </row>
    <row r="786" spans="9:11" x14ac:dyDescent="0.35">
      <c r="I786" s="75" t="s">
        <v>4313</v>
      </c>
      <c r="J786" s="52" t="s">
        <v>4314</v>
      </c>
      <c r="K786" s="52" t="s">
        <v>4314</v>
      </c>
    </row>
    <row r="787" spans="9:11" x14ac:dyDescent="0.35">
      <c r="I787" s="75" t="s">
        <v>4313</v>
      </c>
      <c r="J787" s="52" t="s">
        <v>4314</v>
      </c>
      <c r="K787" s="52" t="s">
        <v>4314</v>
      </c>
    </row>
    <row r="788" spans="9:11" x14ac:dyDescent="0.35">
      <c r="I788" s="75" t="s">
        <v>4313</v>
      </c>
      <c r="J788" s="52" t="s">
        <v>4314</v>
      </c>
      <c r="K788" s="52" t="s">
        <v>4314</v>
      </c>
    </row>
    <row r="789" spans="9:11" x14ac:dyDescent="0.35">
      <c r="I789" s="75" t="s">
        <v>4313</v>
      </c>
      <c r="J789" s="52" t="s">
        <v>4314</v>
      </c>
      <c r="K789" s="52" t="s">
        <v>4314</v>
      </c>
    </row>
    <row r="790" spans="9:11" x14ac:dyDescent="0.35">
      <c r="I790" s="75" t="s">
        <v>4313</v>
      </c>
      <c r="J790" s="52" t="s">
        <v>4314</v>
      </c>
      <c r="K790" s="52" t="s">
        <v>4314</v>
      </c>
    </row>
    <row r="791" spans="9:11" x14ac:dyDescent="0.35">
      <c r="I791" s="75" t="s">
        <v>4313</v>
      </c>
      <c r="J791" s="52" t="s">
        <v>4314</v>
      </c>
      <c r="K791" s="52" t="s">
        <v>4314</v>
      </c>
    </row>
    <row r="792" spans="9:11" x14ac:dyDescent="0.35">
      <c r="I792" s="75" t="s">
        <v>4313</v>
      </c>
      <c r="J792" s="52" t="s">
        <v>4314</v>
      </c>
      <c r="K792" s="52" t="s">
        <v>4314</v>
      </c>
    </row>
    <row r="793" spans="9:11" x14ac:dyDescent="0.35">
      <c r="I793" s="75" t="s">
        <v>4313</v>
      </c>
      <c r="J793" s="52" t="s">
        <v>4314</v>
      </c>
      <c r="K793" s="52" t="s">
        <v>4314</v>
      </c>
    </row>
    <row r="794" spans="9:11" x14ac:dyDescent="0.35">
      <c r="I794" s="75" t="s">
        <v>4313</v>
      </c>
      <c r="J794" s="52" t="s">
        <v>4314</v>
      </c>
      <c r="K794" s="52" t="s">
        <v>4314</v>
      </c>
    </row>
    <row r="795" spans="9:11" x14ac:dyDescent="0.35">
      <c r="I795" s="75" t="s">
        <v>4313</v>
      </c>
      <c r="J795" s="52" t="s">
        <v>4314</v>
      </c>
      <c r="K795" s="52" t="s">
        <v>4314</v>
      </c>
    </row>
    <row r="796" spans="9:11" x14ac:dyDescent="0.35">
      <c r="I796" s="75" t="s">
        <v>4313</v>
      </c>
      <c r="J796" s="52" t="s">
        <v>4314</v>
      </c>
      <c r="K796" s="52" t="s">
        <v>4314</v>
      </c>
    </row>
    <row r="797" spans="9:11" x14ac:dyDescent="0.35">
      <c r="I797" s="75" t="s">
        <v>4313</v>
      </c>
      <c r="J797" s="52" t="s">
        <v>4314</v>
      </c>
      <c r="K797" s="52" t="s">
        <v>4314</v>
      </c>
    </row>
    <row r="798" spans="9:11" x14ac:dyDescent="0.35">
      <c r="I798" s="75" t="s">
        <v>4313</v>
      </c>
      <c r="J798" s="52" t="s">
        <v>4314</v>
      </c>
      <c r="K798" s="52" t="s">
        <v>4314</v>
      </c>
    </row>
    <row r="799" spans="9:11" x14ac:dyDescent="0.35">
      <c r="I799" s="75" t="s">
        <v>4313</v>
      </c>
      <c r="J799" s="52" t="s">
        <v>4314</v>
      </c>
      <c r="K799" s="52" t="s">
        <v>4314</v>
      </c>
    </row>
    <row r="800" spans="9:11" x14ac:dyDescent="0.35">
      <c r="I800" s="75" t="s">
        <v>4313</v>
      </c>
      <c r="J800" s="52" t="s">
        <v>4314</v>
      </c>
      <c r="K800" s="52" t="s">
        <v>4314</v>
      </c>
    </row>
    <row r="801" spans="9:11" x14ac:dyDescent="0.35">
      <c r="I801" s="75" t="s">
        <v>4313</v>
      </c>
      <c r="J801" s="52" t="s">
        <v>4314</v>
      </c>
      <c r="K801" s="52" t="s">
        <v>4314</v>
      </c>
    </row>
    <row r="802" spans="9:11" x14ac:dyDescent="0.35">
      <c r="I802" s="75" t="s">
        <v>4313</v>
      </c>
      <c r="J802" s="52" t="s">
        <v>4314</v>
      </c>
      <c r="K802" s="52" t="s">
        <v>4314</v>
      </c>
    </row>
    <row r="803" spans="9:11" x14ac:dyDescent="0.35">
      <c r="I803" s="75" t="s">
        <v>4313</v>
      </c>
      <c r="J803" s="52" t="s">
        <v>4314</v>
      </c>
      <c r="K803" s="52" t="s">
        <v>4314</v>
      </c>
    </row>
    <row r="804" spans="9:11" x14ac:dyDescent="0.35">
      <c r="I804" s="75" t="s">
        <v>4313</v>
      </c>
      <c r="J804" s="52" t="s">
        <v>4314</v>
      </c>
      <c r="K804" s="52" t="s">
        <v>4314</v>
      </c>
    </row>
    <row r="805" spans="9:11" x14ac:dyDescent="0.35">
      <c r="I805" s="75" t="s">
        <v>4313</v>
      </c>
      <c r="J805" s="52" t="s">
        <v>4314</v>
      </c>
      <c r="K805" s="52" t="s">
        <v>4314</v>
      </c>
    </row>
    <row r="806" spans="9:11" x14ac:dyDescent="0.35">
      <c r="I806" s="75" t="s">
        <v>4313</v>
      </c>
      <c r="J806" s="52" t="s">
        <v>4314</v>
      </c>
      <c r="K806" s="52" t="s">
        <v>4314</v>
      </c>
    </row>
    <row r="807" spans="9:11" x14ac:dyDescent="0.35">
      <c r="I807" s="75" t="s">
        <v>4313</v>
      </c>
      <c r="J807" s="52" t="s">
        <v>4314</v>
      </c>
      <c r="K807" s="52" t="s">
        <v>4314</v>
      </c>
    </row>
    <row r="808" spans="9:11" x14ac:dyDescent="0.35">
      <c r="I808" s="75" t="s">
        <v>4313</v>
      </c>
      <c r="J808" s="52" t="s">
        <v>4314</v>
      </c>
      <c r="K808" s="52" t="s">
        <v>4314</v>
      </c>
    </row>
    <row r="809" spans="9:11" x14ac:dyDescent="0.35">
      <c r="I809" s="75" t="s">
        <v>4313</v>
      </c>
      <c r="J809" s="52" t="s">
        <v>4314</v>
      </c>
      <c r="K809" s="52" t="s">
        <v>4314</v>
      </c>
    </row>
    <row r="810" spans="9:11" x14ac:dyDescent="0.35">
      <c r="I810" s="75" t="s">
        <v>4313</v>
      </c>
      <c r="J810" s="52" t="s">
        <v>4314</v>
      </c>
      <c r="K810" s="52" t="s">
        <v>4314</v>
      </c>
    </row>
    <row r="811" spans="9:11" x14ac:dyDescent="0.35">
      <c r="I811" s="75" t="s">
        <v>4313</v>
      </c>
      <c r="J811" s="52" t="s">
        <v>4314</v>
      </c>
      <c r="K811" s="52" t="s">
        <v>4314</v>
      </c>
    </row>
    <row r="812" spans="9:11" x14ac:dyDescent="0.35">
      <c r="I812" s="75" t="s">
        <v>4313</v>
      </c>
      <c r="J812" s="52" t="s">
        <v>4314</v>
      </c>
      <c r="K812" s="52" t="s">
        <v>4314</v>
      </c>
    </row>
    <row r="813" spans="9:11" x14ac:dyDescent="0.35">
      <c r="I813" s="75" t="s">
        <v>4313</v>
      </c>
      <c r="J813" s="52" t="s">
        <v>4314</v>
      </c>
      <c r="K813" s="52" t="s">
        <v>4314</v>
      </c>
    </row>
    <row r="814" spans="9:11" x14ac:dyDescent="0.35">
      <c r="I814" s="75" t="s">
        <v>4313</v>
      </c>
      <c r="J814" s="52" t="s">
        <v>4314</v>
      </c>
      <c r="K814" s="52" t="s">
        <v>4314</v>
      </c>
    </row>
    <row r="815" spans="9:11" x14ac:dyDescent="0.35">
      <c r="I815" s="75" t="s">
        <v>4313</v>
      </c>
      <c r="J815" s="52" t="s">
        <v>4314</v>
      </c>
      <c r="K815" s="52" t="s">
        <v>4314</v>
      </c>
    </row>
    <row r="816" spans="9:11" x14ac:dyDescent="0.35">
      <c r="I816" s="75" t="s">
        <v>4313</v>
      </c>
      <c r="J816" s="52" t="s">
        <v>4314</v>
      </c>
      <c r="K816" s="52" t="s">
        <v>4314</v>
      </c>
    </row>
    <row r="817" spans="9:11" x14ac:dyDescent="0.35">
      <c r="I817" s="75" t="s">
        <v>4313</v>
      </c>
      <c r="J817" s="52" t="s">
        <v>4314</v>
      </c>
      <c r="K817" s="52" t="s">
        <v>4314</v>
      </c>
    </row>
    <row r="818" spans="9:11" x14ac:dyDescent="0.35">
      <c r="I818" s="75" t="s">
        <v>4313</v>
      </c>
      <c r="J818" s="52" t="s">
        <v>4314</v>
      </c>
      <c r="K818" s="52" t="s">
        <v>4314</v>
      </c>
    </row>
    <row r="819" spans="9:11" x14ac:dyDescent="0.35">
      <c r="I819" s="75" t="s">
        <v>4313</v>
      </c>
      <c r="J819" s="52" t="s">
        <v>4314</v>
      </c>
      <c r="K819" s="52" t="s">
        <v>4314</v>
      </c>
    </row>
    <row r="820" spans="9:11" x14ac:dyDescent="0.35">
      <c r="I820" s="75" t="s">
        <v>4313</v>
      </c>
      <c r="J820" s="52" t="s">
        <v>4314</v>
      </c>
      <c r="K820" s="52" t="s">
        <v>4314</v>
      </c>
    </row>
    <row r="821" spans="9:11" x14ac:dyDescent="0.35">
      <c r="I821" s="75" t="s">
        <v>4313</v>
      </c>
      <c r="J821" s="52" t="s">
        <v>4314</v>
      </c>
      <c r="K821" s="52" t="s">
        <v>4314</v>
      </c>
    </row>
    <row r="822" spans="9:11" x14ac:dyDescent="0.35">
      <c r="I822" s="75" t="s">
        <v>4313</v>
      </c>
      <c r="J822" s="52" t="s">
        <v>4314</v>
      </c>
      <c r="K822" s="52" t="s">
        <v>4314</v>
      </c>
    </row>
    <row r="823" spans="9:11" x14ac:dyDescent="0.35">
      <c r="I823" s="75" t="s">
        <v>4313</v>
      </c>
      <c r="J823" s="52" t="s">
        <v>4314</v>
      </c>
      <c r="K823" s="52" t="s">
        <v>4314</v>
      </c>
    </row>
    <row r="824" spans="9:11" x14ac:dyDescent="0.35">
      <c r="I824" s="75" t="s">
        <v>4313</v>
      </c>
      <c r="J824" s="52" t="s">
        <v>4314</v>
      </c>
      <c r="K824" s="52" t="s">
        <v>4314</v>
      </c>
    </row>
    <row r="825" spans="9:11" x14ac:dyDescent="0.35">
      <c r="I825" s="75" t="s">
        <v>4313</v>
      </c>
      <c r="J825" s="52" t="s">
        <v>4314</v>
      </c>
      <c r="K825" s="52" t="s">
        <v>4314</v>
      </c>
    </row>
    <row r="826" spans="9:11" x14ac:dyDescent="0.35">
      <c r="I826" s="75" t="s">
        <v>4313</v>
      </c>
      <c r="J826" s="52" t="s">
        <v>4314</v>
      </c>
      <c r="K826" s="52" t="s">
        <v>4314</v>
      </c>
    </row>
    <row r="827" spans="9:11" x14ac:dyDescent="0.35">
      <c r="I827" s="75" t="s">
        <v>4313</v>
      </c>
      <c r="J827" s="52" t="s">
        <v>4314</v>
      </c>
      <c r="K827" s="52" t="s">
        <v>4314</v>
      </c>
    </row>
    <row r="828" spans="9:11" x14ac:dyDescent="0.35">
      <c r="I828" s="75" t="s">
        <v>4313</v>
      </c>
      <c r="J828" s="52" t="s">
        <v>4314</v>
      </c>
      <c r="K828" s="52" t="s">
        <v>4314</v>
      </c>
    </row>
    <row r="829" spans="9:11" x14ac:dyDescent="0.35">
      <c r="I829" s="75" t="s">
        <v>4313</v>
      </c>
      <c r="J829" s="52" t="s">
        <v>4314</v>
      </c>
      <c r="K829" s="52" t="s">
        <v>4314</v>
      </c>
    </row>
    <row r="830" spans="9:11" x14ac:dyDescent="0.35">
      <c r="I830" s="75" t="s">
        <v>4313</v>
      </c>
      <c r="J830" s="52" t="s">
        <v>4314</v>
      </c>
      <c r="K830" s="52" t="s">
        <v>4314</v>
      </c>
    </row>
    <row r="831" spans="9:11" x14ac:dyDescent="0.35">
      <c r="I831" s="75" t="s">
        <v>4313</v>
      </c>
      <c r="J831" s="52" t="s">
        <v>4314</v>
      </c>
      <c r="K831" s="52" t="s">
        <v>4314</v>
      </c>
    </row>
    <row r="832" spans="9:11" x14ac:dyDescent="0.35">
      <c r="I832" s="75" t="s">
        <v>4313</v>
      </c>
      <c r="J832" s="52" t="s">
        <v>4314</v>
      </c>
      <c r="K832" s="52" t="s">
        <v>4314</v>
      </c>
    </row>
    <row r="833" spans="9:11" x14ac:dyDescent="0.35">
      <c r="I833" s="75" t="s">
        <v>4313</v>
      </c>
      <c r="J833" s="52" t="s">
        <v>4314</v>
      </c>
      <c r="K833" s="52" t="s">
        <v>4314</v>
      </c>
    </row>
    <row r="834" spans="9:11" x14ac:dyDescent="0.35">
      <c r="I834" s="75" t="s">
        <v>4313</v>
      </c>
      <c r="J834" s="52" t="s">
        <v>4314</v>
      </c>
      <c r="K834" s="52" t="s">
        <v>4314</v>
      </c>
    </row>
    <row r="835" spans="9:11" x14ac:dyDescent="0.35">
      <c r="I835" s="75" t="s">
        <v>4313</v>
      </c>
      <c r="J835" s="52" t="s">
        <v>4314</v>
      </c>
      <c r="K835" s="52" t="s">
        <v>4314</v>
      </c>
    </row>
    <row r="836" spans="9:11" x14ac:dyDescent="0.35">
      <c r="I836" s="75" t="s">
        <v>4313</v>
      </c>
      <c r="J836" s="52" t="s">
        <v>4314</v>
      </c>
      <c r="K836" s="52" t="s">
        <v>4314</v>
      </c>
    </row>
    <row r="837" spans="9:11" x14ac:dyDescent="0.35">
      <c r="I837" s="75" t="s">
        <v>4313</v>
      </c>
      <c r="J837" s="52" t="s">
        <v>4314</v>
      </c>
      <c r="K837" s="52" t="s">
        <v>4314</v>
      </c>
    </row>
    <row r="838" spans="9:11" x14ac:dyDescent="0.35">
      <c r="I838" s="75" t="s">
        <v>4313</v>
      </c>
      <c r="J838" s="52" t="s">
        <v>4314</v>
      </c>
      <c r="K838" s="52" t="s">
        <v>4314</v>
      </c>
    </row>
    <row r="839" spans="9:11" x14ac:dyDescent="0.35">
      <c r="I839" s="75" t="s">
        <v>4313</v>
      </c>
      <c r="J839" s="52" t="s">
        <v>4314</v>
      </c>
      <c r="K839" s="52" t="s">
        <v>4314</v>
      </c>
    </row>
    <row r="840" spans="9:11" x14ac:dyDescent="0.35">
      <c r="I840" s="75" t="s">
        <v>4313</v>
      </c>
      <c r="J840" s="52" t="s">
        <v>4314</v>
      </c>
      <c r="K840" s="52" t="s">
        <v>4314</v>
      </c>
    </row>
    <row r="841" spans="9:11" x14ac:dyDescent="0.35">
      <c r="I841" s="75" t="s">
        <v>4313</v>
      </c>
      <c r="J841" s="52" t="s">
        <v>4314</v>
      </c>
      <c r="K841" s="52" t="s">
        <v>4314</v>
      </c>
    </row>
    <row r="842" spans="9:11" x14ac:dyDescent="0.35">
      <c r="I842" s="75" t="s">
        <v>4313</v>
      </c>
      <c r="J842" s="52" t="s">
        <v>4314</v>
      </c>
      <c r="K842" s="52" t="s">
        <v>4314</v>
      </c>
    </row>
    <row r="843" spans="9:11" x14ac:dyDescent="0.35">
      <c r="I843" s="75" t="s">
        <v>4313</v>
      </c>
      <c r="J843" s="52" t="s">
        <v>4314</v>
      </c>
      <c r="K843" s="52" t="s">
        <v>4314</v>
      </c>
    </row>
    <row r="844" spans="9:11" x14ac:dyDescent="0.35">
      <c r="I844" s="75" t="s">
        <v>4313</v>
      </c>
      <c r="J844" s="52" t="s">
        <v>4314</v>
      </c>
      <c r="K844" s="52" t="s">
        <v>4314</v>
      </c>
    </row>
    <row r="845" spans="9:11" x14ac:dyDescent="0.35">
      <c r="I845" s="75" t="s">
        <v>4313</v>
      </c>
      <c r="J845" s="52" t="s">
        <v>4314</v>
      </c>
      <c r="K845" s="52" t="s">
        <v>4314</v>
      </c>
    </row>
    <row r="846" spans="9:11" x14ac:dyDescent="0.35">
      <c r="I846" s="75" t="s">
        <v>4313</v>
      </c>
      <c r="J846" s="52" t="s">
        <v>4314</v>
      </c>
      <c r="K846" s="52" t="s">
        <v>4314</v>
      </c>
    </row>
    <row r="847" spans="9:11" x14ac:dyDescent="0.35">
      <c r="I847" s="75" t="s">
        <v>4313</v>
      </c>
      <c r="J847" s="52" t="s">
        <v>4314</v>
      </c>
      <c r="K847" s="52" t="s">
        <v>4314</v>
      </c>
    </row>
    <row r="848" spans="9:11" x14ac:dyDescent="0.35">
      <c r="I848" s="75" t="s">
        <v>4313</v>
      </c>
      <c r="J848" s="52" t="s">
        <v>4314</v>
      </c>
      <c r="K848" s="52" t="s">
        <v>4314</v>
      </c>
    </row>
    <row r="849" spans="9:11" x14ac:dyDescent="0.35">
      <c r="I849" s="75" t="s">
        <v>4313</v>
      </c>
      <c r="J849" s="52" t="s">
        <v>4314</v>
      </c>
      <c r="K849" s="52" t="s">
        <v>4314</v>
      </c>
    </row>
    <row r="850" spans="9:11" x14ac:dyDescent="0.35">
      <c r="I850" s="75" t="s">
        <v>4313</v>
      </c>
      <c r="J850" s="52" t="s">
        <v>4314</v>
      </c>
      <c r="K850" s="52" t="s">
        <v>4314</v>
      </c>
    </row>
    <row r="851" spans="9:11" x14ac:dyDescent="0.35">
      <c r="I851" s="75" t="s">
        <v>4313</v>
      </c>
      <c r="J851" s="52" t="s">
        <v>4314</v>
      </c>
      <c r="K851" s="52" t="s">
        <v>4314</v>
      </c>
    </row>
    <row r="852" spans="9:11" x14ac:dyDescent="0.35">
      <c r="I852" s="75" t="s">
        <v>4313</v>
      </c>
      <c r="J852" s="52" t="s">
        <v>4314</v>
      </c>
      <c r="K852" s="52" t="s">
        <v>4314</v>
      </c>
    </row>
    <row r="853" spans="9:11" x14ac:dyDescent="0.35">
      <c r="I853" s="75" t="s">
        <v>4313</v>
      </c>
      <c r="J853" s="52" t="s">
        <v>4314</v>
      </c>
      <c r="K853" s="52" t="s">
        <v>4314</v>
      </c>
    </row>
    <row r="854" spans="9:11" x14ac:dyDescent="0.35">
      <c r="I854" s="75" t="s">
        <v>4313</v>
      </c>
      <c r="J854" s="52" t="s">
        <v>4314</v>
      </c>
      <c r="K854" s="52" t="s">
        <v>4314</v>
      </c>
    </row>
    <row r="855" spans="9:11" x14ac:dyDescent="0.35">
      <c r="I855" s="75" t="s">
        <v>4313</v>
      </c>
      <c r="J855" s="52" t="s">
        <v>4314</v>
      </c>
      <c r="K855" s="52" t="s">
        <v>4314</v>
      </c>
    </row>
    <row r="856" spans="9:11" x14ac:dyDescent="0.35">
      <c r="I856" s="75" t="s">
        <v>4313</v>
      </c>
      <c r="J856" s="52" t="s">
        <v>4314</v>
      </c>
      <c r="K856" s="52" t="s">
        <v>4314</v>
      </c>
    </row>
    <row r="857" spans="9:11" x14ac:dyDescent="0.35">
      <c r="I857" s="75" t="s">
        <v>4313</v>
      </c>
      <c r="J857" s="52" t="s">
        <v>4314</v>
      </c>
      <c r="K857" s="52" t="s">
        <v>4314</v>
      </c>
    </row>
    <row r="858" spans="9:11" x14ac:dyDescent="0.35">
      <c r="I858" s="75" t="s">
        <v>4313</v>
      </c>
      <c r="J858" s="52" t="s">
        <v>4314</v>
      </c>
      <c r="K858" s="52" t="s">
        <v>4314</v>
      </c>
    </row>
    <row r="859" spans="9:11" x14ac:dyDescent="0.35">
      <c r="I859" s="75" t="s">
        <v>4313</v>
      </c>
      <c r="J859" s="52" t="s">
        <v>4314</v>
      </c>
      <c r="K859" s="52" t="s">
        <v>4314</v>
      </c>
    </row>
    <row r="860" spans="9:11" x14ac:dyDescent="0.35">
      <c r="I860" s="75" t="s">
        <v>4313</v>
      </c>
      <c r="J860" s="52" t="s">
        <v>4314</v>
      </c>
      <c r="K860" s="52" t="s">
        <v>4314</v>
      </c>
    </row>
    <row r="861" spans="9:11" x14ac:dyDescent="0.35">
      <c r="I861" s="75" t="s">
        <v>4313</v>
      </c>
      <c r="J861" s="52" t="s">
        <v>4314</v>
      </c>
      <c r="K861" s="52" t="s">
        <v>4314</v>
      </c>
    </row>
    <row r="862" spans="9:11" x14ac:dyDescent="0.35">
      <c r="I862" s="75" t="s">
        <v>4313</v>
      </c>
      <c r="J862" s="52" t="s">
        <v>4314</v>
      </c>
      <c r="K862" s="52" t="s">
        <v>4314</v>
      </c>
    </row>
    <row r="863" spans="9:11" x14ac:dyDescent="0.35">
      <c r="I863" s="75" t="s">
        <v>4313</v>
      </c>
      <c r="J863" s="52" t="s">
        <v>4314</v>
      </c>
      <c r="K863" s="52" t="s">
        <v>4314</v>
      </c>
    </row>
    <row r="864" spans="9:11" x14ac:dyDescent="0.35">
      <c r="I864" s="75" t="s">
        <v>4313</v>
      </c>
      <c r="J864" s="52" t="s">
        <v>4314</v>
      </c>
      <c r="K864" s="52" t="s">
        <v>4314</v>
      </c>
    </row>
    <row r="865" spans="9:11" x14ac:dyDescent="0.35">
      <c r="I865" s="75" t="s">
        <v>4313</v>
      </c>
      <c r="J865" s="52" t="s">
        <v>4314</v>
      </c>
      <c r="K865" s="52" t="s">
        <v>4314</v>
      </c>
    </row>
    <row r="866" spans="9:11" x14ac:dyDescent="0.35">
      <c r="I866" s="75" t="s">
        <v>4313</v>
      </c>
      <c r="J866" s="52" t="s">
        <v>4314</v>
      </c>
      <c r="K866" s="52" t="s">
        <v>4314</v>
      </c>
    </row>
    <row r="867" spans="9:11" x14ac:dyDescent="0.35">
      <c r="I867" s="75" t="s">
        <v>4313</v>
      </c>
      <c r="J867" s="52" t="s">
        <v>4314</v>
      </c>
      <c r="K867" s="52" t="s">
        <v>4314</v>
      </c>
    </row>
    <row r="868" spans="9:11" x14ac:dyDescent="0.35">
      <c r="I868" s="75" t="s">
        <v>4313</v>
      </c>
      <c r="J868" s="52" t="s">
        <v>4314</v>
      </c>
      <c r="K868" s="52" t="s">
        <v>4314</v>
      </c>
    </row>
    <row r="869" spans="9:11" x14ac:dyDescent="0.35">
      <c r="I869" s="75" t="s">
        <v>4313</v>
      </c>
      <c r="J869" s="52" t="s">
        <v>4314</v>
      </c>
      <c r="K869" s="52" t="s">
        <v>4314</v>
      </c>
    </row>
    <row r="870" spans="9:11" x14ac:dyDescent="0.35">
      <c r="I870" s="75" t="s">
        <v>4313</v>
      </c>
      <c r="J870" s="52" t="s">
        <v>4314</v>
      </c>
      <c r="K870" s="52" t="s">
        <v>4314</v>
      </c>
    </row>
    <row r="871" spans="9:11" x14ac:dyDescent="0.35">
      <c r="I871" s="75" t="s">
        <v>4313</v>
      </c>
      <c r="J871" s="52" t="s">
        <v>4314</v>
      </c>
      <c r="K871" s="52" t="s">
        <v>4314</v>
      </c>
    </row>
    <row r="872" spans="9:11" x14ac:dyDescent="0.35">
      <c r="I872" s="75" t="s">
        <v>4313</v>
      </c>
      <c r="J872" s="52" t="s">
        <v>4314</v>
      </c>
      <c r="K872" s="52" t="s">
        <v>4314</v>
      </c>
    </row>
    <row r="873" spans="9:11" x14ac:dyDescent="0.35">
      <c r="I873" s="75" t="s">
        <v>4313</v>
      </c>
      <c r="J873" s="52" t="s">
        <v>4314</v>
      </c>
      <c r="K873" s="52" t="s">
        <v>4314</v>
      </c>
    </row>
    <row r="874" spans="9:11" x14ac:dyDescent="0.35">
      <c r="I874" s="75" t="s">
        <v>4313</v>
      </c>
      <c r="J874" s="52" t="s">
        <v>4314</v>
      </c>
      <c r="K874" s="52" t="s">
        <v>4314</v>
      </c>
    </row>
    <row r="875" spans="9:11" x14ac:dyDescent="0.35">
      <c r="I875" s="75" t="s">
        <v>4313</v>
      </c>
      <c r="J875" s="52" t="s">
        <v>4314</v>
      </c>
      <c r="K875" s="52" t="s">
        <v>4314</v>
      </c>
    </row>
    <row r="876" spans="9:11" x14ac:dyDescent="0.35">
      <c r="I876" s="75" t="s">
        <v>4313</v>
      </c>
      <c r="J876" s="52" t="s">
        <v>4314</v>
      </c>
      <c r="K876" s="52" t="s">
        <v>4314</v>
      </c>
    </row>
    <row r="877" spans="9:11" x14ac:dyDescent="0.35">
      <c r="I877" s="75" t="s">
        <v>4313</v>
      </c>
      <c r="J877" s="52" t="s">
        <v>4314</v>
      </c>
      <c r="K877" s="52" t="s">
        <v>4314</v>
      </c>
    </row>
    <row r="878" spans="9:11" x14ac:dyDescent="0.35">
      <c r="I878" s="75" t="s">
        <v>4313</v>
      </c>
      <c r="J878" s="52" t="s">
        <v>4314</v>
      </c>
      <c r="K878" s="52" t="s">
        <v>4314</v>
      </c>
    </row>
    <row r="879" spans="9:11" x14ac:dyDescent="0.35">
      <c r="I879" s="75" t="s">
        <v>4313</v>
      </c>
      <c r="J879" s="52" t="s">
        <v>4314</v>
      </c>
      <c r="K879" s="52" t="s">
        <v>4314</v>
      </c>
    </row>
    <row r="880" spans="9:11" x14ac:dyDescent="0.35">
      <c r="I880" s="75" t="s">
        <v>4313</v>
      </c>
      <c r="J880" s="52" t="s">
        <v>4314</v>
      </c>
      <c r="K880" s="52" t="s">
        <v>4314</v>
      </c>
    </row>
    <row r="881" spans="9:11" x14ac:dyDescent="0.35">
      <c r="I881" s="75" t="s">
        <v>4313</v>
      </c>
      <c r="J881" s="52" t="s">
        <v>4314</v>
      </c>
      <c r="K881" s="52" t="s">
        <v>4314</v>
      </c>
    </row>
    <row r="882" spans="9:11" x14ac:dyDescent="0.35">
      <c r="I882" s="75" t="s">
        <v>4313</v>
      </c>
      <c r="J882" s="52" t="s">
        <v>4314</v>
      </c>
      <c r="K882" s="52" t="s">
        <v>4314</v>
      </c>
    </row>
    <row r="883" spans="9:11" x14ac:dyDescent="0.35">
      <c r="I883" s="75" t="s">
        <v>4313</v>
      </c>
      <c r="J883" s="52" t="s">
        <v>4314</v>
      </c>
      <c r="K883" s="52" t="s">
        <v>4314</v>
      </c>
    </row>
    <row r="884" spans="9:11" x14ac:dyDescent="0.35">
      <c r="I884" s="75" t="s">
        <v>4313</v>
      </c>
      <c r="J884" s="52" t="s">
        <v>4314</v>
      </c>
      <c r="K884" s="52" t="s">
        <v>4314</v>
      </c>
    </row>
    <row r="885" spans="9:11" x14ac:dyDescent="0.35">
      <c r="I885" s="75" t="s">
        <v>4313</v>
      </c>
      <c r="J885" s="52" t="s">
        <v>4314</v>
      </c>
      <c r="K885" s="52" t="s">
        <v>4314</v>
      </c>
    </row>
    <row r="886" spans="9:11" x14ac:dyDescent="0.35">
      <c r="I886" s="75" t="s">
        <v>4313</v>
      </c>
      <c r="J886" s="52" t="s">
        <v>4314</v>
      </c>
      <c r="K886" s="52" t="s">
        <v>4314</v>
      </c>
    </row>
    <row r="887" spans="9:11" x14ac:dyDescent="0.35">
      <c r="I887" s="75" t="s">
        <v>4313</v>
      </c>
      <c r="J887" s="52" t="s">
        <v>4314</v>
      </c>
      <c r="K887" s="52" t="s">
        <v>4314</v>
      </c>
    </row>
    <row r="888" spans="9:11" x14ac:dyDescent="0.35">
      <c r="I888" s="75" t="s">
        <v>4313</v>
      </c>
      <c r="J888" s="52" t="s">
        <v>4314</v>
      </c>
      <c r="K888" s="52" t="s">
        <v>4314</v>
      </c>
    </row>
    <row r="889" spans="9:11" x14ac:dyDescent="0.35">
      <c r="I889" s="75" t="s">
        <v>4313</v>
      </c>
      <c r="J889" s="52" t="s">
        <v>4314</v>
      </c>
      <c r="K889" s="52" t="s">
        <v>4314</v>
      </c>
    </row>
    <row r="890" spans="9:11" x14ac:dyDescent="0.35">
      <c r="I890" s="75" t="s">
        <v>4313</v>
      </c>
      <c r="J890" s="52" t="s">
        <v>4314</v>
      </c>
      <c r="K890" s="52" t="s">
        <v>4314</v>
      </c>
    </row>
    <row r="891" spans="9:11" x14ac:dyDescent="0.35">
      <c r="I891" s="75" t="s">
        <v>4313</v>
      </c>
      <c r="J891" s="52" t="s">
        <v>4314</v>
      </c>
      <c r="K891" s="52" t="s">
        <v>4314</v>
      </c>
    </row>
    <row r="892" spans="9:11" x14ac:dyDescent="0.35">
      <c r="I892" s="75" t="s">
        <v>4313</v>
      </c>
      <c r="J892" s="52" t="s">
        <v>4314</v>
      </c>
      <c r="K892" s="52" t="s">
        <v>4314</v>
      </c>
    </row>
    <row r="893" spans="9:11" x14ac:dyDescent="0.35">
      <c r="I893" s="75" t="s">
        <v>4313</v>
      </c>
      <c r="J893" s="52" t="s">
        <v>4314</v>
      </c>
      <c r="K893" s="52" t="s">
        <v>4314</v>
      </c>
    </row>
    <row r="894" spans="9:11" x14ac:dyDescent="0.35">
      <c r="I894" s="75" t="s">
        <v>4313</v>
      </c>
      <c r="J894" s="52" t="s">
        <v>4314</v>
      </c>
      <c r="K894" s="52" t="s">
        <v>4314</v>
      </c>
    </row>
    <row r="895" spans="9:11" x14ac:dyDescent="0.35">
      <c r="I895" s="75" t="s">
        <v>4313</v>
      </c>
      <c r="J895" s="52" t="s">
        <v>4314</v>
      </c>
      <c r="K895" s="52" t="s">
        <v>4314</v>
      </c>
    </row>
    <row r="896" spans="9:11" x14ac:dyDescent="0.35">
      <c r="I896" s="75" t="s">
        <v>4313</v>
      </c>
      <c r="J896" s="52" t="s">
        <v>4314</v>
      </c>
      <c r="K896" s="52" t="s">
        <v>4314</v>
      </c>
    </row>
    <row r="897" spans="9:11" x14ac:dyDescent="0.35">
      <c r="I897" s="75" t="s">
        <v>4313</v>
      </c>
      <c r="J897" s="52" t="s">
        <v>4314</v>
      </c>
      <c r="K897" s="52" t="s">
        <v>4314</v>
      </c>
    </row>
    <row r="898" spans="9:11" x14ac:dyDescent="0.35">
      <c r="I898" s="75" t="s">
        <v>4313</v>
      </c>
      <c r="J898" s="52" t="s">
        <v>4314</v>
      </c>
      <c r="K898" s="52" t="s">
        <v>4314</v>
      </c>
    </row>
    <row r="899" spans="9:11" x14ac:dyDescent="0.35">
      <c r="I899" s="75" t="s">
        <v>4313</v>
      </c>
      <c r="J899" s="52" t="s">
        <v>4314</v>
      </c>
      <c r="K899" s="52" t="s">
        <v>4314</v>
      </c>
    </row>
    <row r="900" spans="9:11" x14ac:dyDescent="0.35">
      <c r="I900" s="75" t="s">
        <v>4313</v>
      </c>
      <c r="J900" s="52" t="s">
        <v>4314</v>
      </c>
      <c r="K900" s="52" t="s">
        <v>4314</v>
      </c>
    </row>
    <row r="901" spans="9:11" x14ac:dyDescent="0.35">
      <c r="I901" s="75" t="s">
        <v>4313</v>
      </c>
      <c r="J901" s="52" t="s">
        <v>4314</v>
      </c>
      <c r="K901" s="52" t="s">
        <v>4314</v>
      </c>
    </row>
    <row r="902" spans="9:11" x14ac:dyDescent="0.35">
      <c r="I902" s="75" t="s">
        <v>4313</v>
      </c>
      <c r="J902" s="52" t="s">
        <v>4314</v>
      </c>
      <c r="K902" s="52" t="s">
        <v>4314</v>
      </c>
    </row>
    <row r="903" spans="9:11" x14ac:dyDescent="0.35">
      <c r="I903" s="75" t="s">
        <v>4313</v>
      </c>
      <c r="J903" s="52" t="s">
        <v>4314</v>
      </c>
      <c r="K903" s="52" t="s">
        <v>4314</v>
      </c>
    </row>
    <row r="904" spans="9:11" x14ac:dyDescent="0.35">
      <c r="I904" s="75" t="s">
        <v>4313</v>
      </c>
      <c r="J904" s="52" t="s">
        <v>4314</v>
      </c>
      <c r="K904" s="52" t="s">
        <v>4314</v>
      </c>
    </row>
    <row r="905" spans="9:11" x14ac:dyDescent="0.35">
      <c r="I905" s="75" t="s">
        <v>4313</v>
      </c>
      <c r="J905" s="52" t="s">
        <v>4314</v>
      </c>
      <c r="K905" s="52" t="s">
        <v>4314</v>
      </c>
    </row>
    <row r="906" spans="9:11" x14ac:dyDescent="0.35">
      <c r="I906" s="75" t="s">
        <v>4313</v>
      </c>
      <c r="J906" s="52" t="s">
        <v>4314</v>
      </c>
      <c r="K906" s="52" t="s">
        <v>4314</v>
      </c>
    </row>
    <row r="907" spans="9:11" x14ac:dyDescent="0.35">
      <c r="I907" s="75" t="s">
        <v>4313</v>
      </c>
      <c r="J907" s="52" t="s">
        <v>4314</v>
      </c>
      <c r="K907" s="52" t="s">
        <v>4314</v>
      </c>
    </row>
    <row r="908" spans="9:11" x14ac:dyDescent="0.35">
      <c r="I908" s="75" t="s">
        <v>4313</v>
      </c>
      <c r="J908" s="52" t="s">
        <v>4314</v>
      </c>
      <c r="K908" s="52" t="s">
        <v>4314</v>
      </c>
    </row>
    <row r="909" spans="9:11" x14ac:dyDescent="0.35">
      <c r="I909" s="75" t="s">
        <v>4313</v>
      </c>
      <c r="J909" s="52" t="s">
        <v>4314</v>
      </c>
      <c r="K909" s="52" t="s">
        <v>4314</v>
      </c>
    </row>
    <row r="910" spans="9:11" x14ac:dyDescent="0.35">
      <c r="I910" s="75" t="s">
        <v>4313</v>
      </c>
      <c r="J910" s="52" t="s">
        <v>4314</v>
      </c>
      <c r="K910" s="52" t="s">
        <v>4314</v>
      </c>
    </row>
    <row r="911" spans="9:11" x14ac:dyDescent="0.35">
      <c r="I911" s="75" t="s">
        <v>4313</v>
      </c>
      <c r="J911" s="52" t="s">
        <v>4314</v>
      </c>
      <c r="K911" s="52" t="s">
        <v>4314</v>
      </c>
    </row>
    <row r="912" spans="9:11" x14ac:dyDescent="0.35">
      <c r="I912" s="75" t="s">
        <v>4313</v>
      </c>
      <c r="J912" s="52" t="s">
        <v>4314</v>
      </c>
      <c r="K912" s="52" t="s">
        <v>4314</v>
      </c>
    </row>
    <row r="913" spans="9:11" x14ac:dyDescent="0.35">
      <c r="I913" s="75" t="s">
        <v>4313</v>
      </c>
      <c r="J913" s="52" t="s">
        <v>4314</v>
      </c>
      <c r="K913" s="52" t="s">
        <v>4314</v>
      </c>
    </row>
    <row r="914" spans="9:11" x14ac:dyDescent="0.35">
      <c r="I914" s="75" t="s">
        <v>4313</v>
      </c>
      <c r="J914" s="52" t="s">
        <v>4314</v>
      </c>
      <c r="K914" s="52" t="s">
        <v>4314</v>
      </c>
    </row>
    <row r="915" spans="9:11" x14ac:dyDescent="0.35">
      <c r="I915" s="75" t="s">
        <v>4313</v>
      </c>
      <c r="J915" s="52" t="s">
        <v>4314</v>
      </c>
      <c r="K915" s="52" t="s">
        <v>4314</v>
      </c>
    </row>
    <row r="916" spans="9:11" x14ac:dyDescent="0.35">
      <c r="I916" s="75" t="s">
        <v>4313</v>
      </c>
      <c r="J916" s="52" t="s">
        <v>4314</v>
      </c>
      <c r="K916" s="52" t="s">
        <v>4314</v>
      </c>
    </row>
    <row r="917" spans="9:11" x14ac:dyDescent="0.35">
      <c r="I917" s="75" t="s">
        <v>4313</v>
      </c>
      <c r="J917" s="52" t="s">
        <v>4314</v>
      </c>
      <c r="K917" s="52" t="s">
        <v>4314</v>
      </c>
    </row>
    <row r="918" spans="9:11" x14ac:dyDescent="0.35">
      <c r="I918" s="75" t="s">
        <v>4313</v>
      </c>
      <c r="J918" s="52" t="s">
        <v>4314</v>
      </c>
      <c r="K918" s="52" t="s">
        <v>4314</v>
      </c>
    </row>
    <row r="919" spans="9:11" x14ac:dyDescent="0.35">
      <c r="I919" s="75" t="s">
        <v>4313</v>
      </c>
      <c r="J919" s="52" t="s">
        <v>4314</v>
      </c>
      <c r="K919" s="52" t="s">
        <v>4314</v>
      </c>
    </row>
    <row r="920" spans="9:11" x14ac:dyDescent="0.35">
      <c r="I920" s="75" t="s">
        <v>4313</v>
      </c>
      <c r="J920" s="52" t="s">
        <v>4314</v>
      </c>
      <c r="K920" s="52" t="s">
        <v>4314</v>
      </c>
    </row>
    <row r="921" spans="9:11" x14ac:dyDescent="0.35">
      <c r="I921" s="75" t="s">
        <v>4313</v>
      </c>
      <c r="J921" s="52" t="s">
        <v>4314</v>
      </c>
      <c r="K921" s="52" t="s">
        <v>4314</v>
      </c>
    </row>
    <row r="922" spans="9:11" x14ac:dyDescent="0.35">
      <c r="I922" s="75" t="s">
        <v>4313</v>
      </c>
      <c r="J922" s="52" t="s">
        <v>4314</v>
      </c>
      <c r="K922" s="52" t="s">
        <v>4314</v>
      </c>
    </row>
    <row r="923" spans="9:11" x14ac:dyDescent="0.35">
      <c r="I923" s="75" t="s">
        <v>4313</v>
      </c>
      <c r="J923" s="52" t="s">
        <v>4314</v>
      </c>
      <c r="K923" s="52" t="s">
        <v>4314</v>
      </c>
    </row>
    <row r="924" spans="9:11" x14ac:dyDescent="0.35">
      <c r="I924" s="75" t="s">
        <v>4313</v>
      </c>
      <c r="J924" s="52" t="s">
        <v>4314</v>
      </c>
      <c r="K924" s="52" t="s">
        <v>4314</v>
      </c>
    </row>
    <row r="925" spans="9:11" x14ac:dyDescent="0.35">
      <c r="I925" s="75" t="s">
        <v>4313</v>
      </c>
      <c r="J925" s="52" t="s">
        <v>4314</v>
      </c>
      <c r="K925" s="52" t="s">
        <v>4314</v>
      </c>
    </row>
    <row r="926" spans="9:11" x14ac:dyDescent="0.35">
      <c r="I926" s="75" t="s">
        <v>4313</v>
      </c>
      <c r="J926" s="52" t="s">
        <v>4314</v>
      </c>
      <c r="K926" s="52" t="s">
        <v>4314</v>
      </c>
    </row>
    <row r="927" spans="9:11" x14ac:dyDescent="0.35">
      <c r="I927" s="75" t="s">
        <v>4313</v>
      </c>
      <c r="J927" s="52" t="s">
        <v>4314</v>
      </c>
      <c r="K927" s="52" t="s">
        <v>4314</v>
      </c>
    </row>
    <row r="928" spans="9:11" x14ac:dyDescent="0.35">
      <c r="I928" s="75" t="s">
        <v>4313</v>
      </c>
      <c r="J928" s="52" t="s">
        <v>4314</v>
      </c>
      <c r="K928" s="52" t="s">
        <v>4314</v>
      </c>
    </row>
    <row r="929" spans="9:11" x14ac:dyDescent="0.35">
      <c r="I929" s="75" t="s">
        <v>4313</v>
      </c>
      <c r="J929" s="52" t="s">
        <v>4314</v>
      </c>
      <c r="K929" s="52" t="s">
        <v>4314</v>
      </c>
    </row>
    <row r="930" spans="9:11" x14ac:dyDescent="0.35">
      <c r="I930" s="75" t="s">
        <v>4313</v>
      </c>
      <c r="J930" s="52" t="s">
        <v>4314</v>
      </c>
      <c r="K930" s="52" t="s">
        <v>4314</v>
      </c>
    </row>
    <row r="931" spans="9:11" x14ac:dyDescent="0.35">
      <c r="I931" s="75" t="s">
        <v>4313</v>
      </c>
      <c r="J931" s="52" t="s">
        <v>4314</v>
      </c>
      <c r="K931" s="52" t="s">
        <v>4314</v>
      </c>
    </row>
    <row r="932" spans="9:11" x14ac:dyDescent="0.35">
      <c r="I932" s="75" t="s">
        <v>4313</v>
      </c>
      <c r="J932" s="52" t="s">
        <v>4314</v>
      </c>
      <c r="K932" s="52" t="s">
        <v>4314</v>
      </c>
    </row>
    <row r="933" spans="9:11" x14ac:dyDescent="0.35">
      <c r="I933" s="75" t="s">
        <v>4313</v>
      </c>
      <c r="J933" s="52" t="s">
        <v>4314</v>
      </c>
      <c r="K933" s="52" t="s">
        <v>4314</v>
      </c>
    </row>
    <row r="934" spans="9:11" x14ac:dyDescent="0.35">
      <c r="I934" s="75" t="s">
        <v>4313</v>
      </c>
      <c r="J934" s="52" t="s">
        <v>4314</v>
      </c>
      <c r="K934" s="52" t="s">
        <v>4314</v>
      </c>
    </row>
    <row r="935" spans="9:11" x14ac:dyDescent="0.35">
      <c r="I935" s="75" t="s">
        <v>4313</v>
      </c>
      <c r="J935" s="52" t="s">
        <v>4314</v>
      </c>
      <c r="K935" s="52" t="s">
        <v>4314</v>
      </c>
    </row>
    <row r="936" spans="9:11" x14ac:dyDescent="0.35">
      <c r="I936" s="75" t="s">
        <v>4313</v>
      </c>
      <c r="J936" s="52" t="s">
        <v>4314</v>
      </c>
      <c r="K936" s="52" t="s">
        <v>4314</v>
      </c>
    </row>
    <row r="937" spans="9:11" x14ac:dyDescent="0.35">
      <c r="I937" s="75" t="s">
        <v>4313</v>
      </c>
      <c r="J937" s="52" t="s">
        <v>4314</v>
      </c>
      <c r="K937" s="52" t="s">
        <v>4314</v>
      </c>
    </row>
    <row r="938" spans="9:11" x14ac:dyDescent="0.35">
      <c r="I938" s="75" t="s">
        <v>4313</v>
      </c>
      <c r="J938" s="52" t="s">
        <v>4314</v>
      </c>
      <c r="K938" s="52" t="s">
        <v>4314</v>
      </c>
    </row>
    <row r="939" spans="9:11" x14ac:dyDescent="0.35">
      <c r="I939" s="75" t="s">
        <v>4313</v>
      </c>
      <c r="J939" s="52" t="s">
        <v>4314</v>
      </c>
      <c r="K939" s="52" t="s">
        <v>4314</v>
      </c>
    </row>
    <row r="940" spans="9:11" x14ac:dyDescent="0.35">
      <c r="I940" s="75" t="s">
        <v>4313</v>
      </c>
      <c r="J940" s="52" t="s">
        <v>4314</v>
      </c>
      <c r="K940" s="52" t="s">
        <v>4314</v>
      </c>
    </row>
    <row r="941" spans="9:11" x14ac:dyDescent="0.35">
      <c r="I941" s="75" t="s">
        <v>4313</v>
      </c>
      <c r="J941" s="52" t="s">
        <v>4314</v>
      </c>
      <c r="K941" s="52" t="s">
        <v>4314</v>
      </c>
    </row>
    <row r="942" spans="9:11" x14ac:dyDescent="0.35">
      <c r="I942" s="75" t="s">
        <v>4313</v>
      </c>
      <c r="J942" s="52" t="s">
        <v>4314</v>
      </c>
      <c r="K942" s="52" t="s">
        <v>4314</v>
      </c>
    </row>
    <row r="943" spans="9:11" x14ac:dyDescent="0.35">
      <c r="I943" s="75" t="s">
        <v>4313</v>
      </c>
      <c r="J943" s="52" t="s">
        <v>4314</v>
      </c>
      <c r="K943" s="52" t="s">
        <v>4314</v>
      </c>
    </row>
    <row r="944" spans="9:11" x14ac:dyDescent="0.35">
      <c r="I944" s="75" t="s">
        <v>4313</v>
      </c>
      <c r="J944" s="52" t="s">
        <v>4314</v>
      </c>
      <c r="K944" s="52" t="s">
        <v>4314</v>
      </c>
    </row>
    <row r="945" spans="9:11" x14ac:dyDescent="0.35">
      <c r="I945" s="75" t="s">
        <v>4313</v>
      </c>
      <c r="J945" s="52" t="s">
        <v>4314</v>
      </c>
      <c r="K945" s="52" t="s">
        <v>4314</v>
      </c>
    </row>
    <row r="946" spans="9:11" x14ac:dyDescent="0.35">
      <c r="I946" s="75" t="s">
        <v>4313</v>
      </c>
      <c r="J946" s="52" t="s">
        <v>4314</v>
      </c>
      <c r="K946" s="52" t="s">
        <v>4314</v>
      </c>
    </row>
    <row r="947" spans="9:11" x14ac:dyDescent="0.35">
      <c r="I947" s="75" t="s">
        <v>4313</v>
      </c>
      <c r="J947" s="52" t="s">
        <v>4314</v>
      </c>
      <c r="K947" s="52" t="s">
        <v>4314</v>
      </c>
    </row>
    <row r="948" spans="9:11" x14ac:dyDescent="0.35">
      <c r="I948" s="75" t="s">
        <v>4313</v>
      </c>
      <c r="J948" s="52" t="s">
        <v>4314</v>
      </c>
      <c r="K948" s="52" t="s">
        <v>4314</v>
      </c>
    </row>
    <row r="949" spans="9:11" x14ac:dyDescent="0.35">
      <c r="I949" s="75" t="s">
        <v>4313</v>
      </c>
      <c r="J949" s="52" t="s">
        <v>4314</v>
      </c>
      <c r="K949" s="52" t="s">
        <v>4314</v>
      </c>
    </row>
    <row r="950" spans="9:11" x14ac:dyDescent="0.35">
      <c r="I950" s="75" t="s">
        <v>4313</v>
      </c>
      <c r="J950" s="52" t="s">
        <v>4314</v>
      </c>
      <c r="K950" s="52" t="s">
        <v>4314</v>
      </c>
    </row>
    <row r="951" spans="9:11" x14ac:dyDescent="0.35">
      <c r="I951" s="75" t="s">
        <v>4313</v>
      </c>
      <c r="J951" s="52" t="s">
        <v>4314</v>
      </c>
      <c r="K951" s="52" t="s">
        <v>4314</v>
      </c>
    </row>
    <row r="952" spans="9:11" x14ac:dyDescent="0.35">
      <c r="I952" s="75" t="s">
        <v>4313</v>
      </c>
      <c r="J952" s="52" t="s">
        <v>4314</v>
      </c>
      <c r="K952" s="52" t="s">
        <v>4314</v>
      </c>
    </row>
    <row r="953" spans="9:11" x14ac:dyDescent="0.35">
      <c r="I953" s="75" t="s">
        <v>4313</v>
      </c>
      <c r="J953" s="52" t="s">
        <v>4314</v>
      </c>
      <c r="K953" s="52" t="s">
        <v>4314</v>
      </c>
    </row>
    <row r="954" spans="9:11" x14ac:dyDescent="0.35">
      <c r="I954" s="75" t="s">
        <v>4313</v>
      </c>
      <c r="J954" s="52" t="s">
        <v>4314</v>
      </c>
      <c r="K954" s="52" t="s">
        <v>4314</v>
      </c>
    </row>
    <row r="955" spans="9:11" x14ac:dyDescent="0.35">
      <c r="I955" s="75" t="s">
        <v>4313</v>
      </c>
      <c r="J955" s="52" t="s">
        <v>4314</v>
      </c>
      <c r="K955" s="52" t="s">
        <v>4314</v>
      </c>
    </row>
    <row r="956" spans="9:11" x14ac:dyDescent="0.35">
      <c r="I956" s="75" t="s">
        <v>4313</v>
      </c>
      <c r="J956" s="52" t="s">
        <v>4314</v>
      </c>
      <c r="K956" s="52" t="s">
        <v>4314</v>
      </c>
    </row>
    <row r="957" spans="9:11" x14ac:dyDescent="0.35">
      <c r="I957" s="75" t="s">
        <v>4313</v>
      </c>
      <c r="J957" s="52" t="s">
        <v>4314</v>
      </c>
      <c r="K957" s="52" t="s">
        <v>4314</v>
      </c>
    </row>
    <row r="958" spans="9:11" x14ac:dyDescent="0.35">
      <c r="I958" s="75" t="s">
        <v>4313</v>
      </c>
      <c r="J958" s="52" t="s">
        <v>4314</v>
      </c>
      <c r="K958" s="52" t="s">
        <v>4314</v>
      </c>
    </row>
    <row r="959" spans="9:11" x14ac:dyDescent="0.35">
      <c r="I959" s="75" t="s">
        <v>4313</v>
      </c>
      <c r="J959" s="52" t="s">
        <v>4314</v>
      </c>
      <c r="K959" s="52" t="s">
        <v>4314</v>
      </c>
    </row>
    <row r="960" spans="9:11" x14ac:dyDescent="0.35">
      <c r="I960" s="75" t="s">
        <v>4313</v>
      </c>
      <c r="J960" s="52" t="s">
        <v>4314</v>
      </c>
      <c r="K960" s="52" t="s">
        <v>4314</v>
      </c>
    </row>
    <row r="961" spans="9:11" x14ac:dyDescent="0.35">
      <c r="I961" s="75" t="s">
        <v>4313</v>
      </c>
      <c r="J961" s="52" t="s">
        <v>4314</v>
      </c>
      <c r="K961" s="52" t="s">
        <v>4314</v>
      </c>
    </row>
    <row r="962" spans="9:11" x14ac:dyDescent="0.35">
      <c r="I962" s="75" t="s">
        <v>4313</v>
      </c>
      <c r="J962" s="52" t="s">
        <v>4314</v>
      </c>
      <c r="K962" s="52" t="s">
        <v>4314</v>
      </c>
    </row>
    <row r="963" spans="9:11" x14ac:dyDescent="0.35">
      <c r="I963" s="75" t="s">
        <v>4313</v>
      </c>
      <c r="J963" s="52" t="s">
        <v>4314</v>
      </c>
      <c r="K963" s="52" t="s">
        <v>4314</v>
      </c>
    </row>
    <row r="964" spans="9:11" x14ac:dyDescent="0.35">
      <c r="I964" s="75" t="s">
        <v>4313</v>
      </c>
      <c r="J964" s="52" t="s">
        <v>4314</v>
      </c>
      <c r="K964" s="52" t="s">
        <v>4314</v>
      </c>
    </row>
    <row r="965" spans="9:11" x14ac:dyDescent="0.35">
      <c r="I965" s="75" t="s">
        <v>4313</v>
      </c>
      <c r="J965" s="52" t="s">
        <v>4314</v>
      </c>
      <c r="K965" s="52" t="s">
        <v>4314</v>
      </c>
    </row>
    <row r="966" spans="9:11" x14ac:dyDescent="0.35">
      <c r="I966" s="75" t="s">
        <v>4313</v>
      </c>
      <c r="J966" s="52" t="s">
        <v>4314</v>
      </c>
      <c r="K966" s="52" t="s">
        <v>4314</v>
      </c>
    </row>
    <row r="967" spans="9:11" x14ac:dyDescent="0.35">
      <c r="I967" s="75" t="s">
        <v>4313</v>
      </c>
      <c r="J967" s="52" t="s">
        <v>4314</v>
      </c>
      <c r="K967" s="52" t="s">
        <v>4314</v>
      </c>
    </row>
    <row r="968" spans="9:11" x14ac:dyDescent="0.35">
      <c r="I968" s="75" t="s">
        <v>4313</v>
      </c>
      <c r="J968" s="52" t="s">
        <v>4314</v>
      </c>
      <c r="K968" s="52" t="s">
        <v>4314</v>
      </c>
    </row>
    <row r="969" spans="9:11" x14ac:dyDescent="0.35">
      <c r="I969" s="75" t="s">
        <v>4313</v>
      </c>
      <c r="J969" s="52" t="s">
        <v>4314</v>
      </c>
      <c r="K969" s="52" t="s">
        <v>4314</v>
      </c>
    </row>
    <row r="970" spans="9:11" x14ac:dyDescent="0.35">
      <c r="I970" s="75" t="s">
        <v>4313</v>
      </c>
      <c r="J970" s="52" t="s">
        <v>4314</v>
      </c>
      <c r="K970" s="52" t="s">
        <v>4314</v>
      </c>
    </row>
    <row r="971" spans="9:11" x14ac:dyDescent="0.35">
      <c r="I971" s="75" t="s">
        <v>4313</v>
      </c>
      <c r="J971" s="52" t="s">
        <v>4314</v>
      </c>
      <c r="K971" s="52" t="s">
        <v>4314</v>
      </c>
    </row>
    <row r="972" spans="9:11" x14ac:dyDescent="0.35">
      <c r="I972" s="75" t="s">
        <v>4313</v>
      </c>
      <c r="J972" s="52" t="s">
        <v>4314</v>
      </c>
      <c r="K972" s="52" t="s">
        <v>4314</v>
      </c>
    </row>
    <row r="973" spans="9:11" x14ac:dyDescent="0.35">
      <c r="I973" s="75" t="s">
        <v>4313</v>
      </c>
      <c r="J973" s="52" t="s">
        <v>4314</v>
      </c>
      <c r="K973" s="52" t="s">
        <v>4314</v>
      </c>
    </row>
    <row r="974" spans="9:11" x14ac:dyDescent="0.35">
      <c r="I974" s="75" t="s">
        <v>4313</v>
      </c>
      <c r="J974" s="52" t="s">
        <v>4314</v>
      </c>
      <c r="K974" s="52" t="s">
        <v>4314</v>
      </c>
    </row>
    <row r="975" spans="9:11" x14ac:dyDescent="0.35">
      <c r="I975" s="75" t="s">
        <v>4313</v>
      </c>
      <c r="J975" s="52" t="s">
        <v>4314</v>
      </c>
      <c r="K975" s="52" t="s">
        <v>4314</v>
      </c>
    </row>
    <row r="976" spans="9:11" x14ac:dyDescent="0.35">
      <c r="I976" s="75" t="s">
        <v>4313</v>
      </c>
      <c r="J976" s="52" t="s">
        <v>4314</v>
      </c>
      <c r="K976" s="52" t="s">
        <v>4314</v>
      </c>
    </row>
    <row r="977" spans="9:11" x14ac:dyDescent="0.35">
      <c r="I977" s="75" t="s">
        <v>4313</v>
      </c>
      <c r="J977" s="52" t="s">
        <v>4314</v>
      </c>
      <c r="K977" s="52" t="s">
        <v>4314</v>
      </c>
    </row>
    <row r="978" spans="9:11" x14ac:dyDescent="0.35">
      <c r="I978" s="75" t="s">
        <v>4313</v>
      </c>
      <c r="J978" s="52" t="s">
        <v>4314</v>
      </c>
      <c r="K978" s="52" t="s">
        <v>4314</v>
      </c>
    </row>
    <row r="979" spans="9:11" x14ac:dyDescent="0.35">
      <c r="I979" s="75" t="s">
        <v>4313</v>
      </c>
      <c r="J979" s="52" t="s">
        <v>4314</v>
      </c>
      <c r="K979" s="52" t="s">
        <v>4314</v>
      </c>
    </row>
    <row r="980" spans="9:11" x14ac:dyDescent="0.35">
      <c r="I980" s="75" t="s">
        <v>4313</v>
      </c>
      <c r="J980" s="52" t="s">
        <v>4314</v>
      </c>
      <c r="K980" s="52" t="s">
        <v>4314</v>
      </c>
    </row>
    <row r="981" spans="9:11" x14ac:dyDescent="0.35">
      <c r="I981" s="75" t="s">
        <v>4313</v>
      </c>
      <c r="J981" s="52" t="s">
        <v>4314</v>
      </c>
      <c r="K981" s="52" t="s">
        <v>4314</v>
      </c>
    </row>
    <row r="982" spans="9:11" x14ac:dyDescent="0.35">
      <c r="I982" s="75" t="s">
        <v>4313</v>
      </c>
      <c r="J982" s="52" t="s">
        <v>4314</v>
      </c>
      <c r="K982" s="52" t="s">
        <v>4314</v>
      </c>
    </row>
    <row r="983" spans="9:11" x14ac:dyDescent="0.35">
      <c r="I983" s="75" t="s">
        <v>4313</v>
      </c>
      <c r="J983" s="52" t="s">
        <v>4314</v>
      </c>
      <c r="K983" s="52" t="s">
        <v>4314</v>
      </c>
    </row>
    <row r="984" spans="9:11" x14ac:dyDescent="0.35">
      <c r="I984" s="75" t="s">
        <v>4313</v>
      </c>
      <c r="J984" s="52" t="s">
        <v>4314</v>
      </c>
      <c r="K984" s="52" t="s">
        <v>4314</v>
      </c>
    </row>
    <row r="985" spans="9:11" x14ac:dyDescent="0.35">
      <c r="I985" s="75" t="s">
        <v>4313</v>
      </c>
      <c r="J985" s="52" t="s">
        <v>4314</v>
      </c>
      <c r="K985" s="52" t="s">
        <v>4314</v>
      </c>
    </row>
    <row r="986" spans="9:11" x14ac:dyDescent="0.35">
      <c r="I986" s="75" t="s">
        <v>4313</v>
      </c>
      <c r="J986" s="52" t="s">
        <v>4314</v>
      </c>
      <c r="K986" s="52" t="s">
        <v>4314</v>
      </c>
    </row>
    <row r="987" spans="9:11" x14ac:dyDescent="0.35">
      <c r="I987" s="75" t="s">
        <v>4313</v>
      </c>
      <c r="J987" s="52" t="s">
        <v>4314</v>
      </c>
      <c r="K987" s="52" t="s">
        <v>4314</v>
      </c>
    </row>
    <row r="988" spans="9:11" x14ac:dyDescent="0.35">
      <c r="I988" s="75" t="s">
        <v>4313</v>
      </c>
      <c r="J988" s="52" t="s">
        <v>4314</v>
      </c>
      <c r="K988" s="52" t="s">
        <v>4314</v>
      </c>
    </row>
    <row r="989" spans="9:11" x14ac:dyDescent="0.35">
      <c r="I989" s="75" t="s">
        <v>4313</v>
      </c>
      <c r="J989" s="52" t="s">
        <v>4314</v>
      </c>
      <c r="K989" s="52" t="s">
        <v>4314</v>
      </c>
    </row>
    <row r="990" spans="9:11" x14ac:dyDescent="0.35">
      <c r="I990" s="75" t="s">
        <v>4313</v>
      </c>
      <c r="J990" s="52" t="s">
        <v>4314</v>
      </c>
      <c r="K990" s="52" t="s">
        <v>4314</v>
      </c>
    </row>
    <row r="991" spans="9:11" x14ac:dyDescent="0.35">
      <c r="I991" s="75" t="s">
        <v>4313</v>
      </c>
      <c r="J991" s="52" t="s">
        <v>4314</v>
      </c>
      <c r="K991" s="52" t="s">
        <v>4314</v>
      </c>
    </row>
    <row r="992" spans="9:11" x14ac:dyDescent="0.35">
      <c r="I992" s="75" t="s">
        <v>4313</v>
      </c>
      <c r="J992" s="52" t="s">
        <v>4314</v>
      </c>
      <c r="K992" s="52" t="s">
        <v>4314</v>
      </c>
    </row>
    <row r="993" spans="9:11" x14ac:dyDescent="0.35">
      <c r="I993" s="75" t="s">
        <v>4313</v>
      </c>
      <c r="J993" s="52" t="s">
        <v>4314</v>
      </c>
      <c r="K993" s="52" t="s">
        <v>4314</v>
      </c>
    </row>
    <row r="994" spans="9:11" x14ac:dyDescent="0.35">
      <c r="I994" s="75" t="s">
        <v>4313</v>
      </c>
      <c r="J994" s="52" t="s">
        <v>4314</v>
      </c>
      <c r="K994" s="52" t="s">
        <v>4314</v>
      </c>
    </row>
    <row r="995" spans="9:11" x14ac:dyDescent="0.35">
      <c r="I995" s="75" t="s">
        <v>4313</v>
      </c>
      <c r="J995" s="52" t="s">
        <v>4314</v>
      </c>
      <c r="K995" s="52" t="s">
        <v>4314</v>
      </c>
    </row>
    <row r="996" spans="9:11" x14ac:dyDescent="0.35">
      <c r="I996" s="75" t="s">
        <v>4313</v>
      </c>
      <c r="J996" s="52" t="s">
        <v>4314</v>
      </c>
      <c r="K996" s="52" t="s">
        <v>4314</v>
      </c>
    </row>
    <row r="997" spans="9:11" x14ac:dyDescent="0.35">
      <c r="I997" s="75" t="s">
        <v>4313</v>
      </c>
      <c r="J997" s="52" t="s">
        <v>4314</v>
      </c>
      <c r="K997" s="52" t="s">
        <v>4314</v>
      </c>
    </row>
    <row r="998" spans="9:11" x14ac:dyDescent="0.35">
      <c r="I998" s="75" t="s">
        <v>4313</v>
      </c>
      <c r="J998" s="52" t="s">
        <v>4314</v>
      </c>
      <c r="K998" s="52" t="s">
        <v>4314</v>
      </c>
    </row>
    <row r="999" spans="9:11" x14ac:dyDescent="0.35">
      <c r="I999" s="75" t="s">
        <v>4313</v>
      </c>
      <c r="J999" s="52" t="s">
        <v>4314</v>
      </c>
      <c r="K999" s="52" t="s">
        <v>4314</v>
      </c>
    </row>
    <row r="1000" spans="9:11" x14ac:dyDescent="0.35">
      <c r="I1000" s="75" t="s">
        <v>4313</v>
      </c>
      <c r="J1000" s="52" t="s">
        <v>4314</v>
      </c>
      <c r="K1000" s="52" t="s">
        <v>4314</v>
      </c>
    </row>
    <row r="1001" spans="9:11" x14ac:dyDescent="0.35">
      <c r="I1001" s="75" t="s">
        <v>4313</v>
      </c>
      <c r="J1001" s="52" t="s">
        <v>4314</v>
      </c>
      <c r="K1001" s="52" t="s">
        <v>4314</v>
      </c>
    </row>
    <row r="1002" spans="9:11" x14ac:dyDescent="0.35">
      <c r="I1002" s="75" t="s">
        <v>4313</v>
      </c>
      <c r="J1002" s="52" t="s">
        <v>4314</v>
      </c>
      <c r="K1002" s="52" t="s">
        <v>4314</v>
      </c>
    </row>
    <row r="1003" spans="9:11" x14ac:dyDescent="0.35">
      <c r="I1003" s="75" t="s">
        <v>4313</v>
      </c>
      <c r="J1003" s="52" t="s">
        <v>4314</v>
      </c>
      <c r="K1003" s="52" t="s">
        <v>4314</v>
      </c>
    </row>
    <row r="1004" spans="9:11" x14ac:dyDescent="0.35">
      <c r="I1004" s="75" t="s">
        <v>4313</v>
      </c>
      <c r="J1004" s="52" t="s">
        <v>4314</v>
      </c>
      <c r="K1004" s="52" t="s">
        <v>4314</v>
      </c>
    </row>
    <row r="1005" spans="9:11" x14ac:dyDescent="0.35">
      <c r="I1005" s="75" t="s">
        <v>4313</v>
      </c>
      <c r="J1005" s="52" t="s">
        <v>4314</v>
      </c>
      <c r="K1005" s="52" t="s">
        <v>4314</v>
      </c>
    </row>
    <row r="1006" spans="9:11" x14ac:dyDescent="0.35">
      <c r="I1006" s="75" t="s">
        <v>4313</v>
      </c>
      <c r="J1006" s="52" t="s">
        <v>4314</v>
      </c>
      <c r="K1006" s="52" t="s">
        <v>4314</v>
      </c>
    </row>
    <row r="1007" spans="9:11" x14ac:dyDescent="0.35">
      <c r="I1007" s="75" t="s">
        <v>4313</v>
      </c>
      <c r="J1007" s="52" t="s">
        <v>4314</v>
      </c>
      <c r="K1007" s="52" t="s">
        <v>4314</v>
      </c>
    </row>
    <row r="1008" spans="9:11" x14ac:dyDescent="0.35">
      <c r="I1008" s="75" t="s">
        <v>4313</v>
      </c>
      <c r="J1008" s="52" t="s">
        <v>4314</v>
      </c>
      <c r="K1008" s="52" t="s">
        <v>4314</v>
      </c>
    </row>
    <row r="1009" spans="9:11" x14ac:dyDescent="0.35">
      <c r="I1009" s="75" t="s">
        <v>4313</v>
      </c>
      <c r="J1009" s="52" t="s">
        <v>4314</v>
      </c>
      <c r="K1009" s="52" t="s">
        <v>4314</v>
      </c>
    </row>
    <row r="1010" spans="9:11" x14ac:dyDescent="0.35">
      <c r="I1010" s="75" t="s">
        <v>4313</v>
      </c>
      <c r="J1010" s="52" t="s">
        <v>4314</v>
      </c>
      <c r="K1010" s="52" t="s">
        <v>4314</v>
      </c>
    </row>
    <row r="1011" spans="9:11" x14ac:dyDescent="0.35">
      <c r="I1011" s="75" t="s">
        <v>4313</v>
      </c>
      <c r="J1011" s="52" t="s">
        <v>4314</v>
      </c>
      <c r="K1011" s="52" t="s">
        <v>4314</v>
      </c>
    </row>
    <row r="1012" spans="9:11" x14ac:dyDescent="0.35">
      <c r="I1012" s="75" t="s">
        <v>4313</v>
      </c>
      <c r="J1012" s="52" t="s">
        <v>4314</v>
      </c>
      <c r="K1012" s="52" t="s">
        <v>4314</v>
      </c>
    </row>
    <row r="1013" spans="9:11" x14ac:dyDescent="0.35">
      <c r="I1013" s="75" t="s">
        <v>4313</v>
      </c>
      <c r="J1013" s="52" t="s">
        <v>4314</v>
      </c>
      <c r="K1013" s="52" t="s">
        <v>4314</v>
      </c>
    </row>
    <row r="1014" spans="9:11" x14ac:dyDescent="0.35">
      <c r="I1014" s="75" t="s">
        <v>4313</v>
      </c>
      <c r="J1014" s="52" t="s">
        <v>4314</v>
      </c>
      <c r="K1014" s="52" t="s">
        <v>4314</v>
      </c>
    </row>
    <row r="1015" spans="9:11" x14ac:dyDescent="0.35">
      <c r="I1015" s="75" t="s">
        <v>4313</v>
      </c>
      <c r="J1015" s="52" t="s">
        <v>4314</v>
      </c>
      <c r="K1015" s="52" t="s">
        <v>4314</v>
      </c>
    </row>
    <row r="1016" spans="9:11" x14ac:dyDescent="0.35">
      <c r="I1016" s="75" t="s">
        <v>4313</v>
      </c>
      <c r="J1016" s="52" t="s">
        <v>4314</v>
      </c>
      <c r="K1016" s="52" t="s">
        <v>4314</v>
      </c>
    </row>
    <row r="1017" spans="9:11" x14ac:dyDescent="0.35">
      <c r="I1017" s="75" t="s">
        <v>4313</v>
      </c>
      <c r="J1017" s="52" t="s">
        <v>4314</v>
      </c>
      <c r="K1017" s="52" t="s">
        <v>4314</v>
      </c>
    </row>
    <row r="1018" spans="9:11" x14ac:dyDescent="0.35">
      <c r="I1018" s="75" t="s">
        <v>4313</v>
      </c>
      <c r="J1018" s="52" t="s">
        <v>4314</v>
      </c>
      <c r="K1018" s="52" t="s">
        <v>4314</v>
      </c>
    </row>
    <row r="1019" spans="9:11" x14ac:dyDescent="0.35">
      <c r="I1019" s="75" t="s">
        <v>4313</v>
      </c>
      <c r="J1019" s="52" t="s">
        <v>4314</v>
      </c>
      <c r="K1019" s="52" t="s">
        <v>4314</v>
      </c>
    </row>
    <row r="1020" spans="9:11" x14ac:dyDescent="0.35">
      <c r="I1020" s="75" t="s">
        <v>4313</v>
      </c>
      <c r="J1020" s="52" t="s">
        <v>4314</v>
      </c>
      <c r="K1020" s="52" t="s">
        <v>4314</v>
      </c>
    </row>
    <row r="1021" spans="9:11" x14ac:dyDescent="0.35">
      <c r="I1021" s="75" t="s">
        <v>4313</v>
      </c>
      <c r="J1021" s="52" t="s">
        <v>4314</v>
      </c>
      <c r="K1021" s="52" t="s">
        <v>4314</v>
      </c>
    </row>
    <row r="1022" spans="9:11" x14ac:dyDescent="0.35">
      <c r="I1022" s="75" t="s">
        <v>4313</v>
      </c>
      <c r="J1022" s="52" t="s">
        <v>4314</v>
      </c>
      <c r="K1022" s="52" t="s">
        <v>4314</v>
      </c>
    </row>
    <row r="1023" spans="9:11" x14ac:dyDescent="0.35">
      <c r="I1023" s="75" t="s">
        <v>4313</v>
      </c>
      <c r="J1023" s="52" t="s">
        <v>4314</v>
      </c>
      <c r="K1023" s="52" t="s">
        <v>4314</v>
      </c>
    </row>
    <row r="1024" spans="9:11" x14ac:dyDescent="0.35">
      <c r="I1024" s="75" t="s">
        <v>4313</v>
      </c>
      <c r="J1024" s="52" t="s">
        <v>4314</v>
      </c>
      <c r="K1024" s="52" t="s">
        <v>4314</v>
      </c>
    </row>
    <row r="1025" spans="9:11" x14ac:dyDescent="0.35">
      <c r="I1025" s="75" t="s">
        <v>4313</v>
      </c>
      <c r="J1025" s="52" t="s">
        <v>4314</v>
      </c>
      <c r="K1025" s="52" t="s">
        <v>4314</v>
      </c>
    </row>
    <row r="1026" spans="9:11" x14ac:dyDescent="0.35">
      <c r="I1026" s="75" t="s">
        <v>4313</v>
      </c>
      <c r="J1026" s="52" t="s">
        <v>4314</v>
      </c>
      <c r="K1026" s="52" t="s">
        <v>4314</v>
      </c>
    </row>
    <row r="1027" spans="9:11" x14ac:dyDescent="0.35">
      <c r="I1027" s="75" t="s">
        <v>4313</v>
      </c>
      <c r="J1027" s="52" t="s">
        <v>4314</v>
      </c>
      <c r="K1027" s="52" t="s">
        <v>4314</v>
      </c>
    </row>
    <row r="1028" spans="9:11" x14ac:dyDescent="0.35">
      <c r="I1028" s="75" t="s">
        <v>4313</v>
      </c>
      <c r="J1028" s="52" t="s">
        <v>4314</v>
      </c>
      <c r="K1028" s="52" t="s">
        <v>4314</v>
      </c>
    </row>
    <row r="1029" spans="9:11" x14ac:dyDescent="0.35">
      <c r="I1029" s="75" t="s">
        <v>4313</v>
      </c>
      <c r="J1029" s="52" t="s">
        <v>4314</v>
      </c>
      <c r="K1029" s="52" t="s">
        <v>4314</v>
      </c>
    </row>
    <row r="1030" spans="9:11" x14ac:dyDescent="0.35">
      <c r="I1030" s="75" t="s">
        <v>4313</v>
      </c>
      <c r="J1030" s="52" t="s">
        <v>4314</v>
      </c>
      <c r="K1030" s="52" t="s">
        <v>4314</v>
      </c>
    </row>
    <row r="1031" spans="9:11" x14ac:dyDescent="0.35">
      <c r="I1031" s="75" t="s">
        <v>4313</v>
      </c>
      <c r="J1031" s="52" t="s">
        <v>4314</v>
      </c>
      <c r="K1031" s="52" t="s">
        <v>4314</v>
      </c>
    </row>
    <row r="1032" spans="9:11" x14ac:dyDescent="0.35">
      <c r="I1032" s="75" t="s">
        <v>4313</v>
      </c>
      <c r="J1032" s="52" t="s">
        <v>4314</v>
      </c>
      <c r="K1032" s="52" t="s">
        <v>4314</v>
      </c>
    </row>
    <row r="1033" spans="9:11" x14ac:dyDescent="0.35">
      <c r="I1033" s="75" t="s">
        <v>4313</v>
      </c>
      <c r="J1033" s="52" t="s">
        <v>4314</v>
      </c>
      <c r="K1033" s="52" t="s">
        <v>4314</v>
      </c>
    </row>
    <row r="1034" spans="9:11" x14ac:dyDescent="0.35">
      <c r="I1034" s="75" t="s">
        <v>4313</v>
      </c>
      <c r="J1034" s="52" t="s">
        <v>4314</v>
      </c>
      <c r="K1034" s="52" t="s">
        <v>4314</v>
      </c>
    </row>
    <row r="1035" spans="9:11" x14ac:dyDescent="0.35">
      <c r="I1035" s="75" t="s">
        <v>4313</v>
      </c>
      <c r="J1035" s="52" t="s">
        <v>4314</v>
      </c>
      <c r="K1035" s="52" t="s">
        <v>4314</v>
      </c>
    </row>
    <row r="1036" spans="9:11" x14ac:dyDescent="0.35">
      <c r="I1036" s="75" t="s">
        <v>4313</v>
      </c>
      <c r="J1036" s="52" t="s">
        <v>4314</v>
      </c>
      <c r="K1036" s="52" t="s">
        <v>4314</v>
      </c>
    </row>
    <row r="1037" spans="9:11" x14ac:dyDescent="0.35">
      <c r="I1037" s="75" t="s">
        <v>4313</v>
      </c>
      <c r="J1037" s="52" t="s">
        <v>4314</v>
      </c>
      <c r="K1037" s="52" t="s">
        <v>4314</v>
      </c>
    </row>
    <row r="1038" spans="9:11" x14ac:dyDescent="0.35">
      <c r="I1038" s="75" t="s">
        <v>4313</v>
      </c>
      <c r="J1038" s="52" t="s">
        <v>4314</v>
      </c>
      <c r="K1038" s="52" t="s">
        <v>4314</v>
      </c>
    </row>
    <row r="1039" spans="9:11" x14ac:dyDescent="0.35">
      <c r="I1039" s="75" t="s">
        <v>4313</v>
      </c>
      <c r="J1039" s="52" t="s">
        <v>4314</v>
      </c>
      <c r="K1039" s="52" t="s">
        <v>4314</v>
      </c>
    </row>
    <row r="1040" spans="9:11" x14ac:dyDescent="0.35">
      <c r="I1040" s="75" t="s">
        <v>4313</v>
      </c>
      <c r="J1040" s="52" t="s">
        <v>4314</v>
      </c>
      <c r="K1040" s="52" t="s">
        <v>4314</v>
      </c>
    </row>
    <row r="1041" spans="9:11" x14ac:dyDescent="0.35">
      <c r="I1041" s="75" t="s">
        <v>4313</v>
      </c>
      <c r="J1041" s="52" t="s">
        <v>4314</v>
      </c>
      <c r="K1041" s="52" t="s">
        <v>4314</v>
      </c>
    </row>
    <row r="1042" spans="9:11" x14ac:dyDescent="0.35">
      <c r="I1042" s="75" t="s">
        <v>4313</v>
      </c>
      <c r="J1042" s="52" t="s">
        <v>4314</v>
      </c>
      <c r="K1042" s="52" t="s">
        <v>4314</v>
      </c>
    </row>
    <row r="1043" spans="9:11" x14ac:dyDescent="0.35">
      <c r="I1043" s="75" t="s">
        <v>4313</v>
      </c>
      <c r="J1043" s="52" t="s">
        <v>4314</v>
      </c>
      <c r="K1043" s="52" t="s">
        <v>4314</v>
      </c>
    </row>
    <row r="1044" spans="9:11" x14ac:dyDescent="0.35">
      <c r="I1044" s="75" t="s">
        <v>4313</v>
      </c>
      <c r="J1044" s="52" t="s">
        <v>4314</v>
      </c>
      <c r="K1044" s="52" t="s">
        <v>4314</v>
      </c>
    </row>
    <row r="1045" spans="9:11" x14ac:dyDescent="0.35">
      <c r="I1045" s="75" t="s">
        <v>4313</v>
      </c>
      <c r="J1045" s="52" t="s">
        <v>4314</v>
      </c>
      <c r="K1045" s="52" t="s">
        <v>4314</v>
      </c>
    </row>
    <row r="1046" spans="9:11" x14ac:dyDescent="0.35">
      <c r="I1046" s="75" t="s">
        <v>4313</v>
      </c>
      <c r="J1046" s="52" t="s">
        <v>4314</v>
      </c>
      <c r="K1046" s="52" t="s">
        <v>4314</v>
      </c>
    </row>
    <row r="1047" spans="9:11" x14ac:dyDescent="0.35">
      <c r="I1047" s="75" t="s">
        <v>4313</v>
      </c>
      <c r="J1047" s="52" t="s">
        <v>4314</v>
      </c>
      <c r="K1047" s="52" t="s">
        <v>4314</v>
      </c>
    </row>
    <row r="1048" spans="9:11" x14ac:dyDescent="0.35">
      <c r="I1048" s="75" t="s">
        <v>4313</v>
      </c>
      <c r="J1048" s="52" t="s">
        <v>4314</v>
      </c>
      <c r="K1048" s="52" t="s">
        <v>4314</v>
      </c>
    </row>
    <row r="1049" spans="9:11" x14ac:dyDescent="0.35">
      <c r="I1049" s="75" t="s">
        <v>4313</v>
      </c>
      <c r="J1049" s="52" t="s">
        <v>4314</v>
      </c>
      <c r="K1049" s="52" t="s">
        <v>4314</v>
      </c>
    </row>
    <row r="1050" spans="9:11" x14ac:dyDescent="0.35">
      <c r="I1050" s="75" t="s">
        <v>4313</v>
      </c>
      <c r="J1050" s="52" t="s">
        <v>4314</v>
      </c>
      <c r="K1050" s="52" t="s">
        <v>4314</v>
      </c>
    </row>
    <row r="1051" spans="9:11" x14ac:dyDescent="0.35">
      <c r="I1051" s="75" t="s">
        <v>4313</v>
      </c>
      <c r="J1051" s="52" t="s">
        <v>4314</v>
      </c>
      <c r="K1051" s="52" t="s">
        <v>4314</v>
      </c>
    </row>
  </sheetData>
  <conditionalFormatting sqref="BE1:BE112 BE243:BE300">
    <cfRule type="duplicateValues" dxfId="695" priority="194"/>
  </conditionalFormatting>
  <conditionalFormatting sqref="V1:V112 V243:V300">
    <cfRule type="duplicateValues" dxfId="694" priority="193"/>
  </conditionalFormatting>
  <conditionalFormatting sqref="U1:U112 U243:U300">
    <cfRule type="duplicateValues" dxfId="693" priority="192"/>
  </conditionalFormatting>
  <conditionalFormatting sqref="L1:L112 L243:L300">
    <cfRule type="duplicateValues" dxfId="692" priority="191"/>
  </conditionalFormatting>
  <conditionalFormatting sqref="D1:D112 D243:D300">
    <cfRule type="duplicateValues" dxfId="691" priority="178"/>
  </conditionalFormatting>
  <conditionalFormatting sqref="B1:B112 B243:B300">
    <cfRule type="duplicateValues" dxfId="690" priority="172"/>
  </conditionalFormatting>
  <conditionalFormatting sqref="BE95">
    <cfRule type="duplicateValues" dxfId="689" priority="150"/>
  </conditionalFormatting>
  <conditionalFormatting sqref="V95">
    <cfRule type="duplicateValues" dxfId="688" priority="149"/>
  </conditionalFormatting>
  <conditionalFormatting sqref="U95">
    <cfRule type="duplicateValues" dxfId="687" priority="148"/>
  </conditionalFormatting>
  <conditionalFormatting sqref="L95">
    <cfRule type="duplicateValues" dxfId="686" priority="147"/>
  </conditionalFormatting>
  <conditionalFormatting sqref="D95">
    <cfRule type="duplicateValues" dxfId="685" priority="146"/>
  </conditionalFormatting>
  <conditionalFormatting sqref="B95">
    <cfRule type="duplicateValues" dxfId="684" priority="145"/>
  </conditionalFormatting>
  <conditionalFormatting sqref="BE102:BE106">
    <cfRule type="duplicateValues" dxfId="683" priority="144"/>
  </conditionalFormatting>
  <conditionalFormatting sqref="V102:V106">
    <cfRule type="duplicateValues" dxfId="682" priority="143"/>
  </conditionalFormatting>
  <conditionalFormatting sqref="U102:U106">
    <cfRule type="duplicateValues" dxfId="681" priority="142"/>
  </conditionalFormatting>
  <conditionalFormatting sqref="L102:L106">
    <cfRule type="duplicateValues" dxfId="680" priority="141"/>
  </conditionalFormatting>
  <conditionalFormatting sqref="D102:D106">
    <cfRule type="duplicateValues" dxfId="679" priority="140"/>
  </conditionalFormatting>
  <conditionalFormatting sqref="B102:B106">
    <cfRule type="duplicateValues" dxfId="678" priority="139"/>
  </conditionalFormatting>
  <conditionalFormatting sqref="BE107:BE112">
    <cfRule type="duplicateValues" dxfId="677" priority="138"/>
  </conditionalFormatting>
  <conditionalFormatting sqref="V107:V112">
    <cfRule type="duplicateValues" dxfId="676" priority="137"/>
  </conditionalFormatting>
  <conditionalFormatting sqref="U107:U112">
    <cfRule type="duplicateValues" dxfId="675" priority="136"/>
  </conditionalFormatting>
  <conditionalFormatting sqref="L107:L112">
    <cfRule type="duplicateValues" dxfId="674" priority="135"/>
  </conditionalFormatting>
  <conditionalFormatting sqref="D107:D112">
    <cfRule type="duplicateValues" dxfId="673" priority="134"/>
  </conditionalFormatting>
  <conditionalFormatting sqref="B107:B112">
    <cfRule type="duplicateValues" dxfId="672" priority="133"/>
  </conditionalFormatting>
  <conditionalFormatting sqref="BE113:BE114">
    <cfRule type="duplicateValues" dxfId="671" priority="132"/>
  </conditionalFormatting>
  <conditionalFormatting sqref="V113:V114">
    <cfRule type="duplicateValues" dxfId="670" priority="131"/>
  </conditionalFormatting>
  <conditionalFormatting sqref="U113:U114">
    <cfRule type="duplicateValues" dxfId="669" priority="130"/>
  </conditionalFormatting>
  <conditionalFormatting sqref="L113:L114">
    <cfRule type="duplicateValues" dxfId="668" priority="129"/>
  </conditionalFormatting>
  <conditionalFormatting sqref="D113:D114">
    <cfRule type="duplicateValues" dxfId="667" priority="128"/>
  </conditionalFormatting>
  <conditionalFormatting sqref="B113:B114">
    <cfRule type="duplicateValues" dxfId="666" priority="127"/>
  </conditionalFormatting>
  <conditionalFormatting sqref="BE113:BE114">
    <cfRule type="duplicateValues" dxfId="665" priority="126"/>
  </conditionalFormatting>
  <conditionalFormatting sqref="V113:V114">
    <cfRule type="duplicateValues" dxfId="664" priority="125"/>
  </conditionalFormatting>
  <conditionalFormatting sqref="U113:U114">
    <cfRule type="duplicateValues" dxfId="663" priority="124"/>
  </conditionalFormatting>
  <conditionalFormatting sqref="L113:L114">
    <cfRule type="duplicateValues" dxfId="662" priority="123"/>
  </conditionalFormatting>
  <conditionalFormatting sqref="D113:D114">
    <cfRule type="duplicateValues" dxfId="661" priority="122"/>
  </conditionalFormatting>
  <conditionalFormatting sqref="B113:B114">
    <cfRule type="duplicateValues" dxfId="660" priority="121"/>
  </conditionalFormatting>
  <conditionalFormatting sqref="BE115:BE128">
    <cfRule type="duplicateValues" dxfId="659" priority="108"/>
  </conditionalFormatting>
  <conditionalFormatting sqref="V115:V128">
    <cfRule type="duplicateValues" dxfId="658" priority="107"/>
  </conditionalFormatting>
  <conditionalFormatting sqref="U115:U128">
    <cfRule type="duplicateValues" dxfId="657" priority="106"/>
  </conditionalFormatting>
  <conditionalFormatting sqref="L115:L128">
    <cfRule type="duplicateValues" dxfId="656" priority="105"/>
  </conditionalFormatting>
  <conditionalFormatting sqref="D115:D128">
    <cfRule type="duplicateValues" dxfId="655" priority="104"/>
  </conditionalFormatting>
  <conditionalFormatting sqref="B115:B128">
    <cfRule type="duplicateValues" dxfId="654" priority="103"/>
  </conditionalFormatting>
  <conditionalFormatting sqref="BE115:BE128">
    <cfRule type="duplicateValues" dxfId="653" priority="102"/>
  </conditionalFormatting>
  <conditionalFormatting sqref="V115:V128">
    <cfRule type="duplicateValues" dxfId="652" priority="101"/>
  </conditionalFormatting>
  <conditionalFormatting sqref="U115:U128">
    <cfRule type="duplicateValues" dxfId="651" priority="100"/>
  </conditionalFormatting>
  <conditionalFormatting sqref="L115:L128">
    <cfRule type="duplicateValues" dxfId="650" priority="99"/>
  </conditionalFormatting>
  <conditionalFormatting sqref="D115:D128">
    <cfRule type="duplicateValues" dxfId="649" priority="98"/>
  </conditionalFormatting>
  <conditionalFormatting sqref="B115:B128">
    <cfRule type="duplicateValues" dxfId="648" priority="97"/>
  </conditionalFormatting>
  <conditionalFormatting sqref="BE129:BE168">
    <cfRule type="duplicateValues" dxfId="647" priority="60"/>
  </conditionalFormatting>
  <conditionalFormatting sqref="V129:V168">
    <cfRule type="duplicateValues" dxfId="646" priority="59"/>
  </conditionalFormatting>
  <conditionalFormatting sqref="U129:U168">
    <cfRule type="duplicateValues" dxfId="645" priority="58"/>
  </conditionalFormatting>
  <conditionalFormatting sqref="L129:L168">
    <cfRule type="duplicateValues" dxfId="644" priority="57"/>
  </conditionalFormatting>
  <conditionalFormatting sqref="D129:D168">
    <cfRule type="duplicateValues" dxfId="643" priority="56"/>
  </conditionalFormatting>
  <conditionalFormatting sqref="B129:B168">
    <cfRule type="duplicateValues" dxfId="642" priority="55"/>
  </conditionalFormatting>
  <conditionalFormatting sqref="BE129:BE168">
    <cfRule type="duplicateValues" dxfId="641" priority="54"/>
  </conditionalFormatting>
  <conditionalFormatting sqref="V129:V168">
    <cfRule type="duplicateValues" dxfId="640" priority="53"/>
  </conditionalFormatting>
  <conditionalFormatting sqref="U129:U168">
    <cfRule type="duplicateValues" dxfId="639" priority="52"/>
  </conditionalFormatting>
  <conditionalFormatting sqref="L129:L168">
    <cfRule type="duplicateValues" dxfId="638" priority="51"/>
  </conditionalFormatting>
  <conditionalFormatting sqref="D129:D168">
    <cfRule type="duplicateValues" dxfId="637" priority="50"/>
  </conditionalFormatting>
  <conditionalFormatting sqref="B129:B168">
    <cfRule type="duplicateValues" dxfId="636" priority="49"/>
  </conditionalFormatting>
  <conditionalFormatting sqref="BE169:BE204">
    <cfRule type="duplicateValues" dxfId="635" priority="36"/>
  </conditionalFormatting>
  <conditionalFormatting sqref="V169:V204">
    <cfRule type="duplicateValues" dxfId="634" priority="35"/>
  </conditionalFormatting>
  <conditionalFormatting sqref="U169:U204">
    <cfRule type="duplicateValues" dxfId="633" priority="34"/>
  </conditionalFormatting>
  <conditionalFormatting sqref="L169:L204">
    <cfRule type="duplicateValues" dxfId="632" priority="33"/>
  </conditionalFormatting>
  <conditionalFormatting sqref="D169:D204">
    <cfRule type="duplicateValues" dxfId="631" priority="32"/>
  </conditionalFormatting>
  <conditionalFormatting sqref="B169:B204">
    <cfRule type="duplicateValues" dxfId="630" priority="31"/>
  </conditionalFormatting>
  <conditionalFormatting sqref="BE169:BE204">
    <cfRule type="duplicateValues" dxfId="629" priority="30"/>
  </conditionalFormatting>
  <conditionalFormatting sqref="V169:V204">
    <cfRule type="duplicateValues" dxfId="628" priority="29"/>
  </conditionalFormatting>
  <conditionalFormatting sqref="U169:U204">
    <cfRule type="duplicateValues" dxfId="627" priority="28"/>
  </conditionalFormatting>
  <conditionalFormatting sqref="L169:L204">
    <cfRule type="duplicateValues" dxfId="626" priority="27"/>
  </conditionalFormatting>
  <conditionalFormatting sqref="D169:D204">
    <cfRule type="duplicateValues" dxfId="625" priority="26"/>
  </conditionalFormatting>
  <conditionalFormatting sqref="B169:B204">
    <cfRule type="duplicateValues" dxfId="624" priority="25"/>
  </conditionalFormatting>
  <conditionalFormatting sqref="BE205:BE227">
    <cfRule type="duplicateValues" dxfId="623" priority="24"/>
  </conditionalFormatting>
  <conditionalFormatting sqref="V205:V227">
    <cfRule type="duplicateValues" dxfId="622" priority="23"/>
  </conditionalFormatting>
  <conditionalFormatting sqref="U205:U227">
    <cfRule type="duplicateValues" dxfId="621" priority="22"/>
  </conditionalFormatting>
  <conditionalFormatting sqref="L205:L227">
    <cfRule type="duplicateValues" dxfId="620" priority="21"/>
  </conditionalFormatting>
  <conditionalFormatting sqref="D205:D227">
    <cfRule type="duplicateValues" dxfId="619" priority="20"/>
  </conditionalFormatting>
  <conditionalFormatting sqref="B205:B227">
    <cfRule type="duplicateValues" dxfId="618" priority="19"/>
  </conditionalFormatting>
  <conditionalFormatting sqref="BE205:BE227">
    <cfRule type="duplicateValues" dxfId="617" priority="18"/>
  </conditionalFormatting>
  <conditionalFormatting sqref="V205:V227">
    <cfRule type="duplicateValues" dxfId="616" priority="17"/>
  </conditionalFormatting>
  <conditionalFormatting sqref="U205:U227">
    <cfRule type="duplicateValues" dxfId="615" priority="16"/>
  </conditionalFormatting>
  <conditionalFormatting sqref="L205:L227">
    <cfRule type="duplicateValues" dxfId="614" priority="15"/>
  </conditionalFormatting>
  <conditionalFormatting sqref="D205:D227">
    <cfRule type="duplicateValues" dxfId="613" priority="14"/>
  </conditionalFormatting>
  <conditionalFormatting sqref="B205:B227">
    <cfRule type="duplicateValues" dxfId="612" priority="13"/>
  </conditionalFormatting>
  <conditionalFormatting sqref="BE228:BE242">
    <cfRule type="duplicateValues" dxfId="611" priority="12"/>
  </conditionalFormatting>
  <conditionalFormatting sqref="V228:V452">
    <cfRule type="duplicateValues" dxfId="610" priority="11"/>
  </conditionalFormatting>
  <conditionalFormatting sqref="U228:U452">
    <cfRule type="duplicateValues" dxfId="609" priority="10"/>
  </conditionalFormatting>
  <conditionalFormatting sqref="L228:L452">
    <cfRule type="duplicateValues" dxfId="608" priority="9"/>
  </conditionalFormatting>
  <conditionalFormatting sqref="D228:D452">
    <cfRule type="duplicateValues" dxfId="607" priority="8"/>
  </conditionalFormatting>
  <conditionalFormatting sqref="B228:B452">
    <cfRule type="duplicateValues" dxfId="606" priority="7"/>
  </conditionalFormatting>
  <conditionalFormatting sqref="BE228:BE242">
    <cfRule type="duplicateValues" dxfId="605" priority="6"/>
  </conditionalFormatting>
  <conditionalFormatting sqref="V228:V452">
    <cfRule type="duplicateValues" dxfId="604" priority="5"/>
  </conditionalFormatting>
  <conditionalFormatting sqref="U228:U452">
    <cfRule type="duplicateValues" dxfId="603" priority="4"/>
  </conditionalFormatting>
  <conditionalFormatting sqref="L228:L452">
    <cfRule type="duplicateValues" dxfId="602" priority="3"/>
  </conditionalFormatting>
  <conditionalFormatting sqref="D228:D452">
    <cfRule type="duplicateValues" dxfId="601" priority="2"/>
  </conditionalFormatting>
  <conditionalFormatting sqref="B228:B452">
    <cfRule type="duplicateValues" dxfId="600" priority="1"/>
  </conditionalFormatting>
  <hyperlinks>
    <hyperlink ref="I2" r:id="rId1" xr:uid="{F09CAA0D-6135-4A4D-8A75-0B7F5BCC6B66}"/>
    <hyperlink ref="I3:I1051" r:id="rId2" display="email@email.com.br" xr:uid="{ADB9D82C-A269-42D2-9AA2-7EA545EEEB83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BD1B-159E-4FC2-B0A2-CDD5C59D519B}">
  <sheetPr codeName="Planilha2"/>
  <dimension ref="A1:G510"/>
  <sheetViews>
    <sheetView zoomScale="130" zoomScaleNormal="130" workbookViewId="0">
      <pane ySplit="1" topLeftCell="A123" activePane="bottomLeft" state="frozen"/>
      <selection pane="bottomLeft" activeCell="C129" sqref="C129"/>
    </sheetView>
  </sheetViews>
  <sheetFormatPr defaultColWidth="8.81640625" defaultRowHeight="14.5" x14ac:dyDescent="0.35"/>
  <cols>
    <col min="1" max="1" width="46" style="55" customWidth="1"/>
    <col min="2" max="2" width="12.54296875" style="56" bestFit="1" customWidth="1"/>
    <col min="3" max="3" width="15.1796875" style="56" bestFit="1" customWidth="1"/>
    <col min="4" max="4" width="59" style="56" customWidth="1"/>
    <col min="5" max="5" width="6" style="56" bestFit="1" customWidth="1"/>
    <col min="6" max="6" width="8.81640625" style="54"/>
    <col min="7" max="7" width="8.81640625" style="53"/>
    <col min="8" max="16384" width="8.81640625" style="54"/>
  </cols>
  <sheetData>
    <row r="1" spans="1:5" ht="15.5" x14ac:dyDescent="0.35">
      <c r="A1" s="33" t="str">
        <f>'Dados - Beneficiarias'!A1</f>
        <v>Nome</v>
      </c>
      <c r="B1" s="33" t="str">
        <f>'Dados - Beneficiarias'!B1</f>
        <v>UC</v>
      </c>
      <c r="C1" s="33" t="str">
        <f>'Dados - Beneficiarias'!C1</f>
        <v>CPF</v>
      </c>
      <c r="D1" s="33" t="str">
        <f>'Dados - Beneficiarias'!D1</f>
        <v>END</v>
      </c>
      <c r="E1" s="33" t="str">
        <f>'Dados - Beneficiarias'!E1</f>
        <v>PERC</v>
      </c>
    </row>
    <row r="2" spans="1:5" ht="15.5" x14ac:dyDescent="0.35">
      <c r="A2" s="33" t="str">
        <f>'Dados - Beneficiarias'!A2</f>
        <v>Teste 1</v>
      </c>
      <c r="B2" s="33" t="str">
        <f>'Dados - Beneficiarias'!B2</f>
        <v>234567</v>
      </c>
      <c r="C2" s="33">
        <f>'Dados - Beneficiarias'!C2</f>
        <v>12345678900</v>
      </c>
      <c r="D2" s="33" t="str">
        <f>'Dados - Beneficiarias'!D2</f>
        <v>Rua Teste 2</v>
      </c>
      <c r="E2" s="33">
        <f>'Dados - Beneficiarias'!E2</f>
        <v>50</v>
      </c>
    </row>
    <row r="3" spans="1:5" ht="15.5" x14ac:dyDescent="0.35">
      <c r="A3" s="33" t="str">
        <f>'Dados - Beneficiarias'!A3</f>
        <v>Teste 1</v>
      </c>
      <c r="B3" s="33" t="str">
        <f>'Dados - Beneficiarias'!B3</f>
        <v>10/12345-7</v>
      </c>
      <c r="C3" s="33">
        <f>'Dados - Beneficiarias'!C3</f>
        <v>12345678900</v>
      </c>
      <c r="D3" s="33" t="str">
        <f>'Dados - Beneficiarias'!D3</f>
        <v>Rua Teste 2</v>
      </c>
      <c r="E3" s="33">
        <f>'Dados - Beneficiarias'!E3</f>
        <v>50</v>
      </c>
    </row>
    <row r="4" spans="1:5" ht="15.5" x14ac:dyDescent="0.35">
      <c r="A4" s="33">
        <f>'Dados - Beneficiarias'!A4</f>
        <v>0</v>
      </c>
      <c r="B4" s="33">
        <f>'Dados - Beneficiarias'!B4</f>
        <v>0</v>
      </c>
      <c r="C4" s="33" t="e">
        <f>'Dados - Beneficiarias'!C4</f>
        <v>#N/A</v>
      </c>
      <c r="D4" s="33">
        <f>'Dados - Beneficiarias'!D4</f>
        <v>0</v>
      </c>
      <c r="E4" s="33">
        <f>'Dados - Beneficiarias'!E4</f>
        <v>0</v>
      </c>
    </row>
    <row r="5" spans="1:5" ht="15.5" x14ac:dyDescent="0.35">
      <c r="A5" s="33">
        <f>'Dados - Beneficiarias'!A5</f>
        <v>0</v>
      </c>
      <c r="B5" s="33">
        <f>'Dados - Beneficiarias'!B5</f>
        <v>0</v>
      </c>
      <c r="C5" s="33" t="e">
        <f>'Dados - Beneficiarias'!C5</f>
        <v>#N/A</v>
      </c>
      <c r="D5" s="33">
        <f>'Dados - Beneficiarias'!D5</f>
        <v>0</v>
      </c>
      <c r="E5" s="33">
        <f>'Dados - Beneficiarias'!E5</f>
        <v>0</v>
      </c>
    </row>
    <row r="6" spans="1:5" ht="15.5" x14ac:dyDescent="0.35">
      <c r="A6" s="33">
        <f>'Dados - Beneficiarias'!A6</f>
        <v>0</v>
      </c>
      <c r="B6" s="33">
        <f>'Dados - Beneficiarias'!B6</f>
        <v>0</v>
      </c>
      <c r="C6" s="33" t="e">
        <f>'Dados - Beneficiarias'!C6</f>
        <v>#N/A</v>
      </c>
      <c r="D6" s="33">
        <f>'Dados - Beneficiarias'!D6</f>
        <v>0</v>
      </c>
      <c r="E6" s="33">
        <f>'Dados - Beneficiarias'!E6</f>
        <v>0</v>
      </c>
    </row>
    <row r="7" spans="1:5" ht="15.5" x14ac:dyDescent="0.35">
      <c r="A7" s="33">
        <f>'Dados - Beneficiarias'!A7</f>
        <v>0</v>
      </c>
      <c r="B7" s="33">
        <f>'Dados - Beneficiarias'!B7</f>
        <v>0</v>
      </c>
      <c r="C7" s="33" t="e">
        <f>'Dados - Beneficiarias'!C7</f>
        <v>#N/A</v>
      </c>
      <c r="D7" s="33">
        <f>'Dados - Beneficiarias'!D7</f>
        <v>0</v>
      </c>
      <c r="E7" s="33">
        <f>'Dados - Beneficiarias'!E7</f>
        <v>0</v>
      </c>
    </row>
    <row r="8" spans="1:5" ht="15.5" x14ac:dyDescent="0.35">
      <c r="A8" s="33">
        <f>'Dados - Beneficiarias'!A8</f>
        <v>0</v>
      </c>
      <c r="B8" s="33">
        <f>'Dados - Beneficiarias'!B8</f>
        <v>0</v>
      </c>
      <c r="C8" s="33" t="e">
        <f>'Dados - Beneficiarias'!C8</f>
        <v>#N/A</v>
      </c>
      <c r="D8" s="33">
        <f>'Dados - Beneficiarias'!D8</f>
        <v>0</v>
      </c>
      <c r="E8" s="33">
        <f>'Dados - Beneficiarias'!E8</f>
        <v>0</v>
      </c>
    </row>
    <row r="9" spans="1:5" ht="15.5" x14ac:dyDescent="0.35">
      <c r="A9" s="33">
        <f>'Dados - Beneficiarias'!A9</f>
        <v>0</v>
      </c>
      <c r="B9" s="33">
        <f>'Dados - Beneficiarias'!B9</f>
        <v>0</v>
      </c>
      <c r="C9" s="33" t="e">
        <f>'Dados - Beneficiarias'!C9</f>
        <v>#N/A</v>
      </c>
      <c r="D9" s="33">
        <f>'Dados - Beneficiarias'!D9</f>
        <v>0</v>
      </c>
      <c r="E9" s="33">
        <f>'Dados - Beneficiarias'!E9</f>
        <v>0</v>
      </c>
    </row>
    <row r="10" spans="1:5" ht="15.5" x14ac:dyDescent="0.35">
      <c r="A10" s="33">
        <f>'Dados - Beneficiarias'!A10</f>
        <v>0</v>
      </c>
      <c r="B10" s="33">
        <f>'Dados - Beneficiarias'!B10</f>
        <v>0</v>
      </c>
      <c r="C10" s="33" t="e">
        <f>'Dados - Beneficiarias'!C10</f>
        <v>#N/A</v>
      </c>
      <c r="D10" s="33">
        <f>'Dados - Beneficiarias'!D10</f>
        <v>0</v>
      </c>
      <c r="E10" s="33">
        <f>'Dados - Beneficiarias'!E10</f>
        <v>0</v>
      </c>
    </row>
    <row r="11" spans="1:5" ht="15.5" x14ac:dyDescent="0.35">
      <c r="A11" s="33">
        <f>'Dados - Beneficiarias'!A11</f>
        <v>0</v>
      </c>
      <c r="B11" s="33">
        <f>'Dados - Beneficiarias'!B11</f>
        <v>0</v>
      </c>
      <c r="C11" s="33" t="e">
        <f>'Dados - Beneficiarias'!C11</f>
        <v>#N/A</v>
      </c>
      <c r="D11" s="33">
        <f>'Dados - Beneficiarias'!D11</f>
        <v>0</v>
      </c>
      <c r="E11" s="33">
        <f>'Dados - Beneficiarias'!E11</f>
        <v>0</v>
      </c>
    </row>
    <row r="12" spans="1:5" ht="15.5" x14ac:dyDescent="0.35">
      <c r="A12" s="33">
        <f>'Dados - Beneficiarias'!A12</f>
        <v>0</v>
      </c>
      <c r="B12" s="33">
        <f>'Dados - Beneficiarias'!B12</f>
        <v>0</v>
      </c>
      <c r="C12" s="33" t="e">
        <f>'Dados - Beneficiarias'!C12</f>
        <v>#N/A</v>
      </c>
      <c r="D12" s="33">
        <f>'Dados - Beneficiarias'!D12</f>
        <v>0</v>
      </c>
      <c r="E12" s="33">
        <f>'Dados - Beneficiarias'!E12</f>
        <v>0</v>
      </c>
    </row>
    <row r="13" spans="1:5" ht="15.5" x14ac:dyDescent="0.35">
      <c r="A13" s="33">
        <f>'Dados - Beneficiarias'!A13</f>
        <v>0</v>
      </c>
      <c r="B13" s="33">
        <f>'Dados - Beneficiarias'!B13</f>
        <v>0</v>
      </c>
      <c r="C13" s="33" t="e">
        <f>'Dados - Beneficiarias'!C13</f>
        <v>#N/A</v>
      </c>
      <c r="D13" s="33">
        <f>'Dados - Beneficiarias'!D13</f>
        <v>0</v>
      </c>
      <c r="E13" s="33">
        <f>'Dados - Beneficiarias'!E13</f>
        <v>0</v>
      </c>
    </row>
    <row r="14" spans="1:5" ht="15.5" x14ac:dyDescent="0.35">
      <c r="A14" s="33">
        <f>'Dados - Beneficiarias'!A14</f>
        <v>0</v>
      </c>
      <c r="B14" s="33">
        <f>'Dados - Beneficiarias'!B14</f>
        <v>0</v>
      </c>
      <c r="C14" s="33" t="e">
        <f>'Dados - Beneficiarias'!C14</f>
        <v>#N/A</v>
      </c>
      <c r="D14" s="33">
        <f>'Dados - Beneficiarias'!D14</f>
        <v>0</v>
      </c>
      <c r="E14" s="33">
        <f>'Dados - Beneficiarias'!E14</f>
        <v>0</v>
      </c>
    </row>
    <row r="15" spans="1:5" ht="15.5" x14ac:dyDescent="0.35">
      <c r="A15" s="33">
        <f>'Dados - Beneficiarias'!A15</f>
        <v>0</v>
      </c>
      <c r="B15" s="33">
        <f>'Dados - Beneficiarias'!B15</f>
        <v>0</v>
      </c>
      <c r="C15" s="33" t="e">
        <f>'Dados - Beneficiarias'!C15</f>
        <v>#N/A</v>
      </c>
      <c r="D15" s="33">
        <f>'Dados - Beneficiarias'!D15</f>
        <v>0</v>
      </c>
      <c r="E15" s="33">
        <f>'Dados - Beneficiarias'!E15</f>
        <v>0</v>
      </c>
    </row>
    <row r="16" spans="1:5" ht="15.5" x14ac:dyDescent="0.35">
      <c r="A16" s="33">
        <f>'Dados - Beneficiarias'!A16</f>
        <v>0</v>
      </c>
      <c r="B16" s="33">
        <f>'Dados - Beneficiarias'!B16</f>
        <v>0</v>
      </c>
      <c r="C16" s="33" t="e">
        <f>'Dados - Beneficiarias'!C16</f>
        <v>#N/A</v>
      </c>
      <c r="D16" s="33">
        <f>'Dados - Beneficiarias'!D16</f>
        <v>0</v>
      </c>
      <c r="E16" s="33">
        <f>'Dados - Beneficiarias'!E16</f>
        <v>0</v>
      </c>
    </row>
    <row r="17" spans="1:6" ht="15.5" x14ac:dyDescent="0.35">
      <c r="A17" s="33">
        <f>'Dados - Beneficiarias'!A17</f>
        <v>0</v>
      </c>
      <c r="B17" s="33">
        <f>'Dados - Beneficiarias'!B17</f>
        <v>0</v>
      </c>
      <c r="C17" s="33" t="e">
        <f>'Dados - Beneficiarias'!C17</f>
        <v>#N/A</v>
      </c>
      <c r="D17" s="33">
        <f>'Dados - Beneficiarias'!D17</f>
        <v>0</v>
      </c>
      <c r="E17" s="33">
        <f>'Dados - Beneficiarias'!E17</f>
        <v>0</v>
      </c>
    </row>
    <row r="18" spans="1:6" ht="15.5" x14ac:dyDescent="0.35">
      <c r="A18" s="33">
        <f>'Dados - Beneficiarias'!A18</f>
        <v>0</v>
      </c>
      <c r="B18" s="33">
        <f>'Dados - Beneficiarias'!B18</f>
        <v>0</v>
      </c>
      <c r="C18" s="33" t="e">
        <f>'Dados - Beneficiarias'!C18</f>
        <v>#N/A</v>
      </c>
      <c r="D18" s="33">
        <f>'Dados - Beneficiarias'!D18</f>
        <v>0</v>
      </c>
      <c r="E18" s="33">
        <f>'Dados - Beneficiarias'!E18</f>
        <v>0</v>
      </c>
    </row>
    <row r="19" spans="1:6" ht="15.5" x14ac:dyDescent="0.35">
      <c r="A19" s="33">
        <f>'Dados - Beneficiarias'!A19</f>
        <v>0</v>
      </c>
      <c r="B19" s="33">
        <f>'Dados - Beneficiarias'!B19</f>
        <v>0</v>
      </c>
      <c r="C19" s="33" t="e">
        <f>'Dados - Beneficiarias'!C19</f>
        <v>#N/A</v>
      </c>
      <c r="D19" s="33">
        <f>'Dados - Beneficiarias'!D19</f>
        <v>0</v>
      </c>
      <c r="E19" s="33">
        <f>'Dados - Beneficiarias'!E19</f>
        <v>0</v>
      </c>
    </row>
    <row r="20" spans="1:6" ht="15.5" x14ac:dyDescent="0.35">
      <c r="A20" s="33">
        <f>'Dados - Beneficiarias'!A20</f>
        <v>0</v>
      </c>
      <c r="B20" s="33">
        <f>'Dados - Beneficiarias'!B20</f>
        <v>0</v>
      </c>
      <c r="C20" s="33" t="e">
        <f>'Dados - Beneficiarias'!C20</f>
        <v>#N/A</v>
      </c>
      <c r="D20" s="33">
        <f>'Dados - Beneficiarias'!D20</f>
        <v>0</v>
      </c>
      <c r="E20" s="33">
        <f>'Dados - Beneficiarias'!E20</f>
        <v>0</v>
      </c>
    </row>
    <row r="21" spans="1:6" ht="15.5" x14ac:dyDescent="0.35">
      <c r="A21" s="33">
        <f>'Dados - Beneficiarias'!A21</f>
        <v>0</v>
      </c>
      <c r="B21" s="33">
        <f>'Dados - Beneficiarias'!B21</f>
        <v>0</v>
      </c>
      <c r="C21" s="33" t="e">
        <f>'Dados - Beneficiarias'!C21</f>
        <v>#N/A</v>
      </c>
      <c r="D21" s="33">
        <f>'Dados - Beneficiarias'!D21</f>
        <v>0</v>
      </c>
      <c r="E21" s="33">
        <f>'Dados - Beneficiarias'!E21</f>
        <v>0</v>
      </c>
    </row>
    <row r="22" spans="1:6" ht="15.5" x14ac:dyDescent="0.35">
      <c r="A22" s="33">
        <f>'Dados - Beneficiarias'!A22</f>
        <v>0</v>
      </c>
      <c r="B22" s="33">
        <f>'Dados - Beneficiarias'!B22</f>
        <v>0</v>
      </c>
      <c r="C22" s="33" t="e">
        <f>'Dados - Beneficiarias'!C22</f>
        <v>#N/A</v>
      </c>
      <c r="D22" s="33">
        <f>'Dados - Beneficiarias'!D22</f>
        <v>0</v>
      </c>
      <c r="E22" s="33">
        <f>'Dados - Beneficiarias'!E22</f>
        <v>0</v>
      </c>
      <c r="F22" s="56"/>
    </row>
    <row r="23" spans="1:6" ht="15.5" x14ac:dyDescent="0.35">
      <c r="A23" s="33">
        <f>'Dados - Beneficiarias'!A23</f>
        <v>0</v>
      </c>
      <c r="B23" s="33">
        <f>'Dados - Beneficiarias'!B23</f>
        <v>0</v>
      </c>
      <c r="C23" s="33" t="e">
        <f>'Dados - Beneficiarias'!C23</f>
        <v>#N/A</v>
      </c>
      <c r="D23" s="33">
        <f>'Dados - Beneficiarias'!D23</f>
        <v>0</v>
      </c>
      <c r="E23" s="33">
        <f>'Dados - Beneficiarias'!E23</f>
        <v>0</v>
      </c>
    </row>
    <row r="24" spans="1:6" ht="15.5" x14ac:dyDescent="0.35">
      <c r="A24" s="33">
        <f>'Dados - Beneficiarias'!A24</f>
        <v>0</v>
      </c>
      <c r="B24" s="33">
        <f>'Dados - Beneficiarias'!B24</f>
        <v>0</v>
      </c>
      <c r="C24" s="33" t="e">
        <f>'Dados - Beneficiarias'!C24</f>
        <v>#N/A</v>
      </c>
      <c r="D24" s="33">
        <f>'Dados - Beneficiarias'!D24</f>
        <v>0</v>
      </c>
      <c r="E24" s="33">
        <f>'Dados - Beneficiarias'!E24</f>
        <v>0</v>
      </c>
    </row>
    <row r="25" spans="1:6" ht="15.5" x14ac:dyDescent="0.35">
      <c r="A25" s="33">
        <f>'Dados - Beneficiarias'!A25</f>
        <v>0</v>
      </c>
      <c r="B25" s="33">
        <f>'Dados - Beneficiarias'!B25</f>
        <v>0</v>
      </c>
      <c r="C25" s="33" t="e">
        <f>'Dados - Beneficiarias'!C25</f>
        <v>#N/A</v>
      </c>
      <c r="D25" s="33">
        <f>'Dados - Beneficiarias'!D25</f>
        <v>0</v>
      </c>
      <c r="E25" s="33">
        <f>'Dados - Beneficiarias'!E25</f>
        <v>0</v>
      </c>
    </row>
    <row r="26" spans="1:6" ht="15.5" x14ac:dyDescent="0.35">
      <c r="A26" s="33">
        <f>'Dados - Beneficiarias'!A26</f>
        <v>0</v>
      </c>
      <c r="B26" s="33">
        <f>'Dados - Beneficiarias'!B26</f>
        <v>0</v>
      </c>
      <c r="C26" s="33" t="e">
        <f>'Dados - Beneficiarias'!C26</f>
        <v>#N/A</v>
      </c>
      <c r="D26" s="33">
        <f>'Dados - Beneficiarias'!D26</f>
        <v>0</v>
      </c>
      <c r="E26" s="33">
        <f>'Dados - Beneficiarias'!E26</f>
        <v>0</v>
      </c>
    </row>
    <row r="27" spans="1:6" ht="15.5" x14ac:dyDescent="0.35">
      <c r="A27" s="33">
        <f>'Dados - Beneficiarias'!A27</f>
        <v>0</v>
      </c>
      <c r="B27" s="33">
        <f>'Dados - Beneficiarias'!B27</f>
        <v>0</v>
      </c>
      <c r="C27" s="33" t="e">
        <f>'Dados - Beneficiarias'!C27</f>
        <v>#N/A</v>
      </c>
      <c r="D27" s="33">
        <f>'Dados - Beneficiarias'!D27</f>
        <v>0</v>
      </c>
      <c r="E27" s="33">
        <f>'Dados - Beneficiarias'!E27</f>
        <v>0</v>
      </c>
    </row>
    <row r="28" spans="1:6" ht="15.5" x14ac:dyDescent="0.35">
      <c r="A28" s="33">
        <f>'Dados - Beneficiarias'!A28</f>
        <v>0</v>
      </c>
      <c r="B28" s="33">
        <f>'Dados - Beneficiarias'!B28</f>
        <v>0</v>
      </c>
      <c r="C28" s="33" t="e">
        <f>'Dados - Beneficiarias'!C28</f>
        <v>#N/A</v>
      </c>
      <c r="D28" s="33">
        <f>'Dados - Beneficiarias'!D28</f>
        <v>0</v>
      </c>
      <c r="E28" s="33">
        <f>'Dados - Beneficiarias'!E28</f>
        <v>0</v>
      </c>
    </row>
    <row r="29" spans="1:6" ht="15.5" x14ac:dyDescent="0.35">
      <c r="A29" s="33">
        <f>'Dados - Beneficiarias'!A29</f>
        <v>0</v>
      </c>
      <c r="B29" s="33">
        <f>'Dados - Beneficiarias'!B29</f>
        <v>0</v>
      </c>
      <c r="C29" s="33" t="e">
        <f>'Dados - Beneficiarias'!C29</f>
        <v>#N/A</v>
      </c>
      <c r="D29" s="33">
        <f>'Dados - Beneficiarias'!D29</f>
        <v>0</v>
      </c>
      <c r="E29" s="33">
        <f>'Dados - Beneficiarias'!E29</f>
        <v>0</v>
      </c>
    </row>
    <row r="30" spans="1:6" ht="15.5" x14ac:dyDescent="0.35">
      <c r="A30" s="33">
        <f>'Dados - Beneficiarias'!A30</f>
        <v>0</v>
      </c>
      <c r="B30" s="33">
        <f>'Dados - Beneficiarias'!B30</f>
        <v>0</v>
      </c>
      <c r="C30" s="33" t="e">
        <f>'Dados - Beneficiarias'!C30</f>
        <v>#N/A</v>
      </c>
      <c r="D30" s="33">
        <f>'Dados - Beneficiarias'!D30</f>
        <v>0</v>
      </c>
      <c r="E30" s="33">
        <f>'Dados - Beneficiarias'!E30</f>
        <v>0</v>
      </c>
    </row>
    <row r="31" spans="1:6" ht="15.5" x14ac:dyDescent="0.35">
      <c r="A31" s="33">
        <f>'Dados - Beneficiarias'!A31</f>
        <v>0</v>
      </c>
      <c r="B31" s="33">
        <f>'Dados - Beneficiarias'!B31</f>
        <v>0</v>
      </c>
      <c r="C31" s="33" t="e">
        <f>'Dados - Beneficiarias'!C31</f>
        <v>#N/A</v>
      </c>
      <c r="D31" s="33">
        <f>'Dados - Beneficiarias'!D31</f>
        <v>0</v>
      </c>
      <c r="E31" s="33">
        <f>'Dados - Beneficiarias'!E31</f>
        <v>0</v>
      </c>
    </row>
    <row r="32" spans="1:6" ht="15.5" x14ac:dyDescent="0.35">
      <c r="A32" s="33">
        <f>'Dados - Beneficiarias'!A32</f>
        <v>0</v>
      </c>
      <c r="B32" s="33">
        <f>'Dados - Beneficiarias'!B32</f>
        <v>0</v>
      </c>
      <c r="C32" s="33" t="e">
        <f>'Dados - Beneficiarias'!C32</f>
        <v>#N/A</v>
      </c>
      <c r="D32" s="33">
        <f>'Dados - Beneficiarias'!D32</f>
        <v>0</v>
      </c>
      <c r="E32" s="33">
        <f>'Dados - Beneficiarias'!E32</f>
        <v>0</v>
      </c>
    </row>
    <row r="33" spans="1:5" ht="15.5" x14ac:dyDescent="0.35">
      <c r="A33" s="33">
        <f>'Dados - Beneficiarias'!A33</f>
        <v>0</v>
      </c>
      <c r="B33" s="33">
        <f>'Dados - Beneficiarias'!B33</f>
        <v>0</v>
      </c>
      <c r="C33" s="33" t="e">
        <f>'Dados - Beneficiarias'!C33</f>
        <v>#N/A</v>
      </c>
      <c r="D33" s="33">
        <f>'Dados - Beneficiarias'!D33</f>
        <v>0</v>
      </c>
      <c r="E33" s="33">
        <f>'Dados - Beneficiarias'!E33</f>
        <v>0</v>
      </c>
    </row>
    <row r="34" spans="1:5" ht="15.5" x14ac:dyDescent="0.35">
      <c r="A34" s="33">
        <f>'Dados - Beneficiarias'!A34</f>
        <v>0</v>
      </c>
      <c r="B34" s="33">
        <f>'Dados - Beneficiarias'!B34</f>
        <v>0</v>
      </c>
      <c r="C34" s="33" t="e">
        <f>'Dados - Beneficiarias'!C34</f>
        <v>#N/A</v>
      </c>
      <c r="D34" s="33">
        <f>'Dados - Beneficiarias'!D34</f>
        <v>0</v>
      </c>
      <c r="E34" s="33">
        <f>'Dados - Beneficiarias'!E34</f>
        <v>0</v>
      </c>
    </row>
    <row r="35" spans="1:5" ht="15.5" x14ac:dyDescent="0.35">
      <c r="A35" s="33">
        <f>'Dados - Beneficiarias'!A35</f>
        <v>0</v>
      </c>
      <c r="B35" s="33">
        <f>'Dados - Beneficiarias'!B35</f>
        <v>0</v>
      </c>
      <c r="C35" s="33" t="e">
        <f>'Dados - Beneficiarias'!C35</f>
        <v>#N/A</v>
      </c>
      <c r="D35" s="33">
        <f>'Dados - Beneficiarias'!D35</f>
        <v>0</v>
      </c>
      <c r="E35" s="33">
        <f>'Dados - Beneficiarias'!E35</f>
        <v>0</v>
      </c>
    </row>
    <row r="36" spans="1:5" ht="15.5" x14ac:dyDescent="0.35">
      <c r="A36" s="33">
        <f>'Dados - Beneficiarias'!A36</f>
        <v>0</v>
      </c>
      <c r="B36" s="33">
        <f>'Dados - Beneficiarias'!B36</f>
        <v>0</v>
      </c>
      <c r="C36" s="33" t="e">
        <f>'Dados - Beneficiarias'!C36</f>
        <v>#N/A</v>
      </c>
      <c r="D36" s="33">
        <f>'Dados - Beneficiarias'!D36</f>
        <v>0</v>
      </c>
      <c r="E36" s="33">
        <f>'Dados - Beneficiarias'!E36</f>
        <v>0</v>
      </c>
    </row>
    <row r="37" spans="1:5" ht="15.5" x14ac:dyDescent="0.35">
      <c r="A37" s="33">
        <f>'Dados - Beneficiarias'!A37</f>
        <v>0</v>
      </c>
      <c r="B37" s="33">
        <f>'Dados - Beneficiarias'!B37</f>
        <v>0</v>
      </c>
      <c r="C37" s="33" t="e">
        <f>'Dados - Beneficiarias'!C37</f>
        <v>#N/A</v>
      </c>
      <c r="D37" s="33">
        <f>'Dados - Beneficiarias'!D37</f>
        <v>0</v>
      </c>
      <c r="E37" s="33">
        <f>'Dados - Beneficiarias'!E37</f>
        <v>0</v>
      </c>
    </row>
    <row r="38" spans="1:5" ht="15.5" x14ac:dyDescent="0.35">
      <c r="A38" s="33">
        <f>'Dados - Beneficiarias'!A38</f>
        <v>0</v>
      </c>
      <c r="B38" s="33">
        <f>'Dados - Beneficiarias'!B38</f>
        <v>0</v>
      </c>
      <c r="C38" s="33" t="e">
        <f>'Dados - Beneficiarias'!C38</f>
        <v>#N/A</v>
      </c>
      <c r="D38" s="33">
        <f>'Dados - Beneficiarias'!D38</f>
        <v>0</v>
      </c>
      <c r="E38" s="33">
        <f>'Dados - Beneficiarias'!E38</f>
        <v>0</v>
      </c>
    </row>
    <row r="39" spans="1:5" ht="15.5" x14ac:dyDescent="0.35">
      <c r="A39" s="33">
        <f>'Dados - Beneficiarias'!A39</f>
        <v>0</v>
      </c>
      <c r="B39" s="33">
        <f>'Dados - Beneficiarias'!B39</f>
        <v>0</v>
      </c>
      <c r="C39" s="33" t="e">
        <f>'Dados - Beneficiarias'!C39</f>
        <v>#N/A</v>
      </c>
      <c r="D39" s="33">
        <f>'Dados - Beneficiarias'!D39</f>
        <v>0</v>
      </c>
      <c r="E39" s="33">
        <f>'Dados - Beneficiarias'!E39</f>
        <v>0</v>
      </c>
    </row>
    <row r="40" spans="1:5" ht="15.5" x14ac:dyDescent="0.35">
      <c r="A40" s="33">
        <f>'Dados - Beneficiarias'!A40</f>
        <v>0</v>
      </c>
      <c r="B40" s="33">
        <f>'Dados - Beneficiarias'!B40</f>
        <v>0</v>
      </c>
      <c r="C40" s="33" t="e">
        <f>'Dados - Beneficiarias'!C40</f>
        <v>#N/A</v>
      </c>
      <c r="D40" s="33">
        <f>'Dados - Beneficiarias'!D40</f>
        <v>0</v>
      </c>
      <c r="E40" s="33">
        <f>'Dados - Beneficiarias'!E40</f>
        <v>0</v>
      </c>
    </row>
    <row r="41" spans="1:5" ht="15.5" x14ac:dyDescent="0.35">
      <c r="A41" s="33">
        <f>'Dados - Beneficiarias'!A41</f>
        <v>0</v>
      </c>
      <c r="B41" s="33">
        <f>'Dados - Beneficiarias'!B41</f>
        <v>0</v>
      </c>
      <c r="C41" s="33" t="e">
        <f>'Dados - Beneficiarias'!C41</f>
        <v>#N/A</v>
      </c>
      <c r="D41" s="33">
        <f>'Dados - Beneficiarias'!D41</f>
        <v>0</v>
      </c>
      <c r="E41" s="33">
        <f>'Dados - Beneficiarias'!E41</f>
        <v>0</v>
      </c>
    </row>
    <row r="42" spans="1:5" ht="15.5" x14ac:dyDescent="0.35">
      <c r="A42" s="33">
        <f>'Dados - Beneficiarias'!A42</f>
        <v>0</v>
      </c>
      <c r="B42" s="33">
        <f>'Dados - Beneficiarias'!B42</f>
        <v>0</v>
      </c>
      <c r="C42" s="33" t="e">
        <f>'Dados - Beneficiarias'!C42</f>
        <v>#N/A</v>
      </c>
      <c r="D42" s="33">
        <f>'Dados - Beneficiarias'!D42</f>
        <v>0</v>
      </c>
      <c r="E42" s="33">
        <f>'Dados - Beneficiarias'!E42</f>
        <v>0</v>
      </c>
    </row>
    <row r="43" spans="1:5" ht="15.5" x14ac:dyDescent="0.35">
      <c r="A43" s="33">
        <f>'Dados - Beneficiarias'!A43</f>
        <v>0</v>
      </c>
      <c r="B43" s="33">
        <f>'Dados - Beneficiarias'!B43</f>
        <v>0</v>
      </c>
      <c r="C43" s="33" t="e">
        <f>'Dados - Beneficiarias'!C43</f>
        <v>#N/A</v>
      </c>
      <c r="D43" s="33">
        <f>'Dados - Beneficiarias'!D43</f>
        <v>0</v>
      </c>
      <c r="E43" s="33">
        <f>'Dados - Beneficiarias'!E43</f>
        <v>0</v>
      </c>
    </row>
    <row r="44" spans="1:5" ht="15.5" x14ac:dyDescent="0.35">
      <c r="A44" s="33">
        <f>'Dados - Beneficiarias'!A44</f>
        <v>0</v>
      </c>
      <c r="B44" s="33">
        <f>'Dados - Beneficiarias'!B44</f>
        <v>0</v>
      </c>
      <c r="C44" s="33" t="e">
        <f>'Dados - Beneficiarias'!C44</f>
        <v>#N/A</v>
      </c>
      <c r="D44" s="33">
        <f>'Dados - Beneficiarias'!D44</f>
        <v>0</v>
      </c>
      <c r="E44" s="33">
        <f>'Dados - Beneficiarias'!E44</f>
        <v>0</v>
      </c>
    </row>
    <row r="45" spans="1:5" ht="15.5" x14ac:dyDescent="0.35">
      <c r="A45" s="33">
        <f>'Dados - Beneficiarias'!A45</f>
        <v>0</v>
      </c>
      <c r="B45" s="33">
        <f>'Dados - Beneficiarias'!B45</f>
        <v>0</v>
      </c>
      <c r="C45" s="33" t="e">
        <f>'Dados - Beneficiarias'!C45</f>
        <v>#N/A</v>
      </c>
      <c r="D45" s="33">
        <f>'Dados - Beneficiarias'!D45</f>
        <v>0</v>
      </c>
      <c r="E45" s="33">
        <f>'Dados - Beneficiarias'!E45</f>
        <v>0</v>
      </c>
    </row>
    <row r="46" spans="1:5" ht="15.5" x14ac:dyDescent="0.35">
      <c r="A46" s="33">
        <f>'Dados - Beneficiarias'!A46</f>
        <v>0</v>
      </c>
      <c r="B46" s="33">
        <f>'Dados - Beneficiarias'!B46</f>
        <v>0</v>
      </c>
      <c r="C46" s="33" t="e">
        <f>'Dados - Beneficiarias'!C46</f>
        <v>#N/A</v>
      </c>
      <c r="D46" s="33">
        <f>'Dados - Beneficiarias'!D46</f>
        <v>0</v>
      </c>
      <c r="E46" s="33">
        <f>'Dados - Beneficiarias'!E46</f>
        <v>0</v>
      </c>
    </row>
    <row r="47" spans="1:5" ht="15.5" x14ac:dyDescent="0.35">
      <c r="A47" s="33">
        <f>'Dados - Beneficiarias'!A47</f>
        <v>0</v>
      </c>
      <c r="B47" s="33">
        <f>'Dados - Beneficiarias'!B47</f>
        <v>0</v>
      </c>
      <c r="C47" s="33" t="e">
        <f>'Dados - Beneficiarias'!C47</f>
        <v>#N/A</v>
      </c>
      <c r="D47" s="33">
        <f>'Dados - Beneficiarias'!D47</f>
        <v>0</v>
      </c>
      <c r="E47" s="33">
        <f>'Dados - Beneficiarias'!E47</f>
        <v>0</v>
      </c>
    </row>
    <row r="48" spans="1:5" ht="15.5" x14ac:dyDescent="0.35">
      <c r="A48" s="33">
        <f>'Dados - Beneficiarias'!A48</f>
        <v>0</v>
      </c>
      <c r="B48" s="33">
        <f>'Dados - Beneficiarias'!B48</f>
        <v>0</v>
      </c>
      <c r="C48" s="33" t="e">
        <f>'Dados - Beneficiarias'!C48</f>
        <v>#N/A</v>
      </c>
      <c r="D48" s="33">
        <f>'Dados - Beneficiarias'!D48</f>
        <v>0</v>
      </c>
      <c r="E48" s="33">
        <f>'Dados - Beneficiarias'!E48</f>
        <v>0</v>
      </c>
    </row>
    <row r="49" spans="1:5" ht="15.5" x14ac:dyDescent="0.35">
      <c r="A49" s="33">
        <f>'Dados - Beneficiarias'!A49</f>
        <v>0</v>
      </c>
      <c r="B49" s="33">
        <f>'Dados - Beneficiarias'!B49</f>
        <v>0</v>
      </c>
      <c r="C49" s="33" t="e">
        <f>'Dados - Beneficiarias'!C49</f>
        <v>#N/A</v>
      </c>
      <c r="D49" s="33">
        <f>'Dados - Beneficiarias'!D49</f>
        <v>0</v>
      </c>
      <c r="E49" s="33">
        <f>'Dados - Beneficiarias'!E49</f>
        <v>0</v>
      </c>
    </row>
    <row r="50" spans="1:5" ht="15.5" x14ac:dyDescent="0.35">
      <c r="A50" s="33">
        <f>'Dados - Beneficiarias'!A50</f>
        <v>0</v>
      </c>
      <c r="B50" s="33">
        <f>'Dados - Beneficiarias'!B50</f>
        <v>0</v>
      </c>
      <c r="C50" s="33" t="e">
        <f>'Dados - Beneficiarias'!C50</f>
        <v>#N/A</v>
      </c>
      <c r="D50" s="33">
        <f>'Dados - Beneficiarias'!D50</f>
        <v>0</v>
      </c>
      <c r="E50" s="33">
        <f>'Dados - Beneficiarias'!E50</f>
        <v>0</v>
      </c>
    </row>
    <row r="51" spans="1:5" ht="15.5" x14ac:dyDescent="0.35">
      <c r="A51" s="33">
        <f>'Dados - Beneficiarias'!A51</f>
        <v>0</v>
      </c>
      <c r="B51" s="33">
        <f>'Dados - Beneficiarias'!B51</f>
        <v>0</v>
      </c>
      <c r="C51" s="33" t="e">
        <f>'Dados - Beneficiarias'!C51</f>
        <v>#N/A</v>
      </c>
      <c r="D51" s="33">
        <f>'Dados - Beneficiarias'!D51</f>
        <v>0</v>
      </c>
      <c r="E51" s="33">
        <f>'Dados - Beneficiarias'!E51</f>
        <v>0</v>
      </c>
    </row>
    <row r="52" spans="1:5" ht="15.5" x14ac:dyDescent="0.35">
      <c r="A52" s="33">
        <f>'Dados - Beneficiarias'!A52</f>
        <v>0</v>
      </c>
      <c r="B52" s="33">
        <f>'Dados - Beneficiarias'!B52</f>
        <v>0</v>
      </c>
      <c r="C52" s="33" t="e">
        <f>'Dados - Beneficiarias'!C52</f>
        <v>#N/A</v>
      </c>
      <c r="D52" s="33">
        <f>'Dados - Beneficiarias'!D52</f>
        <v>0</v>
      </c>
      <c r="E52" s="33">
        <f>'Dados - Beneficiarias'!E52</f>
        <v>0</v>
      </c>
    </row>
    <row r="53" spans="1:5" ht="15.5" x14ac:dyDescent="0.35">
      <c r="A53" s="33">
        <f>'Dados - Beneficiarias'!A53</f>
        <v>0</v>
      </c>
      <c r="B53" s="33">
        <f>'Dados - Beneficiarias'!B53</f>
        <v>0</v>
      </c>
      <c r="C53" s="33" t="e">
        <f>'Dados - Beneficiarias'!C53</f>
        <v>#N/A</v>
      </c>
      <c r="D53" s="33">
        <f>'Dados - Beneficiarias'!D53</f>
        <v>0</v>
      </c>
      <c r="E53" s="33">
        <f>'Dados - Beneficiarias'!E53</f>
        <v>0</v>
      </c>
    </row>
    <row r="54" spans="1:5" ht="15.5" x14ac:dyDescent="0.35">
      <c r="A54" s="33">
        <f>'Dados - Beneficiarias'!A54</f>
        <v>0</v>
      </c>
      <c r="B54" s="33">
        <f>'Dados - Beneficiarias'!B54</f>
        <v>0</v>
      </c>
      <c r="C54" s="33" t="e">
        <f>'Dados - Beneficiarias'!C54</f>
        <v>#N/A</v>
      </c>
      <c r="D54" s="33">
        <f>'Dados - Beneficiarias'!D54</f>
        <v>0</v>
      </c>
      <c r="E54" s="33">
        <f>'Dados - Beneficiarias'!E54</f>
        <v>0</v>
      </c>
    </row>
    <row r="55" spans="1:5" ht="15.5" x14ac:dyDescent="0.35">
      <c r="A55" s="33">
        <f>'Dados - Beneficiarias'!A55</f>
        <v>0</v>
      </c>
      <c r="B55" s="33">
        <f>'Dados - Beneficiarias'!B55</f>
        <v>0</v>
      </c>
      <c r="C55" s="33" t="e">
        <f>'Dados - Beneficiarias'!C55</f>
        <v>#N/A</v>
      </c>
      <c r="D55" s="33">
        <f>'Dados - Beneficiarias'!D55</f>
        <v>0</v>
      </c>
      <c r="E55" s="33">
        <f>'Dados - Beneficiarias'!E55</f>
        <v>0</v>
      </c>
    </row>
    <row r="56" spans="1:5" ht="15.5" x14ac:dyDescent="0.35">
      <c r="A56" s="33">
        <f>'Dados - Beneficiarias'!A56</f>
        <v>0</v>
      </c>
      <c r="B56" s="33">
        <f>'Dados - Beneficiarias'!B56</f>
        <v>0</v>
      </c>
      <c r="C56" s="33" t="e">
        <f>'Dados - Beneficiarias'!C56</f>
        <v>#N/A</v>
      </c>
      <c r="D56" s="33">
        <f>'Dados - Beneficiarias'!D56</f>
        <v>0</v>
      </c>
      <c r="E56" s="33">
        <f>'Dados - Beneficiarias'!E56</f>
        <v>0</v>
      </c>
    </row>
    <row r="57" spans="1:5" ht="15.5" x14ac:dyDescent="0.35">
      <c r="A57" s="33">
        <f>'Dados - Beneficiarias'!A57</f>
        <v>0</v>
      </c>
      <c r="B57" s="33">
        <f>'Dados - Beneficiarias'!B57</f>
        <v>0</v>
      </c>
      <c r="C57" s="33" t="e">
        <f>'Dados - Beneficiarias'!C57</f>
        <v>#N/A</v>
      </c>
      <c r="D57" s="33">
        <f>'Dados - Beneficiarias'!D57</f>
        <v>0</v>
      </c>
      <c r="E57" s="33">
        <f>'Dados - Beneficiarias'!E57</f>
        <v>0</v>
      </c>
    </row>
    <row r="58" spans="1:5" ht="15.5" x14ac:dyDescent="0.35">
      <c r="A58" s="33">
        <f>'Dados - Beneficiarias'!A58</f>
        <v>0</v>
      </c>
      <c r="B58" s="33">
        <f>'Dados - Beneficiarias'!B58</f>
        <v>0</v>
      </c>
      <c r="C58" s="33" t="e">
        <f>'Dados - Beneficiarias'!C58</f>
        <v>#N/A</v>
      </c>
      <c r="D58" s="33">
        <f>'Dados - Beneficiarias'!D58</f>
        <v>0</v>
      </c>
      <c r="E58" s="33">
        <f>'Dados - Beneficiarias'!E58</f>
        <v>0</v>
      </c>
    </row>
    <row r="59" spans="1:5" ht="15.5" x14ac:dyDescent="0.35">
      <c r="A59" s="33">
        <f>'Dados - Beneficiarias'!A59</f>
        <v>0</v>
      </c>
      <c r="B59" s="33">
        <f>'Dados - Beneficiarias'!B59</f>
        <v>0</v>
      </c>
      <c r="C59" s="33" t="e">
        <f>'Dados - Beneficiarias'!C59</f>
        <v>#N/A</v>
      </c>
      <c r="D59" s="33">
        <f>'Dados - Beneficiarias'!D59</f>
        <v>0</v>
      </c>
      <c r="E59" s="33">
        <f>'Dados - Beneficiarias'!E59</f>
        <v>0</v>
      </c>
    </row>
    <row r="60" spans="1:5" ht="15.5" x14ac:dyDescent="0.35">
      <c r="A60" s="33">
        <f>'Dados - Beneficiarias'!A60</f>
        <v>0</v>
      </c>
      <c r="B60" s="33">
        <f>'Dados - Beneficiarias'!B60</f>
        <v>0</v>
      </c>
      <c r="C60" s="33" t="e">
        <f>'Dados - Beneficiarias'!C60</f>
        <v>#N/A</v>
      </c>
      <c r="D60" s="33">
        <f>'Dados - Beneficiarias'!D60</f>
        <v>0</v>
      </c>
      <c r="E60" s="33">
        <f>'Dados - Beneficiarias'!E60</f>
        <v>0</v>
      </c>
    </row>
    <row r="61" spans="1:5" ht="15.5" x14ac:dyDescent="0.35">
      <c r="A61" s="33">
        <f>'Dados - Beneficiarias'!A61</f>
        <v>0</v>
      </c>
      <c r="B61" s="33">
        <f>'Dados - Beneficiarias'!B61</f>
        <v>0</v>
      </c>
      <c r="C61" s="33" t="e">
        <f>'Dados - Beneficiarias'!C61</f>
        <v>#N/A</v>
      </c>
      <c r="D61" s="33">
        <f>'Dados - Beneficiarias'!D61</f>
        <v>0</v>
      </c>
      <c r="E61" s="33">
        <f>'Dados - Beneficiarias'!E61</f>
        <v>0</v>
      </c>
    </row>
    <row r="62" spans="1:5" ht="15.5" x14ac:dyDescent="0.35">
      <c r="A62" s="33">
        <f>'Dados - Beneficiarias'!A62</f>
        <v>0</v>
      </c>
      <c r="B62" s="33">
        <f>'Dados - Beneficiarias'!B62</f>
        <v>0</v>
      </c>
      <c r="C62" s="33" t="e">
        <f>'Dados - Beneficiarias'!C62</f>
        <v>#N/A</v>
      </c>
      <c r="D62" s="33">
        <f>'Dados - Beneficiarias'!D62</f>
        <v>0</v>
      </c>
      <c r="E62" s="33">
        <f>'Dados - Beneficiarias'!E62</f>
        <v>0</v>
      </c>
    </row>
    <row r="63" spans="1:5" ht="15.5" x14ac:dyDescent="0.35">
      <c r="A63" s="33">
        <f>'Dados - Beneficiarias'!A63</f>
        <v>0</v>
      </c>
      <c r="B63" s="33">
        <f>'Dados - Beneficiarias'!B63</f>
        <v>0</v>
      </c>
      <c r="C63" s="33" t="e">
        <f>'Dados - Beneficiarias'!C63</f>
        <v>#N/A</v>
      </c>
      <c r="D63" s="33">
        <f>'Dados - Beneficiarias'!D63</f>
        <v>0</v>
      </c>
      <c r="E63" s="33">
        <f>'Dados - Beneficiarias'!E63</f>
        <v>0</v>
      </c>
    </row>
    <row r="64" spans="1:5" ht="15.5" x14ac:dyDescent="0.35">
      <c r="A64" s="33">
        <f>'Dados - Beneficiarias'!A64</f>
        <v>0</v>
      </c>
      <c r="B64" s="33">
        <f>'Dados - Beneficiarias'!B64</f>
        <v>0</v>
      </c>
      <c r="C64" s="33" t="e">
        <f>'Dados - Beneficiarias'!C64</f>
        <v>#N/A</v>
      </c>
      <c r="D64" s="33">
        <f>'Dados - Beneficiarias'!D64</f>
        <v>0</v>
      </c>
      <c r="E64" s="33">
        <f>'Dados - Beneficiarias'!E64</f>
        <v>0</v>
      </c>
    </row>
    <row r="65" spans="1:5" ht="15.5" x14ac:dyDescent="0.35">
      <c r="A65" s="33">
        <f>'Dados - Beneficiarias'!A65</f>
        <v>0</v>
      </c>
      <c r="B65" s="33">
        <f>'Dados - Beneficiarias'!B65</f>
        <v>0</v>
      </c>
      <c r="C65" s="33" t="e">
        <f>'Dados - Beneficiarias'!C65</f>
        <v>#N/A</v>
      </c>
      <c r="D65" s="33">
        <f>'Dados - Beneficiarias'!D65</f>
        <v>0</v>
      </c>
      <c r="E65" s="33">
        <f>'Dados - Beneficiarias'!E65</f>
        <v>0</v>
      </c>
    </row>
    <row r="66" spans="1:5" ht="15.5" x14ac:dyDescent="0.35">
      <c r="A66" s="33">
        <f>'Dados - Beneficiarias'!A66</f>
        <v>0</v>
      </c>
      <c r="B66" s="33">
        <f>'Dados - Beneficiarias'!B66</f>
        <v>0</v>
      </c>
      <c r="C66" s="33" t="e">
        <f>'Dados - Beneficiarias'!C66</f>
        <v>#N/A</v>
      </c>
      <c r="D66" s="33">
        <f>'Dados - Beneficiarias'!D66</f>
        <v>0</v>
      </c>
      <c r="E66" s="33">
        <f>'Dados - Beneficiarias'!E66</f>
        <v>0</v>
      </c>
    </row>
    <row r="67" spans="1:5" ht="15.5" x14ac:dyDescent="0.35">
      <c r="A67" s="33">
        <f>'Dados - Beneficiarias'!A67</f>
        <v>0</v>
      </c>
      <c r="B67" s="33">
        <f>'Dados - Beneficiarias'!B67</f>
        <v>0</v>
      </c>
      <c r="C67" s="33" t="e">
        <f>'Dados - Beneficiarias'!C67</f>
        <v>#N/A</v>
      </c>
      <c r="D67" s="33">
        <f>'Dados - Beneficiarias'!D67</f>
        <v>0</v>
      </c>
      <c r="E67" s="33">
        <f>'Dados - Beneficiarias'!E67</f>
        <v>0</v>
      </c>
    </row>
    <row r="68" spans="1:5" ht="15.5" x14ac:dyDescent="0.35">
      <c r="A68" s="33">
        <f>'Dados - Beneficiarias'!A68</f>
        <v>0</v>
      </c>
      <c r="B68" s="33">
        <f>'Dados - Beneficiarias'!B68</f>
        <v>0</v>
      </c>
      <c r="C68" s="33" t="e">
        <f>'Dados - Beneficiarias'!C68</f>
        <v>#N/A</v>
      </c>
      <c r="D68" s="33">
        <f>'Dados - Beneficiarias'!D68</f>
        <v>0</v>
      </c>
      <c r="E68" s="33">
        <f>'Dados - Beneficiarias'!E68</f>
        <v>0</v>
      </c>
    </row>
    <row r="69" spans="1:5" ht="15.5" x14ac:dyDescent="0.35">
      <c r="A69" s="33">
        <f>'Dados - Beneficiarias'!A69</f>
        <v>0</v>
      </c>
      <c r="B69" s="33">
        <f>'Dados - Beneficiarias'!B69</f>
        <v>0</v>
      </c>
      <c r="C69" s="33" t="e">
        <f>'Dados - Beneficiarias'!C69</f>
        <v>#N/A</v>
      </c>
      <c r="D69" s="33">
        <f>'Dados - Beneficiarias'!D69</f>
        <v>0</v>
      </c>
      <c r="E69" s="33">
        <f>'Dados - Beneficiarias'!E69</f>
        <v>0</v>
      </c>
    </row>
    <row r="70" spans="1:5" ht="15.5" x14ac:dyDescent="0.35">
      <c r="A70" s="33">
        <f>'Dados - Beneficiarias'!A70</f>
        <v>0</v>
      </c>
      <c r="B70" s="33">
        <f>'Dados - Beneficiarias'!B70</f>
        <v>0</v>
      </c>
      <c r="C70" s="33" t="e">
        <f>'Dados - Beneficiarias'!C70</f>
        <v>#N/A</v>
      </c>
      <c r="D70" s="33">
        <f>'Dados - Beneficiarias'!D70</f>
        <v>0</v>
      </c>
      <c r="E70" s="33">
        <f>'Dados - Beneficiarias'!E70</f>
        <v>0</v>
      </c>
    </row>
    <row r="71" spans="1:5" ht="15.5" x14ac:dyDescent="0.35">
      <c r="A71" s="33">
        <f>'Dados - Beneficiarias'!A71</f>
        <v>0</v>
      </c>
      <c r="B71" s="33">
        <f>'Dados - Beneficiarias'!B71</f>
        <v>0</v>
      </c>
      <c r="C71" s="33" t="e">
        <f>'Dados - Beneficiarias'!C71</f>
        <v>#N/A</v>
      </c>
      <c r="D71" s="33">
        <f>'Dados - Beneficiarias'!D71</f>
        <v>0</v>
      </c>
      <c r="E71" s="33">
        <f>'Dados - Beneficiarias'!E71</f>
        <v>0</v>
      </c>
    </row>
    <row r="72" spans="1:5" ht="15.5" x14ac:dyDescent="0.35">
      <c r="A72" s="33">
        <f>'Dados - Beneficiarias'!A72</f>
        <v>0</v>
      </c>
      <c r="B72" s="33">
        <f>'Dados - Beneficiarias'!B72</f>
        <v>0</v>
      </c>
      <c r="C72" s="33" t="e">
        <f>'Dados - Beneficiarias'!C72</f>
        <v>#N/A</v>
      </c>
      <c r="D72" s="33">
        <f>'Dados - Beneficiarias'!D72</f>
        <v>0</v>
      </c>
      <c r="E72" s="33">
        <f>'Dados - Beneficiarias'!E72</f>
        <v>0</v>
      </c>
    </row>
    <row r="73" spans="1:5" ht="15.5" x14ac:dyDescent="0.35">
      <c r="A73" s="33">
        <f>'Dados - Beneficiarias'!A73</f>
        <v>0</v>
      </c>
      <c r="B73" s="33">
        <f>'Dados - Beneficiarias'!B73</f>
        <v>0</v>
      </c>
      <c r="C73" s="33" t="e">
        <f>'Dados - Beneficiarias'!C73</f>
        <v>#N/A</v>
      </c>
      <c r="D73" s="33">
        <f>'Dados - Beneficiarias'!D73</f>
        <v>0</v>
      </c>
      <c r="E73" s="33">
        <f>'Dados - Beneficiarias'!E73</f>
        <v>0</v>
      </c>
    </row>
    <row r="74" spans="1:5" ht="15.5" x14ac:dyDescent="0.35">
      <c r="A74" s="33">
        <f>'Dados - Beneficiarias'!A74</f>
        <v>0</v>
      </c>
      <c r="B74" s="33">
        <f>'Dados - Beneficiarias'!B74</f>
        <v>0</v>
      </c>
      <c r="C74" s="33" t="e">
        <f>'Dados - Beneficiarias'!C74</f>
        <v>#N/A</v>
      </c>
      <c r="D74" s="33">
        <f>'Dados - Beneficiarias'!D74</f>
        <v>0</v>
      </c>
      <c r="E74" s="33">
        <f>'Dados - Beneficiarias'!E74</f>
        <v>0</v>
      </c>
    </row>
    <row r="75" spans="1:5" ht="15.5" x14ac:dyDescent="0.35">
      <c r="A75" s="33">
        <f>'Dados - Beneficiarias'!A75</f>
        <v>0</v>
      </c>
      <c r="B75" s="33">
        <f>'Dados - Beneficiarias'!B75</f>
        <v>0</v>
      </c>
      <c r="C75" s="33" t="e">
        <f>'Dados - Beneficiarias'!C75</f>
        <v>#N/A</v>
      </c>
      <c r="D75" s="33">
        <f>'Dados - Beneficiarias'!D75</f>
        <v>0</v>
      </c>
      <c r="E75" s="33">
        <f>'Dados - Beneficiarias'!E75</f>
        <v>0</v>
      </c>
    </row>
    <row r="76" spans="1:5" ht="15.5" x14ac:dyDescent="0.35">
      <c r="A76" s="33">
        <f>'Dados - Beneficiarias'!A76</f>
        <v>0</v>
      </c>
      <c r="B76" s="33">
        <f>'Dados - Beneficiarias'!B76</f>
        <v>0</v>
      </c>
      <c r="C76" s="33" t="e">
        <f>'Dados - Beneficiarias'!C76</f>
        <v>#N/A</v>
      </c>
      <c r="D76" s="33">
        <f>'Dados - Beneficiarias'!D76</f>
        <v>0</v>
      </c>
      <c r="E76" s="33">
        <f>'Dados - Beneficiarias'!E76</f>
        <v>0</v>
      </c>
    </row>
    <row r="77" spans="1:5" ht="15.5" x14ac:dyDescent="0.35">
      <c r="A77" s="33">
        <f>'Dados - Beneficiarias'!A77</f>
        <v>0</v>
      </c>
      <c r="B77" s="33">
        <f>'Dados - Beneficiarias'!B77</f>
        <v>0</v>
      </c>
      <c r="C77" s="33" t="e">
        <f>'Dados - Beneficiarias'!C77</f>
        <v>#N/A</v>
      </c>
      <c r="D77" s="33">
        <f>'Dados - Beneficiarias'!D77</f>
        <v>0</v>
      </c>
      <c r="E77" s="33">
        <f>'Dados - Beneficiarias'!E77</f>
        <v>0</v>
      </c>
    </row>
    <row r="78" spans="1:5" ht="15.5" x14ac:dyDescent="0.35">
      <c r="A78" s="33">
        <f>'Dados - Beneficiarias'!A78</f>
        <v>0</v>
      </c>
      <c r="B78" s="33">
        <f>'Dados - Beneficiarias'!B78</f>
        <v>0</v>
      </c>
      <c r="C78" s="33" t="e">
        <f>'Dados - Beneficiarias'!C78</f>
        <v>#N/A</v>
      </c>
      <c r="D78" s="33">
        <f>'Dados - Beneficiarias'!D78</f>
        <v>0</v>
      </c>
      <c r="E78" s="33">
        <f>'Dados - Beneficiarias'!E78</f>
        <v>0</v>
      </c>
    </row>
    <row r="79" spans="1:5" ht="15.5" x14ac:dyDescent="0.35">
      <c r="A79" s="33">
        <f>'Dados - Beneficiarias'!A79</f>
        <v>0</v>
      </c>
      <c r="B79" s="33">
        <f>'Dados - Beneficiarias'!B79</f>
        <v>0</v>
      </c>
      <c r="C79" s="33" t="e">
        <f>'Dados - Beneficiarias'!C79</f>
        <v>#N/A</v>
      </c>
      <c r="D79" s="33">
        <f>'Dados - Beneficiarias'!D79</f>
        <v>0</v>
      </c>
      <c r="E79" s="33">
        <f>'Dados - Beneficiarias'!E79</f>
        <v>0</v>
      </c>
    </row>
    <row r="80" spans="1:5" ht="15.5" x14ac:dyDescent="0.35">
      <c r="A80" s="33">
        <f>'Dados - Beneficiarias'!A80</f>
        <v>0</v>
      </c>
      <c r="B80" s="33">
        <f>'Dados - Beneficiarias'!B80</f>
        <v>0</v>
      </c>
      <c r="C80" s="33" t="e">
        <f>'Dados - Beneficiarias'!C80</f>
        <v>#N/A</v>
      </c>
      <c r="D80" s="33">
        <f>'Dados - Beneficiarias'!D80</f>
        <v>0</v>
      </c>
      <c r="E80" s="33">
        <f>'Dados - Beneficiarias'!E80</f>
        <v>0</v>
      </c>
    </row>
    <row r="81" spans="1:5" ht="15.5" x14ac:dyDescent="0.35">
      <c r="A81" s="33">
        <f>'Dados - Beneficiarias'!A81</f>
        <v>0</v>
      </c>
      <c r="B81" s="33">
        <f>'Dados - Beneficiarias'!B81</f>
        <v>0</v>
      </c>
      <c r="C81" s="33" t="e">
        <f>'Dados - Beneficiarias'!C81</f>
        <v>#N/A</v>
      </c>
      <c r="D81" s="33">
        <f>'Dados - Beneficiarias'!D81</f>
        <v>0</v>
      </c>
      <c r="E81" s="33">
        <f>'Dados - Beneficiarias'!E81</f>
        <v>0</v>
      </c>
    </row>
    <row r="82" spans="1:5" ht="15.5" x14ac:dyDescent="0.35">
      <c r="A82" s="33">
        <f>'Dados - Beneficiarias'!A82</f>
        <v>0</v>
      </c>
      <c r="B82" s="33">
        <f>'Dados - Beneficiarias'!B82</f>
        <v>0</v>
      </c>
      <c r="C82" s="33" t="e">
        <f>'Dados - Beneficiarias'!C82</f>
        <v>#N/A</v>
      </c>
      <c r="D82" s="33">
        <f>'Dados - Beneficiarias'!D82</f>
        <v>0</v>
      </c>
      <c r="E82" s="33">
        <f>'Dados - Beneficiarias'!E82</f>
        <v>0</v>
      </c>
    </row>
    <row r="83" spans="1:5" ht="15.5" x14ac:dyDescent="0.35">
      <c r="A83" s="33">
        <f>'Dados - Beneficiarias'!A83</f>
        <v>0</v>
      </c>
      <c r="B83" s="33">
        <f>'Dados - Beneficiarias'!B83</f>
        <v>0</v>
      </c>
      <c r="C83" s="33" t="e">
        <f>'Dados - Beneficiarias'!C83</f>
        <v>#N/A</v>
      </c>
      <c r="D83" s="33">
        <f>'Dados - Beneficiarias'!D83</f>
        <v>0</v>
      </c>
      <c r="E83" s="33">
        <f>'Dados - Beneficiarias'!E83</f>
        <v>0</v>
      </c>
    </row>
    <row r="84" spans="1:5" ht="15.5" x14ac:dyDescent="0.35">
      <c r="A84" s="33">
        <f>'Dados - Beneficiarias'!A84</f>
        <v>0</v>
      </c>
      <c r="B84" s="33">
        <f>'Dados - Beneficiarias'!B84</f>
        <v>0</v>
      </c>
      <c r="C84" s="33" t="e">
        <f>'Dados - Beneficiarias'!C84</f>
        <v>#N/A</v>
      </c>
      <c r="D84" s="33">
        <f>'Dados - Beneficiarias'!D84</f>
        <v>0</v>
      </c>
      <c r="E84" s="33">
        <f>'Dados - Beneficiarias'!E84</f>
        <v>0</v>
      </c>
    </row>
    <row r="85" spans="1:5" ht="15.5" x14ac:dyDescent="0.35">
      <c r="A85" s="33">
        <f>'Dados - Beneficiarias'!A85</f>
        <v>0</v>
      </c>
      <c r="B85" s="33">
        <f>'Dados - Beneficiarias'!B85</f>
        <v>0</v>
      </c>
      <c r="C85" s="33" t="e">
        <f>'Dados - Beneficiarias'!C85</f>
        <v>#N/A</v>
      </c>
      <c r="D85" s="33">
        <f>'Dados - Beneficiarias'!D85</f>
        <v>0</v>
      </c>
      <c r="E85" s="33">
        <f>'Dados - Beneficiarias'!E85</f>
        <v>0</v>
      </c>
    </row>
    <row r="86" spans="1:5" ht="15.5" x14ac:dyDescent="0.35">
      <c r="A86" s="33">
        <f>'Dados - Beneficiarias'!A86</f>
        <v>0</v>
      </c>
      <c r="B86" s="33">
        <f>'Dados - Beneficiarias'!B86</f>
        <v>0</v>
      </c>
      <c r="C86" s="33" t="e">
        <f>'Dados - Beneficiarias'!C86</f>
        <v>#N/A</v>
      </c>
      <c r="D86" s="33">
        <f>'Dados - Beneficiarias'!D86</f>
        <v>0</v>
      </c>
      <c r="E86" s="33">
        <f>'Dados - Beneficiarias'!E86</f>
        <v>0</v>
      </c>
    </row>
    <row r="87" spans="1:5" ht="15.5" x14ac:dyDescent="0.35">
      <c r="A87" s="33">
        <f>'Dados - Beneficiarias'!A87</f>
        <v>0</v>
      </c>
      <c r="B87" s="33">
        <f>'Dados - Beneficiarias'!B87</f>
        <v>0</v>
      </c>
      <c r="C87" s="33" t="e">
        <f>'Dados - Beneficiarias'!C87</f>
        <v>#N/A</v>
      </c>
      <c r="D87" s="33">
        <f>'Dados - Beneficiarias'!D87</f>
        <v>0</v>
      </c>
      <c r="E87" s="33">
        <f>'Dados - Beneficiarias'!E87</f>
        <v>0</v>
      </c>
    </row>
    <row r="88" spans="1:5" ht="15.5" x14ac:dyDescent="0.35">
      <c r="A88" s="33">
        <f>'Dados - Beneficiarias'!A88</f>
        <v>0</v>
      </c>
      <c r="B88" s="33">
        <f>'Dados - Beneficiarias'!B88</f>
        <v>0</v>
      </c>
      <c r="C88" s="33" t="e">
        <f>'Dados - Beneficiarias'!C88</f>
        <v>#N/A</v>
      </c>
      <c r="D88" s="33">
        <f>'Dados - Beneficiarias'!D88</f>
        <v>0</v>
      </c>
      <c r="E88" s="33">
        <f>'Dados - Beneficiarias'!E88</f>
        <v>0</v>
      </c>
    </row>
    <row r="89" spans="1:5" ht="15.5" x14ac:dyDescent="0.35">
      <c r="A89" s="33">
        <f>'Dados - Beneficiarias'!A89</f>
        <v>0</v>
      </c>
      <c r="B89" s="33">
        <f>'Dados - Beneficiarias'!B89</f>
        <v>0</v>
      </c>
      <c r="C89" s="33" t="e">
        <f>'Dados - Beneficiarias'!C89</f>
        <v>#N/A</v>
      </c>
      <c r="D89" s="33">
        <f>'Dados - Beneficiarias'!D89</f>
        <v>0</v>
      </c>
      <c r="E89" s="33">
        <f>'Dados - Beneficiarias'!E89</f>
        <v>0</v>
      </c>
    </row>
    <row r="90" spans="1:5" ht="15.5" x14ac:dyDescent="0.35">
      <c r="A90" s="33">
        <f>'Dados - Beneficiarias'!A90</f>
        <v>0</v>
      </c>
      <c r="B90" s="33">
        <f>'Dados - Beneficiarias'!B90</f>
        <v>0</v>
      </c>
      <c r="C90" s="33" t="e">
        <f>'Dados - Beneficiarias'!C90</f>
        <v>#N/A</v>
      </c>
      <c r="D90" s="33">
        <f>'Dados - Beneficiarias'!D90</f>
        <v>0</v>
      </c>
      <c r="E90" s="33">
        <f>'Dados - Beneficiarias'!E90</f>
        <v>0</v>
      </c>
    </row>
    <row r="91" spans="1:5" ht="15.5" x14ac:dyDescent="0.35">
      <c r="A91" s="33">
        <f>'Dados - Beneficiarias'!A91</f>
        <v>0</v>
      </c>
      <c r="B91" s="33">
        <f>'Dados - Beneficiarias'!B91</f>
        <v>0</v>
      </c>
      <c r="C91" s="33" t="e">
        <f>'Dados - Beneficiarias'!C91</f>
        <v>#N/A</v>
      </c>
      <c r="D91" s="33">
        <f>'Dados - Beneficiarias'!D91</f>
        <v>0</v>
      </c>
      <c r="E91" s="33">
        <f>'Dados - Beneficiarias'!E91</f>
        <v>0</v>
      </c>
    </row>
    <row r="92" spans="1:5" ht="15.5" x14ac:dyDescent="0.35">
      <c r="A92" s="33">
        <f>'Dados - Beneficiarias'!A92</f>
        <v>0</v>
      </c>
      <c r="B92" s="33">
        <f>'Dados - Beneficiarias'!B92</f>
        <v>0</v>
      </c>
      <c r="C92" s="33" t="e">
        <f>'Dados - Beneficiarias'!C92</f>
        <v>#N/A</v>
      </c>
      <c r="D92" s="33">
        <f>'Dados - Beneficiarias'!D92</f>
        <v>0</v>
      </c>
      <c r="E92" s="33">
        <f>'Dados - Beneficiarias'!E92</f>
        <v>0</v>
      </c>
    </row>
    <row r="93" spans="1:5" ht="15.5" x14ac:dyDescent="0.35">
      <c r="A93" s="33">
        <f>'Dados - Beneficiarias'!A93</f>
        <v>0</v>
      </c>
      <c r="B93" s="33">
        <f>'Dados - Beneficiarias'!B93</f>
        <v>0</v>
      </c>
      <c r="C93" s="33" t="e">
        <f>'Dados - Beneficiarias'!C93</f>
        <v>#N/A</v>
      </c>
      <c r="D93" s="33">
        <f>'Dados - Beneficiarias'!D93</f>
        <v>0</v>
      </c>
      <c r="E93" s="33">
        <f>'Dados - Beneficiarias'!E93</f>
        <v>0</v>
      </c>
    </row>
    <row r="94" spans="1:5" ht="15.5" x14ac:dyDescent="0.35">
      <c r="A94" s="33">
        <f>'Dados - Beneficiarias'!A94</f>
        <v>0</v>
      </c>
      <c r="B94" s="33">
        <f>'Dados - Beneficiarias'!B94</f>
        <v>0</v>
      </c>
      <c r="C94" s="33" t="e">
        <f>'Dados - Beneficiarias'!C94</f>
        <v>#N/A</v>
      </c>
      <c r="D94" s="33">
        <f>'Dados - Beneficiarias'!D94</f>
        <v>0</v>
      </c>
      <c r="E94" s="33">
        <f>'Dados - Beneficiarias'!E94</f>
        <v>0</v>
      </c>
    </row>
    <row r="95" spans="1:5" ht="15.5" x14ac:dyDescent="0.35">
      <c r="A95" s="33">
        <f>'Dados - Beneficiarias'!A95</f>
        <v>0</v>
      </c>
      <c r="B95" s="33">
        <f>'Dados - Beneficiarias'!B95</f>
        <v>0</v>
      </c>
      <c r="C95" s="33" t="e">
        <f>'Dados - Beneficiarias'!C95</f>
        <v>#N/A</v>
      </c>
      <c r="D95" s="33">
        <f>'Dados - Beneficiarias'!D95</f>
        <v>0</v>
      </c>
      <c r="E95" s="33">
        <f>'Dados - Beneficiarias'!E95</f>
        <v>0</v>
      </c>
    </row>
    <row r="96" spans="1:5" ht="15.5" x14ac:dyDescent="0.35">
      <c r="A96" s="33">
        <f>'Dados - Beneficiarias'!A96</f>
        <v>0</v>
      </c>
      <c r="B96" s="33">
        <f>'Dados - Beneficiarias'!B96</f>
        <v>0</v>
      </c>
      <c r="C96" s="33" t="e">
        <f>'Dados - Beneficiarias'!C96</f>
        <v>#N/A</v>
      </c>
      <c r="D96" s="33">
        <f>'Dados - Beneficiarias'!D96</f>
        <v>0</v>
      </c>
      <c r="E96" s="33">
        <f>'Dados - Beneficiarias'!E96</f>
        <v>0</v>
      </c>
    </row>
    <row r="97" spans="1:5" ht="15.5" x14ac:dyDescent="0.35">
      <c r="A97" s="33">
        <f>'Dados - Beneficiarias'!A97</f>
        <v>0</v>
      </c>
      <c r="B97" s="33">
        <f>'Dados - Beneficiarias'!B97</f>
        <v>0</v>
      </c>
      <c r="C97" s="33" t="e">
        <f>'Dados - Beneficiarias'!C97</f>
        <v>#N/A</v>
      </c>
      <c r="D97" s="33">
        <f>'Dados - Beneficiarias'!D97</f>
        <v>0</v>
      </c>
      <c r="E97" s="33">
        <f>'Dados - Beneficiarias'!E97</f>
        <v>0</v>
      </c>
    </row>
    <row r="98" spans="1:5" ht="15.5" x14ac:dyDescent="0.35">
      <c r="A98" s="33">
        <f>'Dados - Beneficiarias'!A98</f>
        <v>0</v>
      </c>
      <c r="B98" s="33">
        <f>'Dados - Beneficiarias'!B98</f>
        <v>0</v>
      </c>
      <c r="C98" s="33" t="e">
        <f>'Dados - Beneficiarias'!C98</f>
        <v>#N/A</v>
      </c>
      <c r="D98" s="33">
        <f>'Dados - Beneficiarias'!D98</f>
        <v>0</v>
      </c>
      <c r="E98" s="33">
        <f>'Dados - Beneficiarias'!E98</f>
        <v>0</v>
      </c>
    </row>
    <row r="99" spans="1:5" ht="15.5" x14ac:dyDescent="0.35">
      <c r="A99" s="33">
        <f>'Dados - Beneficiarias'!A99</f>
        <v>0</v>
      </c>
      <c r="B99" s="33">
        <f>'Dados - Beneficiarias'!B99</f>
        <v>0</v>
      </c>
      <c r="C99" s="33" t="e">
        <f>'Dados - Beneficiarias'!C99</f>
        <v>#N/A</v>
      </c>
      <c r="D99" s="33">
        <f>'Dados - Beneficiarias'!D99</f>
        <v>0</v>
      </c>
      <c r="E99" s="33">
        <f>'Dados - Beneficiarias'!E99</f>
        <v>0</v>
      </c>
    </row>
    <row r="100" spans="1:5" ht="15.5" x14ac:dyDescent="0.35">
      <c r="A100" s="33">
        <f>'Dados - Beneficiarias'!A100</f>
        <v>0</v>
      </c>
      <c r="B100" s="33">
        <f>'Dados - Beneficiarias'!B100</f>
        <v>0</v>
      </c>
      <c r="C100" s="33" t="e">
        <f>'Dados - Beneficiarias'!C100</f>
        <v>#N/A</v>
      </c>
      <c r="D100" s="33">
        <f>'Dados - Beneficiarias'!D100</f>
        <v>0</v>
      </c>
      <c r="E100" s="33">
        <f>'Dados - Beneficiarias'!E100</f>
        <v>0</v>
      </c>
    </row>
    <row r="101" spans="1:5" ht="15.5" x14ac:dyDescent="0.35">
      <c r="A101" s="33">
        <f>'Dados - Beneficiarias'!A101</f>
        <v>0</v>
      </c>
      <c r="B101" s="33">
        <f>'Dados - Beneficiarias'!B101</f>
        <v>0</v>
      </c>
      <c r="C101" s="33" t="e">
        <f>'Dados - Beneficiarias'!C101</f>
        <v>#N/A</v>
      </c>
      <c r="D101" s="33">
        <f>'Dados - Beneficiarias'!D101</f>
        <v>0</v>
      </c>
      <c r="E101" s="33">
        <f>'Dados - Beneficiarias'!E101</f>
        <v>0</v>
      </c>
    </row>
    <row r="102" spans="1:5" ht="15.5" x14ac:dyDescent="0.35">
      <c r="A102" s="33">
        <f>'Dados - Beneficiarias'!A102</f>
        <v>0</v>
      </c>
      <c r="B102" s="33">
        <f>'Dados - Beneficiarias'!B102</f>
        <v>0</v>
      </c>
      <c r="C102" s="33" t="e">
        <f>'Dados - Beneficiarias'!C102</f>
        <v>#N/A</v>
      </c>
      <c r="D102" s="33">
        <f>'Dados - Beneficiarias'!D102</f>
        <v>0</v>
      </c>
      <c r="E102" s="33">
        <f>'Dados - Beneficiarias'!E102</f>
        <v>0</v>
      </c>
    </row>
    <row r="103" spans="1:5" ht="15.5" x14ac:dyDescent="0.35">
      <c r="A103" s="33">
        <f>'Dados - Beneficiarias'!A103</f>
        <v>0</v>
      </c>
      <c r="B103" s="33">
        <f>'Dados - Beneficiarias'!B103</f>
        <v>0</v>
      </c>
      <c r="C103" s="33" t="e">
        <f>'Dados - Beneficiarias'!C103</f>
        <v>#N/A</v>
      </c>
      <c r="D103" s="33">
        <f>'Dados - Beneficiarias'!D103</f>
        <v>0</v>
      </c>
      <c r="E103" s="33">
        <f>'Dados - Beneficiarias'!E103</f>
        <v>0</v>
      </c>
    </row>
    <row r="104" spans="1:5" ht="15.5" x14ac:dyDescent="0.35">
      <c r="A104" s="33">
        <f>'Dados - Beneficiarias'!A104</f>
        <v>0</v>
      </c>
      <c r="B104" s="33">
        <f>'Dados - Beneficiarias'!B104</f>
        <v>0</v>
      </c>
      <c r="C104" s="33" t="e">
        <f>'Dados - Beneficiarias'!C104</f>
        <v>#N/A</v>
      </c>
      <c r="D104" s="33">
        <f>'Dados - Beneficiarias'!D104</f>
        <v>0</v>
      </c>
      <c r="E104" s="33">
        <f>'Dados - Beneficiarias'!E104</f>
        <v>0</v>
      </c>
    </row>
    <row r="105" spans="1:5" ht="15.5" x14ac:dyDescent="0.35">
      <c r="A105" s="33">
        <f>'Dados - Beneficiarias'!A105</f>
        <v>0</v>
      </c>
      <c r="B105" s="33">
        <f>'Dados - Beneficiarias'!B105</f>
        <v>0</v>
      </c>
      <c r="C105" s="33" t="e">
        <f>'Dados - Beneficiarias'!C105</f>
        <v>#N/A</v>
      </c>
      <c r="D105" s="33">
        <f>'Dados - Beneficiarias'!D105</f>
        <v>0</v>
      </c>
      <c r="E105" s="33">
        <f>'Dados - Beneficiarias'!E105</f>
        <v>0</v>
      </c>
    </row>
    <row r="106" spans="1:5" ht="15.5" x14ac:dyDescent="0.35">
      <c r="A106" s="33">
        <f>'Dados - Beneficiarias'!A106</f>
        <v>0</v>
      </c>
      <c r="B106" s="33">
        <f>'Dados - Beneficiarias'!B106</f>
        <v>0</v>
      </c>
      <c r="C106" s="33" t="e">
        <f>'Dados - Beneficiarias'!C106</f>
        <v>#N/A</v>
      </c>
      <c r="D106" s="33">
        <f>'Dados - Beneficiarias'!D106</f>
        <v>0</v>
      </c>
      <c r="E106" s="33">
        <f>'Dados - Beneficiarias'!E106</f>
        <v>0</v>
      </c>
    </row>
    <row r="107" spans="1:5" ht="15.5" x14ac:dyDescent="0.35">
      <c r="A107" s="33">
        <f>'Dados - Beneficiarias'!A107</f>
        <v>0</v>
      </c>
      <c r="B107" s="33">
        <f>'Dados - Beneficiarias'!B107</f>
        <v>0</v>
      </c>
      <c r="C107" s="33" t="e">
        <f>'Dados - Beneficiarias'!C107</f>
        <v>#N/A</v>
      </c>
      <c r="D107" s="33">
        <f>'Dados - Beneficiarias'!D107</f>
        <v>0</v>
      </c>
      <c r="E107" s="33">
        <f>'Dados - Beneficiarias'!E107</f>
        <v>0</v>
      </c>
    </row>
    <row r="108" spans="1:5" ht="15.5" x14ac:dyDescent="0.35">
      <c r="A108" s="33">
        <f>'Dados - Beneficiarias'!A108</f>
        <v>0</v>
      </c>
      <c r="B108" s="33">
        <f>'Dados - Beneficiarias'!B108</f>
        <v>0</v>
      </c>
      <c r="C108" s="33" t="e">
        <f>'Dados - Beneficiarias'!C108</f>
        <v>#N/A</v>
      </c>
      <c r="D108" s="33">
        <f>'Dados - Beneficiarias'!D108</f>
        <v>0</v>
      </c>
      <c r="E108" s="33">
        <f>'Dados - Beneficiarias'!E108</f>
        <v>0</v>
      </c>
    </row>
    <row r="109" spans="1:5" ht="15.5" x14ac:dyDescent="0.35">
      <c r="A109" s="33">
        <f>'Dados - Beneficiarias'!A109</f>
        <v>0</v>
      </c>
      <c r="B109" s="33">
        <f>'Dados - Beneficiarias'!B109</f>
        <v>0</v>
      </c>
      <c r="C109" s="33" t="e">
        <f>'Dados - Beneficiarias'!C109</f>
        <v>#N/A</v>
      </c>
      <c r="D109" s="33">
        <f>'Dados - Beneficiarias'!D109</f>
        <v>0</v>
      </c>
      <c r="E109" s="33">
        <f>'Dados - Beneficiarias'!E109</f>
        <v>0</v>
      </c>
    </row>
    <row r="110" spans="1:5" ht="15.5" x14ac:dyDescent="0.35">
      <c r="A110" s="33">
        <f>'Dados - Beneficiarias'!A110</f>
        <v>0</v>
      </c>
      <c r="B110" s="33">
        <f>'Dados - Beneficiarias'!B110</f>
        <v>0</v>
      </c>
      <c r="C110" s="33" t="e">
        <f>'Dados - Beneficiarias'!C110</f>
        <v>#N/A</v>
      </c>
      <c r="D110" s="33">
        <f>'Dados - Beneficiarias'!D110</f>
        <v>0</v>
      </c>
      <c r="E110" s="33">
        <f>'Dados - Beneficiarias'!E110</f>
        <v>0</v>
      </c>
    </row>
    <row r="111" spans="1:5" ht="15.5" x14ac:dyDescent="0.35">
      <c r="A111" s="33">
        <f>'Dados - Beneficiarias'!A111</f>
        <v>0</v>
      </c>
      <c r="B111" s="33">
        <f>'Dados - Beneficiarias'!B111</f>
        <v>0</v>
      </c>
      <c r="C111" s="33" t="e">
        <f>'Dados - Beneficiarias'!C111</f>
        <v>#N/A</v>
      </c>
      <c r="D111" s="33">
        <f>'Dados - Beneficiarias'!D111</f>
        <v>0</v>
      </c>
      <c r="E111" s="33">
        <f>'Dados - Beneficiarias'!E111</f>
        <v>0</v>
      </c>
    </row>
    <row r="112" spans="1:5" ht="15.5" x14ac:dyDescent="0.35">
      <c r="A112" s="33">
        <f>'Dados - Beneficiarias'!A112</f>
        <v>0</v>
      </c>
      <c r="B112" s="33">
        <f>'Dados - Beneficiarias'!B112</f>
        <v>0</v>
      </c>
      <c r="C112" s="33" t="e">
        <f>'Dados - Beneficiarias'!C112</f>
        <v>#N/A</v>
      </c>
      <c r="D112" s="33">
        <f>'Dados - Beneficiarias'!D112</f>
        <v>0</v>
      </c>
      <c r="E112" s="33">
        <f>'Dados - Beneficiarias'!E112</f>
        <v>0</v>
      </c>
    </row>
    <row r="113" spans="1:5" ht="15.5" x14ac:dyDescent="0.35">
      <c r="A113" s="33">
        <f>'Dados - Beneficiarias'!A113</f>
        <v>0</v>
      </c>
      <c r="B113" s="33">
        <f>'Dados - Beneficiarias'!B113</f>
        <v>0</v>
      </c>
      <c r="C113" s="33" t="e">
        <f>'Dados - Beneficiarias'!C113</f>
        <v>#N/A</v>
      </c>
      <c r="D113" s="33">
        <f>'Dados - Beneficiarias'!D113</f>
        <v>0</v>
      </c>
      <c r="E113" s="33">
        <f>'Dados - Beneficiarias'!E113</f>
        <v>0</v>
      </c>
    </row>
    <row r="114" spans="1:5" ht="15.5" x14ac:dyDescent="0.35">
      <c r="A114" s="33">
        <f>'Dados - Beneficiarias'!A114</f>
        <v>0</v>
      </c>
      <c r="B114" s="33">
        <f>'Dados - Beneficiarias'!B114</f>
        <v>0</v>
      </c>
      <c r="C114" s="33" t="e">
        <f>'Dados - Beneficiarias'!C114</f>
        <v>#N/A</v>
      </c>
      <c r="D114" s="33">
        <f>'Dados - Beneficiarias'!D114</f>
        <v>0</v>
      </c>
      <c r="E114" s="33">
        <f>'Dados - Beneficiarias'!E114</f>
        <v>0</v>
      </c>
    </row>
    <row r="115" spans="1:5" ht="15.5" x14ac:dyDescent="0.35">
      <c r="A115" s="33">
        <f>'Dados - Beneficiarias'!A115</f>
        <v>0</v>
      </c>
      <c r="B115" s="33">
        <f>'Dados - Beneficiarias'!B115</f>
        <v>0</v>
      </c>
      <c r="C115" s="33" t="e">
        <f>'Dados - Beneficiarias'!C115</f>
        <v>#N/A</v>
      </c>
      <c r="D115" s="33">
        <f>'Dados - Beneficiarias'!D115</f>
        <v>0</v>
      </c>
      <c r="E115" s="33">
        <f>'Dados - Beneficiarias'!E115</f>
        <v>0</v>
      </c>
    </row>
    <row r="116" spans="1:5" ht="15.5" x14ac:dyDescent="0.35">
      <c r="A116" s="33">
        <f>'Dados - Beneficiarias'!A116</f>
        <v>0</v>
      </c>
      <c r="B116" s="33">
        <f>'Dados - Beneficiarias'!B116</f>
        <v>0</v>
      </c>
      <c r="C116" s="33" t="e">
        <f>'Dados - Beneficiarias'!C116</f>
        <v>#N/A</v>
      </c>
      <c r="D116" s="33">
        <f>'Dados - Beneficiarias'!D116</f>
        <v>0</v>
      </c>
      <c r="E116" s="33">
        <f>'Dados - Beneficiarias'!E116</f>
        <v>0</v>
      </c>
    </row>
    <row r="117" spans="1:5" ht="15.5" x14ac:dyDescent="0.35">
      <c r="A117" s="33">
        <f>'Dados - Beneficiarias'!A117</f>
        <v>0</v>
      </c>
      <c r="B117" s="33">
        <f>'Dados - Beneficiarias'!B117</f>
        <v>0</v>
      </c>
      <c r="C117" s="33" t="e">
        <f>'Dados - Beneficiarias'!C117</f>
        <v>#N/A</v>
      </c>
      <c r="D117" s="33">
        <f>'Dados - Beneficiarias'!D117</f>
        <v>0</v>
      </c>
      <c r="E117" s="33">
        <f>'Dados - Beneficiarias'!E117</f>
        <v>0</v>
      </c>
    </row>
    <row r="118" spans="1:5" ht="15.5" x14ac:dyDescent="0.35">
      <c r="A118" s="33">
        <f>'Dados - Beneficiarias'!A118</f>
        <v>0</v>
      </c>
      <c r="B118" s="33">
        <f>'Dados - Beneficiarias'!B118</f>
        <v>0</v>
      </c>
      <c r="C118" s="33" t="e">
        <f>'Dados - Beneficiarias'!C118</f>
        <v>#N/A</v>
      </c>
      <c r="D118" s="33">
        <f>'Dados - Beneficiarias'!D118</f>
        <v>0</v>
      </c>
      <c r="E118" s="33">
        <f>'Dados - Beneficiarias'!E118</f>
        <v>0</v>
      </c>
    </row>
    <row r="119" spans="1:5" ht="15.5" x14ac:dyDescent="0.35">
      <c r="A119" s="33">
        <f>'Dados - Beneficiarias'!A119</f>
        <v>0</v>
      </c>
      <c r="B119" s="33">
        <f>'Dados - Beneficiarias'!B119</f>
        <v>0</v>
      </c>
      <c r="C119" s="33" t="e">
        <f>'Dados - Beneficiarias'!C119</f>
        <v>#N/A</v>
      </c>
      <c r="D119" s="33">
        <f>'Dados - Beneficiarias'!D119</f>
        <v>0</v>
      </c>
      <c r="E119" s="33">
        <f>'Dados - Beneficiarias'!E119</f>
        <v>0</v>
      </c>
    </row>
    <row r="120" spans="1:5" ht="15.5" x14ac:dyDescent="0.35">
      <c r="A120" s="33">
        <f>'Dados - Beneficiarias'!A120</f>
        <v>0</v>
      </c>
      <c r="B120" s="33">
        <f>'Dados - Beneficiarias'!B120</f>
        <v>0</v>
      </c>
      <c r="C120" s="33" t="e">
        <f>'Dados - Beneficiarias'!C120</f>
        <v>#N/A</v>
      </c>
      <c r="D120" s="33">
        <f>'Dados - Beneficiarias'!D120</f>
        <v>0</v>
      </c>
      <c r="E120" s="33">
        <f>'Dados - Beneficiarias'!E120</f>
        <v>0</v>
      </c>
    </row>
    <row r="121" spans="1:5" ht="15.5" x14ac:dyDescent="0.35">
      <c r="A121" s="33">
        <f>'Dados - Beneficiarias'!A121</f>
        <v>0</v>
      </c>
      <c r="B121" s="33">
        <f>'Dados - Beneficiarias'!B121</f>
        <v>0</v>
      </c>
      <c r="C121" s="33" t="e">
        <f>'Dados - Beneficiarias'!C121</f>
        <v>#N/A</v>
      </c>
      <c r="D121" s="33">
        <f>'Dados - Beneficiarias'!D121</f>
        <v>0</v>
      </c>
      <c r="E121" s="33">
        <f>'Dados - Beneficiarias'!E121</f>
        <v>0</v>
      </c>
    </row>
    <row r="122" spans="1:5" ht="15.5" x14ac:dyDescent="0.35">
      <c r="A122" s="33">
        <f>'Dados - Beneficiarias'!A122</f>
        <v>0</v>
      </c>
      <c r="B122" s="33">
        <f>'Dados - Beneficiarias'!B122</f>
        <v>0</v>
      </c>
      <c r="C122" s="33" t="e">
        <f>'Dados - Beneficiarias'!C122</f>
        <v>#N/A</v>
      </c>
      <c r="D122" s="33">
        <f>'Dados - Beneficiarias'!D122</f>
        <v>0</v>
      </c>
      <c r="E122" s="33">
        <f>'Dados - Beneficiarias'!E122</f>
        <v>0</v>
      </c>
    </row>
    <row r="123" spans="1:5" ht="15.5" x14ac:dyDescent="0.35">
      <c r="A123" s="33">
        <f>'Dados - Beneficiarias'!A123</f>
        <v>0</v>
      </c>
      <c r="B123" s="33">
        <f>'Dados - Beneficiarias'!B123</f>
        <v>0</v>
      </c>
      <c r="C123" s="33" t="e">
        <f>'Dados - Beneficiarias'!C123</f>
        <v>#N/A</v>
      </c>
      <c r="D123" s="33">
        <f>'Dados - Beneficiarias'!D123</f>
        <v>0</v>
      </c>
      <c r="E123" s="33">
        <f>'Dados - Beneficiarias'!E123</f>
        <v>0</v>
      </c>
    </row>
    <row r="124" spans="1:5" ht="15.5" x14ac:dyDescent="0.35">
      <c r="A124" s="33">
        <f>'Dados - Beneficiarias'!A124</f>
        <v>0</v>
      </c>
      <c r="B124" s="33">
        <f>'Dados - Beneficiarias'!B124</f>
        <v>0</v>
      </c>
      <c r="C124" s="33" t="e">
        <f>'Dados - Beneficiarias'!C124</f>
        <v>#N/A</v>
      </c>
      <c r="D124" s="33">
        <f>'Dados - Beneficiarias'!D124</f>
        <v>0</v>
      </c>
      <c r="E124" s="33">
        <f>'Dados - Beneficiarias'!E124</f>
        <v>0</v>
      </c>
    </row>
    <row r="125" spans="1:5" ht="15.5" x14ac:dyDescent="0.35">
      <c r="A125" s="33">
        <f>'Dados - Beneficiarias'!A125</f>
        <v>0</v>
      </c>
      <c r="B125" s="33">
        <f>'Dados - Beneficiarias'!B125</f>
        <v>0</v>
      </c>
      <c r="C125" s="33" t="e">
        <f>'Dados - Beneficiarias'!C125</f>
        <v>#N/A</v>
      </c>
      <c r="D125" s="33">
        <f>'Dados - Beneficiarias'!D125</f>
        <v>0</v>
      </c>
      <c r="E125" s="33">
        <f>'Dados - Beneficiarias'!E125</f>
        <v>0</v>
      </c>
    </row>
    <row r="126" spans="1:5" ht="15.5" x14ac:dyDescent="0.35">
      <c r="A126" s="33">
        <f>'Dados - Beneficiarias'!A126</f>
        <v>0</v>
      </c>
      <c r="B126" s="33">
        <f>'Dados - Beneficiarias'!B126</f>
        <v>0</v>
      </c>
      <c r="C126" s="33" t="e">
        <f>'Dados - Beneficiarias'!C126</f>
        <v>#N/A</v>
      </c>
      <c r="D126" s="33">
        <f>'Dados - Beneficiarias'!D126</f>
        <v>0</v>
      </c>
      <c r="E126" s="33">
        <f>'Dados - Beneficiarias'!E126</f>
        <v>0</v>
      </c>
    </row>
    <row r="127" spans="1:5" ht="15.5" x14ac:dyDescent="0.35">
      <c r="A127" s="33">
        <f>'Dados - Beneficiarias'!A127</f>
        <v>0</v>
      </c>
      <c r="B127" s="33">
        <f>'Dados - Beneficiarias'!B127</f>
        <v>0</v>
      </c>
      <c r="C127" s="33" t="e">
        <f>'Dados - Beneficiarias'!C127</f>
        <v>#N/A</v>
      </c>
      <c r="D127" s="33">
        <f>'Dados - Beneficiarias'!D127</f>
        <v>0</v>
      </c>
      <c r="E127" s="33">
        <f>'Dados - Beneficiarias'!E127</f>
        <v>0</v>
      </c>
    </row>
    <row r="128" spans="1:5" ht="15.5" x14ac:dyDescent="0.35">
      <c r="A128" s="33">
        <f>'Dados - Beneficiarias'!A128</f>
        <v>0</v>
      </c>
      <c r="B128" s="33">
        <f>'Dados - Beneficiarias'!B128</f>
        <v>0</v>
      </c>
      <c r="C128" s="33" t="e">
        <f>'Dados - Beneficiarias'!C128</f>
        <v>#N/A</v>
      </c>
      <c r="D128" s="33">
        <f>'Dados - Beneficiarias'!D128</f>
        <v>0</v>
      </c>
      <c r="E128" s="33">
        <f>'Dados - Beneficiarias'!E128</f>
        <v>0</v>
      </c>
    </row>
    <row r="129" spans="1:5" ht="15.5" x14ac:dyDescent="0.35">
      <c r="A129" s="33">
        <f>'Dados - Beneficiarias'!A129</f>
        <v>0</v>
      </c>
      <c r="B129" s="33">
        <f>'Dados - Beneficiarias'!B129</f>
        <v>0</v>
      </c>
      <c r="C129" s="33" t="e">
        <f>'Dados - Beneficiarias'!C129</f>
        <v>#N/A</v>
      </c>
      <c r="D129" s="33">
        <f>'Dados - Beneficiarias'!D129</f>
        <v>0</v>
      </c>
      <c r="E129" s="33">
        <f>'Dados - Beneficiarias'!E129</f>
        <v>0</v>
      </c>
    </row>
    <row r="130" spans="1:5" ht="15.5" x14ac:dyDescent="0.35">
      <c r="A130" s="33">
        <f>'Dados - Beneficiarias'!A130</f>
        <v>0</v>
      </c>
      <c r="B130" s="33">
        <f>'Dados - Beneficiarias'!B130</f>
        <v>0</v>
      </c>
      <c r="C130" s="33" t="e">
        <f>'Dados - Beneficiarias'!C130</f>
        <v>#N/A</v>
      </c>
      <c r="D130" s="33">
        <f>'Dados - Beneficiarias'!D130</f>
        <v>0</v>
      </c>
      <c r="E130" s="33">
        <f>'Dados - Beneficiarias'!E130</f>
        <v>0</v>
      </c>
    </row>
    <row r="131" spans="1:5" ht="15.5" x14ac:dyDescent="0.35">
      <c r="A131" s="33">
        <f>'Dados - Beneficiarias'!A131</f>
        <v>0</v>
      </c>
      <c r="B131" s="33">
        <f>'Dados - Beneficiarias'!B131</f>
        <v>0</v>
      </c>
      <c r="C131" s="33" t="e">
        <f>'Dados - Beneficiarias'!C131</f>
        <v>#N/A</v>
      </c>
      <c r="D131" s="33">
        <f>'Dados - Beneficiarias'!D131</f>
        <v>0</v>
      </c>
      <c r="E131" s="33">
        <f>'Dados - Beneficiarias'!E131</f>
        <v>0</v>
      </c>
    </row>
    <row r="132" spans="1:5" ht="15.5" x14ac:dyDescent="0.35">
      <c r="A132" s="33">
        <f>'Dados - Beneficiarias'!A132</f>
        <v>0</v>
      </c>
      <c r="B132" s="33">
        <f>'Dados - Beneficiarias'!B132</f>
        <v>0</v>
      </c>
      <c r="C132" s="33" t="e">
        <f>'Dados - Beneficiarias'!C132</f>
        <v>#N/A</v>
      </c>
      <c r="D132" s="33">
        <f>'Dados - Beneficiarias'!D132</f>
        <v>0</v>
      </c>
      <c r="E132" s="33">
        <f>'Dados - Beneficiarias'!E132</f>
        <v>0</v>
      </c>
    </row>
    <row r="133" spans="1:5" ht="15.5" x14ac:dyDescent="0.35">
      <c r="A133" s="33">
        <f>'Dados - Beneficiarias'!A133</f>
        <v>0</v>
      </c>
      <c r="B133" s="33">
        <f>'Dados - Beneficiarias'!B133</f>
        <v>0</v>
      </c>
      <c r="C133" s="33" t="e">
        <f>'Dados - Beneficiarias'!C133</f>
        <v>#N/A</v>
      </c>
      <c r="D133" s="33">
        <f>'Dados - Beneficiarias'!D133</f>
        <v>0</v>
      </c>
      <c r="E133" s="33">
        <f>'Dados - Beneficiarias'!E133</f>
        <v>0</v>
      </c>
    </row>
    <row r="134" spans="1:5" ht="15.5" x14ac:dyDescent="0.35">
      <c r="A134" s="33">
        <f>'Dados - Beneficiarias'!A134</f>
        <v>0</v>
      </c>
      <c r="B134" s="33">
        <f>'Dados - Beneficiarias'!B134</f>
        <v>0</v>
      </c>
      <c r="C134" s="33" t="e">
        <f>'Dados - Beneficiarias'!C134</f>
        <v>#N/A</v>
      </c>
      <c r="D134" s="33">
        <f>'Dados - Beneficiarias'!D134</f>
        <v>0</v>
      </c>
      <c r="E134" s="33">
        <f>'Dados - Beneficiarias'!E134</f>
        <v>0</v>
      </c>
    </row>
    <row r="135" spans="1:5" ht="15.5" x14ac:dyDescent="0.35">
      <c r="A135" s="33">
        <f>'Dados - Beneficiarias'!A135</f>
        <v>0</v>
      </c>
      <c r="B135" s="33">
        <f>'Dados - Beneficiarias'!B135</f>
        <v>0</v>
      </c>
      <c r="C135" s="33" t="e">
        <f>'Dados - Beneficiarias'!C135</f>
        <v>#N/A</v>
      </c>
      <c r="D135" s="33">
        <f>'Dados - Beneficiarias'!D135</f>
        <v>0</v>
      </c>
      <c r="E135" s="33">
        <f>'Dados - Beneficiarias'!E135</f>
        <v>0</v>
      </c>
    </row>
    <row r="136" spans="1:5" ht="15.5" x14ac:dyDescent="0.35">
      <c r="A136" s="33">
        <f>'Dados - Beneficiarias'!A136</f>
        <v>0</v>
      </c>
      <c r="B136" s="33">
        <f>'Dados - Beneficiarias'!B136</f>
        <v>0</v>
      </c>
      <c r="C136" s="33" t="e">
        <f>'Dados - Beneficiarias'!C136</f>
        <v>#N/A</v>
      </c>
      <c r="D136" s="33">
        <f>'Dados - Beneficiarias'!D136</f>
        <v>0</v>
      </c>
      <c r="E136" s="33">
        <f>'Dados - Beneficiarias'!E136</f>
        <v>0</v>
      </c>
    </row>
    <row r="137" spans="1:5" ht="15.5" x14ac:dyDescent="0.35">
      <c r="A137" s="33">
        <f>'Dados - Beneficiarias'!A137</f>
        <v>0</v>
      </c>
      <c r="B137" s="33">
        <f>'Dados - Beneficiarias'!B137</f>
        <v>0</v>
      </c>
      <c r="C137" s="33" t="e">
        <f>'Dados - Beneficiarias'!C137</f>
        <v>#N/A</v>
      </c>
      <c r="D137" s="33">
        <f>'Dados - Beneficiarias'!D137</f>
        <v>0</v>
      </c>
      <c r="E137" s="33">
        <f>'Dados - Beneficiarias'!E137</f>
        <v>0</v>
      </c>
    </row>
    <row r="138" spans="1:5" ht="15.5" x14ac:dyDescent="0.35">
      <c r="A138" s="33">
        <f>'Dados - Beneficiarias'!A138</f>
        <v>0</v>
      </c>
      <c r="B138" s="33">
        <f>'Dados - Beneficiarias'!B138</f>
        <v>0</v>
      </c>
      <c r="C138" s="33" t="e">
        <f>'Dados - Beneficiarias'!C138</f>
        <v>#N/A</v>
      </c>
      <c r="D138" s="33">
        <f>'Dados - Beneficiarias'!D138</f>
        <v>0</v>
      </c>
      <c r="E138" s="33">
        <f>'Dados - Beneficiarias'!E138</f>
        <v>0</v>
      </c>
    </row>
    <row r="139" spans="1:5" ht="15.5" x14ac:dyDescent="0.35">
      <c r="A139" s="33">
        <f>'Dados - Beneficiarias'!A139</f>
        <v>0</v>
      </c>
      <c r="B139" s="33">
        <f>'Dados - Beneficiarias'!B139</f>
        <v>0</v>
      </c>
      <c r="C139" s="33" t="e">
        <f>'Dados - Beneficiarias'!C139</f>
        <v>#N/A</v>
      </c>
      <c r="D139" s="33">
        <f>'Dados - Beneficiarias'!D139</f>
        <v>0</v>
      </c>
      <c r="E139" s="33">
        <f>'Dados - Beneficiarias'!E139</f>
        <v>0</v>
      </c>
    </row>
    <row r="140" spans="1:5" ht="15.5" x14ac:dyDescent="0.35">
      <c r="A140" s="33">
        <f>'Dados - Beneficiarias'!A140</f>
        <v>0</v>
      </c>
      <c r="B140" s="33">
        <f>'Dados - Beneficiarias'!B140</f>
        <v>0</v>
      </c>
      <c r="C140" s="33" t="e">
        <f>'Dados - Beneficiarias'!C140</f>
        <v>#N/A</v>
      </c>
      <c r="D140" s="33">
        <f>'Dados - Beneficiarias'!D140</f>
        <v>0</v>
      </c>
      <c r="E140" s="33">
        <f>'Dados - Beneficiarias'!E140</f>
        <v>0</v>
      </c>
    </row>
    <row r="141" spans="1:5" ht="15.5" x14ac:dyDescent="0.35">
      <c r="A141" s="33">
        <f>'Dados - Beneficiarias'!A141</f>
        <v>0</v>
      </c>
      <c r="B141" s="33">
        <f>'Dados - Beneficiarias'!B141</f>
        <v>0</v>
      </c>
      <c r="C141" s="33" t="e">
        <f>'Dados - Beneficiarias'!C141</f>
        <v>#N/A</v>
      </c>
      <c r="D141" s="33">
        <f>'Dados - Beneficiarias'!D141</f>
        <v>0</v>
      </c>
      <c r="E141" s="33">
        <f>'Dados - Beneficiarias'!E141</f>
        <v>0</v>
      </c>
    </row>
    <row r="142" spans="1:5" ht="15.5" x14ac:dyDescent="0.35">
      <c r="A142" s="33">
        <f>'Dados - Beneficiarias'!A142</f>
        <v>0</v>
      </c>
      <c r="B142" s="33">
        <f>'Dados - Beneficiarias'!B142</f>
        <v>0</v>
      </c>
      <c r="C142" s="33" t="e">
        <f>'Dados - Beneficiarias'!C142</f>
        <v>#N/A</v>
      </c>
      <c r="D142" s="33">
        <f>'Dados - Beneficiarias'!D142</f>
        <v>0</v>
      </c>
      <c r="E142" s="33">
        <f>'Dados - Beneficiarias'!E142</f>
        <v>0</v>
      </c>
    </row>
    <row r="143" spans="1:5" ht="15.5" x14ac:dyDescent="0.35">
      <c r="A143" s="33">
        <f>'Dados - Beneficiarias'!A143</f>
        <v>0</v>
      </c>
      <c r="B143" s="33">
        <f>'Dados - Beneficiarias'!B143</f>
        <v>0</v>
      </c>
      <c r="C143" s="33" t="e">
        <f>'Dados - Beneficiarias'!C143</f>
        <v>#N/A</v>
      </c>
      <c r="D143" s="33">
        <f>'Dados - Beneficiarias'!D143</f>
        <v>0</v>
      </c>
      <c r="E143" s="33">
        <f>'Dados - Beneficiarias'!E143</f>
        <v>0</v>
      </c>
    </row>
    <row r="144" spans="1:5" ht="15.5" x14ac:dyDescent="0.35">
      <c r="A144" s="33">
        <f>'Dados - Beneficiarias'!A144</f>
        <v>0</v>
      </c>
      <c r="B144" s="33">
        <f>'Dados - Beneficiarias'!B144</f>
        <v>0</v>
      </c>
      <c r="C144" s="33" t="e">
        <f>'Dados - Beneficiarias'!C144</f>
        <v>#N/A</v>
      </c>
      <c r="D144" s="33">
        <f>'Dados - Beneficiarias'!D144</f>
        <v>0</v>
      </c>
      <c r="E144" s="33">
        <f>'Dados - Beneficiarias'!E144</f>
        <v>0</v>
      </c>
    </row>
    <row r="145" spans="1:5" ht="15.5" x14ac:dyDescent="0.35">
      <c r="A145" s="33">
        <f>'Dados - Beneficiarias'!A145</f>
        <v>0</v>
      </c>
      <c r="B145" s="33">
        <f>'Dados - Beneficiarias'!B145</f>
        <v>0</v>
      </c>
      <c r="C145" s="33" t="e">
        <f>'Dados - Beneficiarias'!C145</f>
        <v>#N/A</v>
      </c>
      <c r="D145" s="33">
        <f>'Dados - Beneficiarias'!D145</f>
        <v>0</v>
      </c>
      <c r="E145" s="33">
        <f>'Dados - Beneficiarias'!E145</f>
        <v>0</v>
      </c>
    </row>
    <row r="146" spans="1:5" ht="15.5" x14ac:dyDescent="0.35">
      <c r="A146" s="33">
        <f>'Dados - Beneficiarias'!A146</f>
        <v>0</v>
      </c>
      <c r="B146" s="33">
        <f>'Dados - Beneficiarias'!B146</f>
        <v>0</v>
      </c>
      <c r="C146" s="33" t="e">
        <f>'Dados - Beneficiarias'!C146</f>
        <v>#N/A</v>
      </c>
      <c r="D146" s="33">
        <f>'Dados - Beneficiarias'!D146</f>
        <v>0</v>
      </c>
      <c r="E146" s="33">
        <f>'Dados - Beneficiarias'!E146</f>
        <v>0</v>
      </c>
    </row>
    <row r="147" spans="1:5" ht="15.5" x14ac:dyDescent="0.35">
      <c r="A147" s="33">
        <f>'Dados - Beneficiarias'!A147</f>
        <v>0</v>
      </c>
      <c r="B147" s="33">
        <f>'Dados - Beneficiarias'!B147</f>
        <v>0</v>
      </c>
      <c r="C147" s="33" t="e">
        <f>'Dados - Beneficiarias'!C147</f>
        <v>#N/A</v>
      </c>
      <c r="D147" s="33">
        <f>'Dados - Beneficiarias'!D147</f>
        <v>0</v>
      </c>
      <c r="E147" s="33">
        <f>'Dados - Beneficiarias'!E147</f>
        <v>0</v>
      </c>
    </row>
    <row r="148" spans="1:5" ht="15.5" x14ac:dyDescent="0.35">
      <c r="A148" s="33">
        <f>'Dados - Beneficiarias'!A148</f>
        <v>0</v>
      </c>
      <c r="B148" s="33">
        <f>'Dados - Beneficiarias'!B148</f>
        <v>0</v>
      </c>
      <c r="C148" s="33" t="e">
        <f>'Dados - Beneficiarias'!C148</f>
        <v>#N/A</v>
      </c>
      <c r="D148" s="33">
        <f>'Dados - Beneficiarias'!D148</f>
        <v>0</v>
      </c>
      <c r="E148" s="33">
        <f>'Dados - Beneficiarias'!E148</f>
        <v>0</v>
      </c>
    </row>
    <row r="149" spans="1:5" ht="15.5" x14ac:dyDescent="0.35">
      <c r="A149" s="33">
        <f>'Dados - Beneficiarias'!A149</f>
        <v>0</v>
      </c>
      <c r="B149" s="33">
        <f>'Dados - Beneficiarias'!B149</f>
        <v>0</v>
      </c>
      <c r="C149" s="33" t="e">
        <f>'Dados - Beneficiarias'!C149</f>
        <v>#N/A</v>
      </c>
      <c r="D149" s="33">
        <f>'Dados - Beneficiarias'!D149</f>
        <v>0</v>
      </c>
      <c r="E149" s="33">
        <f>'Dados - Beneficiarias'!E149</f>
        <v>0</v>
      </c>
    </row>
    <row r="150" spans="1:5" ht="15.5" x14ac:dyDescent="0.35">
      <c r="A150" s="33">
        <f>'Dados - Beneficiarias'!A150</f>
        <v>0</v>
      </c>
      <c r="B150" s="33">
        <f>'Dados - Beneficiarias'!B150</f>
        <v>0</v>
      </c>
      <c r="C150" s="33" t="e">
        <f>'Dados - Beneficiarias'!C150</f>
        <v>#N/A</v>
      </c>
      <c r="D150" s="33">
        <f>'Dados - Beneficiarias'!D150</f>
        <v>0</v>
      </c>
      <c r="E150" s="33">
        <f>'Dados - Beneficiarias'!E150</f>
        <v>0</v>
      </c>
    </row>
    <row r="151" spans="1:5" ht="15.5" x14ac:dyDescent="0.35">
      <c r="A151" s="33">
        <f>'Dados - Beneficiarias'!A151</f>
        <v>0</v>
      </c>
      <c r="B151" s="33">
        <f>'Dados - Beneficiarias'!B151</f>
        <v>0</v>
      </c>
      <c r="C151" s="33" t="e">
        <f>'Dados - Beneficiarias'!C151</f>
        <v>#N/A</v>
      </c>
      <c r="D151" s="33">
        <f>'Dados - Beneficiarias'!D151</f>
        <v>0</v>
      </c>
      <c r="E151" s="33">
        <f>'Dados - Beneficiarias'!E151</f>
        <v>0</v>
      </c>
    </row>
    <row r="152" spans="1:5" ht="15.5" x14ac:dyDescent="0.35">
      <c r="A152" s="33">
        <f>'Dados - Beneficiarias'!A152</f>
        <v>0</v>
      </c>
      <c r="B152" s="33">
        <f>'Dados - Beneficiarias'!B152</f>
        <v>0</v>
      </c>
      <c r="C152" s="33" t="e">
        <f>'Dados - Beneficiarias'!C152</f>
        <v>#N/A</v>
      </c>
      <c r="D152" s="33">
        <f>'Dados - Beneficiarias'!D152</f>
        <v>0</v>
      </c>
      <c r="E152" s="33">
        <f>'Dados - Beneficiarias'!E152</f>
        <v>0</v>
      </c>
    </row>
    <row r="153" spans="1:5" ht="15.5" x14ac:dyDescent="0.35">
      <c r="A153" s="33">
        <f>'Dados - Beneficiarias'!A153</f>
        <v>0</v>
      </c>
      <c r="B153" s="33">
        <f>'Dados - Beneficiarias'!B153</f>
        <v>0</v>
      </c>
      <c r="C153" s="33" t="e">
        <f>'Dados - Beneficiarias'!C153</f>
        <v>#N/A</v>
      </c>
      <c r="D153" s="33">
        <f>'Dados - Beneficiarias'!D153</f>
        <v>0</v>
      </c>
      <c r="E153" s="33">
        <f>'Dados - Beneficiarias'!E153</f>
        <v>0</v>
      </c>
    </row>
    <row r="154" spans="1:5" ht="15.5" x14ac:dyDescent="0.35">
      <c r="A154" s="33">
        <f>'Dados - Beneficiarias'!A154</f>
        <v>0</v>
      </c>
      <c r="B154" s="33">
        <f>'Dados - Beneficiarias'!B154</f>
        <v>0</v>
      </c>
      <c r="C154" s="33" t="e">
        <f>'Dados - Beneficiarias'!C154</f>
        <v>#N/A</v>
      </c>
      <c r="D154" s="33">
        <f>'Dados - Beneficiarias'!D154</f>
        <v>0</v>
      </c>
      <c r="E154" s="33">
        <f>'Dados - Beneficiarias'!E154</f>
        <v>0</v>
      </c>
    </row>
    <row r="155" spans="1:5" ht="15.5" x14ac:dyDescent="0.35">
      <c r="A155" s="33">
        <f>'Dados - Beneficiarias'!A155</f>
        <v>0</v>
      </c>
      <c r="B155" s="33">
        <f>'Dados - Beneficiarias'!B155</f>
        <v>0</v>
      </c>
      <c r="C155" s="33" t="e">
        <f>'Dados - Beneficiarias'!C155</f>
        <v>#N/A</v>
      </c>
      <c r="D155" s="33">
        <f>'Dados - Beneficiarias'!D155</f>
        <v>0</v>
      </c>
      <c r="E155" s="33">
        <f>'Dados - Beneficiarias'!E155</f>
        <v>0</v>
      </c>
    </row>
    <row r="156" spans="1:5" ht="15.5" x14ac:dyDescent="0.35">
      <c r="A156" s="33">
        <f>'Dados - Beneficiarias'!A156</f>
        <v>0</v>
      </c>
      <c r="B156" s="33">
        <f>'Dados - Beneficiarias'!B156</f>
        <v>0</v>
      </c>
      <c r="C156" s="33" t="e">
        <f>'Dados - Beneficiarias'!C156</f>
        <v>#N/A</v>
      </c>
      <c r="D156" s="33">
        <f>'Dados - Beneficiarias'!D156</f>
        <v>0</v>
      </c>
      <c r="E156" s="33">
        <f>'Dados - Beneficiarias'!E156</f>
        <v>0</v>
      </c>
    </row>
    <row r="157" spans="1:5" ht="15.5" x14ac:dyDescent="0.35">
      <c r="A157" s="33">
        <f>'Dados - Beneficiarias'!A157</f>
        <v>0</v>
      </c>
      <c r="B157" s="33">
        <f>'Dados - Beneficiarias'!B157</f>
        <v>0</v>
      </c>
      <c r="C157" s="33">
        <f>'Dados - Beneficiarias'!C157</f>
        <v>0</v>
      </c>
      <c r="D157" s="33">
        <f>'Dados - Beneficiarias'!D157</f>
        <v>0</v>
      </c>
      <c r="E157" s="33">
        <f>'Dados - Beneficiarias'!E157</f>
        <v>0</v>
      </c>
    </row>
    <row r="158" spans="1:5" ht="15.5" x14ac:dyDescent="0.35">
      <c r="A158" s="33">
        <f>'Dados - Beneficiarias'!A158</f>
        <v>0</v>
      </c>
      <c r="B158" s="33">
        <f>'Dados - Beneficiarias'!B158</f>
        <v>0</v>
      </c>
      <c r="C158" s="33">
        <f>'Dados - Beneficiarias'!C158</f>
        <v>0</v>
      </c>
      <c r="D158" s="33">
        <f>'Dados - Beneficiarias'!D158</f>
        <v>0</v>
      </c>
      <c r="E158" s="33">
        <f>'Dados - Beneficiarias'!E158</f>
        <v>0</v>
      </c>
    </row>
    <row r="159" spans="1:5" ht="15.5" x14ac:dyDescent="0.35">
      <c r="A159" s="33">
        <f>'Dados - Beneficiarias'!A159</f>
        <v>0</v>
      </c>
      <c r="B159" s="33">
        <f>'Dados - Beneficiarias'!B159</f>
        <v>0</v>
      </c>
      <c r="C159" s="33">
        <f>'Dados - Beneficiarias'!C159</f>
        <v>0</v>
      </c>
      <c r="D159" s="33">
        <f>'Dados - Beneficiarias'!D159</f>
        <v>0</v>
      </c>
      <c r="E159" s="33">
        <f>'Dados - Beneficiarias'!E159</f>
        <v>0</v>
      </c>
    </row>
    <row r="160" spans="1:5" ht="15.5" x14ac:dyDescent="0.35">
      <c r="A160" s="33">
        <f>'Dados - Beneficiarias'!A160</f>
        <v>0</v>
      </c>
      <c r="B160" s="33">
        <f>'Dados - Beneficiarias'!B160</f>
        <v>0</v>
      </c>
      <c r="C160" s="33">
        <f>'Dados - Beneficiarias'!C160</f>
        <v>0</v>
      </c>
      <c r="D160" s="33">
        <f>'Dados - Beneficiarias'!D160</f>
        <v>0</v>
      </c>
      <c r="E160" s="33">
        <f>'Dados - Beneficiarias'!E160</f>
        <v>0</v>
      </c>
    </row>
    <row r="161" spans="1:5" ht="15.5" x14ac:dyDescent="0.35">
      <c r="A161" s="33">
        <f>'Dados - Beneficiarias'!A161</f>
        <v>0</v>
      </c>
      <c r="B161" s="33">
        <f>'Dados - Beneficiarias'!B161</f>
        <v>0</v>
      </c>
      <c r="C161" s="33">
        <f>'Dados - Beneficiarias'!C161</f>
        <v>0</v>
      </c>
      <c r="D161" s="33">
        <f>'Dados - Beneficiarias'!D161</f>
        <v>0</v>
      </c>
      <c r="E161" s="33">
        <f>'Dados - Beneficiarias'!E161</f>
        <v>0</v>
      </c>
    </row>
    <row r="162" spans="1:5" ht="15.5" x14ac:dyDescent="0.35">
      <c r="A162" s="33">
        <f>'Dados - Beneficiarias'!A162</f>
        <v>0</v>
      </c>
      <c r="B162" s="33">
        <f>'Dados - Beneficiarias'!B162</f>
        <v>0</v>
      </c>
      <c r="C162" s="33">
        <f>'Dados - Beneficiarias'!C162</f>
        <v>0</v>
      </c>
      <c r="D162" s="33">
        <f>'Dados - Beneficiarias'!D162</f>
        <v>0</v>
      </c>
      <c r="E162" s="33">
        <f>'Dados - Beneficiarias'!E162</f>
        <v>0</v>
      </c>
    </row>
    <row r="163" spans="1:5" ht="15.5" x14ac:dyDescent="0.35">
      <c r="A163" s="33">
        <f>'Dados - Beneficiarias'!A163</f>
        <v>0</v>
      </c>
      <c r="B163" s="33">
        <f>'Dados - Beneficiarias'!B163</f>
        <v>0</v>
      </c>
      <c r="C163" s="33">
        <f>'Dados - Beneficiarias'!C163</f>
        <v>0</v>
      </c>
      <c r="D163" s="33">
        <f>'Dados - Beneficiarias'!D163</f>
        <v>0</v>
      </c>
      <c r="E163" s="33">
        <f>'Dados - Beneficiarias'!E163</f>
        <v>0</v>
      </c>
    </row>
    <row r="164" spans="1:5" ht="15.5" x14ac:dyDescent="0.35">
      <c r="A164" s="33">
        <f>'Dados - Beneficiarias'!A164</f>
        <v>0</v>
      </c>
      <c r="B164" s="33">
        <f>'Dados - Beneficiarias'!B164</f>
        <v>0</v>
      </c>
      <c r="C164" s="33">
        <f>'Dados - Beneficiarias'!C164</f>
        <v>0</v>
      </c>
      <c r="D164" s="33">
        <f>'Dados - Beneficiarias'!D164</f>
        <v>0</v>
      </c>
      <c r="E164" s="33">
        <f>'Dados - Beneficiarias'!E164</f>
        <v>0</v>
      </c>
    </row>
    <row r="165" spans="1:5" ht="15.5" x14ac:dyDescent="0.35">
      <c r="A165" s="33">
        <f>'Dados - Beneficiarias'!A165</f>
        <v>0</v>
      </c>
      <c r="B165" s="33">
        <f>'Dados - Beneficiarias'!B165</f>
        <v>0</v>
      </c>
      <c r="C165" s="33">
        <f>'Dados - Beneficiarias'!C165</f>
        <v>0</v>
      </c>
      <c r="D165" s="33">
        <f>'Dados - Beneficiarias'!D165</f>
        <v>0</v>
      </c>
      <c r="E165" s="33">
        <f>'Dados - Beneficiarias'!E165</f>
        <v>0</v>
      </c>
    </row>
    <row r="166" spans="1:5" ht="15.5" x14ac:dyDescent="0.35">
      <c r="A166" s="33">
        <f>'Dados - Beneficiarias'!A166</f>
        <v>0</v>
      </c>
      <c r="B166" s="33">
        <f>'Dados - Beneficiarias'!B166</f>
        <v>0</v>
      </c>
      <c r="C166" s="33">
        <f>'Dados - Beneficiarias'!C166</f>
        <v>0</v>
      </c>
      <c r="D166" s="33">
        <f>'Dados - Beneficiarias'!D166</f>
        <v>0</v>
      </c>
      <c r="E166" s="33">
        <f>'Dados - Beneficiarias'!E166</f>
        <v>0</v>
      </c>
    </row>
    <row r="167" spans="1:5" ht="15.5" x14ac:dyDescent="0.35">
      <c r="A167" s="33">
        <f>'Dados - Beneficiarias'!A167</f>
        <v>0</v>
      </c>
      <c r="B167" s="33">
        <f>'Dados - Beneficiarias'!B167</f>
        <v>0</v>
      </c>
      <c r="C167" s="33">
        <f>'Dados - Beneficiarias'!C167</f>
        <v>0</v>
      </c>
      <c r="D167" s="33">
        <f>'Dados - Beneficiarias'!D167</f>
        <v>0</v>
      </c>
      <c r="E167" s="33">
        <f>'Dados - Beneficiarias'!E167</f>
        <v>0</v>
      </c>
    </row>
    <row r="168" spans="1:5" ht="15.5" x14ac:dyDescent="0.35">
      <c r="A168" s="33">
        <f>'Dados - Beneficiarias'!A168</f>
        <v>0</v>
      </c>
      <c r="B168" s="33">
        <f>'Dados - Beneficiarias'!B168</f>
        <v>0</v>
      </c>
      <c r="C168" s="33">
        <f>'Dados - Beneficiarias'!C168</f>
        <v>0</v>
      </c>
      <c r="D168" s="33">
        <f>'Dados - Beneficiarias'!D168</f>
        <v>0</v>
      </c>
      <c r="E168" s="33">
        <f>'Dados - Beneficiarias'!E168</f>
        <v>0</v>
      </c>
    </row>
    <row r="169" spans="1:5" ht="15.5" x14ac:dyDescent="0.35">
      <c r="A169" s="33">
        <f>'Dados - Beneficiarias'!A169</f>
        <v>0</v>
      </c>
      <c r="B169" s="33">
        <f>'Dados - Beneficiarias'!B169</f>
        <v>0</v>
      </c>
      <c r="C169" s="33">
        <f>'Dados - Beneficiarias'!C169</f>
        <v>0</v>
      </c>
      <c r="D169" s="33">
        <f>'Dados - Beneficiarias'!D169</f>
        <v>0</v>
      </c>
      <c r="E169" s="33">
        <f>'Dados - Beneficiarias'!E169</f>
        <v>0</v>
      </c>
    </row>
    <row r="170" spans="1:5" ht="15.5" x14ac:dyDescent="0.35">
      <c r="A170" s="33">
        <f>'Dados - Beneficiarias'!A170</f>
        <v>0</v>
      </c>
      <c r="B170" s="33">
        <f>'Dados - Beneficiarias'!B170</f>
        <v>0</v>
      </c>
      <c r="C170" s="33">
        <f>'Dados - Beneficiarias'!C170</f>
        <v>0</v>
      </c>
      <c r="D170" s="33">
        <f>'Dados - Beneficiarias'!D170</f>
        <v>0</v>
      </c>
      <c r="E170" s="33">
        <f>'Dados - Beneficiarias'!E170</f>
        <v>0</v>
      </c>
    </row>
    <row r="171" spans="1:5" ht="15.5" x14ac:dyDescent="0.35">
      <c r="A171" s="33">
        <f>'Dados - Beneficiarias'!A171</f>
        <v>0</v>
      </c>
      <c r="B171" s="33">
        <f>'Dados - Beneficiarias'!B171</f>
        <v>0</v>
      </c>
      <c r="C171" s="33">
        <f>'Dados - Beneficiarias'!C171</f>
        <v>0</v>
      </c>
      <c r="D171" s="33">
        <f>'Dados - Beneficiarias'!D171</f>
        <v>0</v>
      </c>
      <c r="E171" s="33">
        <f>'Dados - Beneficiarias'!E171</f>
        <v>0</v>
      </c>
    </row>
    <row r="172" spans="1:5" ht="15.5" x14ac:dyDescent="0.35">
      <c r="A172" s="33">
        <f>'Dados - Beneficiarias'!A172</f>
        <v>0</v>
      </c>
      <c r="B172" s="33">
        <f>'Dados - Beneficiarias'!B172</f>
        <v>0</v>
      </c>
      <c r="C172" s="33">
        <f>'Dados - Beneficiarias'!C172</f>
        <v>0</v>
      </c>
      <c r="D172" s="33">
        <f>'Dados - Beneficiarias'!D172</f>
        <v>0</v>
      </c>
      <c r="E172" s="33">
        <f>'Dados - Beneficiarias'!E172</f>
        <v>0</v>
      </c>
    </row>
    <row r="173" spans="1:5" ht="15.5" x14ac:dyDescent="0.35">
      <c r="A173" s="33">
        <f>'Dados - Beneficiarias'!A173</f>
        <v>0</v>
      </c>
      <c r="B173" s="33">
        <f>'Dados - Beneficiarias'!B173</f>
        <v>0</v>
      </c>
      <c r="C173" s="33">
        <f>'Dados - Beneficiarias'!C173</f>
        <v>0</v>
      </c>
      <c r="D173" s="33">
        <f>'Dados - Beneficiarias'!D173</f>
        <v>0</v>
      </c>
      <c r="E173" s="33">
        <f>'Dados - Beneficiarias'!E173</f>
        <v>0</v>
      </c>
    </row>
    <row r="174" spans="1:5" ht="15.5" x14ac:dyDescent="0.35">
      <c r="A174" s="33">
        <f>'Dados - Beneficiarias'!A174</f>
        <v>0</v>
      </c>
      <c r="B174" s="33">
        <f>'Dados - Beneficiarias'!B174</f>
        <v>0</v>
      </c>
      <c r="C174" s="33">
        <f>'Dados - Beneficiarias'!C174</f>
        <v>0</v>
      </c>
      <c r="D174" s="33">
        <f>'Dados - Beneficiarias'!D174</f>
        <v>0</v>
      </c>
      <c r="E174" s="33">
        <f>'Dados - Beneficiarias'!E174</f>
        <v>0</v>
      </c>
    </row>
    <row r="175" spans="1:5" ht="15.5" x14ac:dyDescent="0.35">
      <c r="A175" s="33">
        <f>'Dados - Beneficiarias'!A175</f>
        <v>0</v>
      </c>
      <c r="B175" s="33">
        <f>'Dados - Beneficiarias'!B175</f>
        <v>0</v>
      </c>
      <c r="C175" s="33">
        <f>'Dados - Beneficiarias'!C175</f>
        <v>0</v>
      </c>
      <c r="D175" s="33">
        <f>'Dados - Beneficiarias'!D175</f>
        <v>0</v>
      </c>
      <c r="E175" s="33">
        <f>'Dados - Beneficiarias'!E175</f>
        <v>0</v>
      </c>
    </row>
    <row r="176" spans="1:5" ht="15.5" x14ac:dyDescent="0.35">
      <c r="A176" s="33">
        <f>'Dados - Beneficiarias'!A176</f>
        <v>0</v>
      </c>
      <c r="B176" s="33">
        <f>'Dados - Beneficiarias'!B176</f>
        <v>0</v>
      </c>
      <c r="C176" s="33">
        <f>'Dados - Beneficiarias'!C176</f>
        <v>0</v>
      </c>
      <c r="D176" s="33">
        <f>'Dados - Beneficiarias'!D176</f>
        <v>0</v>
      </c>
      <c r="E176" s="33">
        <f>'Dados - Beneficiarias'!E176</f>
        <v>0</v>
      </c>
    </row>
    <row r="177" spans="1:5" ht="15.5" x14ac:dyDescent="0.35">
      <c r="A177" s="33">
        <f>'Dados - Beneficiarias'!A177</f>
        <v>0</v>
      </c>
      <c r="B177" s="33">
        <f>'Dados - Beneficiarias'!B177</f>
        <v>0</v>
      </c>
      <c r="C177" s="33">
        <f>'Dados - Beneficiarias'!C177</f>
        <v>0</v>
      </c>
      <c r="D177" s="33">
        <f>'Dados - Beneficiarias'!D177</f>
        <v>0</v>
      </c>
      <c r="E177" s="33">
        <f>'Dados - Beneficiarias'!E177</f>
        <v>0</v>
      </c>
    </row>
    <row r="178" spans="1:5" ht="15.5" x14ac:dyDescent="0.35">
      <c r="A178" s="33">
        <f>'Dados - Beneficiarias'!A178</f>
        <v>0</v>
      </c>
      <c r="B178" s="33">
        <f>'Dados - Beneficiarias'!B178</f>
        <v>0</v>
      </c>
      <c r="C178" s="33">
        <f>'Dados - Beneficiarias'!C178</f>
        <v>0</v>
      </c>
      <c r="D178" s="33">
        <f>'Dados - Beneficiarias'!D178</f>
        <v>0</v>
      </c>
      <c r="E178" s="33">
        <f>'Dados - Beneficiarias'!E178</f>
        <v>0</v>
      </c>
    </row>
    <row r="179" spans="1:5" ht="15.5" x14ac:dyDescent="0.35">
      <c r="A179" s="33">
        <f>'Dados - Beneficiarias'!A179</f>
        <v>0</v>
      </c>
      <c r="B179" s="33">
        <f>'Dados - Beneficiarias'!B179</f>
        <v>0</v>
      </c>
      <c r="C179" s="33">
        <f>'Dados - Beneficiarias'!C179</f>
        <v>0</v>
      </c>
      <c r="D179" s="33">
        <f>'Dados - Beneficiarias'!D179</f>
        <v>0</v>
      </c>
      <c r="E179" s="33">
        <f>'Dados - Beneficiarias'!E179</f>
        <v>0</v>
      </c>
    </row>
    <row r="180" spans="1:5" ht="15.5" x14ac:dyDescent="0.35">
      <c r="A180" s="33">
        <f>'Dados - Beneficiarias'!A180</f>
        <v>0</v>
      </c>
      <c r="B180" s="33">
        <f>'Dados - Beneficiarias'!B180</f>
        <v>0</v>
      </c>
      <c r="C180" s="33">
        <f>'Dados - Beneficiarias'!C180</f>
        <v>0</v>
      </c>
      <c r="D180" s="33">
        <f>'Dados - Beneficiarias'!D180</f>
        <v>0</v>
      </c>
      <c r="E180" s="33">
        <f>'Dados - Beneficiarias'!E180</f>
        <v>0</v>
      </c>
    </row>
    <row r="181" spans="1:5" ht="15.5" x14ac:dyDescent="0.35">
      <c r="A181" s="33">
        <f>'Dados - Beneficiarias'!A181</f>
        <v>0</v>
      </c>
      <c r="B181" s="33">
        <f>'Dados - Beneficiarias'!B181</f>
        <v>0</v>
      </c>
      <c r="C181" s="33">
        <f>'Dados - Beneficiarias'!C181</f>
        <v>0</v>
      </c>
      <c r="D181" s="33">
        <f>'Dados - Beneficiarias'!D181</f>
        <v>0</v>
      </c>
      <c r="E181" s="33">
        <f>'Dados - Beneficiarias'!E181</f>
        <v>0</v>
      </c>
    </row>
    <row r="182" spans="1:5" ht="15.5" x14ac:dyDescent="0.35">
      <c r="A182" s="33">
        <f>'Dados - Beneficiarias'!A182</f>
        <v>0</v>
      </c>
      <c r="B182" s="33">
        <f>'Dados - Beneficiarias'!B182</f>
        <v>0</v>
      </c>
      <c r="C182" s="33">
        <f>'Dados - Beneficiarias'!C182</f>
        <v>0</v>
      </c>
      <c r="D182" s="33">
        <f>'Dados - Beneficiarias'!D182</f>
        <v>0</v>
      </c>
      <c r="E182" s="33">
        <f>'Dados - Beneficiarias'!E182</f>
        <v>0</v>
      </c>
    </row>
    <row r="183" spans="1:5" ht="15.5" x14ac:dyDescent="0.35">
      <c r="A183" s="33">
        <f>'Dados - Beneficiarias'!A183</f>
        <v>0</v>
      </c>
      <c r="B183" s="33">
        <f>'Dados - Beneficiarias'!B183</f>
        <v>0</v>
      </c>
      <c r="C183" s="33">
        <f>'Dados - Beneficiarias'!C183</f>
        <v>0</v>
      </c>
      <c r="D183" s="33">
        <f>'Dados - Beneficiarias'!D183</f>
        <v>0</v>
      </c>
      <c r="E183" s="33">
        <f>'Dados - Beneficiarias'!E183</f>
        <v>0</v>
      </c>
    </row>
    <row r="184" spans="1:5" ht="15.5" x14ac:dyDescent="0.35">
      <c r="A184" s="33">
        <f>'Dados - Beneficiarias'!A184</f>
        <v>0</v>
      </c>
      <c r="B184" s="33">
        <f>'Dados - Beneficiarias'!B184</f>
        <v>0</v>
      </c>
      <c r="C184" s="33">
        <f>'Dados - Beneficiarias'!C184</f>
        <v>0</v>
      </c>
      <c r="D184" s="33">
        <f>'Dados - Beneficiarias'!D184</f>
        <v>0</v>
      </c>
      <c r="E184" s="33">
        <f>'Dados - Beneficiarias'!E184</f>
        <v>0</v>
      </c>
    </row>
    <row r="185" spans="1:5" ht="15.5" x14ac:dyDescent="0.35">
      <c r="A185" s="33">
        <f>'Dados - Beneficiarias'!A185</f>
        <v>0</v>
      </c>
      <c r="B185" s="33">
        <f>'Dados - Beneficiarias'!B185</f>
        <v>0</v>
      </c>
      <c r="C185" s="33">
        <f>'Dados - Beneficiarias'!C185</f>
        <v>0</v>
      </c>
      <c r="D185" s="33">
        <f>'Dados - Beneficiarias'!D185</f>
        <v>0</v>
      </c>
      <c r="E185" s="33">
        <f>'Dados - Beneficiarias'!E185</f>
        <v>0</v>
      </c>
    </row>
    <row r="186" spans="1:5" ht="15.5" x14ac:dyDescent="0.35">
      <c r="A186" s="33">
        <f>'Dados - Beneficiarias'!A186</f>
        <v>0</v>
      </c>
      <c r="B186" s="33">
        <f>'Dados - Beneficiarias'!B186</f>
        <v>0</v>
      </c>
      <c r="C186" s="33">
        <f>'Dados - Beneficiarias'!C186</f>
        <v>0</v>
      </c>
      <c r="D186" s="33">
        <f>'Dados - Beneficiarias'!D186</f>
        <v>0</v>
      </c>
      <c r="E186" s="33">
        <f>'Dados - Beneficiarias'!E186</f>
        <v>0</v>
      </c>
    </row>
    <row r="187" spans="1:5" ht="15.5" x14ac:dyDescent="0.35">
      <c r="A187" s="33">
        <f>'Dados - Beneficiarias'!A187</f>
        <v>0</v>
      </c>
      <c r="B187" s="33">
        <f>'Dados - Beneficiarias'!B187</f>
        <v>0</v>
      </c>
      <c r="C187" s="33">
        <f>'Dados - Beneficiarias'!C187</f>
        <v>0</v>
      </c>
      <c r="D187" s="33">
        <f>'Dados - Beneficiarias'!D187</f>
        <v>0</v>
      </c>
      <c r="E187" s="33">
        <f>'Dados - Beneficiarias'!E187</f>
        <v>0</v>
      </c>
    </row>
    <row r="188" spans="1:5" ht="15.5" x14ac:dyDescent="0.35">
      <c r="A188" s="33">
        <f>'Dados - Beneficiarias'!A188</f>
        <v>0</v>
      </c>
      <c r="B188" s="33">
        <f>'Dados - Beneficiarias'!B188</f>
        <v>0</v>
      </c>
      <c r="C188" s="33">
        <f>'Dados - Beneficiarias'!C188</f>
        <v>0</v>
      </c>
      <c r="D188" s="33">
        <f>'Dados - Beneficiarias'!D188</f>
        <v>0</v>
      </c>
      <c r="E188" s="33">
        <f>'Dados - Beneficiarias'!E188</f>
        <v>0</v>
      </c>
    </row>
    <row r="189" spans="1:5" ht="15.5" x14ac:dyDescent="0.35">
      <c r="A189" s="33">
        <f>'Dados - Beneficiarias'!A189</f>
        <v>0</v>
      </c>
      <c r="B189" s="33">
        <f>'Dados - Beneficiarias'!B189</f>
        <v>0</v>
      </c>
      <c r="C189" s="33">
        <f>'Dados - Beneficiarias'!C189</f>
        <v>0</v>
      </c>
      <c r="D189" s="33">
        <f>'Dados - Beneficiarias'!D189</f>
        <v>0</v>
      </c>
      <c r="E189" s="33">
        <f>'Dados - Beneficiarias'!E189</f>
        <v>0</v>
      </c>
    </row>
    <row r="190" spans="1:5" ht="15.5" x14ac:dyDescent="0.35">
      <c r="A190" s="33">
        <f>'Dados - Beneficiarias'!A190</f>
        <v>0</v>
      </c>
      <c r="B190" s="33">
        <f>'Dados - Beneficiarias'!B190</f>
        <v>0</v>
      </c>
      <c r="C190" s="33">
        <f>'Dados - Beneficiarias'!C190</f>
        <v>0</v>
      </c>
      <c r="D190" s="33">
        <f>'Dados - Beneficiarias'!D190</f>
        <v>0</v>
      </c>
      <c r="E190" s="33">
        <f>'Dados - Beneficiarias'!E190</f>
        <v>0</v>
      </c>
    </row>
    <row r="191" spans="1:5" ht="15.5" x14ac:dyDescent="0.35">
      <c r="A191" s="33">
        <f>'Dados - Beneficiarias'!A191</f>
        <v>0</v>
      </c>
      <c r="B191" s="33">
        <f>'Dados - Beneficiarias'!B191</f>
        <v>0</v>
      </c>
      <c r="C191" s="33">
        <f>'Dados - Beneficiarias'!C191</f>
        <v>0</v>
      </c>
      <c r="D191" s="33">
        <f>'Dados - Beneficiarias'!D191</f>
        <v>0</v>
      </c>
      <c r="E191" s="33">
        <f>'Dados - Beneficiarias'!E191</f>
        <v>0</v>
      </c>
    </row>
    <row r="192" spans="1:5" ht="15.5" x14ac:dyDescent="0.35">
      <c r="A192" s="33">
        <f>'Dados - Beneficiarias'!A192</f>
        <v>0</v>
      </c>
      <c r="B192" s="33">
        <f>'Dados - Beneficiarias'!B192</f>
        <v>0</v>
      </c>
      <c r="C192" s="33">
        <f>'Dados - Beneficiarias'!C192</f>
        <v>0</v>
      </c>
      <c r="D192" s="33">
        <f>'Dados - Beneficiarias'!D192</f>
        <v>0</v>
      </c>
      <c r="E192" s="33">
        <f>'Dados - Beneficiarias'!E192</f>
        <v>0</v>
      </c>
    </row>
    <row r="193" spans="1:5" ht="15.5" x14ac:dyDescent="0.35">
      <c r="A193" s="33">
        <f>'Dados - Beneficiarias'!A193</f>
        <v>0</v>
      </c>
      <c r="B193" s="33">
        <f>'Dados - Beneficiarias'!B193</f>
        <v>0</v>
      </c>
      <c r="C193" s="33">
        <f>'Dados - Beneficiarias'!C193</f>
        <v>0</v>
      </c>
      <c r="D193" s="33">
        <f>'Dados - Beneficiarias'!D193</f>
        <v>0</v>
      </c>
      <c r="E193" s="33">
        <f>'Dados - Beneficiarias'!E193</f>
        <v>0</v>
      </c>
    </row>
    <row r="194" spans="1:5" ht="15.5" x14ac:dyDescent="0.35">
      <c r="A194" s="33">
        <f>'Dados - Beneficiarias'!A194</f>
        <v>0</v>
      </c>
      <c r="B194" s="33">
        <f>'Dados - Beneficiarias'!B194</f>
        <v>0</v>
      </c>
      <c r="C194" s="33">
        <f>'Dados - Beneficiarias'!C194</f>
        <v>0</v>
      </c>
      <c r="D194" s="33">
        <f>'Dados - Beneficiarias'!D194</f>
        <v>0</v>
      </c>
      <c r="E194" s="33">
        <f>'Dados - Beneficiarias'!E194</f>
        <v>0</v>
      </c>
    </row>
    <row r="195" spans="1:5" ht="15.5" x14ac:dyDescent="0.35">
      <c r="A195" s="33">
        <f>'Dados - Beneficiarias'!A195</f>
        <v>0</v>
      </c>
      <c r="B195" s="33">
        <f>'Dados - Beneficiarias'!B195</f>
        <v>0</v>
      </c>
      <c r="C195" s="33">
        <f>'Dados - Beneficiarias'!C195</f>
        <v>0</v>
      </c>
      <c r="D195" s="33">
        <f>'Dados - Beneficiarias'!D195</f>
        <v>0</v>
      </c>
      <c r="E195" s="33">
        <f>'Dados - Beneficiarias'!E195</f>
        <v>0</v>
      </c>
    </row>
    <row r="196" spans="1:5" ht="15.5" x14ac:dyDescent="0.35">
      <c r="A196" s="33">
        <f>'Dados - Beneficiarias'!A196</f>
        <v>0</v>
      </c>
      <c r="B196" s="33">
        <f>'Dados - Beneficiarias'!B196</f>
        <v>0</v>
      </c>
      <c r="C196" s="33">
        <f>'Dados - Beneficiarias'!C196</f>
        <v>0</v>
      </c>
      <c r="D196" s="33">
        <f>'Dados - Beneficiarias'!D196</f>
        <v>0</v>
      </c>
      <c r="E196" s="33">
        <f>'Dados - Beneficiarias'!E196</f>
        <v>0</v>
      </c>
    </row>
    <row r="197" spans="1:5" ht="15.5" x14ac:dyDescent="0.35">
      <c r="A197" s="33">
        <f>'Dados - Beneficiarias'!A197</f>
        <v>0</v>
      </c>
      <c r="B197" s="33">
        <f>'Dados - Beneficiarias'!B197</f>
        <v>0</v>
      </c>
      <c r="C197" s="33">
        <f>'Dados - Beneficiarias'!C197</f>
        <v>0</v>
      </c>
      <c r="D197" s="33">
        <f>'Dados - Beneficiarias'!D197</f>
        <v>0</v>
      </c>
      <c r="E197" s="33">
        <f>'Dados - Beneficiarias'!E197</f>
        <v>0</v>
      </c>
    </row>
    <row r="198" spans="1:5" ht="15.5" x14ac:dyDescent="0.35">
      <c r="A198" s="33">
        <f>'Dados - Beneficiarias'!A198</f>
        <v>0</v>
      </c>
      <c r="B198" s="33">
        <f>'Dados - Beneficiarias'!B198</f>
        <v>0</v>
      </c>
      <c r="C198" s="33">
        <f>'Dados - Beneficiarias'!C198</f>
        <v>0</v>
      </c>
      <c r="D198" s="33">
        <f>'Dados - Beneficiarias'!D198</f>
        <v>0</v>
      </c>
      <c r="E198" s="33">
        <f>'Dados - Beneficiarias'!E198</f>
        <v>0</v>
      </c>
    </row>
    <row r="199" spans="1:5" ht="15.5" x14ac:dyDescent="0.35">
      <c r="A199" s="33">
        <f>'Dados - Beneficiarias'!A199</f>
        <v>0</v>
      </c>
      <c r="B199" s="33">
        <f>'Dados - Beneficiarias'!B199</f>
        <v>0</v>
      </c>
      <c r="C199" s="33">
        <f>'Dados - Beneficiarias'!C199</f>
        <v>0</v>
      </c>
      <c r="D199" s="33">
        <f>'Dados - Beneficiarias'!D199</f>
        <v>0</v>
      </c>
      <c r="E199" s="33">
        <f>'Dados - Beneficiarias'!E199</f>
        <v>0</v>
      </c>
    </row>
    <row r="200" spans="1:5" ht="15.5" x14ac:dyDescent="0.35">
      <c r="A200" s="33">
        <f>'Dados - Beneficiarias'!A200</f>
        <v>0</v>
      </c>
      <c r="B200" s="33">
        <f>'Dados - Beneficiarias'!B200</f>
        <v>0</v>
      </c>
      <c r="C200" s="33">
        <f>'Dados - Beneficiarias'!C200</f>
        <v>0</v>
      </c>
      <c r="D200" s="33">
        <f>'Dados - Beneficiarias'!D200</f>
        <v>0</v>
      </c>
      <c r="E200" s="33">
        <f>'Dados - Beneficiarias'!E200</f>
        <v>0</v>
      </c>
    </row>
    <row r="201" spans="1:5" ht="15.5" x14ac:dyDescent="0.35">
      <c r="A201" s="33">
        <f>'Dados - Beneficiarias'!A201</f>
        <v>0</v>
      </c>
      <c r="B201" s="33">
        <f>'Dados - Beneficiarias'!B201</f>
        <v>0</v>
      </c>
      <c r="C201" s="33">
        <f>'Dados - Beneficiarias'!C201</f>
        <v>0</v>
      </c>
      <c r="D201" s="33">
        <f>'Dados - Beneficiarias'!D201</f>
        <v>0</v>
      </c>
      <c r="E201" s="33">
        <f>'Dados - Beneficiarias'!E201</f>
        <v>0</v>
      </c>
    </row>
    <row r="202" spans="1:5" ht="15.5" x14ac:dyDescent="0.35">
      <c r="A202" s="33">
        <f>'Dados - Beneficiarias'!A202</f>
        <v>0</v>
      </c>
      <c r="B202" s="33">
        <f>'Dados - Beneficiarias'!B202</f>
        <v>0</v>
      </c>
      <c r="C202" s="33">
        <f>'Dados - Beneficiarias'!C202</f>
        <v>0</v>
      </c>
      <c r="D202" s="33">
        <f>'Dados - Beneficiarias'!D202</f>
        <v>0</v>
      </c>
      <c r="E202" s="33">
        <f>'Dados - Beneficiarias'!E202</f>
        <v>0</v>
      </c>
    </row>
    <row r="203" spans="1:5" ht="15.5" x14ac:dyDescent="0.35">
      <c r="A203" s="33">
        <f>'Dados - Beneficiarias'!A203</f>
        <v>0</v>
      </c>
      <c r="B203" s="33">
        <f>'Dados - Beneficiarias'!B203</f>
        <v>0</v>
      </c>
      <c r="C203" s="33">
        <f>'Dados - Beneficiarias'!C203</f>
        <v>0</v>
      </c>
      <c r="D203" s="33">
        <f>'Dados - Beneficiarias'!D203</f>
        <v>0</v>
      </c>
      <c r="E203" s="33">
        <f>'Dados - Beneficiarias'!E203</f>
        <v>0</v>
      </c>
    </row>
    <row r="204" spans="1:5" ht="15.5" x14ac:dyDescent="0.35">
      <c r="A204" s="33">
        <f>'Dados - Beneficiarias'!A204</f>
        <v>0</v>
      </c>
      <c r="B204" s="33">
        <f>'Dados - Beneficiarias'!B204</f>
        <v>0</v>
      </c>
      <c r="C204" s="33">
        <f>'Dados - Beneficiarias'!C204</f>
        <v>0</v>
      </c>
      <c r="D204" s="33">
        <f>'Dados - Beneficiarias'!D204</f>
        <v>0</v>
      </c>
      <c r="E204" s="33">
        <f>'Dados - Beneficiarias'!E204</f>
        <v>0</v>
      </c>
    </row>
    <row r="205" spans="1:5" ht="15.5" x14ac:dyDescent="0.35">
      <c r="A205" s="33">
        <f>'Dados - Beneficiarias'!A205</f>
        <v>0</v>
      </c>
      <c r="B205" s="33">
        <f>'Dados - Beneficiarias'!B205</f>
        <v>0</v>
      </c>
      <c r="C205" s="33">
        <f>'Dados - Beneficiarias'!C205</f>
        <v>0</v>
      </c>
      <c r="D205" s="33">
        <f>'Dados - Beneficiarias'!D205</f>
        <v>0</v>
      </c>
      <c r="E205" s="33">
        <f>'Dados - Beneficiarias'!E205</f>
        <v>0</v>
      </c>
    </row>
    <row r="206" spans="1:5" ht="15.5" x14ac:dyDescent="0.35">
      <c r="A206" s="33">
        <f>'Dados - Beneficiarias'!A206</f>
        <v>0</v>
      </c>
      <c r="B206" s="33">
        <f>'Dados - Beneficiarias'!B206</f>
        <v>0</v>
      </c>
      <c r="C206" s="33">
        <f>'Dados - Beneficiarias'!C206</f>
        <v>0</v>
      </c>
      <c r="D206" s="33">
        <f>'Dados - Beneficiarias'!D206</f>
        <v>0</v>
      </c>
      <c r="E206" s="33">
        <f>'Dados - Beneficiarias'!E206</f>
        <v>0</v>
      </c>
    </row>
    <row r="207" spans="1:5" ht="15.5" x14ac:dyDescent="0.35">
      <c r="A207" s="33">
        <f>'Dados - Beneficiarias'!A207</f>
        <v>0</v>
      </c>
      <c r="B207" s="33">
        <f>'Dados - Beneficiarias'!B207</f>
        <v>0</v>
      </c>
      <c r="C207" s="33">
        <f>'Dados - Beneficiarias'!C207</f>
        <v>0</v>
      </c>
      <c r="D207" s="33">
        <f>'Dados - Beneficiarias'!D207</f>
        <v>0</v>
      </c>
      <c r="E207" s="33">
        <f>'Dados - Beneficiarias'!E207</f>
        <v>0</v>
      </c>
    </row>
    <row r="208" spans="1:5" ht="15.5" x14ac:dyDescent="0.35">
      <c r="A208" s="33">
        <f>'Dados - Beneficiarias'!A208</f>
        <v>0</v>
      </c>
      <c r="B208" s="33">
        <f>'Dados - Beneficiarias'!B208</f>
        <v>0</v>
      </c>
      <c r="C208" s="33">
        <f>'Dados - Beneficiarias'!C208</f>
        <v>0</v>
      </c>
      <c r="D208" s="33">
        <f>'Dados - Beneficiarias'!D208</f>
        <v>0</v>
      </c>
      <c r="E208" s="33">
        <f>'Dados - Beneficiarias'!E208</f>
        <v>0</v>
      </c>
    </row>
    <row r="209" spans="1:5" ht="15.5" x14ac:dyDescent="0.35">
      <c r="A209" s="33">
        <f>'Dados - Beneficiarias'!A209</f>
        <v>0</v>
      </c>
      <c r="B209" s="33">
        <f>'Dados - Beneficiarias'!B209</f>
        <v>0</v>
      </c>
      <c r="C209" s="33">
        <f>'Dados - Beneficiarias'!C209</f>
        <v>0</v>
      </c>
      <c r="D209" s="33">
        <f>'Dados - Beneficiarias'!D209</f>
        <v>0</v>
      </c>
      <c r="E209" s="33">
        <f>'Dados - Beneficiarias'!E209</f>
        <v>0</v>
      </c>
    </row>
    <row r="210" spans="1:5" ht="15.5" x14ac:dyDescent="0.35">
      <c r="A210" s="33">
        <f>'Dados - Beneficiarias'!A210</f>
        <v>0</v>
      </c>
      <c r="B210" s="33">
        <f>'Dados - Beneficiarias'!B210</f>
        <v>0</v>
      </c>
      <c r="C210" s="33">
        <f>'Dados - Beneficiarias'!C210</f>
        <v>0</v>
      </c>
      <c r="D210" s="33">
        <f>'Dados - Beneficiarias'!D210</f>
        <v>0</v>
      </c>
      <c r="E210" s="33">
        <f>'Dados - Beneficiarias'!E210</f>
        <v>0</v>
      </c>
    </row>
    <row r="211" spans="1:5" ht="15.5" x14ac:dyDescent="0.35">
      <c r="A211" s="33">
        <f>'Dados - Beneficiarias'!A211</f>
        <v>0</v>
      </c>
      <c r="B211" s="33">
        <f>'Dados - Beneficiarias'!B211</f>
        <v>0</v>
      </c>
      <c r="C211" s="33">
        <f>'Dados - Beneficiarias'!C211</f>
        <v>0</v>
      </c>
      <c r="D211" s="33">
        <f>'Dados - Beneficiarias'!D211</f>
        <v>0</v>
      </c>
      <c r="E211" s="33">
        <f>'Dados - Beneficiarias'!E211</f>
        <v>0</v>
      </c>
    </row>
    <row r="212" spans="1:5" ht="15.5" x14ac:dyDescent="0.35">
      <c r="A212" s="33">
        <f>'Dados - Beneficiarias'!A212</f>
        <v>0</v>
      </c>
      <c r="B212" s="33">
        <f>'Dados - Beneficiarias'!B212</f>
        <v>0</v>
      </c>
      <c r="C212" s="33">
        <f>'Dados - Beneficiarias'!C212</f>
        <v>0</v>
      </c>
      <c r="D212" s="33">
        <f>'Dados - Beneficiarias'!D212</f>
        <v>0</v>
      </c>
      <c r="E212" s="33">
        <f>'Dados - Beneficiarias'!E212</f>
        <v>0</v>
      </c>
    </row>
    <row r="213" spans="1:5" ht="15.5" x14ac:dyDescent="0.35">
      <c r="A213" s="33">
        <f>'Dados - Beneficiarias'!A213</f>
        <v>0</v>
      </c>
      <c r="B213" s="33">
        <f>'Dados - Beneficiarias'!B213</f>
        <v>0</v>
      </c>
      <c r="C213" s="33">
        <f>'Dados - Beneficiarias'!C213</f>
        <v>0</v>
      </c>
      <c r="D213" s="33">
        <f>'Dados - Beneficiarias'!D213</f>
        <v>0</v>
      </c>
      <c r="E213" s="33">
        <f>'Dados - Beneficiarias'!E213</f>
        <v>0</v>
      </c>
    </row>
    <row r="214" spans="1:5" ht="15.5" x14ac:dyDescent="0.35">
      <c r="A214" s="33">
        <f>'Dados - Beneficiarias'!A214</f>
        <v>0</v>
      </c>
      <c r="B214" s="33">
        <f>'Dados - Beneficiarias'!B214</f>
        <v>0</v>
      </c>
      <c r="C214" s="33">
        <f>'Dados - Beneficiarias'!C214</f>
        <v>0</v>
      </c>
      <c r="D214" s="33">
        <f>'Dados - Beneficiarias'!D214</f>
        <v>0</v>
      </c>
      <c r="E214" s="33">
        <f>'Dados - Beneficiarias'!E214</f>
        <v>0</v>
      </c>
    </row>
    <row r="215" spans="1:5" ht="15.5" x14ac:dyDescent="0.35">
      <c r="A215" s="33">
        <f>'Dados - Beneficiarias'!A215</f>
        <v>0</v>
      </c>
      <c r="B215" s="33">
        <f>'Dados - Beneficiarias'!B215</f>
        <v>0</v>
      </c>
      <c r="C215" s="33">
        <f>'Dados - Beneficiarias'!C215</f>
        <v>0</v>
      </c>
      <c r="D215" s="33">
        <f>'Dados - Beneficiarias'!D215</f>
        <v>0</v>
      </c>
      <c r="E215" s="33">
        <f>'Dados - Beneficiarias'!E215</f>
        <v>0</v>
      </c>
    </row>
    <row r="216" spans="1:5" ht="15.5" x14ac:dyDescent="0.35">
      <c r="A216" s="33">
        <f>'Dados - Beneficiarias'!A216</f>
        <v>0</v>
      </c>
      <c r="B216" s="33">
        <f>'Dados - Beneficiarias'!B216</f>
        <v>0</v>
      </c>
      <c r="C216" s="33">
        <f>'Dados - Beneficiarias'!C216</f>
        <v>0</v>
      </c>
      <c r="D216" s="33">
        <f>'Dados - Beneficiarias'!D216</f>
        <v>0</v>
      </c>
      <c r="E216" s="33">
        <f>'Dados - Beneficiarias'!E216</f>
        <v>0</v>
      </c>
    </row>
    <row r="217" spans="1:5" ht="15.5" x14ac:dyDescent="0.35">
      <c r="A217" s="33">
        <f>'Dados - Beneficiarias'!A217</f>
        <v>0</v>
      </c>
      <c r="B217" s="33">
        <f>'Dados - Beneficiarias'!B217</f>
        <v>0</v>
      </c>
      <c r="C217" s="33">
        <f>'Dados - Beneficiarias'!C217</f>
        <v>0</v>
      </c>
      <c r="D217" s="33">
        <f>'Dados - Beneficiarias'!D217</f>
        <v>0</v>
      </c>
      <c r="E217" s="33">
        <f>'Dados - Beneficiarias'!E217</f>
        <v>0</v>
      </c>
    </row>
    <row r="218" spans="1:5" ht="15.5" x14ac:dyDescent="0.35">
      <c r="A218" s="33">
        <f>'Dados - Beneficiarias'!A218</f>
        <v>0</v>
      </c>
      <c r="B218" s="33">
        <f>'Dados - Beneficiarias'!B218</f>
        <v>0</v>
      </c>
      <c r="C218" s="33">
        <f>'Dados - Beneficiarias'!C218</f>
        <v>0</v>
      </c>
      <c r="D218" s="33">
        <f>'Dados - Beneficiarias'!D218</f>
        <v>0</v>
      </c>
      <c r="E218" s="33">
        <f>'Dados - Beneficiarias'!E218</f>
        <v>0</v>
      </c>
    </row>
    <row r="219" spans="1:5" ht="15.5" x14ac:dyDescent="0.35">
      <c r="A219" s="33">
        <f>'Dados - Beneficiarias'!A219</f>
        <v>0</v>
      </c>
      <c r="B219" s="33">
        <f>'Dados - Beneficiarias'!B219</f>
        <v>0</v>
      </c>
      <c r="C219" s="33">
        <f>'Dados - Beneficiarias'!C219</f>
        <v>0</v>
      </c>
      <c r="D219" s="33">
        <f>'Dados - Beneficiarias'!D219</f>
        <v>0</v>
      </c>
      <c r="E219" s="33">
        <f>'Dados - Beneficiarias'!E219</f>
        <v>0</v>
      </c>
    </row>
    <row r="220" spans="1:5" ht="15.5" x14ac:dyDescent="0.35">
      <c r="A220" s="33">
        <f>'Dados - Beneficiarias'!A220</f>
        <v>0</v>
      </c>
      <c r="B220" s="33">
        <f>'Dados - Beneficiarias'!B220</f>
        <v>0</v>
      </c>
      <c r="C220" s="33">
        <f>'Dados - Beneficiarias'!C220</f>
        <v>0</v>
      </c>
      <c r="D220" s="33">
        <f>'Dados - Beneficiarias'!D220</f>
        <v>0</v>
      </c>
      <c r="E220" s="33">
        <f>'Dados - Beneficiarias'!E220</f>
        <v>0</v>
      </c>
    </row>
    <row r="221" spans="1:5" ht="15.5" x14ac:dyDescent="0.35">
      <c r="A221" s="33">
        <f>'Dados - Beneficiarias'!A221</f>
        <v>0</v>
      </c>
      <c r="B221" s="33">
        <f>'Dados - Beneficiarias'!B221</f>
        <v>0</v>
      </c>
      <c r="C221" s="33">
        <f>'Dados - Beneficiarias'!C221</f>
        <v>0</v>
      </c>
      <c r="D221" s="33">
        <f>'Dados - Beneficiarias'!D221</f>
        <v>0</v>
      </c>
      <c r="E221" s="33">
        <f>'Dados - Beneficiarias'!E221</f>
        <v>0</v>
      </c>
    </row>
    <row r="222" spans="1:5" ht="15.5" x14ac:dyDescent="0.35">
      <c r="A222" s="33">
        <f>'Dados - Beneficiarias'!A222</f>
        <v>0</v>
      </c>
      <c r="B222" s="33">
        <f>'Dados - Beneficiarias'!B222</f>
        <v>0</v>
      </c>
      <c r="C222" s="33">
        <f>'Dados - Beneficiarias'!C222</f>
        <v>0</v>
      </c>
      <c r="D222" s="33">
        <f>'Dados - Beneficiarias'!D222</f>
        <v>0</v>
      </c>
      <c r="E222" s="33">
        <f>'Dados - Beneficiarias'!E222</f>
        <v>0</v>
      </c>
    </row>
    <row r="223" spans="1:5" ht="15.5" x14ac:dyDescent="0.35">
      <c r="A223" s="33">
        <f>'Dados - Beneficiarias'!A223</f>
        <v>0</v>
      </c>
      <c r="B223" s="33">
        <f>'Dados - Beneficiarias'!B223</f>
        <v>0</v>
      </c>
      <c r="C223" s="33">
        <f>'Dados - Beneficiarias'!C223</f>
        <v>0</v>
      </c>
      <c r="D223" s="33">
        <f>'Dados - Beneficiarias'!D223</f>
        <v>0</v>
      </c>
      <c r="E223" s="33">
        <f>'Dados - Beneficiarias'!E223</f>
        <v>0</v>
      </c>
    </row>
    <row r="224" spans="1:5" ht="15.5" x14ac:dyDescent="0.35">
      <c r="A224" s="33">
        <f>'Dados - Beneficiarias'!A224</f>
        <v>0</v>
      </c>
      <c r="B224" s="33">
        <f>'Dados - Beneficiarias'!B224</f>
        <v>0</v>
      </c>
      <c r="C224" s="33">
        <f>'Dados - Beneficiarias'!C224</f>
        <v>0</v>
      </c>
      <c r="D224" s="33">
        <f>'Dados - Beneficiarias'!D224</f>
        <v>0</v>
      </c>
      <c r="E224" s="33">
        <f>'Dados - Beneficiarias'!E224</f>
        <v>0</v>
      </c>
    </row>
    <row r="225" spans="1:5" ht="15.5" x14ac:dyDescent="0.35">
      <c r="A225" s="33">
        <f>'Dados - Beneficiarias'!A225</f>
        <v>0</v>
      </c>
      <c r="B225" s="33">
        <f>'Dados - Beneficiarias'!B225</f>
        <v>0</v>
      </c>
      <c r="C225" s="33">
        <f>'Dados - Beneficiarias'!C225</f>
        <v>0</v>
      </c>
      <c r="D225" s="33">
        <f>'Dados - Beneficiarias'!D225</f>
        <v>0</v>
      </c>
      <c r="E225" s="33">
        <f>'Dados - Beneficiarias'!E225</f>
        <v>0</v>
      </c>
    </row>
    <row r="226" spans="1:5" ht="15.5" x14ac:dyDescent="0.35">
      <c r="A226" s="33">
        <f>'Dados - Beneficiarias'!A226</f>
        <v>0</v>
      </c>
      <c r="B226" s="33">
        <f>'Dados - Beneficiarias'!B226</f>
        <v>0</v>
      </c>
      <c r="C226" s="33">
        <f>'Dados - Beneficiarias'!C226</f>
        <v>0</v>
      </c>
      <c r="D226" s="33">
        <f>'Dados - Beneficiarias'!D226</f>
        <v>0</v>
      </c>
      <c r="E226" s="33">
        <f>'Dados - Beneficiarias'!E226</f>
        <v>0</v>
      </c>
    </row>
    <row r="227" spans="1:5" ht="15.5" x14ac:dyDescent="0.35">
      <c r="A227" s="33">
        <f>'Dados - Beneficiarias'!A227</f>
        <v>0</v>
      </c>
      <c r="B227" s="33">
        <f>'Dados - Beneficiarias'!B227</f>
        <v>0</v>
      </c>
      <c r="C227" s="33">
        <f>'Dados - Beneficiarias'!C227</f>
        <v>0</v>
      </c>
      <c r="D227" s="33">
        <f>'Dados - Beneficiarias'!D227</f>
        <v>0</v>
      </c>
      <c r="E227" s="33">
        <f>'Dados - Beneficiarias'!E227</f>
        <v>0</v>
      </c>
    </row>
    <row r="228" spans="1:5" ht="15.5" x14ac:dyDescent="0.35">
      <c r="A228" s="33">
        <f>'Dados - Beneficiarias'!A228</f>
        <v>0</v>
      </c>
      <c r="B228" s="33">
        <f>'Dados - Beneficiarias'!B228</f>
        <v>0</v>
      </c>
      <c r="C228" s="33">
        <f>'Dados - Beneficiarias'!C228</f>
        <v>0</v>
      </c>
      <c r="D228" s="33">
        <f>'Dados - Beneficiarias'!D228</f>
        <v>0</v>
      </c>
      <c r="E228" s="33">
        <f>'Dados - Beneficiarias'!E228</f>
        <v>0</v>
      </c>
    </row>
    <row r="229" spans="1:5" ht="15.5" x14ac:dyDescent="0.35">
      <c r="A229" s="33">
        <f>'Dados - Beneficiarias'!A229</f>
        <v>0</v>
      </c>
      <c r="B229" s="33">
        <f>'Dados - Beneficiarias'!B229</f>
        <v>0</v>
      </c>
      <c r="C229" s="33">
        <f>'Dados - Beneficiarias'!C229</f>
        <v>0</v>
      </c>
      <c r="D229" s="33">
        <f>'Dados - Beneficiarias'!D229</f>
        <v>0</v>
      </c>
      <c r="E229" s="33">
        <f>'Dados - Beneficiarias'!E229</f>
        <v>0</v>
      </c>
    </row>
    <row r="230" spans="1:5" ht="15.5" x14ac:dyDescent="0.35">
      <c r="A230" s="33">
        <f>'Dados - Beneficiarias'!A230</f>
        <v>0</v>
      </c>
      <c r="B230" s="33">
        <f>'Dados - Beneficiarias'!B230</f>
        <v>0</v>
      </c>
      <c r="C230" s="33">
        <f>'Dados - Beneficiarias'!C230</f>
        <v>0</v>
      </c>
      <c r="D230" s="33">
        <f>'Dados - Beneficiarias'!D230</f>
        <v>0</v>
      </c>
      <c r="E230" s="33">
        <f>'Dados - Beneficiarias'!E230</f>
        <v>0</v>
      </c>
    </row>
    <row r="231" spans="1:5" ht="15.5" x14ac:dyDescent="0.35">
      <c r="A231" s="33">
        <f>'Dados - Beneficiarias'!A231</f>
        <v>0</v>
      </c>
      <c r="B231" s="33">
        <f>'Dados - Beneficiarias'!B231</f>
        <v>0</v>
      </c>
      <c r="C231" s="33">
        <f>'Dados - Beneficiarias'!C231</f>
        <v>0</v>
      </c>
      <c r="D231" s="33">
        <f>'Dados - Beneficiarias'!D231</f>
        <v>0</v>
      </c>
      <c r="E231" s="33">
        <f>'Dados - Beneficiarias'!E231</f>
        <v>0</v>
      </c>
    </row>
    <row r="232" spans="1:5" ht="15.5" x14ac:dyDescent="0.35">
      <c r="A232" s="33">
        <f>'Dados - Beneficiarias'!A232</f>
        <v>0</v>
      </c>
      <c r="B232" s="33">
        <f>'Dados - Beneficiarias'!B232</f>
        <v>0</v>
      </c>
      <c r="C232" s="33">
        <f>'Dados - Beneficiarias'!C232</f>
        <v>0</v>
      </c>
      <c r="D232" s="33">
        <f>'Dados - Beneficiarias'!D232</f>
        <v>0</v>
      </c>
      <c r="E232" s="33">
        <f>'Dados - Beneficiarias'!E232</f>
        <v>0</v>
      </c>
    </row>
    <row r="233" spans="1:5" ht="15.5" x14ac:dyDescent="0.35">
      <c r="A233" s="33">
        <f>'Dados - Beneficiarias'!A233</f>
        <v>0</v>
      </c>
      <c r="B233" s="33">
        <f>'Dados - Beneficiarias'!B233</f>
        <v>0</v>
      </c>
      <c r="C233" s="33">
        <f>'Dados - Beneficiarias'!C233</f>
        <v>0</v>
      </c>
      <c r="D233" s="33">
        <f>'Dados - Beneficiarias'!D233</f>
        <v>0</v>
      </c>
      <c r="E233" s="33">
        <f>'Dados - Beneficiarias'!E233</f>
        <v>0</v>
      </c>
    </row>
    <row r="234" spans="1:5" ht="15.5" x14ac:dyDescent="0.35">
      <c r="A234" s="33">
        <f>'Dados - Beneficiarias'!A234</f>
        <v>0</v>
      </c>
      <c r="B234" s="33">
        <f>'Dados - Beneficiarias'!B234</f>
        <v>0</v>
      </c>
      <c r="C234" s="33">
        <f>'Dados - Beneficiarias'!C234</f>
        <v>0</v>
      </c>
      <c r="D234" s="33">
        <f>'Dados - Beneficiarias'!D234</f>
        <v>0</v>
      </c>
      <c r="E234" s="33">
        <f>'Dados - Beneficiarias'!E234</f>
        <v>0</v>
      </c>
    </row>
    <row r="235" spans="1:5" ht="15.5" x14ac:dyDescent="0.35">
      <c r="A235" s="33">
        <f>'Dados - Beneficiarias'!A235</f>
        <v>0</v>
      </c>
      <c r="B235" s="33">
        <f>'Dados - Beneficiarias'!B235</f>
        <v>0</v>
      </c>
      <c r="C235" s="33">
        <f>'Dados - Beneficiarias'!C235</f>
        <v>0</v>
      </c>
      <c r="D235" s="33">
        <f>'Dados - Beneficiarias'!D235</f>
        <v>0</v>
      </c>
      <c r="E235" s="33">
        <f>'Dados - Beneficiarias'!E235</f>
        <v>0</v>
      </c>
    </row>
    <row r="236" spans="1:5" ht="15.5" x14ac:dyDescent="0.35">
      <c r="A236" s="33">
        <f>'Dados - Beneficiarias'!A236</f>
        <v>0</v>
      </c>
      <c r="B236" s="33">
        <f>'Dados - Beneficiarias'!B236</f>
        <v>0</v>
      </c>
      <c r="C236" s="33">
        <f>'Dados - Beneficiarias'!C236</f>
        <v>0</v>
      </c>
      <c r="D236" s="33">
        <f>'Dados - Beneficiarias'!D236</f>
        <v>0</v>
      </c>
      <c r="E236" s="33">
        <f>'Dados - Beneficiarias'!E236</f>
        <v>0</v>
      </c>
    </row>
    <row r="237" spans="1:5" ht="15.5" x14ac:dyDescent="0.35">
      <c r="A237" s="33">
        <f>'Dados - Beneficiarias'!A237</f>
        <v>0</v>
      </c>
      <c r="B237" s="33">
        <f>'Dados - Beneficiarias'!B237</f>
        <v>0</v>
      </c>
      <c r="C237" s="33">
        <f>'Dados - Beneficiarias'!C237</f>
        <v>0</v>
      </c>
      <c r="D237" s="33">
        <f>'Dados - Beneficiarias'!D237</f>
        <v>0</v>
      </c>
      <c r="E237" s="33">
        <f>'Dados - Beneficiarias'!E237</f>
        <v>0</v>
      </c>
    </row>
    <row r="238" spans="1:5" ht="15.5" x14ac:dyDescent="0.35">
      <c r="A238" s="33">
        <f>'Dados - Beneficiarias'!A238</f>
        <v>0</v>
      </c>
      <c r="B238" s="33">
        <f>'Dados - Beneficiarias'!B238</f>
        <v>0</v>
      </c>
      <c r="C238" s="33">
        <f>'Dados - Beneficiarias'!C238</f>
        <v>0</v>
      </c>
      <c r="D238" s="33">
        <f>'Dados - Beneficiarias'!D238</f>
        <v>0</v>
      </c>
      <c r="E238" s="33">
        <f>'Dados - Beneficiarias'!E238</f>
        <v>0</v>
      </c>
    </row>
    <row r="239" spans="1:5" ht="15.5" x14ac:dyDescent="0.35">
      <c r="A239" s="33">
        <f>'Dados - Beneficiarias'!A239</f>
        <v>0</v>
      </c>
      <c r="B239" s="33">
        <f>'Dados - Beneficiarias'!B239</f>
        <v>0</v>
      </c>
      <c r="C239" s="33">
        <f>'Dados - Beneficiarias'!C239</f>
        <v>0</v>
      </c>
      <c r="D239" s="33">
        <f>'Dados - Beneficiarias'!D239</f>
        <v>0</v>
      </c>
      <c r="E239" s="33">
        <f>'Dados - Beneficiarias'!E239</f>
        <v>0</v>
      </c>
    </row>
    <row r="240" spans="1:5" ht="15.5" x14ac:dyDescent="0.35">
      <c r="A240" s="33">
        <f>'Dados - Beneficiarias'!A240</f>
        <v>0</v>
      </c>
      <c r="B240" s="33">
        <f>'Dados - Beneficiarias'!B240</f>
        <v>0</v>
      </c>
      <c r="C240" s="33">
        <f>'Dados - Beneficiarias'!C240</f>
        <v>0</v>
      </c>
      <c r="D240" s="33">
        <f>'Dados - Beneficiarias'!D240</f>
        <v>0</v>
      </c>
      <c r="E240" s="33">
        <f>'Dados - Beneficiarias'!E240</f>
        <v>0</v>
      </c>
    </row>
    <row r="241" spans="1:5" ht="15.5" x14ac:dyDescent="0.35">
      <c r="A241" s="33">
        <f>'Dados - Beneficiarias'!A241</f>
        <v>0</v>
      </c>
      <c r="B241" s="33">
        <f>'Dados - Beneficiarias'!B241</f>
        <v>0</v>
      </c>
      <c r="C241" s="33">
        <f>'Dados - Beneficiarias'!C241</f>
        <v>0</v>
      </c>
      <c r="D241" s="33">
        <f>'Dados - Beneficiarias'!D241</f>
        <v>0</v>
      </c>
      <c r="E241" s="33">
        <f>'Dados - Beneficiarias'!E241</f>
        <v>0</v>
      </c>
    </row>
    <row r="242" spans="1:5" ht="15.5" x14ac:dyDescent="0.35">
      <c r="A242" s="33">
        <f>'Dados - Beneficiarias'!A242</f>
        <v>0</v>
      </c>
      <c r="B242" s="33">
        <f>'Dados - Beneficiarias'!B242</f>
        <v>0</v>
      </c>
      <c r="C242" s="33">
        <f>'Dados - Beneficiarias'!C242</f>
        <v>0</v>
      </c>
      <c r="D242" s="33">
        <f>'Dados - Beneficiarias'!D242</f>
        <v>0</v>
      </c>
      <c r="E242" s="33">
        <f>'Dados - Beneficiarias'!E242</f>
        <v>0</v>
      </c>
    </row>
    <row r="243" spans="1:5" ht="15.5" x14ac:dyDescent="0.35">
      <c r="A243" s="33">
        <f>'Dados - Beneficiarias'!A243</f>
        <v>0</v>
      </c>
      <c r="B243" s="33">
        <f>'Dados - Beneficiarias'!B243</f>
        <v>0</v>
      </c>
      <c r="C243" s="33">
        <f>'Dados - Beneficiarias'!C243</f>
        <v>0</v>
      </c>
      <c r="D243" s="33">
        <f>'Dados - Beneficiarias'!D243</f>
        <v>0</v>
      </c>
      <c r="E243" s="33">
        <f>'Dados - Beneficiarias'!E243</f>
        <v>0</v>
      </c>
    </row>
    <row r="244" spans="1:5" ht="15.5" x14ac:dyDescent="0.35">
      <c r="A244" s="33">
        <f>'Dados - Beneficiarias'!A244</f>
        <v>0</v>
      </c>
      <c r="B244" s="33">
        <f>'Dados - Beneficiarias'!B244</f>
        <v>0</v>
      </c>
      <c r="C244" s="33">
        <f>'Dados - Beneficiarias'!C244</f>
        <v>0</v>
      </c>
      <c r="D244" s="33">
        <f>'Dados - Beneficiarias'!D244</f>
        <v>0</v>
      </c>
      <c r="E244" s="33">
        <f>'Dados - Beneficiarias'!E244</f>
        <v>0</v>
      </c>
    </row>
    <row r="245" spans="1:5" ht="15.5" x14ac:dyDescent="0.35">
      <c r="A245" s="33">
        <f>'Dados - Beneficiarias'!A245</f>
        <v>0</v>
      </c>
      <c r="B245" s="33">
        <f>'Dados - Beneficiarias'!B245</f>
        <v>0</v>
      </c>
      <c r="C245" s="33">
        <f>'Dados - Beneficiarias'!C245</f>
        <v>0</v>
      </c>
      <c r="D245" s="33">
        <f>'Dados - Beneficiarias'!D245</f>
        <v>0</v>
      </c>
      <c r="E245" s="33">
        <f>'Dados - Beneficiarias'!E245</f>
        <v>0</v>
      </c>
    </row>
    <row r="246" spans="1:5" ht="15.5" x14ac:dyDescent="0.35">
      <c r="A246" s="33">
        <f>'Dados - Beneficiarias'!A246</f>
        <v>0</v>
      </c>
      <c r="B246" s="33">
        <f>'Dados - Beneficiarias'!B246</f>
        <v>0</v>
      </c>
      <c r="C246" s="33">
        <f>'Dados - Beneficiarias'!C246</f>
        <v>0</v>
      </c>
      <c r="D246" s="33">
        <f>'Dados - Beneficiarias'!D246</f>
        <v>0</v>
      </c>
      <c r="E246" s="33">
        <f>'Dados - Beneficiarias'!E246</f>
        <v>0</v>
      </c>
    </row>
    <row r="247" spans="1:5" ht="15.5" x14ac:dyDescent="0.35">
      <c r="A247" s="33">
        <f>'Dados - Beneficiarias'!A247</f>
        <v>0</v>
      </c>
      <c r="B247" s="33">
        <f>'Dados - Beneficiarias'!B247</f>
        <v>0</v>
      </c>
      <c r="C247" s="33">
        <f>'Dados - Beneficiarias'!C247</f>
        <v>0</v>
      </c>
      <c r="D247" s="33">
        <f>'Dados - Beneficiarias'!D247</f>
        <v>0</v>
      </c>
      <c r="E247" s="33">
        <f>'Dados - Beneficiarias'!E247</f>
        <v>0</v>
      </c>
    </row>
    <row r="248" spans="1:5" ht="15.5" x14ac:dyDescent="0.35">
      <c r="A248" s="33">
        <f>'Dados - Beneficiarias'!A248</f>
        <v>0</v>
      </c>
      <c r="B248" s="33">
        <f>'Dados - Beneficiarias'!B248</f>
        <v>0</v>
      </c>
      <c r="C248" s="33">
        <f>'Dados - Beneficiarias'!C248</f>
        <v>0</v>
      </c>
      <c r="D248" s="33">
        <f>'Dados - Beneficiarias'!D248</f>
        <v>0</v>
      </c>
      <c r="E248" s="33">
        <f>'Dados - Beneficiarias'!E248</f>
        <v>0</v>
      </c>
    </row>
    <row r="249" spans="1:5" ht="15.5" x14ac:dyDescent="0.35">
      <c r="A249" s="33">
        <f>'Dados - Beneficiarias'!A249</f>
        <v>0</v>
      </c>
      <c r="B249" s="33">
        <f>'Dados - Beneficiarias'!B249</f>
        <v>0</v>
      </c>
      <c r="C249" s="33">
        <f>'Dados - Beneficiarias'!C249</f>
        <v>0</v>
      </c>
      <c r="D249" s="33">
        <f>'Dados - Beneficiarias'!D249</f>
        <v>0</v>
      </c>
      <c r="E249" s="33">
        <f>'Dados - Beneficiarias'!E249</f>
        <v>0</v>
      </c>
    </row>
    <row r="250" spans="1:5" ht="15.5" x14ac:dyDescent="0.35">
      <c r="A250" s="33">
        <f>'Dados - Beneficiarias'!A250</f>
        <v>0</v>
      </c>
      <c r="B250" s="33">
        <f>'Dados - Beneficiarias'!B250</f>
        <v>0</v>
      </c>
      <c r="C250" s="33">
        <f>'Dados - Beneficiarias'!C250</f>
        <v>0</v>
      </c>
      <c r="D250" s="33">
        <f>'Dados - Beneficiarias'!D250</f>
        <v>0</v>
      </c>
      <c r="E250" s="33">
        <f>'Dados - Beneficiarias'!E250</f>
        <v>0</v>
      </c>
    </row>
    <row r="251" spans="1:5" ht="15.5" x14ac:dyDescent="0.35">
      <c r="A251" s="33">
        <f>'Dados - Beneficiarias'!A251</f>
        <v>0</v>
      </c>
      <c r="B251" s="33">
        <f>'Dados - Beneficiarias'!B251</f>
        <v>0</v>
      </c>
      <c r="C251" s="33">
        <f>'Dados - Beneficiarias'!C251</f>
        <v>0</v>
      </c>
      <c r="D251" s="33">
        <f>'Dados - Beneficiarias'!D251</f>
        <v>0</v>
      </c>
      <c r="E251" s="33">
        <f>'Dados - Beneficiarias'!E251</f>
        <v>0</v>
      </c>
    </row>
    <row r="252" spans="1:5" ht="15.5" x14ac:dyDescent="0.35">
      <c r="A252" s="33">
        <f>'Dados - Beneficiarias'!A252</f>
        <v>0</v>
      </c>
      <c r="B252" s="33">
        <f>'Dados - Beneficiarias'!B252</f>
        <v>0</v>
      </c>
      <c r="C252" s="33">
        <f>'Dados - Beneficiarias'!C252</f>
        <v>0</v>
      </c>
      <c r="D252" s="33">
        <f>'Dados - Beneficiarias'!D252</f>
        <v>0</v>
      </c>
      <c r="E252" s="33">
        <f>'Dados - Beneficiarias'!E252</f>
        <v>0</v>
      </c>
    </row>
    <row r="253" spans="1:5" ht="15.5" x14ac:dyDescent="0.35">
      <c r="A253" s="33">
        <f>'Dados - Beneficiarias'!A253</f>
        <v>0</v>
      </c>
      <c r="B253" s="33">
        <f>'Dados - Beneficiarias'!B253</f>
        <v>0</v>
      </c>
      <c r="C253" s="33">
        <f>'Dados - Beneficiarias'!C253</f>
        <v>0</v>
      </c>
      <c r="D253" s="33">
        <f>'Dados - Beneficiarias'!D253</f>
        <v>0</v>
      </c>
      <c r="E253" s="33">
        <f>'Dados - Beneficiarias'!E253</f>
        <v>0</v>
      </c>
    </row>
    <row r="254" spans="1:5" ht="15.5" x14ac:dyDescent="0.35">
      <c r="A254" s="33">
        <f>'Dados - Beneficiarias'!A254</f>
        <v>0</v>
      </c>
      <c r="B254" s="33">
        <f>'Dados - Beneficiarias'!B254</f>
        <v>0</v>
      </c>
      <c r="C254" s="33">
        <f>'Dados - Beneficiarias'!C254</f>
        <v>0</v>
      </c>
      <c r="D254" s="33">
        <f>'Dados - Beneficiarias'!D254</f>
        <v>0</v>
      </c>
      <c r="E254" s="33">
        <f>'Dados - Beneficiarias'!E254</f>
        <v>0</v>
      </c>
    </row>
    <row r="255" spans="1:5" ht="15.5" x14ac:dyDescent="0.35">
      <c r="A255" s="33">
        <f>'Dados - Beneficiarias'!A255</f>
        <v>0</v>
      </c>
      <c r="B255" s="33">
        <f>'Dados - Beneficiarias'!B255</f>
        <v>0</v>
      </c>
      <c r="C255" s="33">
        <f>'Dados - Beneficiarias'!C255</f>
        <v>0</v>
      </c>
      <c r="D255" s="33">
        <f>'Dados - Beneficiarias'!D255</f>
        <v>0</v>
      </c>
      <c r="E255" s="33">
        <f>'Dados - Beneficiarias'!E255</f>
        <v>0</v>
      </c>
    </row>
    <row r="256" spans="1:5" ht="15.5" x14ac:dyDescent="0.35">
      <c r="A256" s="33">
        <f>'Dados - Beneficiarias'!A256</f>
        <v>0</v>
      </c>
      <c r="B256" s="33">
        <f>'Dados - Beneficiarias'!B256</f>
        <v>0</v>
      </c>
      <c r="C256" s="33">
        <f>'Dados - Beneficiarias'!C256</f>
        <v>0</v>
      </c>
      <c r="D256" s="33">
        <f>'Dados - Beneficiarias'!D256</f>
        <v>0</v>
      </c>
      <c r="E256" s="33">
        <f>'Dados - Beneficiarias'!E256</f>
        <v>0</v>
      </c>
    </row>
    <row r="257" spans="1:5" ht="15.5" x14ac:dyDescent="0.35">
      <c r="A257" s="33">
        <f>'Dados - Beneficiarias'!A257</f>
        <v>0</v>
      </c>
      <c r="B257" s="33">
        <f>'Dados - Beneficiarias'!B257</f>
        <v>0</v>
      </c>
      <c r="C257" s="33">
        <f>'Dados - Beneficiarias'!C257</f>
        <v>0</v>
      </c>
      <c r="D257" s="33">
        <f>'Dados - Beneficiarias'!D257</f>
        <v>0</v>
      </c>
      <c r="E257" s="33">
        <f>'Dados - Beneficiarias'!E257</f>
        <v>0</v>
      </c>
    </row>
    <row r="258" spans="1:5" ht="15.5" x14ac:dyDescent="0.35">
      <c r="A258" s="33">
        <f>'Dados - Beneficiarias'!A258</f>
        <v>0</v>
      </c>
      <c r="B258" s="33">
        <f>'Dados - Beneficiarias'!B258</f>
        <v>0</v>
      </c>
      <c r="C258" s="33">
        <f>'Dados - Beneficiarias'!C258</f>
        <v>0</v>
      </c>
      <c r="D258" s="33">
        <f>'Dados - Beneficiarias'!D258</f>
        <v>0</v>
      </c>
      <c r="E258" s="33">
        <f>'Dados - Beneficiarias'!E258</f>
        <v>0</v>
      </c>
    </row>
    <row r="259" spans="1:5" ht="15.5" x14ac:dyDescent="0.35">
      <c r="A259" s="33">
        <f>'Dados - Beneficiarias'!A259</f>
        <v>0</v>
      </c>
      <c r="B259" s="33">
        <f>'Dados - Beneficiarias'!B259</f>
        <v>0</v>
      </c>
      <c r="C259" s="33">
        <f>'Dados - Beneficiarias'!C259</f>
        <v>0</v>
      </c>
      <c r="D259" s="33">
        <f>'Dados - Beneficiarias'!D259</f>
        <v>0</v>
      </c>
      <c r="E259" s="33">
        <f>'Dados - Beneficiarias'!E259</f>
        <v>0</v>
      </c>
    </row>
    <row r="260" spans="1:5" ht="15.5" x14ac:dyDescent="0.35">
      <c r="A260" s="33">
        <f>'Dados - Beneficiarias'!A260</f>
        <v>0</v>
      </c>
      <c r="B260" s="33">
        <f>'Dados - Beneficiarias'!B260</f>
        <v>0</v>
      </c>
      <c r="C260" s="33">
        <f>'Dados - Beneficiarias'!C260</f>
        <v>0</v>
      </c>
      <c r="D260" s="33">
        <f>'Dados - Beneficiarias'!D260</f>
        <v>0</v>
      </c>
      <c r="E260" s="33">
        <f>'Dados - Beneficiarias'!E260</f>
        <v>0</v>
      </c>
    </row>
    <row r="261" spans="1:5" ht="15.5" x14ac:dyDescent="0.35">
      <c r="A261" s="33">
        <f>'Dados - Beneficiarias'!A261</f>
        <v>0</v>
      </c>
      <c r="B261" s="33">
        <f>'Dados - Beneficiarias'!B261</f>
        <v>0</v>
      </c>
      <c r="C261" s="33">
        <f>'Dados - Beneficiarias'!C261</f>
        <v>0</v>
      </c>
      <c r="D261" s="33">
        <f>'Dados - Beneficiarias'!D261</f>
        <v>0</v>
      </c>
      <c r="E261" s="33">
        <f>'Dados - Beneficiarias'!E261</f>
        <v>0</v>
      </c>
    </row>
    <row r="262" spans="1:5" ht="15.5" x14ac:dyDescent="0.35">
      <c r="A262" s="33">
        <f>'Dados - Beneficiarias'!A262</f>
        <v>0</v>
      </c>
      <c r="B262" s="33">
        <f>'Dados - Beneficiarias'!B262</f>
        <v>0</v>
      </c>
      <c r="C262" s="33">
        <f>'Dados - Beneficiarias'!C262</f>
        <v>0</v>
      </c>
      <c r="D262" s="33">
        <f>'Dados - Beneficiarias'!D262</f>
        <v>0</v>
      </c>
      <c r="E262" s="33">
        <f>'Dados - Beneficiarias'!E262</f>
        <v>0</v>
      </c>
    </row>
    <row r="263" spans="1:5" ht="15.5" x14ac:dyDescent="0.35">
      <c r="A263" s="33">
        <f>'Dados - Beneficiarias'!A263</f>
        <v>0</v>
      </c>
      <c r="B263" s="33">
        <f>'Dados - Beneficiarias'!B263</f>
        <v>0</v>
      </c>
      <c r="C263" s="33">
        <f>'Dados - Beneficiarias'!C263</f>
        <v>0</v>
      </c>
      <c r="D263" s="33">
        <f>'Dados - Beneficiarias'!D263</f>
        <v>0</v>
      </c>
      <c r="E263" s="33">
        <f>'Dados - Beneficiarias'!E263</f>
        <v>0</v>
      </c>
    </row>
    <row r="264" spans="1:5" ht="15.5" x14ac:dyDescent="0.35">
      <c r="A264" s="33">
        <f>'Dados - Beneficiarias'!A264</f>
        <v>0</v>
      </c>
      <c r="B264" s="33">
        <f>'Dados - Beneficiarias'!B264</f>
        <v>0</v>
      </c>
      <c r="C264" s="33">
        <f>'Dados - Beneficiarias'!C264</f>
        <v>0</v>
      </c>
      <c r="D264" s="33">
        <f>'Dados - Beneficiarias'!D264</f>
        <v>0</v>
      </c>
      <c r="E264" s="33">
        <f>'Dados - Beneficiarias'!E264</f>
        <v>0</v>
      </c>
    </row>
    <row r="265" spans="1:5" ht="15.5" x14ac:dyDescent="0.35">
      <c r="A265" s="33">
        <f>'Dados - Beneficiarias'!A265</f>
        <v>0</v>
      </c>
      <c r="B265" s="33">
        <f>'Dados - Beneficiarias'!B265</f>
        <v>0</v>
      </c>
      <c r="C265" s="33">
        <f>'Dados - Beneficiarias'!C265</f>
        <v>0</v>
      </c>
      <c r="D265" s="33">
        <f>'Dados - Beneficiarias'!D265</f>
        <v>0</v>
      </c>
      <c r="E265" s="33">
        <f>'Dados - Beneficiarias'!E265</f>
        <v>0</v>
      </c>
    </row>
    <row r="266" spans="1:5" ht="15.5" x14ac:dyDescent="0.35">
      <c r="A266" s="33">
        <f>'Dados - Beneficiarias'!A266</f>
        <v>0</v>
      </c>
      <c r="B266" s="33">
        <f>'Dados - Beneficiarias'!B266</f>
        <v>0</v>
      </c>
      <c r="C266" s="33">
        <f>'Dados - Beneficiarias'!C266</f>
        <v>0</v>
      </c>
      <c r="D266" s="33">
        <f>'Dados - Beneficiarias'!D266</f>
        <v>0</v>
      </c>
      <c r="E266" s="33">
        <f>'Dados - Beneficiarias'!E266</f>
        <v>0</v>
      </c>
    </row>
    <row r="267" spans="1:5" ht="15.5" x14ac:dyDescent="0.35">
      <c r="A267" s="33">
        <f>'Dados - Beneficiarias'!A267</f>
        <v>0</v>
      </c>
      <c r="B267" s="33">
        <f>'Dados - Beneficiarias'!B267</f>
        <v>0</v>
      </c>
      <c r="C267" s="33">
        <f>'Dados - Beneficiarias'!C267</f>
        <v>0</v>
      </c>
      <c r="D267" s="33">
        <f>'Dados - Beneficiarias'!D267</f>
        <v>0</v>
      </c>
      <c r="E267" s="33">
        <f>'Dados - Beneficiarias'!E267</f>
        <v>0</v>
      </c>
    </row>
    <row r="268" spans="1:5" ht="15.5" x14ac:dyDescent="0.35">
      <c r="A268" s="33">
        <f>'Dados - Beneficiarias'!A268</f>
        <v>0</v>
      </c>
      <c r="B268" s="33">
        <f>'Dados - Beneficiarias'!B268</f>
        <v>0</v>
      </c>
      <c r="C268" s="33">
        <f>'Dados - Beneficiarias'!C268</f>
        <v>0</v>
      </c>
      <c r="D268" s="33">
        <f>'Dados - Beneficiarias'!D268</f>
        <v>0</v>
      </c>
      <c r="E268" s="33">
        <f>'Dados - Beneficiarias'!E268</f>
        <v>0</v>
      </c>
    </row>
    <row r="269" spans="1:5" ht="15.5" x14ac:dyDescent="0.35">
      <c r="A269" s="33">
        <f>'Dados - Beneficiarias'!A269</f>
        <v>0</v>
      </c>
      <c r="B269" s="33">
        <f>'Dados - Beneficiarias'!B269</f>
        <v>0</v>
      </c>
      <c r="C269" s="33">
        <f>'Dados - Beneficiarias'!C269</f>
        <v>0</v>
      </c>
      <c r="D269" s="33">
        <f>'Dados - Beneficiarias'!D269</f>
        <v>0</v>
      </c>
      <c r="E269" s="33">
        <f>'Dados - Beneficiarias'!E269</f>
        <v>0</v>
      </c>
    </row>
    <row r="270" spans="1:5" ht="15.5" x14ac:dyDescent="0.35">
      <c r="A270" s="33">
        <f>'Dados - Beneficiarias'!A270</f>
        <v>0</v>
      </c>
      <c r="B270" s="33">
        <f>'Dados - Beneficiarias'!B270</f>
        <v>0</v>
      </c>
      <c r="C270" s="33">
        <f>'Dados - Beneficiarias'!C270</f>
        <v>0</v>
      </c>
      <c r="D270" s="33">
        <f>'Dados - Beneficiarias'!D270</f>
        <v>0</v>
      </c>
      <c r="E270" s="33">
        <f>'Dados - Beneficiarias'!E270</f>
        <v>0</v>
      </c>
    </row>
    <row r="271" spans="1:5" ht="15.5" x14ac:dyDescent="0.35">
      <c r="A271" s="33">
        <f>'Dados - Beneficiarias'!A271</f>
        <v>0</v>
      </c>
      <c r="B271" s="33">
        <f>'Dados - Beneficiarias'!B271</f>
        <v>0</v>
      </c>
      <c r="C271" s="33">
        <f>'Dados - Beneficiarias'!C271</f>
        <v>0</v>
      </c>
      <c r="D271" s="33">
        <f>'Dados - Beneficiarias'!D271</f>
        <v>0</v>
      </c>
      <c r="E271" s="33">
        <f>'Dados - Beneficiarias'!E271</f>
        <v>0</v>
      </c>
    </row>
    <row r="272" spans="1:5" ht="15.5" x14ac:dyDescent="0.35">
      <c r="A272" s="33">
        <f>'Dados - Beneficiarias'!A272</f>
        <v>0</v>
      </c>
      <c r="B272" s="33">
        <f>'Dados - Beneficiarias'!B272</f>
        <v>0</v>
      </c>
      <c r="C272" s="33">
        <f>'Dados - Beneficiarias'!C272</f>
        <v>0</v>
      </c>
      <c r="D272" s="33">
        <f>'Dados - Beneficiarias'!D272</f>
        <v>0</v>
      </c>
      <c r="E272" s="33">
        <f>'Dados - Beneficiarias'!E272</f>
        <v>0</v>
      </c>
    </row>
    <row r="273" spans="1:5" ht="15.5" x14ac:dyDescent="0.35">
      <c r="A273" s="33">
        <f>'Dados - Beneficiarias'!A273</f>
        <v>0</v>
      </c>
      <c r="B273" s="33">
        <f>'Dados - Beneficiarias'!B273</f>
        <v>0</v>
      </c>
      <c r="C273" s="33">
        <f>'Dados - Beneficiarias'!C273</f>
        <v>0</v>
      </c>
      <c r="D273" s="33">
        <f>'Dados - Beneficiarias'!D273</f>
        <v>0</v>
      </c>
      <c r="E273" s="33">
        <f>'Dados - Beneficiarias'!E273</f>
        <v>0</v>
      </c>
    </row>
    <row r="274" spans="1:5" ht="15.5" x14ac:dyDescent="0.35">
      <c r="A274" s="33">
        <f>'Dados - Beneficiarias'!A274</f>
        <v>0</v>
      </c>
      <c r="B274" s="33">
        <f>'Dados - Beneficiarias'!B274</f>
        <v>0</v>
      </c>
      <c r="C274" s="33">
        <f>'Dados - Beneficiarias'!C274</f>
        <v>0</v>
      </c>
      <c r="D274" s="33">
        <f>'Dados - Beneficiarias'!D274</f>
        <v>0</v>
      </c>
      <c r="E274" s="33">
        <f>'Dados - Beneficiarias'!E274</f>
        <v>0</v>
      </c>
    </row>
    <row r="275" spans="1:5" ht="15.5" x14ac:dyDescent="0.35">
      <c r="A275" s="33">
        <f>'Dados - Beneficiarias'!A275</f>
        <v>0</v>
      </c>
      <c r="B275" s="33">
        <f>'Dados - Beneficiarias'!B275</f>
        <v>0</v>
      </c>
      <c r="C275" s="33">
        <f>'Dados - Beneficiarias'!C275</f>
        <v>0</v>
      </c>
      <c r="D275" s="33">
        <f>'Dados - Beneficiarias'!D275</f>
        <v>0</v>
      </c>
      <c r="E275" s="33">
        <f>'Dados - Beneficiarias'!E275</f>
        <v>0</v>
      </c>
    </row>
    <row r="276" spans="1:5" ht="15.5" x14ac:dyDescent="0.35">
      <c r="A276" s="33">
        <f>'Dados - Beneficiarias'!A276</f>
        <v>0</v>
      </c>
      <c r="B276" s="33">
        <f>'Dados - Beneficiarias'!B276</f>
        <v>0</v>
      </c>
      <c r="C276" s="33">
        <f>'Dados - Beneficiarias'!C276</f>
        <v>0</v>
      </c>
      <c r="D276" s="33">
        <f>'Dados - Beneficiarias'!D276</f>
        <v>0</v>
      </c>
      <c r="E276" s="33">
        <f>'Dados - Beneficiarias'!E276</f>
        <v>0</v>
      </c>
    </row>
    <row r="277" spans="1:5" ht="15.5" x14ac:dyDescent="0.35">
      <c r="A277" s="33">
        <f>'Dados - Beneficiarias'!A277</f>
        <v>0</v>
      </c>
      <c r="B277" s="33">
        <f>'Dados - Beneficiarias'!B277</f>
        <v>0</v>
      </c>
      <c r="C277" s="33">
        <f>'Dados - Beneficiarias'!C277</f>
        <v>0</v>
      </c>
      <c r="D277" s="33">
        <f>'Dados - Beneficiarias'!D277</f>
        <v>0</v>
      </c>
      <c r="E277" s="33">
        <f>'Dados - Beneficiarias'!E277</f>
        <v>0</v>
      </c>
    </row>
    <row r="278" spans="1:5" ht="15.5" x14ac:dyDescent="0.35">
      <c r="A278" s="33">
        <f>'Dados - Beneficiarias'!A278</f>
        <v>0</v>
      </c>
      <c r="B278" s="33">
        <f>'Dados - Beneficiarias'!B278</f>
        <v>0</v>
      </c>
      <c r="C278" s="33">
        <f>'Dados - Beneficiarias'!C278</f>
        <v>0</v>
      </c>
      <c r="D278" s="33">
        <f>'Dados - Beneficiarias'!D278</f>
        <v>0</v>
      </c>
      <c r="E278" s="33">
        <f>'Dados - Beneficiarias'!E278</f>
        <v>0</v>
      </c>
    </row>
    <row r="279" spans="1:5" ht="15.5" x14ac:dyDescent="0.35">
      <c r="A279" s="33">
        <f>'Dados - Beneficiarias'!A279</f>
        <v>0</v>
      </c>
      <c r="B279" s="33">
        <f>'Dados - Beneficiarias'!B279</f>
        <v>0</v>
      </c>
      <c r="C279" s="33">
        <f>'Dados - Beneficiarias'!C279</f>
        <v>0</v>
      </c>
      <c r="D279" s="33">
        <f>'Dados - Beneficiarias'!D279</f>
        <v>0</v>
      </c>
      <c r="E279" s="33">
        <f>'Dados - Beneficiarias'!E279</f>
        <v>0</v>
      </c>
    </row>
    <row r="280" spans="1:5" ht="15.5" x14ac:dyDescent="0.35">
      <c r="A280" s="33">
        <f>'Dados - Beneficiarias'!A280</f>
        <v>0</v>
      </c>
      <c r="B280" s="33">
        <f>'Dados - Beneficiarias'!B280</f>
        <v>0</v>
      </c>
      <c r="C280" s="33">
        <f>'Dados - Beneficiarias'!C280</f>
        <v>0</v>
      </c>
      <c r="D280" s="33">
        <f>'Dados - Beneficiarias'!D280</f>
        <v>0</v>
      </c>
      <c r="E280" s="33">
        <f>'Dados - Beneficiarias'!E280</f>
        <v>0</v>
      </c>
    </row>
    <row r="281" spans="1:5" ht="15.5" x14ac:dyDescent="0.35">
      <c r="A281" s="33">
        <f>'Dados - Beneficiarias'!A281</f>
        <v>0</v>
      </c>
      <c r="B281" s="33">
        <f>'Dados - Beneficiarias'!B281</f>
        <v>0</v>
      </c>
      <c r="C281" s="33">
        <f>'Dados - Beneficiarias'!C281</f>
        <v>0</v>
      </c>
      <c r="D281" s="33">
        <f>'Dados - Beneficiarias'!D281</f>
        <v>0</v>
      </c>
      <c r="E281" s="33">
        <f>'Dados - Beneficiarias'!E281</f>
        <v>0</v>
      </c>
    </row>
    <row r="282" spans="1:5" ht="15.5" x14ac:dyDescent="0.35">
      <c r="A282" s="33">
        <f>'Dados - Beneficiarias'!A282</f>
        <v>0</v>
      </c>
      <c r="B282" s="33">
        <f>'Dados - Beneficiarias'!B282</f>
        <v>0</v>
      </c>
      <c r="C282" s="33">
        <f>'Dados - Beneficiarias'!C282</f>
        <v>0</v>
      </c>
      <c r="D282" s="33">
        <f>'Dados - Beneficiarias'!D282</f>
        <v>0</v>
      </c>
      <c r="E282" s="33">
        <f>'Dados - Beneficiarias'!E282</f>
        <v>0</v>
      </c>
    </row>
    <row r="283" spans="1:5" ht="15.5" x14ac:dyDescent="0.35">
      <c r="A283" s="33">
        <f>'Dados - Beneficiarias'!A283</f>
        <v>0</v>
      </c>
      <c r="B283" s="33">
        <f>'Dados - Beneficiarias'!B283</f>
        <v>0</v>
      </c>
      <c r="C283" s="33">
        <f>'Dados - Beneficiarias'!C283</f>
        <v>0</v>
      </c>
      <c r="D283" s="33">
        <f>'Dados - Beneficiarias'!D283</f>
        <v>0</v>
      </c>
      <c r="E283" s="33">
        <f>'Dados - Beneficiarias'!E283</f>
        <v>0</v>
      </c>
    </row>
    <row r="284" spans="1:5" ht="15.5" x14ac:dyDescent="0.35">
      <c r="A284" s="33">
        <f>'Dados - Beneficiarias'!A284</f>
        <v>0</v>
      </c>
      <c r="B284" s="33">
        <f>'Dados - Beneficiarias'!B284</f>
        <v>0</v>
      </c>
      <c r="C284" s="33">
        <f>'Dados - Beneficiarias'!C284</f>
        <v>0</v>
      </c>
      <c r="D284" s="33">
        <f>'Dados - Beneficiarias'!D284</f>
        <v>0</v>
      </c>
      <c r="E284" s="33">
        <f>'Dados - Beneficiarias'!E284</f>
        <v>0</v>
      </c>
    </row>
    <row r="285" spans="1:5" ht="15.5" x14ac:dyDescent="0.35">
      <c r="A285" s="33">
        <f>'Dados - Beneficiarias'!A285</f>
        <v>0</v>
      </c>
      <c r="B285" s="33">
        <f>'Dados - Beneficiarias'!B285</f>
        <v>0</v>
      </c>
      <c r="C285" s="33">
        <f>'Dados - Beneficiarias'!C285</f>
        <v>0</v>
      </c>
      <c r="D285" s="33">
        <f>'Dados - Beneficiarias'!D285</f>
        <v>0</v>
      </c>
      <c r="E285" s="33">
        <f>'Dados - Beneficiarias'!E285</f>
        <v>0</v>
      </c>
    </row>
    <row r="286" spans="1:5" ht="15.5" x14ac:dyDescent="0.35">
      <c r="A286" s="33">
        <f>'Dados - Beneficiarias'!A286</f>
        <v>0</v>
      </c>
      <c r="B286" s="33">
        <f>'Dados - Beneficiarias'!B286</f>
        <v>0</v>
      </c>
      <c r="C286" s="33">
        <f>'Dados - Beneficiarias'!C286</f>
        <v>0</v>
      </c>
      <c r="D286" s="33">
        <f>'Dados - Beneficiarias'!D286</f>
        <v>0</v>
      </c>
      <c r="E286" s="33">
        <f>'Dados - Beneficiarias'!E286</f>
        <v>0</v>
      </c>
    </row>
    <row r="287" spans="1:5" ht="15.5" x14ac:dyDescent="0.35">
      <c r="A287" s="33">
        <f>'Dados - Beneficiarias'!A287</f>
        <v>0</v>
      </c>
      <c r="B287" s="33">
        <f>'Dados - Beneficiarias'!B287</f>
        <v>0</v>
      </c>
      <c r="C287" s="33">
        <f>'Dados - Beneficiarias'!C287</f>
        <v>0</v>
      </c>
      <c r="D287" s="33">
        <f>'Dados - Beneficiarias'!D287</f>
        <v>0</v>
      </c>
      <c r="E287" s="33">
        <f>'Dados - Beneficiarias'!E287</f>
        <v>0</v>
      </c>
    </row>
    <row r="288" spans="1:5" ht="15.5" x14ac:dyDescent="0.35">
      <c r="A288" s="33">
        <f>'Dados - Beneficiarias'!A288</f>
        <v>0</v>
      </c>
      <c r="B288" s="33">
        <f>'Dados - Beneficiarias'!B288</f>
        <v>0</v>
      </c>
      <c r="C288" s="33">
        <f>'Dados - Beneficiarias'!C288</f>
        <v>0</v>
      </c>
      <c r="D288" s="33">
        <f>'Dados - Beneficiarias'!D288</f>
        <v>0</v>
      </c>
      <c r="E288" s="33">
        <f>'Dados - Beneficiarias'!E288</f>
        <v>0</v>
      </c>
    </row>
    <row r="289" spans="1:5" ht="15.5" x14ac:dyDescent="0.35">
      <c r="A289" s="33">
        <f>'Dados - Beneficiarias'!A289</f>
        <v>0</v>
      </c>
      <c r="B289" s="33">
        <f>'Dados - Beneficiarias'!B289</f>
        <v>0</v>
      </c>
      <c r="C289" s="33">
        <f>'Dados - Beneficiarias'!C289</f>
        <v>0</v>
      </c>
      <c r="D289" s="33">
        <f>'Dados - Beneficiarias'!D289</f>
        <v>0</v>
      </c>
      <c r="E289" s="33">
        <f>'Dados - Beneficiarias'!E289</f>
        <v>0</v>
      </c>
    </row>
    <row r="290" spans="1:5" ht="15.5" x14ac:dyDescent="0.35">
      <c r="A290" s="33">
        <f>'Dados - Beneficiarias'!A290</f>
        <v>0</v>
      </c>
      <c r="B290" s="33">
        <f>'Dados - Beneficiarias'!B290</f>
        <v>0</v>
      </c>
      <c r="C290" s="33">
        <f>'Dados - Beneficiarias'!C290</f>
        <v>0</v>
      </c>
      <c r="D290" s="33">
        <f>'Dados - Beneficiarias'!D290</f>
        <v>0</v>
      </c>
      <c r="E290" s="33">
        <f>'Dados - Beneficiarias'!E290</f>
        <v>0</v>
      </c>
    </row>
    <row r="291" spans="1:5" ht="15.5" x14ac:dyDescent="0.35">
      <c r="A291" s="33">
        <f>'Dados - Beneficiarias'!A291</f>
        <v>0</v>
      </c>
      <c r="B291" s="33">
        <f>'Dados - Beneficiarias'!B291</f>
        <v>0</v>
      </c>
      <c r="C291" s="33">
        <f>'Dados - Beneficiarias'!C291</f>
        <v>0</v>
      </c>
      <c r="D291" s="33">
        <f>'Dados - Beneficiarias'!D291</f>
        <v>0</v>
      </c>
      <c r="E291" s="33">
        <f>'Dados - Beneficiarias'!E291</f>
        <v>0</v>
      </c>
    </row>
    <row r="292" spans="1:5" ht="15.5" x14ac:dyDescent="0.35">
      <c r="A292" s="33">
        <f>'Dados - Beneficiarias'!A292</f>
        <v>0</v>
      </c>
      <c r="B292" s="33">
        <f>'Dados - Beneficiarias'!B292</f>
        <v>0</v>
      </c>
      <c r="C292" s="33">
        <f>'Dados - Beneficiarias'!C292</f>
        <v>0</v>
      </c>
      <c r="D292" s="33">
        <f>'Dados - Beneficiarias'!D292</f>
        <v>0</v>
      </c>
      <c r="E292" s="33">
        <f>'Dados - Beneficiarias'!E292</f>
        <v>0</v>
      </c>
    </row>
    <row r="293" spans="1:5" ht="15.5" x14ac:dyDescent="0.35">
      <c r="A293" s="33">
        <f>'Dados - Beneficiarias'!A293</f>
        <v>0</v>
      </c>
      <c r="B293" s="33">
        <f>'Dados - Beneficiarias'!B293</f>
        <v>0</v>
      </c>
      <c r="C293" s="33">
        <f>'Dados - Beneficiarias'!C293</f>
        <v>0</v>
      </c>
      <c r="D293" s="33">
        <f>'Dados - Beneficiarias'!D293</f>
        <v>0</v>
      </c>
      <c r="E293" s="33">
        <f>'Dados - Beneficiarias'!E293</f>
        <v>0</v>
      </c>
    </row>
    <row r="294" spans="1:5" ht="15.5" x14ac:dyDescent="0.35">
      <c r="A294" s="33">
        <f>'Dados - Beneficiarias'!A294</f>
        <v>0</v>
      </c>
      <c r="B294" s="33">
        <f>'Dados - Beneficiarias'!B294</f>
        <v>0</v>
      </c>
      <c r="C294" s="33">
        <f>'Dados - Beneficiarias'!C294</f>
        <v>0</v>
      </c>
      <c r="D294" s="33">
        <f>'Dados - Beneficiarias'!D294</f>
        <v>0</v>
      </c>
      <c r="E294" s="33">
        <f>'Dados - Beneficiarias'!E294</f>
        <v>0</v>
      </c>
    </row>
    <row r="295" spans="1:5" ht="15.5" x14ac:dyDescent="0.35">
      <c r="A295" s="33">
        <f>'Dados - Beneficiarias'!A295</f>
        <v>0</v>
      </c>
      <c r="B295" s="33">
        <f>'Dados - Beneficiarias'!B295</f>
        <v>0</v>
      </c>
      <c r="C295" s="33">
        <f>'Dados - Beneficiarias'!C295</f>
        <v>0</v>
      </c>
      <c r="D295" s="33">
        <f>'Dados - Beneficiarias'!D295</f>
        <v>0</v>
      </c>
      <c r="E295" s="33">
        <f>'Dados - Beneficiarias'!E295</f>
        <v>0</v>
      </c>
    </row>
    <row r="296" spans="1:5" ht="15.5" x14ac:dyDescent="0.35">
      <c r="A296" s="33">
        <f>'Dados - Beneficiarias'!A296</f>
        <v>0</v>
      </c>
      <c r="B296" s="33">
        <f>'Dados - Beneficiarias'!B296</f>
        <v>0</v>
      </c>
      <c r="C296" s="33">
        <f>'Dados - Beneficiarias'!C296</f>
        <v>0</v>
      </c>
      <c r="D296" s="33">
        <f>'Dados - Beneficiarias'!D296</f>
        <v>0</v>
      </c>
      <c r="E296" s="33">
        <f>'Dados - Beneficiarias'!E296</f>
        <v>0</v>
      </c>
    </row>
    <row r="297" spans="1:5" ht="15.5" x14ac:dyDescent="0.35">
      <c r="A297" s="33">
        <f>'Dados - Beneficiarias'!A297</f>
        <v>0</v>
      </c>
      <c r="B297" s="33">
        <f>'Dados - Beneficiarias'!B297</f>
        <v>0</v>
      </c>
      <c r="C297" s="33">
        <f>'Dados - Beneficiarias'!C297</f>
        <v>0</v>
      </c>
      <c r="D297" s="33">
        <f>'Dados - Beneficiarias'!D297</f>
        <v>0</v>
      </c>
      <c r="E297" s="33">
        <f>'Dados - Beneficiarias'!E297</f>
        <v>0</v>
      </c>
    </row>
    <row r="298" spans="1:5" ht="15.5" x14ac:dyDescent="0.35">
      <c r="A298" s="33">
        <f>'Dados - Beneficiarias'!A298</f>
        <v>0</v>
      </c>
      <c r="B298" s="33">
        <f>'Dados - Beneficiarias'!B298</f>
        <v>0</v>
      </c>
      <c r="C298" s="33">
        <f>'Dados - Beneficiarias'!C298</f>
        <v>0</v>
      </c>
      <c r="D298" s="33">
        <f>'Dados - Beneficiarias'!D298</f>
        <v>0</v>
      </c>
      <c r="E298" s="33">
        <f>'Dados - Beneficiarias'!E298</f>
        <v>0</v>
      </c>
    </row>
    <row r="299" spans="1:5" ht="15.5" x14ac:dyDescent="0.35">
      <c r="A299" s="33">
        <f>'Dados - Beneficiarias'!A299</f>
        <v>0</v>
      </c>
      <c r="B299" s="33">
        <f>'Dados - Beneficiarias'!B299</f>
        <v>0</v>
      </c>
      <c r="C299" s="33">
        <f>'Dados - Beneficiarias'!C299</f>
        <v>0</v>
      </c>
      <c r="D299" s="33">
        <f>'Dados - Beneficiarias'!D299</f>
        <v>0</v>
      </c>
      <c r="E299" s="33">
        <f>'Dados - Beneficiarias'!E299</f>
        <v>0</v>
      </c>
    </row>
    <row r="300" spans="1:5" ht="15.5" x14ac:dyDescent="0.35">
      <c r="A300" s="33">
        <f>'Dados - Beneficiarias'!A300</f>
        <v>0</v>
      </c>
      <c r="B300" s="33">
        <f>'Dados - Beneficiarias'!B300</f>
        <v>0</v>
      </c>
      <c r="C300" s="33">
        <f>'Dados - Beneficiarias'!C300</f>
        <v>0</v>
      </c>
      <c r="D300" s="33">
        <f>'Dados - Beneficiarias'!D300</f>
        <v>0</v>
      </c>
      <c r="E300" s="33">
        <f>'Dados - Beneficiarias'!E300</f>
        <v>0</v>
      </c>
    </row>
    <row r="301" spans="1:5" ht="15.5" x14ac:dyDescent="0.35">
      <c r="A301" s="33">
        <f>'Dados - Beneficiarias'!A301</f>
        <v>0</v>
      </c>
      <c r="B301" s="33">
        <f>'Dados - Beneficiarias'!B301</f>
        <v>0</v>
      </c>
      <c r="C301" s="33">
        <f>'Dados - Beneficiarias'!C301</f>
        <v>0</v>
      </c>
      <c r="D301" s="33">
        <f>'Dados - Beneficiarias'!D301</f>
        <v>0</v>
      </c>
      <c r="E301" s="33">
        <f>'Dados - Beneficiarias'!E301</f>
        <v>0</v>
      </c>
    </row>
    <row r="302" spans="1:5" ht="15.5" x14ac:dyDescent="0.35">
      <c r="A302" s="33">
        <f>'Dados - Beneficiarias'!A302</f>
        <v>0</v>
      </c>
      <c r="B302" s="33">
        <f>'Dados - Beneficiarias'!B302</f>
        <v>0</v>
      </c>
      <c r="C302" s="33">
        <f>'Dados - Beneficiarias'!C302</f>
        <v>0</v>
      </c>
      <c r="D302" s="33">
        <f>'Dados - Beneficiarias'!D302</f>
        <v>0</v>
      </c>
      <c r="E302" s="33">
        <f>'Dados - Beneficiarias'!E302</f>
        <v>0</v>
      </c>
    </row>
    <row r="303" spans="1:5" ht="15.5" x14ac:dyDescent="0.35">
      <c r="A303" s="33">
        <f>'Dados - Beneficiarias'!A303</f>
        <v>0</v>
      </c>
      <c r="B303" s="33">
        <f>'Dados - Beneficiarias'!B303</f>
        <v>0</v>
      </c>
      <c r="C303" s="33">
        <f>'Dados - Beneficiarias'!C303</f>
        <v>0</v>
      </c>
      <c r="D303" s="33">
        <f>'Dados - Beneficiarias'!D303</f>
        <v>0</v>
      </c>
      <c r="E303" s="33">
        <f>'Dados - Beneficiarias'!E303</f>
        <v>0</v>
      </c>
    </row>
    <row r="304" spans="1:5" ht="15.5" x14ac:dyDescent="0.35">
      <c r="A304" s="33">
        <f>'Dados - Beneficiarias'!A304</f>
        <v>0</v>
      </c>
      <c r="B304" s="33">
        <f>'Dados - Beneficiarias'!B304</f>
        <v>0</v>
      </c>
      <c r="C304" s="33">
        <f>'Dados - Beneficiarias'!C304</f>
        <v>0</v>
      </c>
      <c r="D304" s="33">
        <f>'Dados - Beneficiarias'!D304</f>
        <v>0</v>
      </c>
      <c r="E304" s="33">
        <f>'Dados - Beneficiarias'!E304</f>
        <v>0</v>
      </c>
    </row>
    <row r="305" spans="1:5" ht="15.5" x14ac:dyDescent="0.35">
      <c r="A305" s="33">
        <f>'Dados - Beneficiarias'!A305</f>
        <v>0</v>
      </c>
      <c r="B305" s="33">
        <f>'Dados - Beneficiarias'!B305</f>
        <v>0</v>
      </c>
      <c r="C305" s="33">
        <f>'Dados - Beneficiarias'!C305</f>
        <v>0</v>
      </c>
      <c r="D305" s="33">
        <f>'Dados - Beneficiarias'!D305</f>
        <v>0</v>
      </c>
      <c r="E305" s="33">
        <f>'Dados - Beneficiarias'!E305</f>
        <v>0</v>
      </c>
    </row>
    <row r="306" spans="1:5" ht="15.5" x14ac:dyDescent="0.35">
      <c r="A306" s="33">
        <f>'Dados - Beneficiarias'!A306</f>
        <v>0</v>
      </c>
      <c r="B306" s="33">
        <f>'Dados - Beneficiarias'!B306</f>
        <v>0</v>
      </c>
      <c r="C306" s="33">
        <f>'Dados - Beneficiarias'!C306</f>
        <v>0</v>
      </c>
      <c r="D306" s="33">
        <f>'Dados - Beneficiarias'!D306</f>
        <v>0</v>
      </c>
      <c r="E306" s="33">
        <f>'Dados - Beneficiarias'!E306</f>
        <v>0</v>
      </c>
    </row>
    <row r="307" spans="1:5" ht="15.5" x14ac:dyDescent="0.35">
      <c r="A307" s="33">
        <f>'Dados - Beneficiarias'!A307</f>
        <v>0</v>
      </c>
      <c r="B307" s="33">
        <f>'Dados - Beneficiarias'!B307</f>
        <v>0</v>
      </c>
      <c r="C307" s="33">
        <f>'Dados - Beneficiarias'!C307</f>
        <v>0</v>
      </c>
      <c r="D307" s="33">
        <f>'Dados - Beneficiarias'!D307</f>
        <v>0</v>
      </c>
      <c r="E307" s="33">
        <f>'Dados - Beneficiarias'!E307</f>
        <v>0</v>
      </c>
    </row>
    <row r="308" spans="1:5" ht="15.5" x14ac:dyDescent="0.35">
      <c r="A308" s="33">
        <f>'Dados - Beneficiarias'!A308</f>
        <v>0</v>
      </c>
      <c r="B308" s="33">
        <f>'Dados - Beneficiarias'!B308</f>
        <v>0</v>
      </c>
      <c r="C308" s="33">
        <f>'Dados - Beneficiarias'!C308</f>
        <v>0</v>
      </c>
      <c r="D308" s="33">
        <f>'Dados - Beneficiarias'!D308</f>
        <v>0</v>
      </c>
      <c r="E308" s="33">
        <f>'Dados - Beneficiarias'!E308</f>
        <v>0</v>
      </c>
    </row>
    <row r="309" spans="1:5" ht="15.5" x14ac:dyDescent="0.35">
      <c r="A309" s="33">
        <f>'Dados - Beneficiarias'!A309</f>
        <v>0</v>
      </c>
      <c r="B309" s="33">
        <f>'Dados - Beneficiarias'!B309</f>
        <v>0</v>
      </c>
      <c r="C309" s="33">
        <f>'Dados - Beneficiarias'!C309</f>
        <v>0</v>
      </c>
      <c r="D309" s="33">
        <f>'Dados - Beneficiarias'!D309</f>
        <v>0</v>
      </c>
      <c r="E309" s="33">
        <f>'Dados - Beneficiarias'!E309</f>
        <v>0</v>
      </c>
    </row>
    <row r="310" spans="1:5" ht="15.5" x14ac:dyDescent="0.35">
      <c r="A310" s="33">
        <f>'Dados - Beneficiarias'!A310</f>
        <v>0</v>
      </c>
      <c r="B310" s="33">
        <f>'Dados - Beneficiarias'!B310</f>
        <v>0</v>
      </c>
      <c r="C310" s="33">
        <f>'Dados - Beneficiarias'!C310</f>
        <v>0</v>
      </c>
      <c r="D310" s="33">
        <f>'Dados - Beneficiarias'!D310</f>
        <v>0</v>
      </c>
      <c r="E310" s="33">
        <f>'Dados - Beneficiarias'!E310</f>
        <v>0</v>
      </c>
    </row>
    <row r="311" spans="1:5" ht="15.5" x14ac:dyDescent="0.35">
      <c r="A311" s="33">
        <f>'Dados - Beneficiarias'!A311</f>
        <v>0</v>
      </c>
      <c r="B311" s="33">
        <f>'Dados - Beneficiarias'!B311</f>
        <v>0</v>
      </c>
      <c r="C311" s="33">
        <f>'Dados - Beneficiarias'!C311</f>
        <v>0</v>
      </c>
      <c r="D311" s="33">
        <f>'Dados - Beneficiarias'!D311</f>
        <v>0</v>
      </c>
      <c r="E311" s="33">
        <f>'Dados - Beneficiarias'!E311</f>
        <v>0</v>
      </c>
    </row>
    <row r="312" spans="1:5" ht="15.5" x14ac:dyDescent="0.35">
      <c r="A312" s="33">
        <f>'Dados - Beneficiarias'!A312</f>
        <v>0</v>
      </c>
      <c r="B312" s="33">
        <f>'Dados - Beneficiarias'!B312</f>
        <v>0</v>
      </c>
      <c r="C312" s="33">
        <f>'Dados - Beneficiarias'!C312</f>
        <v>0</v>
      </c>
      <c r="D312" s="33">
        <f>'Dados - Beneficiarias'!D312</f>
        <v>0</v>
      </c>
      <c r="E312" s="33">
        <f>'Dados - Beneficiarias'!E312</f>
        <v>0</v>
      </c>
    </row>
    <row r="313" spans="1:5" ht="15.5" x14ac:dyDescent="0.35">
      <c r="A313" s="33">
        <f>'Dados - Beneficiarias'!A313</f>
        <v>0</v>
      </c>
      <c r="B313" s="33">
        <f>'Dados - Beneficiarias'!B313</f>
        <v>0</v>
      </c>
      <c r="C313" s="33">
        <f>'Dados - Beneficiarias'!C313</f>
        <v>0</v>
      </c>
      <c r="D313" s="33">
        <f>'Dados - Beneficiarias'!D313</f>
        <v>0</v>
      </c>
      <c r="E313" s="33">
        <f>'Dados - Beneficiarias'!E313</f>
        <v>0</v>
      </c>
    </row>
    <row r="314" spans="1:5" ht="15.5" x14ac:dyDescent="0.35">
      <c r="A314" s="33">
        <f>'Dados - Beneficiarias'!A314</f>
        <v>0</v>
      </c>
      <c r="B314" s="33">
        <f>'Dados - Beneficiarias'!B314</f>
        <v>0</v>
      </c>
      <c r="C314" s="33">
        <f>'Dados - Beneficiarias'!C314</f>
        <v>0</v>
      </c>
      <c r="D314" s="33">
        <f>'Dados - Beneficiarias'!D314</f>
        <v>0</v>
      </c>
      <c r="E314" s="33">
        <f>'Dados - Beneficiarias'!E314</f>
        <v>0</v>
      </c>
    </row>
    <row r="315" spans="1:5" ht="15.5" x14ac:dyDescent="0.35">
      <c r="A315" s="33">
        <f>'Dados - Beneficiarias'!A315</f>
        <v>0</v>
      </c>
      <c r="B315" s="33">
        <f>'Dados - Beneficiarias'!B315</f>
        <v>0</v>
      </c>
      <c r="C315" s="33">
        <f>'Dados - Beneficiarias'!C315</f>
        <v>0</v>
      </c>
      <c r="D315" s="33">
        <f>'Dados - Beneficiarias'!D315</f>
        <v>0</v>
      </c>
      <c r="E315" s="33">
        <f>'Dados - Beneficiarias'!E315</f>
        <v>0</v>
      </c>
    </row>
    <row r="316" spans="1:5" ht="15.5" x14ac:dyDescent="0.35">
      <c r="A316" s="33">
        <f>'Dados - Beneficiarias'!A316</f>
        <v>0</v>
      </c>
      <c r="B316" s="33">
        <f>'Dados - Beneficiarias'!B316</f>
        <v>0</v>
      </c>
      <c r="C316" s="33">
        <f>'Dados - Beneficiarias'!C316</f>
        <v>0</v>
      </c>
      <c r="D316" s="33">
        <f>'Dados - Beneficiarias'!D316</f>
        <v>0</v>
      </c>
      <c r="E316" s="33">
        <f>'Dados - Beneficiarias'!E316</f>
        <v>0</v>
      </c>
    </row>
    <row r="317" spans="1:5" ht="15.5" x14ac:dyDescent="0.35">
      <c r="A317" s="33">
        <f>'Dados - Beneficiarias'!A317</f>
        <v>0</v>
      </c>
      <c r="B317" s="33">
        <f>'Dados - Beneficiarias'!B317</f>
        <v>0</v>
      </c>
      <c r="C317" s="33">
        <f>'Dados - Beneficiarias'!C317</f>
        <v>0</v>
      </c>
      <c r="D317" s="33">
        <f>'Dados - Beneficiarias'!D317</f>
        <v>0</v>
      </c>
      <c r="E317" s="33">
        <f>'Dados - Beneficiarias'!E317</f>
        <v>0</v>
      </c>
    </row>
    <row r="318" spans="1:5" ht="15.5" x14ac:dyDescent="0.35">
      <c r="A318" s="33">
        <f>'Dados - Beneficiarias'!A318</f>
        <v>0</v>
      </c>
      <c r="B318" s="33">
        <f>'Dados - Beneficiarias'!B318</f>
        <v>0</v>
      </c>
      <c r="C318" s="33">
        <f>'Dados - Beneficiarias'!C318</f>
        <v>0</v>
      </c>
      <c r="D318" s="33">
        <f>'Dados - Beneficiarias'!D318</f>
        <v>0</v>
      </c>
      <c r="E318" s="33">
        <f>'Dados - Beneficiarias'!E318</f>
        <v>0</v>
      </c>
    </row>
    <row r="319" spans="1:5" ht="15.5" x14ac:dyDescent="0.35">
      <c r="A319" s="33">
        <f>'Dados - Beneficiarias'!A319</f>
        <v>0</v>
      </c>
      <c r="B319" s="33">
        <f>'Dados - Beneficiarias'!B319</f>
        <v>0</v>
      </c>
      <c r="C319" s="33">
        <f>'Dados - Beneficiarias'!C319</f>
        <v>0</v>
      </c>
      <c r="D319" s="33">
        <f>'Dados - Beneficiarias'!D319</f>
        <v>0</v>
      </c>
      <c r="E319" s="33">
        <f>'Dados - Beneficiarias'!E319</f>
        <v>0</v>
      </c>
    </row>
    <row r="320" spans="1:5" ht="15.5" x14ac:dyDescent="0.35">
      <c r="A320" s="33">
        <f>'Dados - Beneficiarias'!A320</f>
        <v>0</v>
      </c>
      <c r="B320" s="33">
        <f>'Dados - Beneficiarias'!B320</f>
        <v>0</v>
      </c>
      <c r="C320" s="33">
        <f>'Dados - Beneficiarias'!C320</f>
        <v>0</v>
      </c>
      <c r="D320" s="33">
        <f>'Dados - Beneficiarias'!D320</f>
        <v>0</v>
      </c>
      <c r="E320" s="33">
        <f>'Dados - Beneficiarias'!E320</f>
        <v>0</v>
      </c>
    </row>
    <row r="321" spans="1:5" ht="15.5" x14ac:dyDescent="0.35">
      <c r="A321" s="33">
        <f>'Dados - Beneficiarias'!A321</f>
        <v>0</v>
      </c>
      <c r="B321" s="33">
        <f>'Dados - Beneficiarias'!B321</f>
        <v>0</v>
      </c>
      <c r="C321" s="33">
        <f>'Dados - Beneficiarias'!C321</f>
        <v>0</v>
      </c>
      <c r="D321" s="33">
        <f>'Dados - Beneficiarias'!D321</f>
        <v>0</v>
      </c>
      <c r="E321" s="33">
        <f>'Dados - Beneficiarias'!E321</f>
        <v>0</v>
      </c>
    </row>
    <row r="322" spans="1:5" ht="15.5" x14ac:dyDescent="0.35">
      <c r="A322" s="33">
        <f>'Dados - Beneficiarias'!A322</f>
        <v>0</v>
      </c>
      <c r="B322" s="33">
        <f>'Dados - Beneficiarias'!B322</f>
        <v>0</v>
      </c>
      <c r="C322" s="33">
        <f>'Dados - Beneficiarias'!C322</f>
        <v>0</v>
      </c>
      <c r="D322" s="33">
        <f>'Dados - Beneficiarias'!D322</f>
        <v>0</v>
      </c>
      <c r="E322" s="33">
        <f>'Dados - Beneficiarias'!E322</f>
        <v>0</v>
      </c>
    </row>
    <row r="323" spans="1:5" ht="15.5" x14ac:dyDescent="0.35">
      <c r="A323" s="33">
        <f>'Dados - Beneficiarias'!A323</f>
        <v>0</v>
      </c>
      <c r="B323" s="33">
        <f>'Dados - Beneficiarias'!B323</f>
        <v>0</v>
      </c>
      <c r="C323" s="33">
        <f>'Dados - Beneficiarias'!C323</f>
        <v>0</v>
      </c>
      <c r="D323" s="33">
        <f>'Dados - Beneficiarias'!D323</f>
        <v>0</v>
      </c>
      <c r="E323" s="33">
        <f>'Dados - Beneficiarias'!E323</f>
        <v>0</v>
      </c>
    </row>
    <row r="324" spans="1:5" ht="15.5" x14ac:dyDescent="0.35">
      <c r="A324" s="33">
        <f>'Dados - Beneficiarias'!A324</f>
        <v>0</v>
      </c>
      <c r="B324" s="33">
        <f>'Dados - Beneficiarias'!B324</f>
        <v>0</v>
      </c>
      <c r="C324" s="33">
        <f>'Dados - Beneficiarias'!C324</f>
        <v>0</v>
      </c>
      <c r="D324" s="33">
        <f>'Dados - Beneficiarias'!D324</f>
        <v>0</v>
      </c>
      <c r="E324" s="33">
        <f>'Dados - Beneficiarias'!E324</f>
        <v>0</v>
      </c>
    </row>
    <row r="325" spans="1:5" ht="15.5" x14ac:dyDescent="0.35">
      <c r="A325" s="33">
        <f>'Dados - Beneficiarias'!A325</f>
        <v>0</v>
      </c>
      <c r="B325" s="33">
        <f>'Dados - Beneficiarias'!B325</f>
        <v>0</v>
      </c>
      <c r="C325" s="33">
        <f>'Dados - Beneficiarias'!C325</f>
        <v>0</v>
      </c>
      <c r="D325" s="33">
        <f>'Dados - Beneficiarias'!D325</f>
        <v>0</v>
      </c>
      <c r="E325" s="33">
        <f>'Dados - Beneficiarias'!E325</f>
        <v>0</v>
      </c>
    </row>
    <row r="326" spans="1:5" ht="15.5" x14ac:dyDescent="0.35">
      <c r="A326" s="33">
        <f>'Dados - Beneficiarias'!A326</f>
        <v>0</v>
      </c>
      <c r="B326" s="33">
        <f>'Dados - Beneficiarias'!B326</f>
        <v>0</v>
      </c>
      <c r="C326" s="33">
        <f>'Dados - Beneficiarias'!C326</f>
        <v>0</v>
      </c>
      <c r="D326" s="33">
        <f>'Dados - Beneficiarias'!D326</f>
        <v>0</v>
      </c>
      <c r="E326" s="33">
        <f>'Dados - Beneficiarias'!E326</f>
        <v>0</v>
      </c>
    </row>
    <row r="327" spans="1:5" ht="15.5" x14ac:dyDescent="0.35">
      <c r="A327" s="33">
        <f>'Dados - Beneficiarias'!A327</f>
        <v>0</v>
      </c>
      <c r="B327" s="33">
        <f>'Dados - Beneficiarias'!B327</f>
        <v>0</v>
      </c>
      <c r="C327" s="33">
        <f>'Dados - Beneficiarias'!C327</f>
        <v>0</v>
      </c>
      <c r="D327" s="33">
        <f>'Dados - Beneficiarias'!D327</f>
        <v>0</v>
      </c>
      <c r="E327" s="33">
        <f>'Dados - Beneficiarias'!E327</f>
        <v>0</v>
      </c>
    </row>
    <row r="328" spans="1:5" ht="15.5" x14ac:dyDescent="0.35">
      <c r="A328" s="33">
        <f>'Dados - Beneficiarias'!A328</f>
        <v>0</v>
      </c>
      <c r="B328" s="33">
        <f>'Dados - Beneficiarias'!B328</f>
        <v>0</v>
      </c>
      <c r="C328" s="33">
        <f>'Dados - Beneficiarias'!C328</f>
        <v>0</v>
      </c>
      <c r="D328" s="33">
        <f>'Dados - Beneficiarias'!D328</f>
        <v>0</v>
      </c>
      <c r="E328" s="33">
        <f>'Dados - Beneficiarias'!E328</f>
        <v>0</v>
      </c>
    </row>
    <row r="329" spans="1:5" ht="15.5" x14ac:dyDescent="0.35">
      <c r="A329" s="33">
        <f>'Dados - Beneficiarias'!A329</f>
        <v>0</v>
      </c>
      <c r="B329" s="33">
        <f>'Dados - Beneficiarias'!B329</f>
        <v>0</v>
      </c>
      <c r="C329" s="33">
        <f>'Dados - Beneficiarias'!C329</f>
        <v>0</v>
      </c>
      <c r="D329" s="33">
        <f>'Dados - Beneficiarias'!D329</f>
        <v>0</v>
      </c>
      <c r="E329" s="33">
        <f>'Dados - Beneficiarias'!E329</f>
        <v>0</v>
      </c>
    </row>
    <row r="330" spans="1:5" ht="15.5" x14ac:dyDescent="0.35">
      <c r="A330" s="33">
        <f>'Dados - Beneficiarias'!A330</f>
        <v>0</v>
      </c>
      <c r="B330" s="33">
        <f>'Dados - Beneficiarias'!B330</f>
        <v>0</v>
      </c>
      <c r="C330" s="33">
        <f>'Dados - Beneficiarias'!C330</f>
        <v>0</v>
      </c>
      <c r="D330" s="33">
        <f>'Dados - Beneficiarias'!D330</f>
        <v>0</v>
      </c>
      <c r="E330" s="33">
        <f>'Dados - Beneficiarias'!E330</f>
        <v>0</v>
      </c>
    </row>
    <row r="331" spans="1:5" ht="15.5" x14ac:dyDescent="0.35">
      <c r="A331" s="33">
        <f>'Dados - Beneficiarias'!A331</f>
        <v>0</v>
      </c>
      <c r="B331" s="33">
        <f>'Dados - Beneficiarias'!B331</f>
        <v>0</v>
      </c>
      <c r="C331" s="33">
        <f>'Dados - Beneficiarias'!C331</f>
        <v>0</v>
      </c>
      <c r="D331" s="33">
        <f>'Dados - Beneficiarias'!D331</f>
        <v>0</v>
      </c>
      <c r="E331" s="33">
        <f>'Dados - Beneficiarias'!E331</f>
        <v>0</v>
      </c>
    </row>
    <row r="332" spans="1:5" ht="15.5" x14ac:dyDescent="0.35">
      <c r="A332" s="33">
        <f>'Dados - Beneficiarias'!A332</f>
        <v>0</v>
      </c>
      <c r="B332" s="33">
        <f>'Dados - Beneficiarias'!B332</f>
        <v>0</v>
      </c>
      <c r="C332" s="33">
        <f>'Dados - Beneficiarias'!C332</f>
        <v>0</v>
      </c>
      <c r="D332" s="33">
        <f>'Dados - Beneficiarias'!D332</f>
        <v>0</v>
      </c>
      <c r="E332" s="33">
        <f>'Dados - Beneficiarias'!E332</f>
        <v>0</v>
      </c>
    </row>
    <row r="333" spans="1:5" ht="15.5" x14ac:dyDescent="0.35">
      <c r="A333" s="33">
        <f>'Dados - Beneficiarias'!A333</f>
        <v>0</v>
      </c>
      <c r="B333" s="33">
        <f>'Dados - Beneficiarias'!B333</f>
        <v>0</v>
      </c>
      <c r="C333" s="33">
        <f>'Dados - Beneficiarias'!C333</f>
        <v>0</v>
      </c>
      <c r="D333" s="33">
        <f>'Dados - Beneficiarias'!D333</f>
        <v>0</v>
      </c>
      <c r="E333" s="33">
        <f>'Dados - Beneficiarias'!E333</f>
        <v>0</v>
      </c>
    </row>
    <row r="334" spans="1:5" ht="15.5" x14ac:dyDescent="0.35">
      <c r="A334" s="33">
        <f>'Dados - Beneficiarias'!A334</f>
        <v>0</v>
      </c>
      <c r="B334" s="33">
        <f>'Dados - Beneficiarias'!B334</f>
        <v>0</v>
      </c>
      <c r="C334" s="33">
        <f>'Dados - Beneficiarias'!C334</f>
        <v>0</v>
      </c>
      <c r="D334" s="33">
        <f>'Dados - Beneficiarias'!D334</f>
        <v>0</v>
      </c>
      <c r="E334" s="33">
        <f>'Dados - Beneficiarias'!E334</f>
        <v>0</v>
      </c>
    </row>
    <row r="335" spans="1:5" ht="15.5" x14ac:dyDescent="0.35">
      <c r="A335" s="33">
        <f>'Dados - Beneficiarias'!A335</f>
        <v>0</v>
      </c>
      <c r="B335" s="33">
        <f>'Dados - Beneficiarias'!B335</f>
        <v>0</v>
      </c>
      <c r="C335" s="33">
        <f>'Dados - Beneficiarias'!C335</f>
        <v>0</v>
      </c>
      <c r="D335" s="33">
        <f>'Dados - Beneficiarias'!D335</f>
        <v>0</v>
      </c>
      <c r="E335" s="33">
        <f>'Dados - Beneficiarias'!E335</f>
        <v>0</v>
      </c>
    </row>
    <row r="336" spans="1:5" ht="15.5" x14ac:dyDescent="0.35">
      <c r="A336" s="33">
        <f>'Dados - Beneficiarias'!A336</f>
        <v>0</v>
      </c>
      <c r="B336" s="33">
        <f>'Dados - Beneficiarias'!B336</f>
        <v>0</v>
      </c>
      <c r="C336" s="33">
        <f>'Dados - Beneficiarias'!C336</f>
        <v>0</v>
      </c>
      <c r="D336" s="33">
        <f>'Dados - Beneficiarias'!D336</f>
        <v>0</v>
      </c>
      <c r="E336" s="33">
        <f>'Dados - Beneficiarias'!E336</f>
        <v>0</v>
      </c>
    </row>
    <row r="337" spans="1:5" ht="15.5" x14ac:dyDescent="0.35">
      <c r="A337" s="33">
        <f>'Dados - Beneficiarias'!A337</f>
        <v>0</v>
      </c>
      <c r="B337" s="33">
        <f>'Dados - Beneficiarias'!B337</f>
        <v>0</v>
      </c>
      <c r="C337" s="33">
        <f>'Dados - Beneficiarias'!C337</f>
        <v>0</v>
      </c>
      <c r="D337" s="33">
        <f>'Dados - Beneficiarias'!D337</f>
        <v>0</v>
      </c>
      <c r="E337" s="33">
        <f>'Dados - Beneficiarias'!E337</f>
        <v>0</v>
      </c>
    </row>
    <row r="338" spans="1:5" ht="15.5" x14ac:dyDescent="0.35">
      <c r="A338" s="33">
        <f>'Dados - Beneficiarias'!A338</f>
        <v>0</v>
      </c>
      <c r="B338" s="33">
        <f>'Dados - Beneficiarias'!B338</f>
        <v>0</v>
      </c>
      <c r="C338" s="33">
        <f>'Dados - Beneficiarias'!C338</f>
        <v>0</v>
      </c>
      <c r="D338" s="33">
        <f>'Dados - Beneficiarias'!D338</f>
        <v>0</v>
      </c>
      <c r="E338" s="33">
        <f>'Dados - Beneficiarias'!E338</f>
        <v>0</v>
      </c>
    </row>
    <row r="339" spans="1:5" ht="15.5" x14ac:dyDescent="0.35">
      <c r="A339" s="33">
        <f>'Dados - Beneficiarias'!A339</f>
        <v>0</v>
      </c>
      <c r="B339" s="33">
        <f>'Dados - Beneficiarias'!B339</f>
        <v>0</v>
      </c>
      <c r="C339" s="33">
        <f>'Dados - Beneficiarias'!C339</f>
        <v>0</v>
      </c>
      <c r="D339" s="33">
        <f>'Dados - Beneficiarias'!D339</f>
        <v>0</v>
      </c>
      <c r="E339" s="33">
        <f>'Dados - Beneficiarias'!E339</f>
        <v>0</v>
      </c>
    </row>
    <row r="340" spans="1:5" ht="15.5" x14ac:dyDescent="0.35">
      <c r="A340" s="33">
        <f>'Dados - Beneficiarias'!A340</f>
        <v>0</v>
      </c>
      <c r="B340" s="33">
        <f>'Dados - Beneficiarias'!B340</f>
        <v>0</v>
      </c>
      <c r="C340" s="33">
        <f>'Dados - Beneficiarias'!C340</f>
        <v>0</v>
      </c>
      <c r="D340" s="33">
        <f>'Dados - Beneficiarias'!D340</f>
        <v>0</v>
      </c>
      <c r="E340" s="33">
        <f>'Dados - Beneficiarias'!E340</f>
        <v>0</v>
      </c>
    </row>
    <row r="341" spans="1:5" ht="15.5" x14ac:dyDescent="0.35">
      <c r="A341" s="33">
        <f>'Dados - Beneficiarias'!A341</f>
        <v>0</v>
      </c>
      <c r="B341" s="33">
        <f>'Dados - Beneficiarias'!B341</f>
        <v>0</v>
      </c>
      <c r="C341" s="33">
        <f>'Dados - Beneficiarias'!C341</f>
        <v>0</v>
      </c>
      <c r="D341" s="33">
        <f>'Dados - Beneficiarias'!D341</f>
        <v>0</v>
      </c>
      <c r="E341" s="33">
        <f>'Dados - Beneficiarias'!E341</f>
        <v>0</v>
      </c>
    </row>
    <row r="342" spans="1:5" ht="15.5" x14ac:dyDescent="0.35">
      <c r="A342" s="33">
        <f>'Dados - Beneficiarias'!A342</f>
        <v>0</v>
      </c>
      <c r="B342" s="33">
        <f>'Dados - Beneficiarias'!B342</f>
        <v>0</v>
      </c>
      <c r="C342" s="33">
        <f>'Dados - Beneficiarias'!C342</f>
        <v>0</v>
      </c>
      <c r="D342" s="33">
        <f>'Dados - Beneficiarias'!D342</f>
        <v>0</v>
      </c>
      <c r="E342" s="33">
        <f>'Dados - Beneficiarias'!E342</f>
        <v>0</v>
      </c>
    </row>
    <row r="343" spans="1:5" ht="15.5" x14ac:dyDescent="0.35">
      <c r="A343" s="33">
        <f>'Dados - Beneficiarias'!A343</f>
        <v>0</v>
      </c>
      <c r="B343" s="33">
        <f>'Dados - Beneficiarias'!B343</f>
        <v>0</v>
      </c>
      <c r="C343" s="33">
        <f>'Dados - Beneficiarias'!C343</f>
        <v>0</v>
      </c>
      <c r="D343" s="33">
        <f>'Dados - Beneficiarias'!D343</f>
        <v>0</v>
      </c>
      <c r="E343" s="33">
        <f>'Dados - Beneficiarias'!E343</f>
        <v>0</v>
      </c>
    </row>
    <row r="344" spans="1:5" ht="15.5" x14ac:dyDescent="0.35">
      <c r="A344" s="33">
        <f>'Dados - Beneficiarias'!A344</f>
        <v>0</v>
      </c>
      <c r="B344" s="33">
        <f>'Dados - Beneficiarias'!B344</f>
        <v>0</v>
      </c>
      <c r="C344" s="33">
        <f>'Dados - Beneficiarias'!C344</f>
        <v>0</v>
      </c>
      <c r="D344" s="33">
        <f>'Dados - Beneficiarias'!D344</f>
        <v>0</v>
      </c>
      <c r="E344" s="33">
        <f>'Dados - Beneficiarias'!E344</f>
        <v>0</v>
      </c>
    </row>
    <row r="345" spans="1:5" ht="15.5" x14ac:dyDescent="0.35">
      <c r="A345" s="33">
        <f>'Dados - Beneficiarias'!A345</f>
        <v>0</v>
      </c>
      <c r="B345" s="33">
        <f>'Dados - Beneficiarias'!B345</f>
        <v>0</v>
      </c>
      <c r="C345" s="33">
        <f>'Dados - Beneficiarias'!C345</f>
        <v>0</v>
      </c>
      <c r="D345" s="33">
        <f>'Dados - Beneficiarias'!D345</f>
        <v>0</v>
      </c>
      <c r="E345" s="33">
        <f>'Dados - Beneficiarias'!E345</f>
        <v>0</v>
      </c>
    </row>
    <row r="346" spans="1:5" ht="15.5" x14ac:dyDescent="0.35">
      <c r="A346" s="33">
        <f>'Dados - Beneficiarias'!A346</f>
        <v>0</v>
      </c>
      <c r="B346" s="33">
        <f>'Dados - Beneficiarias'!B346</f>
        <v>0</v>
      </c>
      <c r="C346" s="33">
        <f>'Dados - Beneficiarias'!C346</f>
        <v>0</v>
      </c>
      <c r="D346" s="33">
        <f>'Dados - Beneficiarias'!D346</f>
        <v>0</v>
      </c>
      <c r="E346" s="33">
        <f>'Dados - Beneficiarias'!E346</f>
        <v>0</v>
      </c>
    </row>
    <row r="347" spans="1:5" ht="15.5" x14ac:dyDescent="0.35">
      <c r="A347" s="33">
        <f>'Dados - Beneficiarias'!A347</f>
        <v>0</v>
      </c>
      <c r="B347" s="33">
        <f>'Dados - Beneficiarias'!B347</f>
        <v>0</v>
      </c>
      <c r="C347" s="33">
        <f>'Dados - Beneficiarias'!C347</f>
        <v>0</v>
      </c>
      <c r="D347" s="33">
        <f>'Dados - Beneficiarias'!D347</f>
        <v>0</v>
      </c>
      <c r="E347" s="33">
        <f>'Dados - Beneficiarias'!E347</f>
        <v>0</v>
      </c>
    </row>
    <row r="348" spans="1:5" ht="15.5" x14ac:dyDescent="0.35">
      <c r="A348" s="33">
        <f>'Dados - Beneficiarias'!A348</f>
        <v>0</v>
      </c>
      <c r="B348" s="33">
        <f>'Dados - Beneficiarias'!B348</f>
        <v>0</v>
      </c>
      <c r="C348" s="33">
        <f>'Dados - Beneficiarias'!C348</f>
        <v>0</v>
      </c>
      <c r="D348" s="33">
        <f>'Dados - Beneficiarias'!D348</f>
        <v>0</v>
      </c>
      <c r="E348" s="33">
        <f>'Dados - Beneficiarias'!E348</f>
        <v>0</v>
      </c>
    </row>
    <row r="349" spans="1:5" ht="15.5" x14ac:dyDescent="0.35">
      <c r="A349" s="33">
        <f>'Dados - Beneficiarias'!A349</f>
        <v>0</v>
      </c>
      <c r="B349" s="33">
        <f>'Dados - Beneficiarias'!B349</f>
        <v>0</v>
      </c>
      <c r="C349" s="33">
        <f>'Dados - Beneficiarias'!C349</f>
        <v>0</v>
      </c>
      <c r="D349" s="33">
        <f>'Dados - Beneficiarias'!D349</f>
        <v>0</v>
      </c>
      <c r="E349" s="33">
        <f>'Dados - Beneficiarias'!E349</f>
        <v>0</v>
      </c>
    </row>
    <row r="350" spans="1:5" ht="15.5" x14ac:dyDescent="0.35">
      <c r="A350" s="33">
        <f>'Dados - Beneficiarias'!A350</f>
        <v>0</v>
      </c>
      <c r="B350" s="33">
        <f>'Dados - Beneficiarias'!B350</f>
        <v>0</v>
      </c>
      <c r="C350" s="33">
        <f>'Dados - Beneficiarias'!C350</f>
        <v>0</v>
      </c>
      <c r="D350" s="33">
        <f>'Dados - Beneficiarias'!D350</f>
        <v>0</v>
      </c>
      <c r="E350" s="33">
        <f>'Dados - Beneficiarias'!E350</f>
        <v>0</v>
      </c>
    </row>
    <row r="351" spans="1:5" ht="15.5" x14ac:dyDescent="0.35">
      <c r="A351" s="33">
        <f>'Dados - Beneficiarias'!A351</f>
        <v>0</v>
      </c>
      <c r="B351" s="33">
        <f>'Dados - Beneficiarias'!B351</f>
        <v>0</v>
      </c>
      <c r="C351" s="33">
        <f>'Dados - Beneficiarias'!C351</f>
        <v>0</v>
      </c>
      <c r="D351" s="33">
        <f>'Dados - Beneficiarias'!D351</f>
        <v>0</v>
      </c>
      <c r="E351" s="33">
        <f>'Dados - Beneficiarias'!E351</f>
        <v>0</v>
      </c>
    </row>
    <row r="352" spans="1:5" ht="15.5" x14ac:dyDescent="0.35">
      <c r="A352" s="33">
        <f>'Dados - Beneficiarias'!A352</f>
        <v>0</v>
      </c>
      <c r="B352" s="33">
        <f>'Dados - Beneficiarias'!B352</f>
        <v>0</v>
      </c>
      <c r="C352" s="33">
        <f>'Dados - Beneficiarias'!C352</f>
        <v>0</v>
      </c>
      <c r="D352" s="33">
        <f>'Dados - Beneficiarias'!D352</f>
        <v>0</v>
      </c>
      <c r="E352" s="33">
        <f>'Dados - Beneficiarias'!E352</f>
        <v>0</v>
      </c>
    </row>
    <row r="353" spans="1:5" ht="15.5" x14ac:dyDescent="0.35">
      <c r="A353" s="33">
        <f>'Dados - Beneficiarias'!A353</f>
        <v>0</v>
      </c>
      <c r="B353" s="33">
        <f>'Dados - Beneficiarias'!B353</f>
        <v>0</v>
      </c>
      <c r="C353" s="33">
        <f>'Dados - Beneficiarias'!C353</f>
        <v>0</v>
      </c>
      <c r="D353" s="33">
        <f>'Dados - Beneficiarias'!D353</f>
        <v>0</v>
      </c>
      <c r="E353" s="33">
        <f>'Dados - Beneficiarias'!E353</f>
        <v>0</v>
      </c>
    </row>
    <row r="354" spans="1:5" ht="15.5" x14ac:dyDescent="0.35">
      <c r="A354" s="33">
        <f>'Dados - Beneficiarias'!A354</f>
        <v>0</v>
      </c>
      <c r="B354" s="33">
        <f>'Dados - Beneficiarias'!B354</f>
        <v>0</v>
      </c>
      <c r="C354" s="33">
        <f>'Dados - Beneficiarias'!C354</f>
        <v>0</v>
      </c>
      <c r="D354" s="33">
        <f>'Dados - Beneficiarias'!D354</f>
        <v>0</v>
      </c>
      <c r="E354" s="33">
        <f>'Dados - Beneficiarias'!E354</f>
        <v>0</v>
      </c>
    </row>
    <row r="355" spans="1:5" ht="15.5" x14ac:dyDescent="0.35">
      <c r="A355" s="33">
        <f>'Dados - Beneficiarias'!A355</f>
        <v>0</v>
      </c>
      <c r="B355" s="33">
        <f>'Dados - Beneficiarias'!B355</f>
        <v>0</v>
      </c>
      <c r="C355" s="33">
        <f>'Dados - Beneficiarias'!C355</f>
        <v>0</v>
      </c>
      <c r="D355" s="33">
        <f>'Dados - Beneficiarias'!D355</f>
        <v>0</v>
      </c>
      <c r="E355" s="33">
        <f>'Dados - Beneficiarias'!E355</f>
        <v>0</v>
      </c>
    </row>
    <row r="356" spans="1:5" ht="15.5" x14ac:dyDescent="0.35">
      <c r="A356" s="33">
        <f>'Dados - Beneficiarias'!A356</f>
        <v>0</v>
      </c>
      <c r="B356" s="33">
        <f>'Dados - Beneficiarias'!B356</f>
        <v>0</v>
      </c>
      <c r="C356" s="33">
        <f>'Dados - Beneficiarias'!C356</f>
        <v>0</v>
      </c>
      <c r="D356" s="33">
        <f>'Dados - Beneficiarias'!D356</f>
        <v>0</v>
      </c>
      <c r="E356" s="33">
        <f>'Dados - Beneficiarias'!E356</f>
        <v>0</v>
      </c>
    </row>
    <row r="357" spans="1:5" ht="15.5" x14ac:dyDescent="0.35">
      <c r="A357" s="33">
        <f>'Dados - Beneficiarias'!A357</f>
        <v>0</v>
      </c>
      <c r="B357" s="33">
        <f>'Dados - Beneficiarias'!B357</f>
        <v>0</v>
      </c>
      <c r="C357" s="33">
        <f>'Dados - Beneficiarias'!C357</f>
        <v>0</v>
      </c>
      <c r="D357" s="33">
        <f>'Dados - Beneficiarias'!D357</f>
        <v>0</v>
      </c>
      <c r="E357" s="33">
        <f>'Dados - Beneficiarias'!E357</f>
        <v>0</v>
      </c>
    </row>
    <row r="358" spans="1:5" ht="15.5" x14ac:dyDescent="0.35">
      <c r="A358" s="33">
        <f>'Dados - Beneficiarias'!A358</f>
        <v>0</v>
      </c>
      <c r="B358" s="33">
        <f>'Dados - Beneficiarias'!B358</f>
        <v>0</v>
      </c>
      <c r="C358" s="33">
        <f>'Dados - Beneficiarias'!C358</f>
        <v>0</v>
      </c>
      <c r="D358" s="33">
        <f>'Dados - Beneficiarias'!D358</f>
        <v>0</v>
      </c>
      <c r="E358" s="33">
        <f>'Dados - Beneficiarias'!E358</f>
        <v>0</v>
      </c>
    </row>
    <row r="359" spans="1:5" ht="15.5" x14ac:dyDescent="0.35">
      <c r="A359" s="33">
        <f>'Dados - Beneficiarias'!A359</f>
        <v>0</v>
      </c>
      <c r="B359" s="33">
        <f>'Dados - Beneficiarias'!B359</f>
        <v>0</v>
      </c>
      <c r="C359" s="33">
        <f>'Dados - Beneficiarias'!C359</f>
        <v>0</v>
      </c>
      <c r="D359" s="33">
        <f>'Dados - Beneficiarias'!D359</f>
        <v>0</v>
      </c>
      <c r="E359" s="33">
        <f>'Dados - Beneficiarias'!E359</f>
        <v>0</v>
      </c>
    </row>
    <row r="360" spans="1:5" ht="15.5" x14ac:dyDescent="0.35">
      <c r="A360" s="33">
        <f>'Dados - Beneficiarias'!A360</f>
        <v>0</v>
      </c>
      <c r="B360" s="33">
        <f>'Dados - Beneficiarias'!B360</f>
        <v>0</v>
      </c>
      <c r="C360" s="33">
        <f>'Dados - Beneficiarias'!C360</f>
        <v>0</v>
      </c>
      <c r="D360" s="33">
        <f>'Dados - Beneficiarias'!D360</f>
        <v>0</v>
      </c>
      <c r="E360" s="33">
        <f>'Dados - Beneficiarias'!E360</f>
        <v>0</v>
      </c>
    </row>
    <row r="361" spans="1:5" ht="15.5" x14ac:dyDescent="0.35">
      <c r="A361" s="33">
        <f>'Dados - Beneficiarias'!A361</f>
        <v>0</v>
      </c>
      <c r="B361" s="33">
        <f>'Dados - Beneficiarias'!B361</f>
        <v>0</v>
      </c>
      <c r="C361" s="33">
        <f>'Dados - Beneficiarias'!C361</f>
        <v>0</v>
      </c>
      <c r="D361" s="33">
        <f>'Dados - Beneficiarias'!D361</f>
        <v>0</v>
      </c>
      <c r="E361" s="33">
        <f>'Dados - Beneficiarias'!E361</f>
        <v>0</v>
      </c>
    </row>
    <row r="362" spans="1:5" ht="15.5" x14ac:dyDescent="0.35">
      <c r="A362" s="33">
        <f>'Dados - Beneficiarias'!A362</f>
        <v>0</v>
      </c>
      <c r="B362" s="33">
        <f>'Dados - Beneficiarias'!B362</f>
        <v>0</v>
      </c>
      <c r="C362" s="33">
        <f>'Dados - Beneficiarias'!C362</f>
        <v>0</v>
      </c>
      <c r="D362" s="33">
        <f>'Dados - Beneficiarias'!D362</f>
        <v>0</v>
      </c>
      <c r="E362" s="33">
        <f>'Dados - Beneficiarias'!E362</f>
        <v>0</v>
      </c>
    </row>
    <row r="363" spans="1:5" ht="15.5" x14ac:dyDescent="0.35">
      <c r="A363" s="33">
        <f>'Dados - Beneficiarias'!A363</f>
        <v>0</v>
      </c>
      <c r="B363" s="33">
        <f>'Dados - Beneficiarias'!B363</f>
        <v>0</v>
      </c>
      <c r="C363" s="33">
        <f>'Dados - Beneficiarias'!C363</f>
        <v>0</v>
      </c>
      <c r="D363" s="33">
        <f>'Dados - Beneficiarias'!D363</f>
        <v>0</v>
      </c>
      <c r="E363" s="33">
        <f>'Dados - Beneficiarias'!E363</f>
        <v>0</v>
      </c>
    </row>
    <row r="364" spans="1:5" ht="15.5" x14ac:dyDescent="0.35">
      <c r="A364" s="33">
        <f>'Dados - Beneficiarias'!A364</f>
        <v>0</v>
      </c>
      <c r="B364" s="33">
        <f>'Dados - Beneficiarias'!B364</f>
        <v>0</v>
      </c>
      <c r="C364" s="33">
        <f>'Dados - Beneficiarias'!C364</f>
        <v>0</v>
      </c>
      <c r="D364" s="33">
        <f>'Dados - Beneficiarias'!D364</f>
        <v>0</v>
      </c>
      <c r="E364" s="33">
        <f>'Dados - Beneficiarias'!E364</f>
        <v>0</v>
      </c>
    </row>
    <row r="365" spans="1:5" ht="15.5" x14ac:dyDescent="0.35">
      <c r="A365" s="33">
        <f>'Dados - Beneficiarias'!A365</f>
        <v>0</v>
      </c>
      <c r="B365" s="33">
        <f>'Dados - Beneficiarias'!B365</f>
        <v>0</v>
      </c>
      <c r="C365" s="33">
        <f>'Dados - Beneficiarias'!C365</f>
        <v>0</v>
      </c>
      <c r="D365" s="33">
        <f>'Dados - Beneficiarias'!D365</f>
        <v>0</v>
      </c>
      <c r="E365" s="33">
        <f>'Dados - Beneficiarias'!E365</f>
        <v>0</v>
      </c>
    </row>
    <row r="366" spans="1:5" ht="15.5" x14ac:dyDescent="0.35">
      <c r="A366" s="33">
        <f>'Dados - Beneficiarias'!A366</f>
        <v>0</v>
      </c>
      <c r="B366" s="33">
        <f>'Dados - Beneficiarias'!B366</f>
        <v>0</v>
      </c>
      <c r="C366" s="33">
        <f>'Dados - Beneficiarias'!C366</f>
        <v>0</v>
      </c>
      <c r="D366" s="33">
        <f>'Dados - Beneficiarias'!D366</f>
        <v>0</v>
      </c>
      <c r="E366" s="33">
        <f>'Dados - Beneficiarias'!E366</f>
        <v>0</v>
      </c>
    </row>
    <row r="367" spans="1:5" ht="15.5" x14ac:dyDescent="0.35">
      <c r="A367" s="33">
        <f>'Dados - Beneficiarias'!A367</f>
        <v>0</v>
      </c>
      <c r="B367" s="33">
        <f>'Dados - Beneficiarias'!B367</f>
        <v>0</v>
      </c>
      <c r="C367" s="33">
        <f>'Dados - Beneficiarias'!C367</f>
        <v>0</v>
      </c>
      <c r="D367" s="33">
        <f>'Dados - Beneficiarias'!D367</f>
        <v>0</v>
      </c>
      <c r="E367" s="33">
        <f>'Dados - Beneficiarias'!E367</f>
        <v>0</v>
      </c>
    </row>
    <row r="368" spans="1:5" ht="15.5" x14ac:dyDescent="0.35">
      <c r="A368" s="33">
        <f>'Dados - Beneficiarias'!A368</f>
        <v>0</v>
      </c>
      <c r="B368" s="33">
        <f>'Dados - Beneficiarias'!B368</f>
        <v>0</v>
      </c>
      <c r="C368" s="33">
        <f>'Dados - Beneficiarias'!C368</f>
        <v>0</v>
      </c>
      <c r="D368" s="33">
        <f>'Dados - Beneficiarias'!D368</f>
        <v>0</v>
      </c>
      <c r="E368" s="33">
        <f>'Dados - Beneficiarias'!E368</f>
        <v>0</v>
      </c>
    </row>
    <row r="369" spans="1:5" ht="15.5" x14ac:dyDescent="0.35">
      <c r="A369" s="33">
        <f>'Dados - Beneficiarias'!A369</f>
        <v>0</v>
      </c>
      <c r="B369" s="33">
        <f>'Dados - Beneficiarias'!B369</f>
        <v>0</v>
      </c>
      <c r="C369" s="33">
        <f>'Dados - Beneficiarias'!C369</f>
        <v>0</v>
      </c>
      <c r="D369" s="33">
        <f>'Dados - Beneficiarias'!D369</f>
        <v>0</v>
      </c>
      <c r="E369" s="33">
        <f>'Dados - Beneficiarias'!E369</f>
        <v>0</v>
      </c>
    </row>
    <row r="370" spans="1:5" ht="15.5" x14ac:dyDescent="0.35">
      <c r="A370" s="33">
        <f>'Dados - Beneficiarias'!A370</f>
        <v>0</v>
      </c>
      <c r="B370" s="33">
        <f>'Dados - Beneficiarias'!B370</f>
        <v>0</v>
      </c>
      <c r="C370" s="33">
        <f>'Dados - Beneficiarias'!C370</f>
        <v>0</v>
      </c>
      <c r="D370" s="33">
        <f>'Dados - Beneficiarias'!D370</f>
        <v>0</v>
      </c>
      <c r="E370" s="33">
        <f>'Dados - Beneficiarias'!E370</f>
        <v>0</v>
      </c>
    </row>
    <row r="371" spans="1:5" ht="15.5" x14ac:dyDescent="0.35">
      <c r="A371" s="33">
        <f>'Dados - Beneficiarias'!A371</f>
        <v>0</v>
      </c>
      <c r="B371" s="33">
        <f>'Dados - Beneficiarias'!B371</f>
        <v>0</v>
      </c>
      <c r="C371" s="33">
        <f>'Dados - Beneficiarias'!C371</f>
        <v>0</v>
      </c>
      <c r="D371" s="33">
        <f>'Dados - Beneficiarias'!D371</f>
        <v>0</v>
      </c>
      <c r="E371" s="33">
        <f>'Dados - Beneficiarias'!E371</f>
        <v>0</v>
      </c>
    </row>
    <row r="372" spans="1:5" ht="15.5" x14ac:dyDescent="0.35">
      <c r="A372" s="33">
        <f>'Dados - Beneficiarias'!A372</f>
        <v>0</v>
      </c>
      <c r="B372" s="33">
        <f>'Dados - Beneficiarias'!B372</f>
        <v>0</v>
      </c>
      <c r="C372" s="33">
        <f>'Dados - Beneficiarias'!C372</f>
        <v>0</v>
      </c>
      <c r="D372" s="33">
        <f>'Dados - Beneficiarias'!D372</f>
        <v>0</v>
      </c>
      <c r="E372" s="33">
        <f>'Dados - Beneficiarias'!E372</f>
        <v>0</v>
      </c>
    </row>
    <row r="373" spans="1:5" ht="15.5" x14ac:dyDescent="0.35">
      <c r="A373" s="33">
        <f>'Dados - Beneficiarias'!A373</f>
        <v>0</v>
      </c>
      <c r="B373" s="33">
        <f>'Dados - Beneficiarias'!B373</f>
        <v>0</v>
      </c>
      <c r="C373" s="33">
        <f>'Dados - Beneficiarias'!C373</f>
        <v>0</v>
      </c>
      <c r="D373" s="33">
        <f>'Dados - Beneficiarias'!D373</f>
        <v>0</v>
      </c>
      <c r="E373" s="33">
        <f>'Dados - Beneficiarias'!E373</f>
        <v>0</v>
      </c>
    </row>
    <row r="374" spans="1:5" ht="15.5" x14ac:dyDescent="0.35">
      <c r="A374" s="33">
        <f>'Dados - Beneficiarias'!A374</f>
        <v>0</v>
      </c>
      <c r="B374" s="33">
        <f>'Dados - Beneficiarias'!B374</f>
        <v>0</v>
      </c>
      <c r="C374" s="33">
        <f>'Dados - Beneficiarias'!C374</f>
        <v>0</v>
      </c>
      <c r="D374" s="33">
        <f>'Dados - Beneficiarias'!D374</f>
        <v>0</v>
      </c>
      <c r="E374" s="33">
        <f>'Dados - Beneficiarias'!E374</f>
        <v>0</v>
      </c>
    </row>
    <row r="375" spans="1:5" ht="15.5" x14ac:dyDescent="0.35">
      <c r="A375" s="33">
        <f>'Dados - Beneficiarias'!A375</f>
        <v>0</v>
      </c>
      <c r="B375" s="33">
        <f>'Dados - Beneficiarias'!B375</f>
        <v>0</v>
      </c>
      <c r="C375" s="33">
        <f>'Dados - Beneficiarias'!C375</f>
        <v>0</v>
      </c>
      <c r="D375" s="33">
        <f>'Dados - Beneficiarias'!D375</f>
        <v>0</v>
      </c>
      <c r="E375" s="33">
        <f>'Dados - Beneficiarias'!E375</f>
        <v>0</v>
      </c>
    </row>
    <row r="376" spans="1:5" ht="15.5" x14ac:dyDescent="0.35">
      <c r="A376" s="33">
        <f>'Dados - Beneficiarias'!A376</f>
        <v>0</v>
      </c>
      <c r="B376" s="33">
        <f>'Dados - Beneficiarias'!B376</f>
        <v>0</v>
      </c>
      <c r="C376" s="33">
        <f>'Dados - Beneficiarias'!C376</f>
        <v>0</v>
      </c>
      <c r="D376" s="33">
        <f>'Dados - Beneficiarias'!D376</f>
        <v>0</v>
      </c>
      <c r="E376" s="33">
        <f>'Dados - Beneficiarias'!E376</f>
        <v>0</v>
      </c>
    </row>
    <row r="377" spans="1:5" ht="15.5" x14ac:dyDescent="0.35">
      <c r="A377" s="33">
        <f>'Dados - Beneficiarias'!A377</f>
        <v>0</v>
      </c>
      <c r="B377" s="33">
        <f>'Dados - Beneficiarias'!B377</f>
        <v>0</v>
      </c>
      <c r="C377" s="33">
        <f>'Dados - Beneficiarias'!C377</f>
        <v>0</v>
      </c>
      <c r="D377" s="33">
        <f>'Dados - Beneficiarias'!D377</f>
        <v>0</v>
      </c>
      <c r="E377" s="33">
        <f>'Dados - Beneficiarias'!E377</f>
        <v>0</v>
      </c>
    </row>
    <row r="378" spans="1:5" ht="15.5" x14ac:dyDescent="0.35">
      <c r="A378" s="33">
        <f>'Dados - Beneficiarias'!A378</f>
        <v>0</v>
      </c>
      <c r="B378" s="33">
        <f>'Dados - Beneficiarias'!B378</f>
        <v>0</v>
      </c>
      <c r="C378" s="33">
        <f>'Dados - Beneficiarias'!C378</f>
        <v>0</v>
      </c>
      <c r="D378" s="33">
        <f>'Dados - Beneficiarias'!D378</f>
        <v>0</v>
      </c>
      <c r="E378" s="33">
        <f>'Dados - Beneficiarias'!E378</f>
        <v>0</v>
      </c>
    </row>
    <row r="379" spans="1:5" ht="15.5" x14ac:dyDescent="0.35">
      <c r="A379" s="33">
        <f>'Dados - Beneficiarias'!A379</f>
        <v>0</v>
      </c>
      <c r="B379" s="33">
        <f>'Dados - Beneficiarias'!B379</f>
        <v>0</v>
      </c>
      <c r="C379" s="33">
        <f>'Dados - Beneficiarias'!C379</f>
        <v>0</v>
      </c>
      <c r="D379" s="33">
        <f>'Dados - Beneficiarias'!D379</f>
        <v>0</v>
      </c>
      <c r="E379" s="33">
        <f>'Dados - Beneficiarias'!E379</f>
        <v>0</v>
      </c>
    </row>
    <row r="380" spans="1:5" ht="15.5" x14ac:dyDescent="0.35">
      <c r="A380" s="33">
        <f>'Dados - Beneficiarias'!A380</f>
        <v>0</v>
      </c>
      <c r="B380" s="33">
        <f>'Dados - Beneficiarias'!B380</f>
        <v>0</v>
      </c>
      <c r="C380" s="33">
        <f>'Dados - Beneficiarias'!C380</f>
        <v>0</v>
      </c>
      <c r="D380" s="33">
        <f>'Dados - Beneficiarias'!D380</f>
        <v>0</v>
      </c>
      <c r="E380" s="33">
        <f>'Dados - Beneficiarias'!E380</f>
        <v>0</v>
      </c>
    </row>
    <row r="381" spans="1:5" ht="15.5" x14ac:dyDescent="0.35">
      <c r="A381" s="33">
        <f>'Dados - Beneficiarias'!A381</f>
        <v>0</v>
      </c>
      <c r="B381" s="33">
        <f>'Dados - Beneficiarias'!B381</f>
        <v>0</v>
      </c>
      <c r="C381" s="33">
        <f>'Dados - Beneficiarias'!C381</f>
        <v>0</v>
      </c>
      <c r="D381" s="33">
        <f>'Dados - Beneficiarias'!D381</f>
        <v>0</v>
      </c>
      <c r="E381" s="33">
        <f>'Dados - Beneficiarias'!E381</f>
        <v>0</v>
      </c>
    </row>
    <row r="382" spans="1:5" ht="15.5" x14ac:dyDescent="0.35">
      <c r="A382" s="33">
        <f>'Dados - Beneficiarias'!A382</f>
        <v>0</v>
      </c>
      <c r="B382" s="33">
        <f>'Dados - Beneficiarias'!B382</f>
        <v>0</v>
      </c>
      <c r="C382" s="33">
        <f>'Dados - Beneficiarias'!C382</f>
        <v>0</v>
      </c>
      <c r="D382" s="33">
        <f>'Dados - Beneficiarias'!D382</f>
        <v>0</v>
      </c>
      <c r="E382" s="33">
        <f>'Dados - Beneficiarias'!E382</f>
        <v>0</v>
      </c>
    </row>
    <row r="383" spans="1:5" ht="15.5" x14ac:dyDescent="0.35">
      <c r="A383" s="33">
        <f>'Dados - Beneficiarias'!A383</f>
        <v>0</v>
      </c>
      <c r="B383" s="33">
        <f>'Dados - Beneficiarias'!B383</f>
        <v>0</v>
      </c>
      <c r="C383" s="33">
        <f>'Dados - Beneficiarias'!C383</f>
        <v>0</v>
      </c>
      <c r="D383" s="33">
        <f>'Dados - Beneficiarias'!D383</f>
        <v>0</v>
      </c>
      <c r="E383" s="33">
        <f>'Dados - Beneficiarias'!E383</f>
        <v>0</v>
      </c>
    </row>
    <row r="384" spans="1:5" ht="15.5" x14ac:dyDescent="0.35">
      <c r="A384" s="33">
        <f>'Dados - Beneficiarias'!A384</f>
        <v>0</v>
      </c>
      <c r="B384" s="33">
        <f>'Dados - Beneficiarias'!B384</f>
        <v>0</v>
      </c>
      <c r="C384" s="33">
        <f>'Dados - Beneficiarias'!C384</f>
        <v>0</v>
      </c>
      <c r="D384" s="33">
        <f>'Dados - Beneficiarias'!D384</f>
        <v>0</v>
      </c>
      <c r="E384" s="33">
        <f>'Dados - Beneficiarias'!E384</f>
        <v>0</v>
      </c>
    </row>
    <row r="385" spans="1:5" ht="15.5" x14ac:dyDescent="0.35">
      <c r="A385" s="33">
        <f>'Dados - Beneficiarias'!A385</f>
        <v>0</v>
      </c>
      <c r="B385" s="33">
        <f>'Dados - Beneficiarias'!B385</f>
        <v>0</v>
      </c>
      <c r="C385" s="33">
        <f>'Dados - Beneficiarias'!C385</f>
        <v>0</v>
      </c>
      <c r="D385" s="33">
        <f>'Dados - Beneficiarias'!D385</f>
        <v>0</v>
      </c>
      <c r="E385" s="33">
        <f>'Dados - Beneficiarias'!E385</f>
        <v>0</v>
      </c>
    </row>
    <row r="386" spans="1:5" ht="15.5" x14ac:dyDescent="0.35">
      <c r="A386" s="33">
        <f>'Dados - Beneficiarias'!A386</f>
        <v>0</v>
      </c>
      <c r="B386" s="33">
        <f>'Dados - Beneficiarias'!B386</f>
        <v>0</v>
      </c>
      <c r="C386" s="33">
        <f>'Dados - Beneficiarias'!C386</f>
        <v>0</v>
      </c>
      <c r="D386" s="33">
        <f>'Dados - Beneficiarias'!D386</f>
        <v>0</v>
      </c>
      <c r="E386" s="33">
        <f>'Dados - Beneficiarias'!E386</f>
        <v>0</v>
      </c>
    </row>
    <row r="387" spans="1:5" ht="15.5" x14ac:dyDescent="0.35">
      <c r="A387" s="33">
        <f>'Dados - Beneficiarias'!A387</f>
        <v>0</v>
      </c>
      <c r="B387" s="33">
        <f>'Dados - Beneficiarias'!B387</f>
        <v>0</v>
      </c>
      <c r="C387" s="33">
        <f>'Dados - Beneficiarias'!C387</f>
        <v>0</v>
      </c>
      <c r="D387" s="33">
        <f>'Dados - Beneficiarias'!D387</f>
        <v>0</v>
      </c>
      <c r="E387" s="33">
        <f>'Dados - Beneficiarias'!E387</f>
        <v>0</v>
      </c>
    </row>
    <row r="388" spans="1:5" ht="15.5" x14ac:dyDescent="0.35">
      <c r="A388" s="33">
        <f>'Dados - Beneficiarias'!A388</f>
        <v>0</v>
      </c>
      <c r="B388" s="33">
        <f>'Dados - Beneficiarias'!B388</f>
        <v>0</v>
      </c>
      <c r="C388" s="33">
        <f>'Dados - Beneficiarias'!C388</f>
        <v>0</v>
      </c>
      <c r="D388" s="33">
        <f>'Dados - Beneficiarias'!D388</f>
        <v>0</v>
      </c>
      <c r="E388" s="33">
        <f>'Dados - Beneficiarias'!E388</f>
        <v>0</v>
      </c>
    </row>
    <row r="389" spans="1:5" ht="15.5" x14ac:dyDescent="0.35">
      <c r="A389" s="33">
        <f>'Dados - Beneficiarias'!A389</f>
        <v>0</v>
      </c>
      <c r="B389" s="33">
        <f>'Dados - Beneficiarias'!B389</f>
        <v>0</v>
      </c>
      <c r="C389" s="33">
        <f>'Dados - Beneficiarias'!C389</f>
        <v>0</v>
      </c>
      <c r="D389" s="33">
        <f>'Dados - Beneficiarias'!D389</f>
        <v>0</v>
      </c>
      <c r="E389" s="33">
        <f>'Dados - Beneficiarias'!E389</f>
        <v>0</v>
      </c>
    </row>
    <row r="390" spans="1:5" ht="15.5" x14ac:dyDescent="0.35">
      <c r="A390" s="33">
        <f>'Dados - Beneficiarias'!A390</f>
        <v>0</v>
      </c>
      <c r="B390" s="33">
        <f>'Dados - Beneficiarias'!B390</f>
        <v>0</v>
      </c>
      <c r="C390" s="33">
        <f>'Dados - Beneficiarias'!C390</f>
        <v>0</v>
      </c>
      <c r="D390" s="33">
        <f>'Dados - Beneficiarias'!D390</f>
        <v>0</v>
      </c>
      <c r="E390" s="33">
        <f>'Dados - Beneficiarias'!E390</f>
        <v>0</v>
      </c>
    </row>
    <row r="391" spans="1:5" ht="15.5" x14ac:dyDescent="0.35">
      <c r="A391" s="33">
        <f>'Dados - Beneficiarias'!A391</f>
        <v>0</v>
      </c>
      <c r="B391" s="33">
        <f>'Dados - Beneficiarias'!B391</f>
        <v>0</v>
      </c>
      <c r="C391" s="33">
        <f>'Dados - Beneficiarias'!C391</f>
        <v>0</v>
      </c>
      <c r="D391" s="33">
        <f>'Dados - Beneficiarias'!D391</f>
        <v>0</v>
      </c>
      <c r="E391" s="33">
        <f>'Dados - Beneficiarias'!E391</f>
        <v>0</v>
      </c>
    </row>
    <row r="392" spans="1:5" ht="15.5" x14ac:dyDescent="0.35">
      <c r="A392" s="33">
        <f>'Dados - Beneficiarias'!A392</f>
        <v>0</v>
      </c>
      <c r="B392" s="33">
        <f>'Dados - Beneficiarias'!B392</f>
        <v>0</v>
      </c>
      <c r="C392" s="33">
        <f>'Dados - Beneficiarias'!C392</f>
        <v>0</v>
      </c>
      <c r="D392" s="33">
        <f>'Dados - Beneficiarias'!D392</f>
        <v>0</v>
      </c>
      <c r="E392" s="33">
        <f>'Dados - Beneficiarias'!E392</f>
        <v>0</v>
      </c>
    </row>
    <row r="393" spans="1:5" ht="15.5" x14ac:dyDescent="0.35">
      <c r="A393" s="33">
        <f>'Dados - Beneficiarias'!A393</f>
        <v>0</v>
      </c>
      <c r="B393" s="33">
        <f>'Dados - Beneficiarias'!B393</f>
        <v>0</v>
      </c>
      <c r="C393" s="33">
        <f>'Dados - Beneficiarias'!C393</f>
        <v>0</v>
      </c>
      <c r="D393" s="33">
        <f>'Dados - Beneficiarias'!D393</f>
        <v>0</v>
      </c>
      <c r="E393" s="33">
        <f>'Dados - Beneficiarias'!E393</f>
        <v>0</v>
      </c>
    </row>
    <row r="394" spans="1:5" ht="15.5" x14ac:dyDescent="0.35">
      <c r="A394" s="33">
        <f>'Dados - Beneficiarias'!A394</f>
        <v>0</v>
      </c>
      <c r="B394" s="33">
        <f>'Dados - Beneficiarias'!B394</f>
        <v>0</v>
      </c>
      <c r="C394" s="33">
        <f>'Dados - Beneficiarias'!C394</f>
        <v>0</v>
      </c>
      <c r="D394" s="33">
        <f>'Dados - Beneficiarias'!D394</f>
        <v>0</v>
      </c>
      <c r="E394" s="33">
        <f>'Dados - Beneficiarias'!E394</f>
        <v>0</v>
      </c>
    </row>
    <row r="395" spans="1:5" ht="15.5" x14ac:dyDescent="0.35">
      <c r="A395" s="33">
        <f>'Dados - Beneficiarias'!A395</f>
        <v>0</v>
      </c>
      <c r="B395" s="33">
        <f>'Dados - Beneficiarias'!B395</f>
        <v>0</v>
      </c>
      <c r="C395" s="33">
        <f>'Dados - Beneficiarias'!C395</f>
        <v>0</v>
      </c>
      <c r="D395" s="33">
        <f>'Dados - Beneficiarias'!D395</f>
        <v>0</v>
      </c>
      <c r="E395" s="33">
        <f>'Dados - Beneficiarias'!E395</f>
        <v>0</v>
      </c>
    </row>
    <row r="396" spans="1:5" ht="15.5" x14ac:dyDescent="0.35">
      <c r="A396" s="33">
        <f>'Dados - Beneficiarias'!A396</f>
        <v>0</v>
      </c>
      <c r="B396" s="33">
        <f>'Dados - Beneficiarias'!B396</f>
        <v>0</v>
      </c>
      <c r="C396" s="33">
        <f>'Dados - Beneficiarias'!C396</f>
        <v>0</v>
      </c>
      <c r="D396" s="33">
        <f>'Dados - Beneficiarias'!D396</f>
        <v>0</v>
      </c>
      <c r="E396" s="33">
        <f>'Dados - Beneficiarias'!E396</f>
        <v>0</v>
      </c>
    </row>
    <row r="397" spans="1:5" ht="15.5" x14ac:dyDescent="0.35">
      <c r="A397" s="33">
        <f>'Dados - Beneficiarias'!A397</f>
        <v>0</v>
      </c>
      <c r="B397" s="33">
        <f>'Dados - Beneficiarias'!B397</f>
        <v>0</v>
      </c>
      <c r="C397" s="33">
        <f>'Dados - Beneficiarias'!C397</f>
        <v>0</v>
      </c>
      <c r="D397" s="33">
        <f>'Dados - Beneficiarias'!D397</f>
        <v>0</v>
      </c>
      <c r="E397" s="33">
        <f>'Dados - Beneficiarias'!E397</f>
        <v>0</v>
      </c>
    </row>
    <row r="398" spans="1:5" ht="15.5" x14ac:dyDescent="0.35">
      <c r="A398" s="33">
        <f>'Dados - Beneficiarias'!A398</f>
        <v>0</v>
      </c>
      <c r="B398" s="33">
        <f>'Dados - Beneficiarias'!B398</f>
        <v>0</v>
      </c>
      <c r="C398" s="33">
        <f>'Dados - Beneficiarias'!C398</f>
        <v>0</v>
      </c>
      <c r="D398" s="33">
        <f>'Dados - Beneficiarias'!D398</f>
        <v>0</v>
      </c>
      <c r="E398" s="33">
        <f>'Dados - Beneficiarias'!E398</f>
        <v>0</v>
      </c>
    </row>
    <row r="399" spans="1:5" ht="15.5" x14ac:dyDescent="0.35">
      <c r="A399" s="33">
        <f>'Dados - Beneficiarias'!A399</f>
        <v>0</v>
      </c>
      <c r="B399" s="33">
        <f>'Dados - Beneficiarias'!B399</f>
        <v>0</v>
      </c>
      <c r="C399" s="33">
        <f>'Dados - Beneficiarias'!C399</f>
        <v>0</v>
      </c>
      <c r="D399" s="33">
        <f>'Dados - Beneficiarias'!D399</f>
        <v>0</v>
      </c>
      <c r="E399" s="33">
        <f>'Dados - Beneficiarias'!E399</f>
        <v>0</v>
      </c>
    </row>
    <row r="400" spans="1:5" ht="15.5" x14ac:dyDescent="0.35">
      <c r="A400" s="33">
        <f>'Dados - Beneficiarias'!A400</f>
        <v>0</v>
      </c>
      <c r="B400" s="33">
        <f>'Dados - Beneficiarias'!B400</f>
        <v>0</v>
      </c>
      <c r="C400" s="33">
        <f>'Dados - Beneficiarias'!C400</f>
        <v>0</v>
      </c>
      <c r="D400" s="33">
        <f>'Dados - Beneficiarias'!D400</f>
        <v>0</v>
      </c>
      <c r="E400" s="33">
        <f>'Dados - Beneficiarias'!E400</f>
        <v>0</v>
      </c>
    </row>
    <row r="401" spans="1:5" ht="15.5" x14ac:dyDescent="0.35">
      <c r="A401" s="33">
        <f>'Dados - Beneficiarias'!A401</f>
        <v>0</v>
      </c>
      <c r="B401" s="33">
        <f>'Dados - Beneficiarias'!B401</f>
        <v>0</v>
      </c>
      <c r="C401" s="33">
        <f>'Dados - Beneficiarias'!C401</f>
        <v>0</v>
      </c>
      <c r="D401" s="33">
        <f>'Dados - Beneficiarias'!D401</f>
        <v>0</v>
      </c>
      <c r="E401" s="33">
        <f>'Dados - Beneficiarias'!E401</f>
        <v>0</v>
      </c>
    </row>
    <row r="402" spans="1:5" ht="15.5" x14ac:dyDescent="0.35">
      <c r="A402" s="33">
        <f>'Dados - Beneficiarias'!A402</f>
        <v>0</v>
      </c>
      <c r="B402" s="33">
        <f>'Dados - Beneficiarias'!B402</f>
        <v>0</v>
      </c>
      <c r="C402" s="33">
        <f>'Dados - Beneficiarias'!C402</f>
        <v>0</v>
      </c>
      <c r="D402" s="33">
        <f>'Dados - Beneficiarias'!D402</f>
        <v>0</v>
      </c>
      <c r="E402" s="33">
        <f>'Dados - Beneficiarias'!E402</f>
        <v>0</v>
      </c>
    </row>
    <row r="403" spans="1:5" ht="15.5" x14ac:dyDescent="0.35">
      <c r="A403" s="33">
        <f>'Dados - Beneficiarias'!A403</f>
        <v>0</v>
      </c>
      <c r="B403" s="33">
        <f>'Dados - Beneficiarias'!B403</f>
        <v>0</v>
      </c>
      <c r="C403" s="33">
        <f>'Dados - Beneficiarias'!C403</f>
        <v>0</v>
      </c>
      <c r="D403" s="33">
        <f>'Dados - Beneficiarias'!D403</f>
        <v>0</v>
      </c>
      <c r="E403" s="33">
        <f>'Dados - Beneficiarias'!E403</f>
        <v>0</v>
      </c>
    </row>
    <row r="404" spans="1:5" ht="15.5" x14ac:dyDescent="0.35">
      <c r="A404" s="33">
        <f>'Dados - Beneficiarias'!A404</f>
        <v>0</v>
      </c>
      <c r="B404" s="33">
        <f>'Dados - Beneficiarias'!B404</f>
        <v>0</v>
      </c>
      <c r="C404" s="33">
        <f>'Dados - Beneficiarias'!C404</f>
        <v>0</v>
      </c>
      <c r="D404" s="33">
        <f>'Dados - Beneficiarias'!D404</f>
        <v>0</v>
      </c>
      <c r="E404" s="33">
        <f>'Dados - Beneficiarias'!E404</f>
        <v>0</v>
      </c>
    </row>
    <row r="405" spans="1:5" ht="15.5" x14ac:dyDescent="0.35">
      <c r="A405" s="33">
        <f>'Dados - Beneficiarias'!A405</f>
        <v>0</v>
      </c>
      <c r="B405" s="33">
        <f>'Dados - Beneficiarias'!B405</f>
        <v>0</v>
      </c>
      <c r="C405" s="33">
        <f>'Dados - Beneficiarias'!C405</f>
        <v>0</v>
      </c>
      <c r="D405" s="33">
        <f>'Dados - Beneficiarias'!D405</f>
        <v>0</v>
      </c>
      <c r="E405" s="33">
        <f>'Dados - Beneficiarias'!E405</f>
        <v>0</v>
      </c>
    </row>
    <row r="406" spans="1:5" ht="15.5" x14ac:dyDescent="0.35">
      <c r="A406" s="33">
        <f>'Dados - Beneficiarias'!A406</f>
        <v>0</v>
      </c>
      <c r="B406" s="33">
        <f>'Dados - Beneficiarias'!B406</f>
        <v>0</v>
      </c>
      <c r="C406" s="33">
        <f>'Dados - Beneficiarias'!C406</f>
        <v>0</v>
      </c>
      <c r="D406" s="33">
        <f>'Dados - Beneficiarias'!D406</f>
        <v>0</v>
      </c>
      <c r="E406" s="33">
        <f>'Dados - Beneficiarias'!E406</f>
        <v>0</v>
      </c>
    </row>
    <row r="407" spans="1:5" ht="15.5" x14ac:dyDescent="0.35">
      <c r="A407" s="33">
        <f>'Dados - Beneficiarias'!A407</f>
        <v>0</v>
      </c>
      <c r="B407" s="33">
        <f>'Dados - Beneficiarias'!B407</f>
        <v>0</v>
      </c>
      <c r="C407" s="33">
        <f>'Dados - Beneficiarias'!C407</f>
        <v>0</v>
      </c>
      <c r="D407" s="33">
        <f>'Dados - Beneficiarias'!D407</f>
        <v>0</v>
      </c>
      <c r="E407" s="33">
        <f>'Dados - Beneficiarias'!E407</f>
        <v>0</v>
      </c>
    </row>
    <row r="408" spans="1:5" ht="15.5" x14ac:dyDescent="0.35">
      <c r="A408" s="33">
        <f>'Dados - Beneficiarias'!A408</f>
        <v>0</v>
      </c>
      <c r="B408" s="33">
        <f>'Dados - Beneficiarias'!B408</f>
        <v>0</v>
      </c>
      <c r="C408" s="33">
        <f>'Dados - Beneficiarias'!C408</f>
        <v>0</v>
      </c>
      <c r="D408" s="33">
        <f>'Dados - Beneficiarias'!D408</f>
        <v>0</v>
      </c>
      <c r="E408" s="33">
        <f>'Dados - Beneficiarias'!E408</f>
        <v>0</v>
      </c>
    </row>
    <row r="409" spans="1:5" ht="15.5" x14ac:dyDescent="0.35">
      <c r="A409" s="33">
        <f>'Dados - Beneficiarias'!A409</f>
        <v>0</v>
      </c>
      <c r="B409" s="33">
        <f>'Dados - Beneficiarias'!B409</f>
        <v>0</v>
      </c>
      <c r="C409" s="33">
        <f>'Dados - Beneficiarias'!C409</f>
        <v>0</v>
      </c>
      <c r="D409" s="33">
        <f>'Dados - Beneficiarias'!D409</f>
        <v>0</v>
      </c>
      <c r="E409" s="33">
        <f>'Dados - Beneficiarias'!E409</f>
        <v>0</v>
      </c>
    </row>
    <row r="410" spans="1:5" ht="15.5" x14ac:dyDescent="0.35">
      <c r="A410" s="33">
        <f>'Dados - Beneficiarias'!A410</f>
        <v>0</v>
      </c>
      <c r="B410" s="33">
        <f>'Dados - Beneficiarias'!B410</f>
        <v>0</v>
      </c>
      <c r="C410" s="33">
        <f>'Dados - Beneficiarias'!C410</f>
        <v>0</v>
      </c>
      <c r="D410" s="33">
        <f>'Dados - Beneficiarias'!D410</f>
        <v>0</v>
      </c>
      <c r="E410" s="33">
        <f>'Dados - Beneficiarias'!E410</f>
        <v>0</v>
      </c>
    </row>
    <row r="411" spans="1:5" ht="15.5" x14ac:dyDescent="0.35">
      <c r="A411" s="33">
        <f>'Dados - Beneficiarias'!A411</f>
        <v>0</v>
      </c>
      <c r="B411" s="33">
        <f>'Dados - Beneficiarias'!B411</f>
        <v>0</v>
      </c>
      <c r="C411" s="33">
        <f>'Dados - Beneficiarias'!C411</f>
        <v>0</v>
      </c>
      <c r="D411" s="33">
        <f>'Dados - Beneficiarias'!D411</f>
        <v>0</v>
      </c>
      <c r="E411" s="33">
        <f>'Dados - Beneficiarias'!E411</f>
        <v>0</v>
      </c>
    </row>
    <row r="412" spans="1:5" ht="15.5" x14ac:dyDescent="0.35">
      <c r="A412" s="33">
        <f>'Dados - Beneficiarias'!A412</f>
        <v>0</v>
      </c>
      <c r="B412" s="33">
        <f>'Dados - Beneficiarias'!B412</f>
        <v>0</v>
      </c>
      <c r="C412" s="33">
        <f>'Dados - Beneficiarias'!C412</f>
        <v>0</v>
      </c>
      <c r="D412" s="33">
        <f>'Dados - Beneficiarias'!D412</f>
        <v>0</v>
      </c>
      <c r="E412" s="33">
        <f>'Dados - Beneficiarias'!E412</f>
        <v>0</v>
      </c>
    </row>
    <row r="413" spans="1:5" ht="15.5" x14ac:dyDescent="0.35">
      <c r="A413" s="33">
        <f>'Dados - Beneficiarias'!A413</f>
        <v>0</v>
      </c>
      <c r="B413" s="33">
        <f>'Dados - Beneficiarias'!B413</f>
        <v>0</v>
      </c>
      <c r="C413" s="33">
        <f>'Dados - Beneficiarias'!C413</f>
        <v>0</v>
      </c>
      <c r="D413" s="33">
        <f>'Dados - Beneficiarias'!D413</f>
        <v>0</v>
      </c>
      <c r="E413" s="33">
        <f>'Dados - Beneficiarias'!E413</f>
        <v>0</v>
      </c>
    </row>
    <row r="414" spans="1:5" ht="15.5" x14ac:dyDescent="0.35">
      <c r="A414" s="33">
        <f>'Dados - Beneficiarias'!A414</f>
        <v>0</v>
      </c>
      <c r="B414" s="33">
        <f>'Dados - Beneficiarias'!B414</f>
        <v>0</v>
      </c>
      <c r="C414" s="33">
        <f>'Dados - Beneficiarias'!C414</f>
        <v>0</v>
      </c>
      <c r="D414" s="33">
        <f>'Dados - Beneficiarias'!D414</f>
        <v>0</v>
      </c>
      <c r="E414" s="33">
        <f>'Dados - Beneficiarias'!E414</f>
        <v>0</v>
      </c>
    </row>
    <row r="415" spans="1:5" ht="15.5" x14ac:dyDescent="0.35">
      <c r="A415" s="33">
        <f>'Dados - Beneficiarias'!A415</f>
        <v>0</v>
      </c>
      <c r="B415" s="33">
        <f>'Dados - Beneficiarias'!B415</f>
        <v>0</v>
      </c>
      <c r="C415" s="33">
        <f>'Dados - Beneficiarias'!C415</f>
        <v>0</v>
      </c>
      <c r="D415" s="33">
        <f>'Dados - Beneficiarias'!D415</f>
        <v>0</v>
      </c>
      <c r="E415" s="33">
        <f>'Dados - Beneficiarias'!E415</f>
        <v>0</v>
      </c>
    </row>
    <row r="416" spans="1:5" ht="15.5" x14ac:dyDescent="0.35">
      <c r="A416" s="33">
        <f>'Dados - Beneficiarias'!A416</f>
        <v>0</v>
      </c>
      <c r="B416" s="33">
        <f>'Dados - Beneficiarias'!B416</f>
        <v>0</v>
      </c>
      <c r="C416" s="33">
        <f>'Dados - Beneficiarias'!C416</f>
        <v>0</v>
      </c>
      <c r="D416" s="33">
        <f>'Dados - Beneficiarias'!D416</f>
        <v>0</v>
      </c>
      <c r="E416" s="33">
        <f>'Dados - Beneficiarias'!E416</f>
        <v>0</v>
      </c>
    </row>
    <row r="417" spans="1:5" ht="15.5" x14ac:dyDescent="0.35">
      <c r="A417" s="33">
        <f>'Dados - Beneficiarias'!A417</f>
        <v>0</v>
      </c>
      <c r="B417" s="33">
        <f>'Dados - Beneficiarias'!B417</f>
        <v>0</v>
      </c>
      <c r="C417" s="33">
        <f>'Dados - Beneficiarias'!C417</f>
        <v>0</v>
      </c>
      <c r="D417" s="33">
        <f>'Dados - Beneficiarias'!D417</f>
        <v>0</v>
      </c>
      <c r="E417" s="33">
        <f>'Dados - Beneficiarias'!E417</f>
        <v>0</v>
      </c>
    </row>
    <row r="418" spans="1:5" ht="15.5" x14ac:dyDescent="0.35">
      <c r="A418" s="33">
        <f>'Dados - Beneficiarias'!A418</f>
        <v>0</v>
      </c>
      <c r="B418" s="33">
        <f>'Dados - Beneficiarias'!B418</f>
        <v>0</v>
      </c>
      <c r="C418" s="33">
        <f>'Dados - Beneficiarias'!C418</f>
        <v>0</v>
      </c>
      <c r="D418" s="33">
        <f>'Dados - Beneficiarias'!D418</f>
        <v>0</v>
      </c>
      <c r="E418" s="33">
        <f>'Dados - Beneficiarias'!E418</f>
        <v>0</v>
      </c>
    </row>
    <row r="419" spans="1:5" ht="15.5" x14ac:dyDescent="0.35">
      <c r="A419" s="33">
        <f>'Dados - Beneficiarias'!A419</f>
        <v>0</v>
      </c>
      <c r="B419" s="33">
        <f>'Dados - Beneficiarias'!B419</f>
        <v>0</v>
      </c>
      <c r="C419" s="33">
        <f>'Dados - Beneficiarias'!C419</f>
        <v>0</v>
      </c>
      <c r="D419" s="33">
        <f>'Dados - Beneficiarias'!D419</f>
        <v>0</v>
      </c>
      <c r="E419" s="33">
        <f>'Dados - Beneficiarias'!E419</f>
        <v>0</v>
      </c>
    </row>
    <row r="420" spans="1:5" ht="15.5" x14ac:dyDescent="0.35">
      <c r="A420" s="33">
        <f>'Dados - Beneficiarias'!A420</f>
        <v>0</v>
      </c>
      <c r="B420" s="33">
        <f>'Dados - Beneficiarias'!B420</f>
        <v>0</v>
      </c>
      <c r="C420" s="33">
        <f>'Dados - Beneficiarias'!C420</f>
        <v>0</v>
      </c>
      <c r="D420" s="33">
        <f>'Dados - Beneficiarias'!D420</f>
        <v>0</v>
      </c>
      <c r="E420" s="33">
        <f>'Dados - Beneficiarias'!E420</f>
        <v>0</v>
      </c>
    </row>
    <row r="421" spans="1:5" ht="15.5" x14ac:dyDescent="0.35">
      <c r="A421" s="33">
        <f>'Dados - Beneficiarias'!A421</f>
        <v>0</v>
      </c>
      <c r="B421" s="33">
        <f>'Dados - Beneficiarias'!B421</f>
        <v>0</v>
      </c>
      <c r="C421" s="33">
        <f>'Dados - Beneficiarias'!C421</f>
        <v>0</v>
      </c>
      <c r="D421" s="33">
        <f>'Dados - Beneficiarias'!D421</f>
        <v>0</v>
      </c>
      <c r="E421" s="33">
        <f>'Dados - Beneficiarias'!E421</f>
        <v>0</v>
      </c>
    </row>
    <row r="422" spans="1:5" ht="15.5" x14ac:dyDescent="0.35">
      <c r="A422" s="33">
        <f>'Dados - Beneficiarias'!A422</f>
        <v>0</v>
      </c>
      <c r="B422" s="33">
        <f>'Dados - Beneficiarias'!B422</f>
        <v>0</v>
      </c>
      <c r="C422" s="33">
        <f>'Dados - Beneficiarias'!C422</f>
        <v>0</v>
      </c>
      <c r="D422" s="33">
        <f>'Dados - Beneficiarias'!D422</f>
        <v>0</v>
      </c>
      <c r="E422" s="33">
        <f>'Dados - Beneficiarias'!E422</f>
        <v>0</v>
      </c>
    </row>
    <row r="423" spans="1:5" ht="15.5" x14ac:dyDescent="0.35">
      <c r="A423" s="33">
        <f>'Dados - Beneficiarias'!A423</f>
        <v>0</v>
      </c>
      <c r="B423" s="33">
        <f>'Dados - Beneficiarias'!B423</f>
        <v>0</v>
      </c>
      <c r="C423" s="33">
        <f>'Dados - Beneficiarias'!C423</f>
        <v>0</v>
      </c>
      <c r="D423" s="33">
        <f>'Dados - Beneficiarias'!D423</f>
        <v>0</v>
      </c>
      <c r="E423" s="33">
        <f>'Dados - Beneficiarias'!E423</f>
        <v>0</v>
      </c>
    </row>
    <row r="424" spans="1:5" ht="15.5" x14ac:dyDescent="0.35">
      <c r="A424" s="33">
        <f>'Dados - Beneficiarias'!A424</f>
        <v>0</v>
      </c>
      <c r="B424" s="33">
        <f>'Dados - Beneficiarias'!B424</f>
        <v>0</v>
      </c>
      <c r="C424" s="33">
        <f>'Dados - Beneficiarias'!C424</f>
        <v>0</v>
      </c>
      <c r="D424" s="33">
        <f>'Dados - Beneficiarias'!D424</f>
        <v>0</v>
      </c>
      <c r="E424" s="33">
        <f>'Dados - Beneficiarias'!E424</f>
        <v>0</v>
      </c>
    </row>
    <row r="425" spans="1:5" ht="15.5" x14ac:dyDescent="0.35">
      <c r="A425" s="33">
        <f>'Dados - Beneficiarias'!A425</f>
        <v>0</v>
      </c>
      <c r="B425" s="33">
        <f>'Dados - Beneficiarias'!B425</f>
        <v>0</v>
      </c>
      <c r="C425" s="33">
        <f>'Dados - Beneficiarias'!C425</f>
        <v>0</v>
      </c>
      <c r="D425" s="33">
        <f>'Dados - Beneficiarias'!D425</f>
        <v>0</v>
      </c>
      <c r="E425" s="33">
        <f>'Dados - Beneficiarias'!E425</f>
        <v>0</v>
      </c>
    </row>
    <row r="426" spans="1:5" ht="15.5" x14ac:dyDescent="0.35">
      <c r="A426" s="33">
        <f>'Dados - Beneficiarias'!A426</f>
        <v>0</v>
      </c>
      <c r="B426" s="33">
        <f>'Dados - Beneficiarias'!B426</f>
        <v>0</v>
      </c>
      <c r="C426" s="33">
        <f>'Dados - Beneficiarias'!C426</f>
        <v>0</v>
      </c>
      <c r="D426" s="33">
        <f>'Dados - Beneficiarias'!D426</f>
        <v>0</v>
      </c>
      <c r="E426" s="33">
        <f>'Dados - Beneficiarias'!E426</f>
        <v>0</v>
      </c>
    </row>
    <row r="427" spans="1:5" ht="15.5" x14ac:dyDescent="0.35">
      <c r="A427" s="33">
        <f>'Dados - Beneficiarias'!A427</f>
        <v>0</v>
      </c>
      <c r="B427" s="33">
        <f>'Dados - Beneficiarias'!B427</f>
        <v>0</v>
      </c>
      <c r="C427" s="33">
        <f>'Dados - Beneficiarias'!C427</f>
        <v>0</v>
      </c>
      <c r="D427" s="33">
        <f>'Dados - Beneficiarias'!D427</f>
        <v>0</v>
      </c>
      <c r="E427" s="33">
        <f>'Dados - Beneficiarias'!E427</f>
        <v>0</v>
      </c>
    </row>
    <row r="428" spans="1:5" ht="15.5" x14ac:dyDescent="0.35">
      <c r="A428" s="33">
        <f>'Dados - Beneficiarias'!A428</f>
        <v>0</v>
      </c>
      <c r="B428" s="33">
        <f>'Dados - Beneficiarias'!B428</f>
        <v>0</v>
      </c>
      <c r="C428" s="33">
        <f>'Dados - Beneficiarias'!C428</f>
        <v>0</v>
      </c>
      <c r="D428" s="33">
        <f>'Dados - Beneficiarias'!D428</f>
        <v>0</v>
      </c>
      <c r="E428" s="33">
        <f>'Dados - Beneficiarias'!E428</f>
        <v>0</v>
      </c>
    </row>
    <row r="429" spans="1:5" ht="15.5" x14ac:dyDescent="0.35">
      <c r="A429" s="33">
        <f>'Dados - Beneficiarias'!A429</f>
        <v>0</v>
      </c>
      <c r="B429" s="33">
        <f>'Dados - Beneficiarias'!B429</f>
        <v>0</v>
      </c>
      <c r="C429" s="33">
        <f>'Dados - Beneficiarias'!C429</f>
        <v>0</v>
      </c>
      <c r="D429" s="33">
        <f>'Dados - Beneficiarias'!D429</f>
        <v>0</v>
      </c>
      <c r="E429" s="33">
        <f>'Dados - Beneficiarias'!E429</f>
        <v>0</v>
      </c>
    </row>
    <row r="430" spans="1:5" ht="15.5" x14ac:dyDescent="0.35">
      <c r="A430" s="33">
        <f>'Dados - Beneficiarias'!A430</f>
        <v>0</v>
      </c>
      <c r="B430" s="33">
        <f>'Dados - Beneficiarias'!B430</f>
        <v>0</v>
      </c>
      <c r="C430" s="33">
        <f>'Dados - Beneficiarias'!C430</f>
        <v>0</v>
      </c>
      <c r="D430" s="33">
        <f>'Dados - Beneficiarias'!D430</f>
        <v>0</v>
      </c>
      <c r="E430" s="33">
        <f>'Dados - Beneficiarias'!E430</f>
        <v>0</v>
      </c>
    </row>
    <row r="431" spans="1:5" ht="15.5" x14ac:dyDescent="0.35">
      <c r="A431" s="33">
        <f>'Dados - Beneficiarias'!A431</f>
        <v>0</v>
      </c>
      <c r="B431" s="33">
        <f>'Dados - Beneficiarias'!B431</f>
        <v>0</v>
      </c>
      <c r="C431" s="33">
        <f>'Dados - Beneficiarias'!C431</f>
        <v>0</v>
      </c>
      <c r="D431" s="33">
        <f>'Dados - Beneficiarias'!D431</f>
        <v>0</v>
      </c>
      <c r="E431" s="33">
        <f>'Dados - Beneficiarias'!E431</f>
        <v>0</v>
      </c>
    </row>
    <row r="432" spans="1:5" ht="15.5" x14ac:dyDescent="0.35">
      <c r="A432" s="33">
        <f>'Dados - Beneficiarias'!A432</f>
        <v>0</v>
      </c>
      <c r="B432" s="33">
        <f>'Dados - Beneficiarias'!B432</f>
        <v>0</v>
      </c>
      <c r="C432" s="33">
        <f>'Dados - Beneficiarias'!C432</f>
        <v>0</v>
      </c>
      <c r="D432" s="33">
        <f>'Dados - Beneficiarias'!D432</f>
        <v>0</v>
      </c>
      <c r="E432" s="33">
        <f>'Dados - Beneficiarias'!E432</f>
        <v>0</v>
      </c>
    </row>
    <row r="433" spans="1:5" ht="15.5" x14ac:dyDescent="0.35">
      <c r="A433" s="33">
        <f>'Dados - Beneficiarias'!A433</f>
        <v>0</v>
      </c>
      <c r="B433" s="33">
        <f>'Dados - Beneficiarias'!B433</f>
        <v>0</v>
      </c>
      <c r="C433" s="33">
        <f>'Dados - Beneficiarias'!C433</f>
        <v>0</v>
      </c>
      <c r="D433" s="33">
        <f>'Dados - Beneficiarias'!D433</f>
        <v>0</v>
      </c>
      <c r="E433" s="33">
        <f>'Dados - Beneficiarias'!E433</f>
        <v>0</v>
      </c>
    </row>
    <row r="434" spans="1:5" ht="15.5" x14ac:dyDescent="0.35">
      <c r="A434" s="33">
        <f>'Dados - Beneficiarias'!A434</f>
        <v>0</v>
      </c>
      <c r="B434" s="33">
        <f>'Dados - Beneficiarias'!B434</f>
        <v>0</v>
      </c>
      <c r="C434" s="33">
        <f>'Dados - Beneficiarias'!C434</f>
        <v>0</v>
      </c>
      <c r="D434" s="33">
        <f>'Dados - Beneficiarias'!D434</f>
        <v>0</v>
      </c>
      <c r="E434" s="33">
        <f>'Dados - Beneficiarias'!E434</f>
        <v>0</v>
      </c>
    </row>
    <row r="435" spans="1:5" ht="15.5" x14ac:dyDescent="0.35">
      <c r="A435" s="33">
        <f>'Dados - Beneficiarias'!A435</f>
        <v>0</v>
      </c>
      <c r="B435" s="33">
        <f>'Dados - Beneficiarias'!B435</f>
        <v>0</v>
      </c>
      <c r="C435" s="33">
        <f>'Dados - Beneficiarias'!C435</f>
        <v>0</v>
      </c>
      <c r="D435" s="33">
        <f>'Dados - Beneficiarias'!D435</f>
        <v>0</v>
      </c>
      <c r="E435" s="33">
        <f>'Dados - Beneficiarias'!E435</f>
        <v>0</v>
      </c>
    </row>
    <row r="436" spans="1:5" ht="15.5" x14ac:dyDescent="0.35">
      <c r="A436" s="33">
        <f>'Dados - Beneficiarias'!A436</f>
        <v>0</v>
      </c>
      <c r="B436" s="33">
        <f>'Dados - Beneficiarias'!B436</f>
        <v>0</v>
      </c>
      <c r="C436" s="33">
        <f>'Dados - Beneficiarias'!C436</f>
        <v>0</v>
      </c>
      <c r="D436" s="33">
        <f>'Dados - Beneficiarias'!D436</f>
        <v>0</v>
      </c>
      <c r="E436" s="33">
        <f>'Dados - Beneficiarias'!E436</f>
        <v>0</v>
      </c>
    </row>
    <row r="437" spans="1:5" ht="15.5" x14ac:dyDescent="0.35">
      <c r="A437" s="33">
        <f>'Dados - Beneficiarias'!A437</f>
        <v>0</v>
      </c>
      <c r="B437" s="33">
        <f>'Dados - Beneficiarias'!B437</f>
        <v>0</v>
      </c>
      <c r="C437" s="33">
        <f>'Dados - Beneficiarias'!C437</f>
        <v>0</v>
      </c>
      <c r="D437" s="33">
        <f>'Dados - Beneficiarias'!D437</f>
        <v>0</v>
      </c>
      <c r="E437" s="33">
        <f>'Dados - Beneficiarias'!E437</f>
        <v>0</v>
      </c>
    </row>
    <row r="438" spans="1:5" ht="15.5" x14ac:dyDescent="0.35">
      <c r="A438" s="33">
        <f>'Dados - Beneficiarias'!A438</f>
        <v>0</v>
      </c>
      <c r="B438" s="33">
        <f>'Dados - Beneficiarias'!B438</f>
        <v>0</v>
      </c>
      <c r="C438" s="33">
        <f>'Dados - Beneficiarias'!C438</f>
        <v>0</v>
      </c>
      <c r="D438" s="33">
        <f>'Dados - Beneficiarias'!D438</f>
        <v>0</v>
      </c>
      <c r="E438" s="33">
        <f>'Dados - Beneficiarias'!E438</f>
        <v>0</v>
      </c>
    </row>
    <row r="439" spans="1:5" ht="15.5" x14ac:dyDescent="0.35">
      <c r="A439" s="33">
        <f>'Dados - Beneficiarias'!A439</f>
        <v>0</v>
      </c>
      <c r="B439" s="33">
        <f>'Dados - Beneficiarias'!B439</f>
        <v>0</v>
      </c>
      <c r="C439" s="33">
        <f>'Dados - Beneficiarias'!C439</f>
        <v>0</v>
      </c>
      <c r="D439" s="33">
        <f>'Dados - Beneficiarias'!D439</f>
        <v>0</v>
      </c>
      <c r="E439" s="33">
        <f>'Dados - Beneficiarias'!E439</f>
        <v>0</v>
      </c>
    </row>
    <row r="440" spans="1:5" ht="15.5" x14ac:dyDescent="0.35">
      <c r="A440" s="33">
        <f>'Dados - Beneficiarias'!A440</f>
        <v>0</v>
      </c>
      <c r="B440" s="33">
        <f>'Dados - Beneficiarias'!B440</f>
        <v>0</v>
      </c>
      <c r="C440" s="33">
        <f>'Dados - Beneficiarias'!C440</f>
        <v>0</v>
      </c>
      <c r="D440" s="33">
        <f>'Dados - Beneficiarias'!D440</f>
        <v>0</v>
      </c>
      <c r="E440" s="33">
        <f>'Dados - Beneficiarias'!E440</f>
        <v>0</v>
      </c>
    </row>
    <row r="441" spans="1:5" ht="15.5" x14ac:dyDescent="0.35">
      <c r="A441" s="33">
        <f>'Dados - Beneficiarias'!A441</f>
        <v>0</v>
      </c>
      <c r="B441" s="33">
        <f>'Dados - Beneficiarias'!B441</f>
        <v>0</v>
      </c>
      <c r="C441" s="33">
        <f>'Dados - Beneficiarias'!C441</f>
        <v>0</v>
      </c>
      <c r="D441" s="33">
        <f>'Dados - Beneficiarias'!D441</f>
        <v>0</v>
      </c>
      <c r="E441" s="33">
        <f>'Dados - Beneficiarias'!E441</f>
        <v>0</v>
      </c>
    </row>
    <row r="442" spans="1:5" ht="15.5" x14ac:dyDescent="0.35">
      <c r="A442" s="33">
        <f>'Dados - Beneficiarias'!A442</f>
        <v>0</v>
      </c>
      <c r="B442" s="33">
        <f>'Dados - Beneficiarias'!B442</f>
        <v>0</v>
      </c>
      <c r="C442" s="33">
        <f>'Dados - Beneficiarias'!C442</f>
        <v>0</v>
      </c>
      <c r="D442" s="33">
        <f>'Dados - Beneficiarias'!D442</f>
        <v>0</v>
      </c>
      <c r="E442" s="33">
        <f>'Dados - Beneficiarias'!E442</f>
        <v>0</v>
      </c>
    </row>
    <row r="443" spans="1:5" ht="15.5" x14ac:dyDescent="0.35">
      <c r="A443" s="33">
        <f>'Dados - Beneficiarias'!A443</f>
        <v>0</v>
      </c>
      <c r="B443" s="33">
        <f>'Dados - Beneficiarias'!B443</f>
        <v>0</v>
      </c>
      <c r="C443" s="33">
        <f>'Dados - Beneficiarias'!C443</f>
        <v>0</v>
      </c>
      <c r="D443" s="33">
        <f>'Dados - Beneficiarias'!D443</f>
        <v>0</v>
      </c>
      <c r="E443" s="33">
        <f>'Dados - Beneficiarias'!E443</f>
        <v>0</v>
      </c>
    </row>
    <row r="444" spans="1:5" ht="15.5" x14ac:dyDescent="0.35">
      <c r="A444" s="33">
        <f>'Dados - Beneficiarias'!A444</f>
        <v>0</v>
      </c>
      <c r="B444" s="33">
        <f>'Dados - Beneficiarias'!B444</f>
        <v>0</v>
      </c>
      <c r="C444" s="33">
        <f>'Dados - Beneficiarias'!C444</f>
        <v>0</v>
      </c>
      <c r="D444" s="33">
        <f>'Dados - Beneficiarias'!D444</f>
        <v>0</v>
      </c>
      <c r="E444" s="33">
        <f>'Dados - Beneficiarias'!E444</f>
        <v>0</v>
      </c>
    </row>
    <row r="445" spans="1:5" ht="15.5" x14ac:dyDescent="0.35">
      <c r="A445" s="33">
        <f>'Dados - Beneficiarias'!A445</f>
        <v>0</v>
      </c>
      <c r="B445" s="33">
        <f>'Dados - Beneficiarias'!B445</f>
        <v>0</v>
      </c>
      <c r="C445" s="33">
        <f>'Dados - Beneficiarias'!C445</f>
        <v>0</v>
      </c>
      <c r="D445" s="33">
        <f>'Dados - Beneficiarias'!D445</f>
        <v>0</v>
      </c>
      <c r="E445" s="33">
        <f>'Dados - Beneficiarias'!E445</f>
        <v>0</v>
      </c>
    </row>
    <row r="446" spans="1:5" ht="15.5" x14ac:dyDescent="0.35">
      <c r="A446" s="33">
        <f>'Dados - Beneficiarias'!A446</f>
        <v>0</v>
      </c>
      <c r="B446" s="33">
        <f>'Dados - Beneficiarias'!B446</f>
        <v>0</v>
      </c>
      <c r="C446" s="33">
        <f>'Dados - Beneficiarias'!C446</f>
        <v>0</v>
      </c>
      <c r="D446" s="33">
        <f>'Dados - Beneficiarias'!D446</f>
        <v>0</v>
      </c>
      <c r="E446" s="33">
        <f>'Dados - Beneficiarias'!E446</f>
        <v>0</v>
      </c>
    </row>
    <row r="447" spans="1:5" ht="15.5" x14ac:dyDescent="0.35">
      <c r="A447" s="33">
        <f>'Dados - Beneficiarias'!A447</f>
        <v>0</v>
      </c>
      <c r="B447" s="33">
        <f>'Dados - Beneficiarias'!B447</f>
        <v>0</v>
      </c>
      <c r="C447" s="33">
        <f>'Dados - Beneficiarias'!C447</f>
        <v>0</v>
      </c>
      <c r="D447" s="33">
        <f>'Dados - Beneficiarias'!D447</f>
        <v>0</v>
      </c>
      <c r="E447" s="33">
        <f>'Dados - Beneficiarias'!E447</f>
        <v>0</v>
      </c>
    </row>
    <row r="448" spans="1:5" ht="15.5" x14ac:dyDescent="0.35">
      <c r="A448" s="33">
        <f>'Dados - Beneficiarias'!A448</f>
        <v>0</v>
      </c>
      <c r="B448" s="33">
        <f>'Dados - Beneficiarias'!B448</f>
        <v>0</v>
      </c>
      <c r="C448" s="33">
        <f>'Dados - Beneficiarias'!C448</f>
        <v>0</v>
      </c>
      <c r="D448" s="33">
        <f>'Dados - Beneficiarias'!D448</f>
        <v>0</v>
      </c>
      <c r="E448" s="33">
        <f>'Dados - Beneficiarias'!E448</f>
        <v>0</v>
      </c>
    </row>
    <row r="449" spans="1:5" ht="15.5" x14ac:dyDescent="0.35">
      <c r="A449" s="33">
        <f>'Dados - Beneficiarias'!A449</f>
        <v>0</v>
      </c>
      <c r="B449" s="33">
        <f>'Dados - Beneficiarias'!B449</f>
        <v>0</v>
      </c>
      <c r="C449" s="33">
        <f>'Dados - Beneficiarias'!C449</f>
        <v>0</v>
      </c>
      <c r="D449" s="33">
        <f>'Dados - Beneficiarias'!D449</f>
        <v>0</v>
      </c>
      <c r="E449" s="33">
        <f>'Dados - Beneficiarias'!E449</f>
        <v>0</v>
      </c>
    </row>
    <row r="450" spans="1:5" ht="15.5" x14ac:dyDescent="0.35">
      <c r="A450" s="33">
        <f>'Dados - Beneficiarias'!A450</f>
        <v>0</v>
      </c>
      <c r="B450" s="33">
        <f>'Dados - Beneficiarias'!B450</f>
        <v>0</v>
      </c>
      <c r="C450" s="33">
        <f>'Dados - Beneficiarias'!C450</f>
        <v>0</v>
      </c>
      <c r="D450" s="33">
        <f>'Dados - Beneficiarias'!D450</f>
        <v>0</v>
      </c>
      <c r="E450" s="33">
        <f>'Dados - Beneficiarias'!E450</f>
        <v>0</v>
      </c>
    </row>
    <row r="451" spans="1:5" ht="15.5" x14ac:dyDescent="0.35">
      <c r="A451" s="33">
        <f>'Dados - Beneficiarias'!A451</f>
        <v>0</v>
      </c>
      <c r="B451" s="33">
        <f>'Dados - Beneficiarias'!B451</f>
        <v>0</v>
      </c>
      <c r="C451" s="33">
        <f>'Dados - Beneficiarias'!C451</f>
        <v>0</v>
      </c>
      <c r="D451" s="33">
        <f>'Dados - Beneficiarias'!D451</f>
        <v>0</v>
      </c>
      <c r="E451" s="33">
        <f>'Dados - Beneficiarias'!E451</f>
        <v>0</v>
      </c>
    </row>
    <row r="452" spans="1:5" ht="15.5" x14ac:dyDescent="0.35">
      <c r="A452" s="33">
        <f>'Dados - Beneficiarias'!A452</f>
        <v>0</v>
      </c>
      <c r="B452" s="33">
        <f>'Dados - Beneficiarias'!B452</f>
        <v>0</v>
      </c>
      <c r="C452" s="33">
        <f>'Dados - Beneficiarias'!C452</f>
        <v>0</v>
      </c>
      <c r="D452" s="33">
        <f>'Dados - Beneficiarias'!D452</f>
        <v>0</v>
      </c>
      <c r="E452" s="33">
        <f>'Dados - Beneficiarias'!E452</f>
        <v>0</v>
      </c>
    </row>
    <row r="453" spans="1:5" ht="15.5" x14ac:dyDescent="0.35">
      <c r="A453" s="33">
        <f>'Dados - Beneficiarias'!A453</f>
        <v>0</v>
      </c>
      <c r="B453" s="33">
        <f>'Dados - Beneficiarias'!B453</f>
        <v>0</v>
      </c>
      <c r="C453" s="33">
        <f>'Dados - Beneficiarias'!C453</f>
        <v>0</v>
      </c>
      <c r="D453" s="33">
        <f>'Dados - Beneficiarias'!D453</f>
        <v>0</v>
      </c>
      <c r="E453" s="33">
        <f>'Dados - Beneficiarias'!E453</f>
        <v>0</v>
      </c>
    </row>
    <row r="454" spans="1:5" ht="15.5" x14ac:dyDescent="0.35">
      <c r="A454" s="33">
        <f>'Dados - Beneficiarias'!A454</f>
        <v>0</v>
      </c>
      <c r="B454" s="33">
        <f>'Dados - Beneficiarias'!B454</f>
        <v>0</v>
      </c>
      <c r="C454" s="33">
        <f>'Dados - Beneficiarias'!C454</f>
        <v>0</v>
      </c>
      <c r="D454" s="33">
        <f>'Dados - Beneficiarias'!D454</f>
        <v>0</v>
      </c>
      <c r="E454" s="33">
        <f>'Dados - Beneficiarias'!E454</f>
        <v>0</v>
      </c>
    </row>
    <row r="455" spans="1:5" ht="15.5" x14ac:dyDescent="0.35">
      <c r="A455" s="33">
        <f>'Dados - Beneficiarias'!A455</f>
        <v>0</v>
      </c>
      <c r="B455" s="33">
        <f>'Dados - Beneficiarias'!B455</f>
        <v>0</v>
      </c>
      <c r="C455" s="33">
        <f>'Dados - Beneficiarias'!C455</f>
        <v>0</v>
      </c>
      <c r="D455" s="33">
        <f>'Dados - Beneficiarias'!D455</f>
        <v>0</v>
      </c>
      <c r="E455" s="33">
        <f>'Dados - Beneficiarias'!E455</f>
        <v>0</v>
      </c>
    </row>
    <row r="456" spans="1:5" ht="15.5" x14ac:dyDescent="0.35">
      <c r="A456" s="33">
        <f>'Dados - Beneficiarias'!A456</f>
        <v>0</v>
      </c>
      <c r="B456" s="33">
        <f>'Dados - Beneficiarias'!B456</f>
        <v>0</v>
      </c>
      <c r="C456" s="33">
        <f>'Dados - Beneficiarias'!C456</f>
        <v>0</v>
      </c>
      <c r="D456" s="33">
        <f>'Dados - Beneficiarias'!D456</f>
        <v>0</v>
      </c>
      <c r="E456" s="33">
        <f>'Dados - Beneficiarias'!E456</f>
        <v>0</v>
      </c>
    </row>
    <row r="457" spans="1:5" ht="15.5" x14ac:dyDescent="0.35">
      <c r="A457" s="33">
        <f>'Dados - Beneficiarias'!A457</f>
        <v>0</v>
      </c>
      <c r="B457" s="33">
        <f>'Dados - Beneficiarias'!B457</f>
        <v>0</v>
      </c>
      <c r="C457" s="33">
        <f>'Dados - Beneficiarias'!C457</f>
        <v>0</v>
      </c>
      <c r="D457" s="33">
        <f>'Dados - Beneficiarias'!D457</f>
        <v>0</v>
      </c>
      <c r="E457" s="33">
        <f>'Dados - Beneficiarias'!E457</f>
        <v>0</v>
      </c>
    </row>
    <row r="458" spans="1:5" ht="15.5" x14ac:dyDescent="0.35">
      <c r="A458" s="33">
        <f>'Dados - Beneficiarias'!A458</f>
        <v>0</v>
      </c>
      <c r="B458" s="33">
        <f>'Dados - Beneficiarias'!B458</f>
        <v>0</v>
      </c>
      <c r="C458" s="33">
        <f>'Dados - Beneficiarias'!C458</f>
        <v>0</v>
      </c>
      <c r="D458" s="33">
        <f>'Dados - Beneficiarias'!D458</f>
        <v>0</v>
      </c>
      <c r="E458" s="33">
        <f>'Dados - Beneficiarias'!E458</f>
        <v>0</v>
      </c>
    </row>
    <row r="459" spans="1:5" ht="15.5" x14ac:dyDescent="0.35">
      <c r="A459" s="33">
        <f>'Dados - Beneficiarias'!A459</f>
        <v>0</v>
      </c>
      <c r="B459" s="33">
        <f>'Dados - Beneficiarias'!B459</f>
        <v>0</v>
      </c>
      <c r="C459" s="33">
        <f>'Dados - Beneficiarias'!C459</f>
        <v>0</v>
      </c>
      <c r="D459" s="33">
        <f>'Dados - Beneficiarias'!D459</f>
        <v>0</v>
      </c>
      <c r="E459" s="33">
        <f>'Dados - Beneficiarias'!E459</f>
        <v>0</v>
      </c>
    </row>
    <row r="460" spans="1:5" ht="15.5" x14ac:dyDescent="0.35">
      <c r="A460" s="33">
        <f>'Dados - Beneficiarias'!A460</f>
        <v>0</v>
      </c>
      <c r="B460" s="33">
        <f>'Dados - Beneficiarias'!B460</f>
        <v>0</v>
      </c>
      <c r="C460" s="33">
        <f>'Dados - Beneficiarias'!C460</f>
        <v>0</v>
      </c>
      <c r="D460" s="33">
        <f>'Dados - Beneficiarias'!D460</f>
        <v>0</v>
      </c>
      <c r="E460" s="33">
        <f>'Dados - Beneficiarias'!E460</f>
        <v>0</v>
      </c>
    </row>
    <row r="461" spans="1:5" ht="15.5" x14ac:dyDescent="0.35">
      <c r="A461" s="33">
        <f>'Dados - Beneficiarias'!A461</f>
        <v>0</v>
      </c>
      <c r="B461" s="33">
        <f>'Dados - Beneficiarias'!B461</f>
        <v>0</v>
      </c>
      <c r="C461" s="33">
        <f>'Dados - Beneficiarias'!C461</f>
        <v>0</v>
      </c>
      <c r="D461" s="33">
        <f>'Dados - Beneficiarias'!D461</f>
        <v>0</v>
      </c>
      <c r="E461" s="33">
        <f>'Dados - Beneficiarias'!E461</f>
        <v>0</v>
      </c>
    </row>
    <row r="462" spans="1:5" ht="15.5" x14ac:dyDescent="0.35">
      <c r="A462" s="33">
        <f>'Dados - Beneficiarias'!A462</f>
        <v>0</v>
      </c>
      <c r="B462" s="33">
        <f>'Dados - Beneficiarias'!B462</f>
        <v>0</v>
      </c>
      <c r="C462" s="33">
        <f>'Dados - Beneficiarias'!C462</f>
        <v>0</v>
      </c>
      <c r="D462" s="33">
        <f>'Dados - Beneficiarias'!D462</f>
        <v>0</v>
      </c>
      <c r="E462" s="33">
        <f>'Dados - Beneficiarias'!E462</f>
        <v>0</v>
      </c>
    </row>
    <row r="463" spans="1:5" ht="15.5" x14ac:dyDescent="0.35">
      <c r="A463" s="33">
        <f>'Dados - Beneficiarias'!A463</f>
        <v>0</v>
      </c>
      <c r="B463" s="33">
        <f>'Dados - Beneficiarias'!B463</f>
        <v>0</v>
      </c>
      <c r="C463" s="33">
        <f>'Dados - Beneficiarias'!C463</f>
        <v>0</v>
      </c>
      <c r="D463" s="33">
        <f>'Dados - Beneficiarias'!D463</f>
        <v>0</v>
      </c>
      <c r="E463" s="33">
        <f>'Dados - Beneficiarias'!E463</f>
        <v>0</v>
      </c>
    </row>
    <row r="464" spans="1:5" ht="15.5" x14ac:dyDescent="0.35">
      <c r="A464" s="33">
        <f>'Dados - Beneficiarias'!A464</f>
        <v>0</v>
      </c>
      <c r="B464" s="33">
        <f>'Dados - Beneficiarias'!B464</f>
        <v>0</v>
      </c>
      <c r="C464" s="33">
        <f>'Dados - Beneficiarias'!C464</f>
        <v>0</v>
      </c>
      <c r="D464" s="33">
        <f>'Dados - Beneficiarias'!D464</f>
        <v>0</v>
      </c>
      <c r="E464" s="33">
        <f>'Dados - Beneficiarias'!E464</f>
        <v>0</v>
      </c>
    </row>
    <row r="465" spans="1:5" ht="15.5" x14ac:dyDescent="0.35">
      <c r="A465" s="33">
        <f>'Dados - Beneficiarias'!A465</f>
        <v>0</v>
      </c>
      <c r="B465" s="33">
        <f>'Dados - Beneficiarias'!B465</f>
        <v>0</v>
      </c>
      <c r="C465" s="33">
        <f>'Dados - Beneficiarias'!C465</f>
        <v>0</v>
      </c>
      <c r="D465" s="33">
        <f>'Dados - Beneficiarias'!D465</f>
        <v>0</v>
      </c>
      <c r="E465" s="33">
        <f>'Dados - Beneficiarias'!E465</f>
        <v>0</v>
      </c>
    </row>
    <row r="466" spans="1:5" ht="15.5" x14ac:dyDescent="0.35">
      <c r="A466" s="33">
        <f>'Dados - Beneficiarias'!A466</f>
        <v>0</v>
      </c>
      <c r="B466" s="33">
        <f>'Dados - Beneficiarias'!B466</f>
        <v>0</v>
      </c>
      <c r="C466" s="33">
        <f>'Dados - Beneficiarias'!C466</f>
        <v>0</v>
      </c>
      <c r="D466" s="33">
        <f>'Dados - Beneficiarias'!D466</f>
        <v>0</v>
      </c>
      <c r="E466" s="33">
        <f>'Dados - Beneficiarias'!E466</f>
        <v>0</v>
      </c>
    </row>
    <row r="467" spans="1:5" ht="15.5" x14ac:dyDescent="0.35">
      <c r="A467" s="33">
        <f>'Dados - Beneficiarias'!A467</f>
        <v>0</v>
      </c>
      <c r="B467" s="33">
        <f>'Dados - Beneficiarias'!B467</f>
        <v>0</v>
      </c>
      <c r="C467" s="33">
        <f>'Dados - Beneficiarias'!C467</f>
        <v>0</v>
      </c>
      <c r="D467" s="33">
        <f>'Dados - Beneficiarias'!D467</f>
        <v>0</v>
      </c>
      <c r="E467" s="33">
        <f>'Dados - Beneficiarias'!E467</f>
        <v>0</v>
      </c>
    </row>
    <row r="468" spans="1:5" ht="15.5" x14ac:dyDescent="0.35">
      <c r="A468" s="33">
        <f>'Dados - Beneficiarias'!A468</f>
        <v>0</v>
      </c>
      <c r="B468" s="33">
        <f>'Dados - Beneficiarias'!B468</f>
        <v>0</v>
      </c>
      <c r="C468" s="33">
        <f>'Dados - Beneficiarias'!C468</f>
        <v>0</v>
      </c>
      <c r="D468" s="33">
        <f>'Dados - Beneficiarias'!D468</f>
        <v>0</v>
      </c>
      <c r="E468" s="33">
        <f>'Dados - Beneficiarias'!E468</f>
        <v>0</v>
      </c>
    </row>
    <row r="469" spans="1:5" ht="15.5" x14ac:dyDescent="0.35">
      <c r="A469" s="33">
        <f>'Dados - Beneficiarias'!A469</f>
        <v>0</v>
      </c>
      <c r="B469" s="33">
        <f>'Dados - Beneficiarias'!B469</f>
        <v>0</v>
      </c>
      <c r="C469" s="33">
        <f>'Dados - Beneficiarias'!C469</f>
        <v>0</v>
      </c>
      <c r="D469" s="33">
        <f>'Dados - Beneficiarias'!D469</f>
        <v>0</v>
      </c>
      <c r="E469" s="33">
        <f>'Dados - Beneficiarias'!E469</f>
        <v>0</v>
      </c>
    </row>
    <row r="470" spans="1:5" ht="15.5" x14ac:dyDescent="0.35">
      <c r="A470" s="33">
        <f>'Dados - Beneficiarias'!A470</f>
        <v>0</v>
      </c>
      <c r="B470" s="33">
        <f>'Dados - Beneficiarias'!B470</f>
        <v>0</v>
      </c>
      <c r="C470" s="33">
        <f>'Dados - Beneficiarias'!C470</f>
        <v>0</v>
      </c>
      <c r="D470" s="33">
        <f>'Dados - Beneficiarias'!D470</f>
        <v>0</v>
      </c>
      <c r="E470" s="33">
        <f>'Dados - Beneficiarias'!E470</f>
        <v>0</v>
      </c>
    </row>
    <row r="471" spans="1:5" ht="15.5" x14ac:dyDescent="0.35">
      <c r="A471" s="33">
        <f>'Dados - Beneficiarias'!A471</f>
        <v>0</v>
      </c>
      <c r="B471" s="33">
        <f>'Dados - Beneficiarias'!B471</f>
        <v>0</v>
      </c>
      <c r="C471" s="33">
        <f>'Dados - Beneficiarias'!C471</f>
        <v>0</v>
      </c>
      <c r="D471" s="33">
        <f>'Dados - Beneficiarias'!D471</f>
        <v>0</v>
      </c>
      <c r="E471" s="33">
        <f>'Dados - Beneficiarias'!E471</f>
        <v>0</v>
      </c>
    </row>
    <row r="472" spans="1:5" ht="15.5" x14ac:dyDescent="0.35">
      <c r="A472" s="33">
        <f>'Dados - Beneficiarias'!A472</f>
        <v>0</v>
      </c>
      <c r="B472" s="33">
        <f>'Dados - Beneficiarias'!B472</f>
        <v>0</v>
      </c>
      <c r="C472" s="33">
        <f>'Dados - Beneficiarias'!C472</f>
        <v>0</v>
      </c>
      <c r="D472" s="33">
        <f>'Dados - Beneficiarias'!D472</f>
        <v>0</v>
      </c>
      <c r="E472" s="33">
        <f>'Dados - Beneficiarias'!E472</f>
        <v>0</v>
      </c>
    </row>
    <row r="473" spans="1:5" ht="15.5" x14ac:dyDescent="0.35">
      <c r="A473" s="33">
        <f>'Dados - Beneficiarias'!A473</f>
        <v>0</v>
      </c>
      <c r="B473" s="33">
        <f>'Dados - Beneficiarias'!B473</f>
        <v>0</v>
      </c>
      <c r="C473" s="33">
        <f>'Dados - Beneficiarias'!C473</f>
        <v>0</v>
      </c>
      <c r="D473" s="33">
        <f>'Dados - Beneficiarias'!D473</f>
        <v>0</v>
      </c>
      <c r="E473" s="33">
        <f>'Dados - Beneficiarias'!E473</f>
        <v>0</v>
      </c>
    </row>
    <row r="474" spans="1:5" ht="15.5" x14ac:dyDescent="0.35">
      <c r="A474" s="33">
        <f>'Dados - Beneficiarias'!A474</f>
        <v>0</v>
      </c>
      <c r="B474" s="33">
        <f>'Dados - Beneficiarias'!B474</f>
        <v>0</v>
      </c>
      <c r="C474" s="33">
        <f>'Dados - Beneficiarias'!C474</f>
        <v>0</v>
      </c>
      <c r="D474" s="33">
        <f>'Dados - Beneficiarias'!D474</f>
        <v>0</v>
      </c>
      <c r="E474" s="33">
        <f>'Dados - Beneficiarias'!E474</f>
        <v>0</v>
      </c>
    </row>
    <row r="475" spans="1:5" ht="15.5" x14ac:dyDescent="0.35">
      <c r="A475" s="33">
        <f>'Dados - Beneficiarias'!A475</f>
        <v>0</v>
      </c>
      <c r="B475" s="33">
        <f>'Dados - Beneficiarias'!B475</f>
        <v>0</v>
      </c>
      <c r="C475" s="33">
        <f>'Dados - Beneficiarias'!C475</f>
        <v>0</v>
      </c>
      <c r="D475" s="33">
        <f>'Dados - Beneficiarias'!D475</f>
        <v>0</v>
      </c>
      <c r="E475" s="33">
        <f>'Dados - Beneficiarias'!E475</f>
        <v>0</v>
      </c>
    </row>
    <row r="476" spans="1:5" ht="15.5" x14ac:dyDescent="0.35">
      <c r="A476" s="33">
        <f>'Dados - Beneficiarias'!A476</f>
        <v>0</v>
      </c>
      <c r="B476" s="33">
        <f>'Dados - Beneficiarias'!B476</f>
        <v>0</v>
      </c>
      <c r="C476" s="33">
        <f>'Dados - Beneficiarias'!C476</f>
        <v>0</v>
      </c>
      <c r="D476" s="33">
        <f>'Dados - Beneficiarias'!D476</f>
        <v>0</v>
      </c>
      <c r="E476" s="33">
        <f>'Dados - Beneficiarias'!E476</f>
        <v>0</v>
      </c>
    </row>
    <row r="477" spans="1:5" ht="15.5" x14ac:dyDescent="0.35">
      <c r="A477" s="33">
        <f>'Dados - Beneficiarias'!A477</f>
        <v>0</v>
      </c>
      <c r="B477" s="33">
        <f>'Dados - Beneficiarias'!B477</f>
        <v>0</v>
      </c>
      <c r="C477" s="33">
        <f>'Dados - Beneficiarias'!C477</f>
        <v>0</v>
      </c>
      <c r="D477" s="33">
        <f>'Dados - Beneficiarias'!D477</f>
        <v>0</v>
      </c>
      <c r="E477" s="33">
        <f>'Dados - Beneficiarias'!E477</f>
        <v>0</v>
      </c>
    </row>
    <row r="478" spans="1:5" ht="15.5" x14ac:dyDescent="0.35">
      <c r="A478" s="33">
        <f>'Dados - Beneficiarias'!A478</f>
        <v>0</v>
      </c>
      <c r="B478" s="33">
        <f>'Dados - Beneficiarias'!B478</f>
        <v>0</v>
      </c>
      <c r="C478" s="33">
        <f>'Dados - Beneficiarias'!C478</f>
        <v>0</v>
      </c>
      <c r="D478" s="33">
        <f>'Dados - Beneficiarias'!D478</f>
        <v>0</v>
      </c>
      <c r="E478" s="33">
        <f>'Dados - Beneficiarias'!E478</f>
        <v>0</v>
      </c>
    </row>
    <row r="479" spans="1:5" ht="15.5" x14ac:dyDescent="0.35">
      <c r="A479" s="33">
        <f>'Dados - Beneficiarias'!A479</f>
        <v>0</v>
      </c>
      <c r="B479" s="33">
        <f>'Dados - Beneficiarias'!B479</f>
        <v>0</v>
      </c>
      <c r="C479" s="33">
        <f>'Dados - Beneficiarias'!C479</f>
        <v>0</v>
      </c>
      <c r="D479" s="33">
        <f>'Dados - Beneficiarias'!D479</f>
        <v>0</v>
      </c>
      <c r="E479" s="33">
        <f>'Dados - Beneficiarias'!E479</f>
        <v>0</v>
      </c>
    </row>
    <row r="480" spans="1:5" ht="15.5" x14ac:dyDescent="0.35">
      <c r="A480" s="33">
        <f>'Dados - Beneficiarias'!A480</f>
        <v>0</v>
      </c>
      <c r="B480" s="33">
        <f>'Dados - Beneficiarias'!B480</f>
        <v>0</v>
      </c>
      <c r="C480" s="33">
        <f>'Dados - Beneficiarias'!C480</f>
        <v>0</v>
      </c>
      <c r="D480" s="33">
        <f>'Dados - Beneficiarias'!D480</f>
        <v>0</v>
      </c>
      <c r="E480" s="33">
        <f>'Dados - Beneficiarias'!E480</f>
        <v>0</v>
      </c>
    </row>
    <row r="481" spans="1:5" ht="15.5" x14ac:dyDescent="0.35">
      <c r="A481" s="33">
        <f>'Dados - Beneficiarias'!A481</f>
        <v>0</v>
      </c>
      <c r="B481" s="33">
        <f>'Dados - Beneficiarias'!B481</f>
        <v>0</v>
      </c>
      <c r="C481" s="33">
        <f>'Dados - Beneficiarias'!C481</f>
        <v>0</v>
      </c>
      <c r="D481" s="33">
        <f>'Dados - Beneficiarias'!D481</f>
        <v>0</v>
      </c>
      <c r="E481" s="33">
        <f>'Dados - Beneficiarias'!E481</f>
        <v>0</v>
      </c>
    </row>
    <row r="482" spans="1:5" ht="15.5" x14ac:dyDescent="0.35">
      <c r="A482" s="33">
        <f>'Dados - Beneficiarias'!A482</f>
        <v>0</v>
      </c>
      <c r="B482" s="33">
        <f>'Dados - Beneficiarias'!B482</f>
        <v>0</v>
      </c>
      <c r="C482" s="33">
        <f>'Dados - Beneficiarias'!C482</f>
        <v>0</v>
      </c>
      <c r="D482" s="33">
        <f>'Dados - Beneficiarias'!D482</f>
        <v>0</v>
      </c>
      <c r="E482" s="33">
        <f>'Dados - Beneficiarias'!E482</f>
        <v>0</v>
      </c>
    </row>
    <row r="483" spans="1:5" ht="15.5" x14ac:dyDescent="0.35">
      <c r="A483" s="33">
        <f>'Dados - Beneficiarias'!A483</f>
        <v>0</v>
      </c>
      <c r="B483" s="33">
        <f>'Dados - Beneficiarias'!B483</f>
        <v>0</v>
      </c>
      <c r="C483" s="33">
        <f>'Dados - Beneficiarias'!C483</f>
        <v>0</v>
      </c>
      <c r="D483" s="33">
        <f>'Dados - Beneficiarias'!D483</f>
        <v>0</v>
      </c>
      <c r="E483" s="33">
        <f>'Dados - Beneficiarias'!E483</f>
        <v>0</v>
      </c>
    </row>
    <row r="484" spans="1:5" ht="15.5" x14ac:dyDescent="0.35">
      <c r="A484" s="33">
        <f>'Dados - Beneficiarias'!A484</f>
        <v>0</v>
      </c>
      <c r="B484" s="33">
        <f>'Dados - Beneficiarias'!B484</f>
        <v>0</v>
      </c>
      <c r="C484" s="33">
        <f>'Dados - Beneficiarias'!C484</f>
        <v>0</v>
      </c>
      <c r="D484" s="33">
        <f>'Dados - Beneficiarias'!D484</f>
        <v>0</v>
      </c>
      <c r="E484" s="33">
        <f>'Dados - Beneficiarias'!E484</f>
        <v>0</v>
      </c>
    </row>
    <row r="485" spans="1:5" ht="15.5" x14ac:dyDescent="0.35">
      <c r="A485" s="33">
        <f>'Dados - Beneficiarias'!A485</f>
        <v>0</v>
      </c>
      <c r="B485" s="33">
        <f>'Dados - Beneficiarias'!B485</f>
        <v>0</v>
      </c>
      <c r="C485" s="33">
        <f>'Dados - Beneficiarias'!C485</f>
        <v>0</v>
      </c>
      <c r="D485" s="33">
        <f>'Dados - Beneficiarias'!D485</f>
        <v>0</v>
      </c>
      <c r="E485" s="33">
        <f>'Dados - Beneficiarias'!E485</f>
        <v>0</v>
      </c>
    </row>
    <row r="486" spans="1:5" ht="15.5" x14ac:dyDescent="0.35">
      <c r="A486" s="33">
        <f>'Dados - Beneficiarias'!A486</f>
        <v>0</v>
      </c>
      <c r="B486" s="33">
        <f>'Dados - Beneficiarias'!B486</f>
        <v>0</v>
      </c>
      <c r="C486" s="33">
        <f>'Dados - Beneficiarias'!C486</f>
        <v>0</v>
      </c>
      <c r="D486" s="33">
        <f>'Dados - Beneficiarias'!D486</f>
        <v>0</v>
      </c>
      <c r="E486" s="33">
        <f>'Dados - Beneficiarias'!E486</f>
        <v>0</v>
      </c>
    </row>
    <row r="487" spans="1:5" ht="15.5" x14ac:dyDescent="0.35">
      <c r="A487" s="33">
        <f>'Dados - Beneficiarias'!A487</f>
        <v>0</v>
      </c>
      <c r="B487" s="33">
        <f>'Dados - Beneficiarias'!B487</f>
        <v>0</v>
      </c>
      <c r="C487" s="33">
        <f>'Dados - Beneficiarias'!C487</f>
        <v>0</v>
      </c>
      <c r="D487" s="33">
        <f>'Dados - Beneficiarias'!D487</f>
        <v>0</v>
      </c>
      <c r="E487" s="33">
        <f>'Dados - Beneficiarias'!E487</f>
        <v>0</v>
      </c>
    </row>
    <row r="488" spans="1:5" ht="15.5" x14ac:dyDescent="0.35">
      <c r="A488" s="33">
        <f>'Dados - Beneficiarias'!A488</f>
        <v>0</v>
      </c>
      <c r="B488" s="33">
        <f>'Dados - Beneficiarias'!B488</f>
        <v>0</v>
      </c>
      <c r="C488" s="33">
        <f>'Dados - Beneficiarias'!C488</f>
        <v>0</v>
      </c>
      <c r="D488" s="33">
        <f>'Dados - Beneficiarias'!D488</f>
        <v>0</v>
      </c>
      <c r="E488" s="33">
        <f>'Dados - Beneficiarias'!E488</f>
        <v>0</v>
      </c>
    </row>
    <row r="489" spans="1:5" ht="15.5" x14ac:dyDescent="0.35">
      <c r="A489" s="33">
        <f>'Dados - Beneficiarias'!A489</f>
        <v>0</v>
      </c>
      <c r="B489" s="33">
        <f>'Dados - Beneficiarias'!B489</f>
        <v>0</v>
      </c>
      <c r="C489" s="33">
        <f>'Dados - Beneficiarias'!C489</f>
        <v>0</v>
      </c>
      <c r="D489" s="33">
        <f>'Dados - Beneficiarias'!D489</f>
        <v>0</v>
      </c>
      <c r="E489" s="33">
        <f>'Dados - Beneficiarias'!E489</f>
        <v>0</v>
      </c>
    </row>
    <row r="490" spans="1:5" ht="15.5" x14ac:dyDescent="0.35">
      <c r="A490" s="33">
        <f>'Dados - Beneficiarias'!A490</f>
        <v>0</v>
      </c>
      <c r="B490" s="33">
        <f>'Dados - Beneficiarias'!B490</f>
        <v>0</v>
      </c>
      <c r="C490" s="33">
        <f>'Dados - Beneficiarias'!C490</f>
        <v>0</v>
      </c>
      <c r="D490" s="33">
        <f>'Dados - Beneficiarias'!D490</f>
        <v>0</v>
      </c>
      <c r="E490" s="33">
        <f>'Dados - Beneficiarias'!E490</f>
        <v>0</v>
      </c>
    </row>
    <row r="491" spans="1:5" ht="15.5" x14ac:dyDescent="0.35">
      <c r="A491" s="33">
        <f>'Dados - Beneficiarias'!A491</f>
        <v>0</v>
      </c>
      <c r="B491" s="33">
        <f>'Dados - Beneficiarias'!B491</f>
        <v>0</v>
      </c>
      <c r="C491" s="33">
        <f>'Dados - Beneficiarias'!C491</f>
        <v>0</v>
      </c>
      <c r="D491" s="33">
        <f>'Dados - Beneficiarias'!D491</f>
        <v>0</v>
      </c>
      <c r="E491" s="33">
        <f>'Dados - Beneficiarias'!E491</f>
        <v>0</v>
      </c>
    </row>
    <row r="492" spans="1:5" ht="15.5" x14ac:dyDescent="0.35">
      <c r="A492" s="33">
        <f>'Dados - Beneficiarias'!A492</f>
        <v>0</v>
      </c>
      <c r="B492" s="33">
        <f>'Dados - Beneficiarias'!B492</f>
        <v>0</v>
      </c>
      <c r="C492" s="33">
        <f>'Dados - Beneficiarias'!C492</f>
        <v>0</v>
      </c>
      <c r="D492" s="33">
        <f>'Dados - Beneficiarias'!D492</f>
        <v>0</v>
      </c>
      <c r="E492" s="33">
        <f>'Dados - Beneficiarias'!E492</f>
        <v>0</v>
      </c>
    </row>
    <row r="493" spans="1:5" ht="15.5" x14ac:dyDescent="0.35">
      <c r="A493" s="33">
        <f>'Dados - Beneficiarias'!A493</f>
        <v>0</v>
      </c>
      <c r="B493" s="33">
        <f>'Dados - Beneficiarias'!B493</f>
        <v>0</v>
      </c>
      <c r="C493" s="33">
        <f>'Dados - Beneficiarias'!C493</f>
        <v>0</v>
      </c>
      <c r="D493" s="33">
        <f>'Dados - Beneficiarias'!D493</f>
        <v>0</v>
      </c>
      <c r="E493" s="33">
        <f>'Dados - Beneficiarias'!E493</f>
        <v>0</v>
      </c>
    </row>
    <row r="494" spans="1:5" ht="15.5" x14ac:dyDescent="0.35">
      <c r="A494" s="33">
        <f>'Dados - Beneficiarias'!A494</f>
        <v>0</v>
      </c>
      <c r="B494" s="33">
        <f>'Dados - Beneficiarias'!B494</f>
        <v>0</v>
      </c>
      <c r="C494" s="33">
        <f>'Dados - Beneficiarias'!C494</f>
        <v>0</v>
      </c>
      <c r="D494" s="33">
        <f>'Dados - Beneficiarias'!D494</f>
        <v>0</v>
      </c>
      <c r="E494" s="33">
        <f>'Dados - Beneficiarias'!E494</f>
        <v>0</v>
      </c>
    </row>
    <row r="495" spans="1:5" ht="15.5" x14ac:dyDescent="0.35">
      <c r="A495" s="33">
        <f>'Dados - Beneficiarias'!A495</f>
        <v>0</v>
      </c>
      <c r="B495" s="33">
        <f>'Dados - Beneficiarias'!B495</f>
        <v>0</v>
      </c>
      <c r="C495" s="33">
        <f>'Dados - Beneficiarias'!C495</f>
        <v>0</v>
      </c>
      <c r="D495" s="33">
        <f>'Dados - Beneficiarias'!D495</f>
        <v>0</v>
      </c>
      <c r="E495" s="33">
        <f>'Dados - Beneficiarias'!E495</f>
        <v>0</v>
      </c>
    </row>
    <row r="496" spans="1:5" ht="15.5" x14ac:dyDescent="0.35">
      <c r="A496" s="33">
        <f>'Dados - Beneficiarias'!A496</f>
        <v>0</v>
      </c>
      <c r="B496" s="33">
        <f>'Dados - Beneficiarias'!B496</f>
        <v>0</v>
      </c>
      <c r="C496" s="33">
        <f>'Dados - Beneficiarias'!C496</f>
        <v>0</v>
      </c>
      <c r="D496" s="33">
        <f>'Dados - Beneficiarias'!D496</f>
        <v>0</v>
      </c>
      <c r="E496" s="33">
        <f>'Dados - Beneficiarias'!E496</f>
        <v>0</v>
      </c>
    </row>
    <row r="497" spans="1:5" ht="15.5" x14ac:dyDescent="0.35">
      <c r="A497" s="33">
        <f>'Dados - Beneficiarias'!A497</f>
        <v>0</v>
      </c>
      <c r="B497" s="33">
        <f>'Dados - Beneficiarias'!B497</f>
        <v>0</v>
      </c>
      <c r="C497" s="33">
        <f>'Dados - Beneficiarias'!C497</f>
        <v>0</v>
      </c>
      <c r="D497" s="33">
        <f>'Dados - Beneficiarias'!D497</f>
        <v>0</v>
      </c>
      <c r="E497" s="33">
        <f>'Dados - Beneficiarias'!E497</f>
        <v>0</v>
      </c>
    </row>
    <row r="498" spans="1:5" ht="15.5" x14ac:dyDescent="0.35">
      <c r="A498" s="33">
        <f>'Dados - Beneficiarias'!A498</f>
        <v>0</v>
      </c>
      <c r="B498" s="33">
        <f>'Dados - Beneficiarias'!B498</f>
        <v>0</v>
      </c>
      <c r="C498" s="33">
        <f>'Dados - Beneficiarias'!C498</f>
        <v>0</v>
      </c>
      <c r="D498" s="33">
        <f>'Dados - Beneficiarias'!D498</f>
        <v>0</v>
      </c>
      <c r="E498" s="33">
        <f>'Dados - Beneficiarias'!E498</f>
        <v>0</v>
      </c>
    </row>
    <row r="499" spans="1:5" ht="15.5" x14ac:dyDescent="0.35">
      <c r="A499" s="33">
        <f>'Dados - Beneficiarias'!A499</f>
        <v>0</v>
      </c>
      <c r="B499" s="33">
        <f>'Dados - Beneficiarias'!B499</f>
        <v>0</v>
      </c>
      <c r="C499" s="33">
        <f>'Dados - Beneficiarias'!C499</f>
        <v>0</v>
      </c>
      <c r="D499" s="33">
        <f>'Dados - Beneficiarias'!D499</f>
        <v>0</v>
      </c>
      <c r="E499" s="33">
        <f>'Dados - Beneficiarias'!E499</f>
        <v>0</v>
      </c>
    </row>
    <row r="500" spans="1:5" ht="15.5" x14ac:dyDescent="0.35">
      <c r="A500" s="33">
        <f>'Dados - Beneficiarias'!A500</f>
        <v>0</v>
      </c>
      <c r="B500" s="33">
        <f>'Dados - Beneficiarias'!B500</f>
        <v>0</v>
      </c>
      <c r="C500" s="33">
        <f>'Dados - Beneficiarias'!C500</f>
        <v>0</v>
      </c>
      <c r="D500" s="33">
        <f>'Dados - Beneficiarias'!D500</f>
        <v>0</v>
      </c>
      <c r="E500" s="33">
        <f>'Dados - Beneficiarias'!E500</f>
        <v>0</v>
      </c>
    </row>
    <row r="501" spans="1:5" ht="15.5" x14ac:dyDescent="0.35">
      <c r="A501" s="33">
        <f>'Dados - Beneficiarias'!A501</f>
        <v>0</v>
      </c>
      <c r="B501" s="33">
        <f>'Dados - Beneficiarias'!B501</f>
        <v>0</v>
      </c>
      <c r="C501" s="33">
        <f>'Dados - Beneficiarias'!C501</f>
        <v>0</v>
      </c>
      <c r="D501" s="33">
        <f>'Dados - Beneficiarias'!D501</f>
        <v>0</v>
      </c>
      <c r="E501" s="33">
        <f>'Dados - Beneficiarias'!E501</f>
        <v>0</v>
      </c>
    </row>
    <row r="502" spans="1:5" ht="15.5" x14ac:dyDescent="0.35">
      <c r="A502" s="33">
        <f>'Dados - Beneficiarias'!A502</f>
        <v>0</v>
      </c>
      <c r="B502" s="33">
        <f>'Dados - Beneficiarias'!B502</f>
        <v>0</v>
      </c>
      <c r="C502" s="33">
        <f>'Dados - Beneficiarias'!C502</f>
        <v>0</v>
      </c>
      <c r="D502" s="33">
        <f>'Dados - Beneficiarias'!D502</f>
        <v>0</v>
      </c>
      <c r="E502" s="33">
        <f>'Dados - Beneficiarias'!E502</f>
        <v>0</v>
      </c>
    </row>
    <row r="503" spans="1:5" ht="15.5" x14ac:dyDescent="0.35">
      <c r="A503" s="33">
        <f>'Dados - Beneficiarias'!A503</f>
        <v>0</v>
      </c>
      <c r="B503" s="33">
        <f>'Dados - Beneficiarias'!B503</f>
        <v>0</v>
      </c>
      <c r="C503" s="33">
        <f>'Dados - Beneficiarias'!C503</f>
        <v>0</v>
      </c>
      <c r="D503" s="33">
        <f>'Dados - Beneficiarias'!D503</f>
        <v>0</v>
      </c>
      <c r="E503" s="33">
        <f>'Dados - Beneficiarias'!E503</f>
        <v>0</v>
      </c>
    </row>
    <row r="504" spans="1:5" ht="15.5" x14ac:dyDescent="0.35">
      <c r="A504" s="33">
        <f>'Dados - Beneficiarias'!A504</f>
        <v>0</v>
      </c>
      <c r="B504" s="33">
        <f>'Dados - Beneficiarias'!B504</f>
        <v>0</v>
      </c>
      <c r="C504" s="33">
        <f>'Dados - Beneficiarias'!C504</f>
        <v>0</v>
      </c>
      <c r="D504" s="33">
        <f>'Dados - Beneficiarias'!D504</f>
        <v>0</v>
      </c>
      <c r="E504" s="33">
        <f>'Dados - Beneficiarias'!E504</f>
        <v>0</v>
      </c>
    </row>
    <row r="505" spans="1:5" ht="15.5" x14ac:dyDescent="0.35">
      <c r="A505" s="33">
        <f>'Dados - Beneficiarias'!A505</f>
        <v>0</v>
      </c>
      <c r="B505" s="33">
        <f>'Dados - Beneficiarias'!B505</f>
        <v>0</v>
      </c>
      <c r="C505" s="33">
        <f>'Dados - Beneficiarias'!C505</f>
        <v>0</v>
      </c>
      <c r="D505" s="33">
        <f>'Dados - Beneficiarias'!D505</f>
        <v>0</v>
      </c>
      <c r="E505" s="33">
        <f>'Dados - Beneficiarias'!E505</f>
        <v>0</v>
      </c>
    </row>
    <row r="506" spans="1:5" ht="15.5" x14ac:dyDescent="0.35">
      <c r="A506" s="33">
        <f>'Dados - Beneficiarias'!A506</f>
        <v>0</v>
      </c>
      <c r="B506" s="33">
        <f>'Dados - Beneficiarias'!B506</f>
        <v>0</v>
      </c>
      <c r="C506" s="33">
        <f>'Dados - Beneficiarias'!C506</f>
        <v>0</v>
      </c>
      <c r="D506" s="33">
        <f>'Dados - Beneficiarias'!D506</f>
        <v>0</v>
      </c>
      <c r="E506" s="33">
        <f>'Dados - Beneficiarias'!E506</f>
        <v>0</v>
      </c>
    </row>
    <row r="507" spans="1:5" ht="15.5" x14ac:dyDescent="0.35">
      <c r="A507" s="33">
        <f>'Dados - Beneficiarias'!A507</f>
        <v>0</v>
      </c>
      <c r="B507" s="33">
        <f>'Dados - Beneficiarias'!B507</f>
        <v>0</v>
      </c>
      <c r="C507" s="33">
        <f>'Dados - Beneficiarias'!C507</f>
        <v>0</v>
      </c>
      <c r="D507" s="33">
        <f>'Dados - Beneficiarias'!D507</f>
        <v>0</v>
      </c>
      <c r="E507" s="33">
        <f>'Dados - Beneficiarias'!E507</f>
        <v>0</v>
      </c>
    </row>
    <row r="508" spans="1:5" ht="15.5" x14ac:dyDescent="0.35">
      <c r="A508" s="33">
        <f>'Dados - Beneficiarias'!A508</f>
        <v>0</v>
      </c>
      <c r="B508" s="33">
        <f>'Dados - Beneficiarias'!B508</f>
        <v>0</v>
      </c>
      <c r="C508" s="33">
        <f>'Dados - Beneficiarias'!C508</f>
        <v>0</v>
      </c>
      <c r="D508" s="33">
        <f>'Dados - Beneficiarias'!D508</f>
        <v>0</v>
      </c>
      <c r="E508" s="33">
        <f>'Dados - Beneficiarias'!E508</f>
        <v>0</v>
      </c>
    </row>
    <row r="509" spans="1:5" ht="15.5" x14ac:dyDescent="0.35">
      <c r="A509" s="33">
        <f>'Dados - Beneficiarias'!A509</f>
        <v>0</v>
      </c>
      <c r="B509" s="33">
        <f>'Dados - Beneficiarias'!B509</f>
        <v>0</v>
      </c>
      <c r="C509" s="33">
        <f>'Dados - Beneficiarias'!C509</f>
        <v>0</v>
      </c>
      <c r="D509" s="33">
        <f>'Dados - Beneficiarias'!D509</f>
        <v>0</v>
      </c>
      <c r="E509" s="33">
        <f>'Dados - Beneficiarias'!E509</f>
        <v>0</v>
      </c>
    </row>
    <row r="510" spans="1:5" ht="15.5" x14ac:dyDescent="0.35">
      <c r="A510" s="33">
        <f>'Dados - Beneficiarias'!A510</f>
        <v>0</v>
      </c>
      <c r="B510" s="33">
        <f>'Dados - Beneficiarias'!B510</f>
        <v>0</v>
      </c>
      <c r="C510" s="33">
        <f>'Dados - Beneficiarias'!C510</f>
        <v>0</v>
      </c>
      <c r="D510" s="33">
        <f>'Dados - Beneficiarias'!D510</f>
        <v>0</v>
      </c>
      <c r="E510" s="33">
        <f>'Dados - Beneficiarias'!E510</f>
        <v>0</v>
      </c>
    </row>
  </sheetData>
  <conditionalFormatting sqref="B511:B1048576">
    <cfRule type="duplicateValues" dxfId="599" priority="138"/>
  </conditionalFormatting>
  <conditionalFormatting sqref="B511:B1048576">
    <cfRule type="duplicateValues" dxfId="598" priority="75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AFE34-610F-439A-A871-83BD589F77D9}">
  <sheetPr codeName="Planilha3"/>
  <dimension ref="A1:AK282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4" sqref="C14"/>
    </sheetView>
  </sheetViews>
  <sheetFormatPr defaultColWidth="37.7265625" defaultRowHeight="14.5" x14ac:dyDescent="0.35"/>
  <cols>
    <col min="1" max="1" width="43.7265625" style="41" customWidth="1"/>
    <col min="2" max="2" width="12.26953125" style="41" bestFit="1" customWidth="1"/>
    <col min="3" max="3" width="12.26953125" style="41" customWidth="1"/>
    <col min="4" max="4" width="39.54296875" style="41" bestFit="1" customWidth="1"/>
    <col min="5" max="5" width="5.7265625" style="41" customWidth="1"/>
    <col min="6" max="6" width="10.54296875" style="41" bestFit="1" customWidth="1"/>
    <col min="7" max="7" width="31.453125" style="41" bestFit="1" customWidth="1"/>
    <col min="8" max="8" width="22.54296875" style="41" customWidth="1"/>
    <col min="9" max="10" width="16.81640625" style="41" bestFit="1" customWidth="1"/>
    <col min="11" max="11" width="17.26953125" style="41" customWidth="1"/>
    <col min="12" max="12" width="24.81640625" style="41" customWidth="1"/>
    <col min="13" max="13" width="17.453125" style="41" customWidth="1"/>
    <col min="14" max="14" width="7" style="41" customWidth="1"/>
    <col min="15" max="15" width="8.7265625" style="41" customWidth="1"/>
    <col min="16" max="16" width="4.453125" style="41" bestFit="1" customWidth="1"/>
    <col min="17" max="17" width="9" style="41" customWidth="1"/>
    <col min="18" max="18" width="5.453125" style="12" bestFit="1" customWidth="1"/>
    <col min="19" max="19" width="10.81640625" style="12" customWidth="1"/>
    <col min="20" max="20" width="9.1796875" style="12" customWidth="1"/>
    <col min="21" max="21" width="8.26953125" style="12" customWidth="1"/>
    <col min="22" max="22" width="9.26953125" style="12" customWidth="1"/>
    <col min="23" max="23" width="5.54296875" style="12" bestFit="1" customWidth="1"/>
    <col min="24" max="24" width="8.7265625" style="41" customWidth="1"/>
    <col min="25" max="25" width="14.453125" style="41" bestFit="1" customWidth="1"/>
    <col min="26" max="26" width="5.26953125" style="41" bestFit="1" customWidth="1"/>
    <col min="27" max="27" width="20.7265625" style="41" bestFit="1" customWidth="1"/>
    <col min="28" max="28" width="11" style="41" bestFit="1" customWidth="1"/>
    <col min="29" max="29" width="12.81640625" style="41" bestFit="1" customWidth="1"/>
    <col min="30" max="30" width="26.26953125" style="41" bestFit="1" customWidth="1"/>
    <col min="31" max="31" width="15" style="41" bestFit="1" customWidth="1"/>
    <col min="32" max="32" width="22.453125" style="41" bestFit="1" customWidth="1"/>
    <col min="33" max="33" width="13.81640625" style="41" bestFit="1" customWidth="1"/>
    <col min="34" max="34" width="15.1796875" style="41" bestFit="1" customWidth="1"/>
    <col min="35" max="35" width="19" style="41" bestFit="1" customWidth="1"/>
    <col min="36" max="36" width="24.54296875" style="41" bestFit="1" customWidth="1"/>
    <col min="37" max="37" width="19" style="41" bestFit="1" customWidth="1"/>
    <col min="38" max="16384" width="37.7265625" style="41"/>
  </cols>
  <sheetData>
    <row r="1" spans="1:37" ht="15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11</v>
      </c>
      <c r="J1" s="1" t="s">
        <v>3918</v>
      </c>
      <c r="K1" s="1" t="s">
        <v>60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 t="s">
        <v>24</v>
      </c>
      <c r="X1" s="1" t="s">
        <v>25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61</v>
      </c>
      <c r="AE1" s="1" t="s">
        <v>35</v>
      </c>
      <c r="AF1" s="1" t="s">
        <v>36</v>
      </c>
      <c r="AG1" s="1" t="s">
        <v>62</v>
      </c>
      <c r="AH1" s="41" t="s">
        <v>39</v>
      </c>
      <c r="AI1" s="41" t="s">
        <v>40</v>
      </c>
      <c r="AJ1" s="41" t="s">
        <v>39</v>
      </c>
      <c r="AK1" s="41" t="s">
        <v>40</v>
      </c>
    </row>
    <row r="2" spans="1:37" s="4" customFormat="1" x14ac:dyDescent="0.35">
      <c r="A2" s="27" t="s">
        <v>4307</v>
      </c>
      <c r="B2" s="27">
        <v>123456</v>
      </c>
      <c r="C2" s="27" t="s">
        <v>45</v>
      </c>
      <c r="D2" s="27" t="s">
        <v>4308</v>
      </c>
      <c r="E2" s="27">
        <v>0</v>
      </c>
      <c r="F2" s="27">
        <v>79000000</v>
      </c>
      <c r="G2" s="27" t="s">
        <v>46</v>
      </c>
      <c r="H2" s="27" t="s">
        <v>3785</v>
      </c>
      <c r="I2" s="27">
        <v>12345678900</v>
      </c>
      <c r="J2" s="27" t="s">
        <v>4309</v>
      </c>
      <c r="K2" s="27">
        <v>10</v>
      </c>
      <c r="L2" s="27" t="s">
        <v>48</v>
      </c>
      <c r="M2" s="27" t="s">
        <v>750</v>
      </c>
      <c r="N2" s="27" t="s">
        <v>50</v>
      </c>
      <c r="O2" s="27" t="s">
        <v>747</v>
      </c>
      <c r="P2" s="27" t="s">
        <v>472</v>
      </c>
      <c r="Q2" s="27" t="s">
        <v>52</v>
      </c>
      <c r="R2" s="27" t="s">
        <v>53</v>
      </c>
      <c r="S2" s="27">
        <v>690000</v>
      </c>
      <c r="T2" s="27">
        <v>7600000</v>
      </c>
      <c r="U2" s="27" t="s">
        <v>54</v>
      </c>
      <c r="V2" s="27">
        <v>0</v>
      </c>
      <c r="W2" s="27" t="s">
        <v>762</v>
      </c>
      <c r="X2" s="27" t="s">
        <v>56</v>
      </c>
      <c r="Y2" s="27" t="s">
        <v>57</v>
      </c>
      <c r="Z2" s="27">
        <v>10</v>
      </c>
      <c r="AA2" s="27">
        <v>10</v>
      </c>
      <c r="AB2" s="27">
        <v>10</v>
      </c>
      <c r="AC2" s="27">
        <v>18</v>
      </c>
      <c r="AD2" s="27" t="s">
        <v>1829</v>
      </c>
      <c r="AE2" s="27" t="s">
        <v>57</v>
      </c>
      <c r="AF2" s="27" t="s">
        <v>2715</v>
      </c>
      <c r="AG2" s="27" t="str">
        <f>INDEX('Dados - Inversores'!E:E,MATCH('Dados - Cliente'!AF2,'Dados - Inversores'!C:C,0))</f>
        <v>8</v>
      </c>
      <c r="AH2" s="27" t="s">
        <v>52</v>
      </c>
      <c r="AI2" s="27">
        <v>0</v>
      </c>
      <c r="AJ2" s="27"/>
      <c r="AK2" s="27"/>
    </row>
    <row r="3" spans="1:37" s="4" customFormat="1" x14ac:dyDescent="0.35">
      <c r="AF3" s="29"/>
    </row>
    <row r="4" spans="1:37" s="4" customFormat="1" x14ac:dyDescent="0.35">
      <c r="AF4" s="29"/>
    </row>
    <row r="5" spans="1:37" s="4" customFormat="1" x14ac:dyDescent="0.35">
      <c r="AF5" s="29"/>
    </row>
    <row r="6" spans="1:37" s="4" customFormat="1" x14ac:dyDescent="0.35">
      <c r="AF6" s="29"/>
    </row>
    <row r="7" spans="1:37" s="4" customFormat="1" x14ac:dyDescent="0.35">
      <c r="AF7" s="29"/>
    </row>
    <row r="8" spans="1:37" s="4" customFormat="1" x14ac:dyDescent="0.35">
      <c r="AF8" s="29"/>
    </row>
    <row r="9" spans="1:37" s="4" customFormat="1" x14ac:dyDescent="0.35">
      <c r="AF9" s="29"/>
    </row>
    <row r="10" spans="1:37" s="4" customFormat="1" x14ac:dyDescent="0.35">
      <c r="AF10" s="29"/>
    </row>
    <row r="11" spans="1:37" s="4" customFormat="1" x14ac:dyDescent="0.35">
      <c r="AF11" s="29"/>
    </row>
    <row r="12" spans="1:37" s="4" customFormat="1" x14ac:dyDescent="0.35">
      <c r="AF12" s="29"/>
    </row>
    <row r="13" spans="1:37" s="4" customFormat="1" x14ac:dyDescent="0.35">
      <c r="AF13" s="29"/>
    </row>
    <row r="14" spans="1:37" s="4" customFormat="1" x14ac:dyDescent="0.35">
      <c r="AF14" s="29"/>
    </row>
    <row r="15" spans="1:37" s="4" customFormat="1" x14ac:dyDescent="0.35">
      <c r="AF15" s="29"/>
    </row>
    <row r="16" spans="1:37" s="4" customFormat="1" x14ac:dyDescent="0.35">
      <c r="AF16" s="29"/>
    </row>
    <row r="17" spans="1:36" s="4" customFormat="1" x14ac:dyDescent="0.35">
      <c r="AF17" s="29"/>
    </row>
    <row r="18" spans="1:36" s="4" customFormat="1" x14ac:dyDescent="0.35">
      <c r="AF18" s="29"/>
    </row>
    <row r="19" spans="1:36" s="52" customFormat="1" x14ac:dyDescent="0.35">
      <c r="J19" s="4"/>
      <c r="R19" s="56"/>
      <c r="S19" s="56"/>
      <c r="T19" s="56"/>
      <c r="U19" s="56"/>
      <c r="V19" s="56"/>
      <c r="W19" s="56"/>
      <c r="AD19" s="57"/>
      <c r="AF19" s="57"/>
      <c r="AG19" s="56"/>
      <c r="AJ19" s="58"/>
    </row>
    <row r="20" spans="1:36" s="4" customFormat="1" x14ac:dyDescent="0.35">
      <c r="AF20" s="29"/>
    </row>
    <row r="21" spans="1:36" s="4" customFormat="1" x14ac:dyDescent="0.35">
      <c r="AF21" s="29"/>
    </row>
    <row r="22" spans="1:36" s="23" customFormat="1" x14ac:dyDescent="0.35">
      <c r="H22" s="29"/>
      <c r="R22" s="3"/>
      <c r="S22" s="3"/>
      <c r="T22" s="3"/>
      <c r="U22" s="3"/>
      <c r="V22" s="3"/>
      <c r="W22" s="3"/>
      <c r="AC22" s="29"/>
      <c r="AD22" s="29"/>
      <c r="AE22" s="29"/>
      <c r="AF22" s="29"/>
      <c r="AG22" s="3"/>
      <c r="AJ22" s="29"/>
    </row>
    <row r="23" spans="1:36" s="4" customFormat="1" x14ac:dyDescent="0.35">
      <c r="AF23" s="29"/>
    </row>
    <row r="24" spans="1:36" s="4" customFormat="1" x14ac:dyDescent="0.35">
      <c r="AF24" s="29"/>
    </row>
    <row r="25" spans="1:36" s="4" customFormat="1" x14ac:dyDescent="0.35">
      <c r="AF25" s="29"/>
    </row>
    <row r="26" spans="1:36" s="4" customFormat="1" x14ac:dyDescent="0.35">
      <c r="AF26" s="29"/>
    </row>
    <row r="27" spans="1:36" s="4" customFormat="1" x14ac:dyDescent="0.35">
      <c r="AF27" s="29"/>
    </row>
    <row r="28" spans="1:36" s="23" customFormat="1" x14ac:dyDescent="0.35">
      <c r="C28" s="29"/>
      <c r="H28" s="4"/>
      <c r="M28" s="4"/>
      <c r="O28" s="4"/>
      <c r="R28" s="3"/>
      <c r="S28" s="3"/>
      <c r="T28" s="3"/>
      <c r="U28" s="3"/>
      <c r="V28" s="3"/>
      <c r="W28" s="3"/>
      <c r="AC28" s="29"/>
      <c r="AD28" s="4"/>
      <c r="AF28" s="29"/>
      <c r="AG28" s="3"/>
    </row>
    <row r="29" spans="1:36" s="23" customFormat="1" x14ac:dyDescent="0.35">
      <c r="A29" s="29"/>
      <c r="B29" s="29"/>
      <c r="D29" s="29"/>
      <c r="F29" s="29"/>
      <c r="G29" s="29"/>
      <c r="H29" s="29"/>
      <c r="J29" s="4"/>
      <c r="R29" s="3"/>
      <c r="S29" s="29"/>
      <c r="T29" s="29"/>
      <c r="U29" s="3"/>
      <c r="V29" s="3"/>
      <c r="W29" s="3"/>
      <c r="AC29" s="29"/>
      <c r="AD29" s="29"/>
      <c r="AF29" s="29"/>
      <c r="AG29" s="3"/>
    </row>
    <row r="30" spans="1:36" s="23" customFormat="1" x14ac:dyDescent="0.35">
      <c r="A30" s="29"/>
      <c r="B30" s="29"/>
      <c r="D30" s="29"/>
      <c r="F30" s="29"/>
      <c r="G30" s="29"/>
      <c r="H30" s="29"/>
      <c r="J30" s="4"/>
      <c r="R30" s="3"/>
      <c r="S30" s="29"/>
      <c r="T30" s="29"/>
      <c r="U30" s="3"/>
      <c r="V30" s="3"/>
      <c r="W30" s="3"/>
      <c r="AC30" s="29"/>
      <c r="AD30" s="29"/>
      <c r="AF30" s="29"/>
      <c r="AG30" s="3"/>
    </row>
    <row r="31" spans="1:36" s="23" customFormat="1" x14ac:dyDescent="0.35">
      <c r="H31" s="29"/>
      <c r="J31" s="4"/>
      <c r="R31" s="3"/>
      <c r="S31" s="3"/>
      <c r="T31" s="3"/>
      <c r="U31" s="3"/>
      <c r="V31" s="3"/>
      <c r="W31" s="3"/>
      <c r="AD31" s="29"/>
      <c r="AF31" s="29"/>
      <c r="AG31" s="3"/>
    </row>
    <row r="32" spans="1:36" s="4" customFormat="1" x14ac:dyDescent="0.35">
      <c r="AF32" s="29"/>
    </row>
    <row r="33" spans="1:36" s="4" customFormat="1" x14ac:dyDescent="0.35">
      <c r="AF33" s="29"/>
    </row>
    <row r="34" spans="1:36" s="4" customFormat="1" x14ac:dyDescent="0.35">
      <c r="AF34" s="29"/>
    </row>
    <row r="35" spans="1:36" s="4" customFormat="1" x14ac:dyDescent="0.35">
      <c r="AF35" s="29"/>
    </row>
    <row r="36" spans="1:36" s="4" customFormat="1" x14ac:dyDescent="0.35">
      <c r="AF36" s="29"/>
    </row>
    <row r="37" spans="1:36" s="4" customFormat="1" x14ac:dyDescent="0.35">
      <c r="AF37" s="29"/>
    </row>
    <row r="38" spans="1:36" s="4" customFormat="1" x14ac:dyDescent="0.35">
      <c r="AF38" s="29"/>
    </row>
    <row r="39" spans="1:36" s="4" customFormat="1" x14ac:dyDescent="0.35">
      <c r="AF39" s="29"/>
    </row>
    <row r="40" spans="1:36" s="4" customFormat="1" x14ac:dyDescent="0.35">
      <c r="AF40" s="29"/>
    </row>
    <row r="41" spans="1:36" s="4" customFormat="1" x14ac:dyDescent="0.35">
      <c r="AF41" s="29"/>
    </row>
    <row r="42" spans="1:36" s="4" customFormat="1" x14ac:dyDescent="0.35">
      <c r="AF42" s="29"/>
    </row>
    <row r="43" spans="1:36" s="4" customFormat="1" x14ac:dyDescent="0.35">
      <c r="AF43" s="29"/>
    </row>
    <row r="44" spans="1:36" s="4" customFormat="1" x14ac:dyDescent="0.35">
      <c r="AF44" s="29"/>
    </row>
    <row r="45" spans="1:36" s="4" customFormat="1" x14ac:dyDescent="0.35">
      <c r="AF45" s="29"/>
    </row>
    <row r="46" spans="1:36" s="23" customFormat="1" x14ac:dyDescent="0.35">
      <c r="A46" s="29"/>
      <c r="H46" s="29"/>
      <c r="R46" s="3"/>
      <c r="S46" s="3"/>
      <c r="T46" s="3"/>
      <c r="U46" s="3"/>
      <c r="V46" s="3"/>
      <c r="W46" s="3"/>
      <c r="AC46" s="29"/>
      <c r="AD46" s="29"/>
      <c r="AE46" s="29"/>
      <c r="AF46" s="29"/>
      <c r="AG46" s="3"/>
      <c r="AJ46" s="29"/>
    </row>
    <row r="47" spans="1:36" s="23" customFormat="1" x14ac:dyDescent="0.35">
      <c r="H47" s="29"/>
      <c r="R47" s="3"/>
      <c r="S47" s="3"/>
      <c r="T47" s="3"/>
      <c r="U47" s="3"/>
      <c r="V47" s="3"/>
      <c r="W47" s="3"/>
      <c r="AC47" s="29"/>
      <c r="AD47" s="29"/>
      <c r="AE47" s="29"/>
      <c r="AF47" s="29"/>
      <c r="AG47" s="3"/>
      <c r="AJ47" s="29"/>
    </row>
    <row r="48" spans="1:36" s="4" customFormat="1" x14ac:dyDescent="0.35">
      <c r="AF48" s="29"/>
    </row>
    <row r="49" spans="7:36" s="4" customFormat="1" x14ac:dyDescent="0.35">
      <c r="AF49" s="29"/>
    </row>
    <row r="50" spans="7:36" s="52" customFormat="1" x14ac:dyDescent="0.35">
      <c r="R50" s="56"/>
      <c r="S50" s="56"/>
      <c r="T50" s="56"/>
      <c r="U50" s="56"/>
      <c r="V50" s="56"/>
      <c r="W50" s="56"/>
      <c r="AD50" s="57"/>
      <c r="AF50" s="57"/>
      <c r="AG50" s="56"/>
      <c r="AJ50" s="58"/>
    </row>
    <row r="51" spans="7:36" s="4" customFormat="1" x14ac:dyDescent="0.35">
      <c r="AF51" s="29"/>
    </row>
    <row r="52" spans="7:36" s="23" customFormat="1" x14ac:dyDescent="0.35">
      <c r="H52" s="29"/>
      <c r="R52" s="3"/>
      <c r="S52" s="3"/>
      <c r="T52" s="3"/>
      <c r="U52" s="3"/>
      <c r="V52" s="3"/>
      <c r="W52" s="3"/>
      <c r="AC52" s="29"/>
      <c r="AD52" s="29"/>
      <c r="AE52" s="29"/>
      <c r="AF52" s="29"/>
      <c r="AG52" s="3"/>
      <c r="AJ52" s="29"/>
    </row>
    <row r="53" spans="7:36" s="23" customFormat="1" x14ac:dyDescent="0.35">
      <c r="H53" s="29"/>
      <c r="O53" s="4"/>
      <c r="R53" s="3"/>
      <c r="S53" s="3"/>
      <c r="T53" s="3"/>
      <c r="U53" s="3"/>
      <c r="V53" s="3"/>
      <c r="W53" s="3"/>
      <c r="AC53" s="29"/>
      <c r="AD53" s="4"/>
      <c r="AE53" s="29"/>
      <c r="AF53" s="29"/>
      <c r="AG53" s="3"/>
      <c r="AJ53" s="29"/>
    </row>
    <row r="54" spans="7:36" s="4" customFormat="1" x14ac:dyDescent="0.35">
      <c r="AF54" s="29"/>
    </row>
    <row r="55" spans="7:36" s="23" customFormat="1" x14ac:dyDescent="0.35">
      <c r="G55" s="4"/>
      <c r="H55" s="29"/>
      <c r="R55" s="3"/>
      <c r="S55" s="3"/>
      <c r="T55" s="3"/>
      <c r="U55" s="3"/>
      <c r="V55" s="3"/>
      <c r="W55" s="3"/>
      <c r="AC55" s="29"/>
      <c r="AD55" s="4"/>
      <c r="AE55" s="29"/>
      <c r="AF55" s="29"/>
      <c r="AG55" s="3"/>
      <c r="AJ55" s="29"/>
    </row>
    <row r="56" spans="7:36" s="23" customFormat="1" x14ac:dyDescent="0.35">
      <c r="H56" s="29"/>
      <c r="R56" s="3"/>
      <c r="S56" s="3"/>
      <c r="T56" s="3"/>
      <c r="U56" s="3"/>
      <c r="V56" s="3"/>
      <c r="W56" s="3"/>
      <c r="AC56" s="29"/>
      <c r="AD56" s="29"/>
      <c r="AE56" s="29"/>
      <c r="AF56" s="29"/>
      <c r="AG56" s="3"/>
      <c r="AJ56" s="29"/>
    </row>
    <row r="57" spans="7:36" s="23" customFormat="1" x14ac:dyDescent="0.35">
      <c r="H57" s="29"/>
      <c r="R57" s="3"/>
      <c r="S57" s="3"/>
      <c r="T57" s="3"/>
      <c r="U57" s="3"/>
      <c r="V57" s="3"/>
      <c r="W57" s="3"/>
      <c r="AC57" s="29"/>
      <c r="AD57" s="29"/>
      <c r="AE57" s="29"/>
      <c r="AF57" s="29"/>
      <c r="AG57" s="3"/>
      <c r="AJ57" s="29"/>
    </row>
    <row r="58" spans="7:36" s="23" customFormat="1" x14ac:dyDescent="0.35">
      <c r="H58" s="29"/>
      <c r="R58" s="3"/>
      <c r="S58" s="3"/>
      <c r="T58" s="3"/>
      <c r="U58" s="3"/>
      <c r="V58" s="3"/>
      <c r="W58" s="3"/>
      <c r="AC58" s="29"/>
      <c r="AD58" s="29"/>
      <c r="AE58" s="29"/>
      <c r="AF58" s="29"/>
      <c r="AG58" s="3"/>
      <c r="AJ58" s="29"/>
    </row>
    <row r="59" spans="7:36" s="23" customFormat="1" x14ac:dyDescent="0.35">
      <c r="H59" s="29"/>
      <c r="R59" s="3"/>
      <c r="S59" s="3"/>
      <c r="T59" s="3"/>
      <c r="U59" s="3"/>
      <c r="V59" s="3"/>
      <c r="W59" s="3"/>
      <c r="AC59" s="29"/>
      <c r="AD59" s="29"/>
      <c r="AE59" s="29"/>
      <c r="AF59" s="29"/>
      <c r="AG59" s="3"/>
      <c r="AJ59" s="29"/>
    </row>
    <row r="60" spans="7:36" s="23" customFormat="1" x14ac:dyDescent="0.35">
      <c r="H60" s="29"/>
      <c r="O60" s="4"/>
      <c r="R60" s="3"/>
      <c r="S60" s="3"/>
      <c r="T60" s="3"/>
      <c r="U60" s="3"/>
      <c r="V60" s="3"/>
      <c r="W60" s="3"/>
      <c r="AC60" s="29"/>
      <c r="AD60" s="4"/>
      <c r="AE60" s="29"/>
      <c r="AF60" s="29"/>
      <c r="AG60" s="3"/>
      <c r="AH60" s="4"/>
      <c r="AJ60" s="29"/>
    </row>
    <row r="61" spans="7:36" s="23" customFormat="1" x14ac:dyDescent="0.35">
      <c r="H61" s="29"/>
      <c r="O61" s="4"/>
      <c r="R61" s="3"/>
      <c r="S61" s="3"/>
      <c r="T61" s="3"/>
      <c r="U61" s="4"/>
      <c r="V61" s="3"/>
      <c r="W61" s="3"/>
      <c r="AC61" s="29"/>
      <c r="AD61" s="4"/>
      <c r="AE61" s="29"/>
      <c r="AF61" s="29"/>
      <c r="AG61" s="3"/>
      <c r="AJ61" s="29"/>
    </row>
    <row r="62" spans="7:36" s="23" customFormat="1" x14ac:dyDescent="0.35">
      <c r="H62" s="4"/>
      <c r="K62" s="4"/>
      <c r="M62" s="4"/>
      <c r="O62" s="4"/>
      <c r="R62" s="3"/>
      <c r="S62" s="3"/>
      <c r="T62" s="3"/>
      <c r="U62" s="4"/>
      <c r="V62" s="3"/>
      <c r="W62" s="3"/>
      <c r="AC62" s="29"/>
      <c r="AD62" s="4"/>
      <c r="AE62" s="29"/>
      <c r="AF62" s="29"/>
      <c r="AG62" s="3"/>
      <c r="AJ62" s="29"/>
    </row>
    <row r="63" spans="7:36" s="23" customFormat="1" x14ac:dyDescent="0.35">
      <c r="H63" s="29"/>
      <c r="R63" s="3"/>
      <c r="S63" s="3"/>
      <c r="T63" s="3"/>
      <c r="U63" s="3"/>
      <c r="V63" s="3"/>
      <c r="W63" s="3"/>
      <c r="AC63" s="29"/>
      <c r="AD63" s="29"/>
      <c r="AE63" s="29"/>
      <c r="AF63" s="29"/>
      <c r="AG63" s="3"/>
      <c r="AJ63" s="29"/>
    </row>
    <row r="64" spans="7:36" s="23" customFormat="1" x14ac:dyDescent="0.35">
      <c r="H64" s="29"/>
      <c r="R64" s="3"/>
      <c r="S64" s="3"/>
      <c r="T64" s="3"/>
      <c r="U64" s="3"/>
      <c r="V64" s="3"/>
      <c r="W64" s="3"/>
      <c r="AC64" s="29"/>
      <c r="AD64" s="29"/>
      <c r="AE64" s="29"/>
      <c r="AF64" s="29"/>
      <c r="AG64" s="3"/>
      <c r="AJ64" s="29"/>
    </row>
    <row r="65" spans="2:36" s="23" customFormat="1" x14ac:dyDescent="0.35">
      <c r="H65" s="29"/>
      <c r="R65" s="3"/>
      <c r="S65" s="3"/>
      <c r="T65" s="3"/>
      <c r="U65" s="3"/>
      <c r="V65" s="3"/>
      <c r="W65" s="3"/>
      <c r="AC65" s="29"/>
      <c r="AD65" s="29"/>
      <c r="AE65" s="29"/>
      <c r="AF65" s="29"/>
      <c r="AG65" s="3"/>
      <c r="AJ65" s="29"/>
    </row>
    <row r="66" spans="2:36" s="23" customFormat="1" x14ac:dyDescent="0.35">
      <c r="B66" s="4"/>
      <c r="R66" s="3"/>
      <c r="S66" s="3"/>
      <c r="T66" s="3"/>
      <c r="U66" s="3"/>
      <c r="V66" s="3"/>
      <c r="W66" s="3"/>
      <c r="AC66" s="29"/>
      <c r="AD66" s="4"/>
      <c r="AE66" s="29"/>
      <c r="AF66" s="29"/>
      <c r="AG66" s="3"/>
      <c r="AJ66" s="29"/>
    </row>
    <row r="67" spans="2:36" s="23" customFormat="1" x14ac:dyDescent="0.35">
      <c r="C67" s="29"/>
      <c r="H67" s="4"/>
      <c r="M67" s="4"/>
      <c r="O67" s="4"/>
      <c r="R67" s="3"/>
      <c r="S67" s="3"/>
      <c r="T67" s="3"/>
      <c r="U67" s="3"/>
      <c r="V67" s="3"/>
      <c r="W67" s="3"/>
      <c r="AC67" s="29"/>
      <c r="AD67" s="4"/>
      <c r="AF67" s="29"/>
      <c r="AG67" s="3"/>
    </row>
    <row r="68" spans="2:36" s="23" customFormat="1" x14ac:dyDescent="0.35">
      <c r="C68" s="29"/>
      <c r="O68" s="4"/>
      <c r="R68" s="3"/>
      <c r="S68" s="3"/>
      <c r="T68" s="3"/>
      <c r="U68" s="4"/>
      <c r="V68" s="3"/>
      <c r="W68" s="3"/>
      <c r="AC68" s="29"/>
      <c r="AD68" s="4"/>
      <c r="AE68" s="29"/>
      <c r="AF68" s="29"/>
      <c r="AG68" s="3"/>
      <c r="AJ68" s="29"/>
    </row>
    <row r="69" spans="2:36" s="23" customFormat="1" x14ac:dyDescent="0.35">
      <c r="C69" s="29"/>
      <c r="H69" s="29"/>
      <c r="R69" s="3"/>
      <c r="S69" s="3"/>
      <c r="T69" s="3"/>
      <c r="U69" s="3"/>
      <c r="V69" s="3"/>
      <c r="W69" s="3"/>
      <c r="AA69" s="29"/>
      <c r="AB69" s="29"/>
      <c r="AC69" s="29"/>
      <c r="AD69" s="4"/>
      <c r="AE69" s="29"/>
      <c r="AF69" s="29"/>
      <c r="AG69" s="3"/>
      <c r="AJ69" s="29"/>
    </row>
    <row r="70" spans="2:36" s="23" customFormat="1" x14ac:dyDescent="0.35">
      <c r="H70" s="4"/>
      <c r="K70" s="4"/>
      <c r="M70" s="4"/>
      <c r="R70" s="3"/>
      <c r="S70" s="3"/>
      <c r="T70" s="3"/>
      <c r="U70" s="3"/>
      <c r="V70" s="3"/>
      <c r="W70" s="3"/>
      <c r="AC70" s="29"/>
      <c r="AD70" s="4"/>
      <c r="AE70" s="29"/>
      <c r="AF70" s="29"/>
      <c r="AG70" s="3"/>
      <c r="AJ70" s="29"/>
    </row>
    <row r="71" spans="2:36" s="23" customFormat="1" x14ac:dyDescent="0.35">
      <c r="C71" s="29"/>
      <c r="H71" s="29"/>
      <c r="R71" s="3"/>
      <c r="S71" s="3"/>
      <c r="T71" s="3"/>
      <c r="U71" s="3"/>
      <c r="V71" s="3"/>
      <c r="W71" s="3"/>
      <c r="AA71" s="29"/>
      <c r="AB71" s="29"/>
      <c r="AC71" s="29"/>
      <c r="AD71" s="4"/>
      <c r="AE71" s="29"/>
      <c r="AF71" s="29"/>
      <c r="AG71" s="3"/>
      <c r="AJ71" s="29"/>
    </row>
    <row r="72" spans="2:36" s="23" customFormat="1" x14ac:dyDescent="0.35">
      <c r="B72" s="4"/>
      <c r="H72" s="4"/>
      <c r="K72" s="52"/>
      <c r="L72" s="4"/>
      <c r="M72" s="4"/>
      <c r="N72" s="4"/>
      <c r="O72" s="4"/>
      <c r="R72" s="3"/>
      <c r="S72" s="3"/>
      <c r="T72" s="3"/>
      <c r="U72" s="3"/>
      <c r="V72" s="3"/>
      <c r="W72" s="3"/>
      <c r="Y72" s="4"/>
      <c r="Z72" s="4"/>
      <c r="AA72" s="4"/>
      <c r="AB72" s="4"/>
      <c r="AC72" s="29"/>
      <c r="AD72" s="4"/>
      <c r="AE72" s="29"/>
      <c r="AF72" s="29"/>
      <c r="AG72" s="3"/>
      <c r="AJ72" s="29"/>
    </row>
    <row r="73" spans="2:36" s="23" customFormat="1" x14ac:dyDescent="0.35">
      <c r="H73" s="29"/>
      <c r="R73" s="3"/>
      <c r="S73" s="3"/>
      <c r="T73" s="3"/>
      <c r="U73" s="3"/>
      <c r="V73" s="3"/>
      <c r="W73" s="3"/>
      <c r="AC73" s="29"/>
      <c r="AD73" s="29"/>
      <c r="AE73" s="29"/>
      <c r="AF73" s="29"/>
      <c r="AG73" s="3"/>
      <c r="AJ73" s="29"/>
    </row>
    <row r="74" spans="2:36" s="23" customFormat="1" x14ac:dyDescent="0.35">
      <c r="C74" s="29"/>
      <c r="H74" s="29"/>
      <c r="K74" s="4"/>
      <c r="M74" s="4"/>
      <c r="O74" s="4"/>
      <c r="R74" s="3"/>
      <c r="S74" s="3"/>
      <c r="T74" s="3"/>
      <c r="U74" s="3"/>
      <c r="V74" s="3"/>
      <c r="W74" s="3"/>
      <c r="AC74" s="29"/>
      <c r="AD74" s="4"/>
      <c r="AE74" s="29"/>
      <c r="AF74" s="29"/>
      <c r="AG74" s="3"/>
      <c r="AJ74" s="29"/>
    </row>
    <row r="75" spans="2:36" s="23" customFormat="1" x14ac:dyDescent="0.35">
      <c r="C75" s="29"/>
      <c r="G75" s="4"/>
      <c r="H75" s="29"/>
      <c r="K75" s="4"/>
      <c r="M75" s="4"/>
      <c r="O75" s="4"/>
      <c r="R75" s="3"/>
      <c r="S75" s="3"/>
      <c r="T75" s="3"/>
      <c r="U75" s="3"/>
      <c r="V75" s="3"/>
      <c r="W75" s="3"/>
      <c r="AC75" s="29"/>
      <c r="AD75" s="4"/>
      <c r="AE75" s="29"/>
      <c r="AF75" s="29"/>
      <c r="AG75" s="3"/>
      <c r="AJ75" s="29"/>
    </row>
    <row r="76" spans="2:36" s="23" customFormat="1" x14ac:dyDescent="0.35">
      <c r="C76" s="29"/>
      <c r="H76" s="29"/>
      <c r="K76" s="4"/>
      <c r="M76" s="4"/>
      <c r="O76" s="4"/>
      <c r="R76" s="3"/>
      <c r="S76" s="3"/>
      <c r="T76" s="3"/>
      <c r="U76" s="3"/>
      <c r="V76" s="3"/>
      <c r="W76" s="3"/>
      <c r="AC76" s="29"/>
      <c r="AD76" s="4"/>
      <c r="AE76" s="29"/>
      <c r="AF76" s="29"/>
      <c r="AG76" s="3"/>
      <c r="AJ76" s="29"/>
    </row>
    <row r="77" spans="2:36" s="23" customFormat="1" x14ac:dyDescent="0.35">
      <c r="C77" s="29"/>
      <c r="H77" s="29"/>
      <c r="K77" s="4"/>
      <c r="M77" s="4"/>
      <c r="O77" s="4"/>
      <c r="R77" s="3"/>
      <c r="S77" s="3"/>
      <c r="T77" s="3"/>
      <c r="U77" s="3"/>
      <c r="V77" s="3"/>
      <c r="W77" s="3"/>
      <c r="AC77" s="29"/>
      <c r="AD77" s="4"/>
      <c r="AE77" s="29"/>
      <c r="AF77" s="29"/>
      <c r="AG77" s="3"/>
      <c r="AJ77" s="29"/>
    </row>
    <row r="78" spans="2:36" s="23" customFormat="1" x14ac:dyDescent="0.35">
      <c r="C78" s="29"/>
      <c r="H78" s="29"/>
      <c r="K78" s="4"/>
      <c r="M78" s="4"/>
      <c r="O78" s="4"/>
      <c r="R78" s="3"/>
      <c r="S78" s="3"/>
      <c r="T78" s="3"/>
      <c r="U78" s="3"/>
      <c r="V78" s="3"/>
      <c r="W78" s="3"/>
      <c r="AC78" s="29"/>
      <c r="AD78" s="4"/>
      <c r="AE78" s="29"/>
      <c r="AF78" s="29"/>
      <c r="AG78" s="3"/>
      <c r="AJ78" s="29"/>
    </row>
    <row r="79" spans="2:36" s="23" customFormat="1" x14ac:dyDescent="0.35">
      <c r="C79" s="29"/>
      <c r="H79" s="29"/>
      <c r="K79" s="4"/>
      <c r="M79" s="4"/>
      <c r="O79" s="4"/>
      <c r="R79" s="3"/>
      <c r="S79" s="3"/>
      <c r="T79" s="3"/>
      <c r="U79" s="3"/>
      <c r="V79" s="3"/>
      <c r="W79" s="3"/>
      <c r="AC79" s="29"/>
      <c r="AD79" s="4"/>
      <c r="AE79" s="29"/>
      <c r="AF79" s="29"/>
      <c r="AG79" s="3"/>
      <c r="AJ79" s="29"/>
    </row>
    <row r="80" spans="2:36" s="23" customFormat="1" x14ac:dyDescent="0.35">
      <c r="C80" s="29"/>
      <c r="H80" s="29"/>
      <c r="K80" s="4"/>
      <c r="M80" s="4"/>
      <c r="O80" s="4"/>
      <c r="R80" s="3"/>
      <c r="S80" s="3"/>
      <c r="T80" s="3"/>
      <c r="U80" s="3"/>
      <c r="V80" s="3"/>
      <c r="W80" s="3"/>
      <c r="AC80" s="29"/>
      <c r="AD80" s="4"/>
      <c r="AE80" s="29"/>
      <c r="AF80" s="29"/>
      <c r="AG80" s="3"/>
      <c r="AJ80" s="29"/>
    </row>
    <row r="81" spans="3:37" s="23" customFormat="1" x14ac:dyDescent="0.35">
      <c r="C81" s="29"/>
      <c r="H81" s="4"/>
      <c r="M81" s="4"/>
      <c r="O81" s="4"/>
      <c r="R81" s="3"/>
      <c r="S81" s="3"/>
      <c r="T81" s="3"/>
      <c r="U81" s="3"/>
      <c r="V81" s="3"/>
      <c r="W81" s="3"/>
      <c r="AC81" s="29"/>
      <c r="AD81" s="4"/>
      <c r="AF81" s="29"/>
      <c r="AG81" s="3"/>
    </row>
    <row r="82" spans="3:37" s="23" customFormat="1" x14ac:dyDescent="0.35">
      <c r="C82" s="29"/>
      <c r="H82" s="29"/>
      <c r="K82" s="4"/>
      <c r="M82" s="4"/>
      <c r="O82" s="4"/>
      <c r="R82" s="3"/>
      <c r="S82" s="3"/>
      <c r="T82" s="3"/>
      <c r="U82" s="3"/>
      <c r="V82" s="3"/>
      <c r="W82" s="3"/>
      <c r="AC82" s="29"/>
      <c r="AD82" s="4"/>
      <c r="AE82" s="29"/>
      <c r="AF82" s="29"/>
      <c r="AG82" s="3"/>
      <c r="AJ82" s="29"/>
    </row>
    <row r="83" spans="3:37" s="23" customFormat="1" ht="17.25" customHeight="1" x14ac:dyDescent="0.35">
      <c r="C83" s="29"/>
      <c r="H83" s="4"/>
      <c r="M83" s="4"/>
      <c r="O83" s="4"/>
      <c r="R83" s="3"/>
      <c r="S83" s="3"/>
      <c r="T83" s="3"/>
      <c r="U83" s="3"/>
      <c r="V83" s="3"/>
      <c r="W83" s="3"/>
      <c r="AC83" s="29"/>
      <c r="AD83" s="4"/>
      <c r="AF83" s="29"/>
      <c r="AG83" s="3"/>
    </row>
    <row r="84" spans="3:37" s="23" customFormat="1" x14ac:dyDescent="0.35">
      <c r="C84" s="29"/>
      <c r="H84" s="29"/>
      <c r="K84" s="52"/>
      <c r="L84" s="4"/>
      <c r="M84" s="4"/>
      <c r="N84" s="4"/>
      <c r="O84" s="4"/>
      <c r="R84" s="3"/>
      <c r="S84" s="3"/>
      <c r="T84" s="3"/>
      <c r="U84" s="3"/>
      <c r="V84" s="3"/>
      <c r="W84" s="3"/>
      <c r="Y84" s="4"/>
      <c r="Z84" s="4"/>
      <c r="AA84" s="4"/>
      <c r="AB84" s="4"/>
      <c r="AC84" s="29"/>
      <c r="AD84" s="4"/>
      <c r="AE84" s="29"/>
      <c r="AF84" s="29"/>
      <c r="AG84" s="3"/>
      <c r="AJ84" s="29"/>
      <c r="AK84" s="29"/>
    </row>
    <row r="85" spans="3:37" s="23" customFormat="1" x14ac:dyDescent="0.35">
      <c r="C85" s="29"/>
      <c r="H85" s="4"/>
      <c r="M85" s="4"/>
      <c r="O85" s="4"/>
      <c r="R85" s="3"/>
      <c r="S85" s="3"/>
      <c r="T85" s="3"/>
      <c r="U85" s="3"/>
      <c r="V85" s="3"/>
      <c r="W85" s="3"/>
      <c r="AC85" s="29"/>
      <c r="AD85" s="4"/>
      <c r="AF85" s="29"/>
      <c r="AG85" s="3"/>
    </row>
    <row r="86" spans="3:37" s="23" customFormat="1" x14ac:dyDescent="0.35">
      <c r="R86" s="29"/>
      <c r="U86" s="29"/>
      <c r="V86" s="29"/>
      <c r="W86" s="29"/>
      <c r="AC86" s="29"/>
      <c r="AD86" s="4"/>
      <c r="AF86" s="29"/>
      <c r="AG86" s="3"/>
    </row>
    <row r="87" spans="3:37" s="23" customFormat="1" x14ac:dyDescent="0.35">
      <c r="R87" s="29"/>
      <c r="U87" s="29"/>
      <c r="V87" s="29"/>
      <c r="W87" s="29"/>
      <c r="AC87" s="29"/>
      <c r="AD87" s="4"/>
      <c r="AF87" s="29"/>
      <c r="AG87" s="3"/>
    </row>
    <row r="88" spans="3:37" s="23" customFormat="1" x14ac:dyDescent="0.35">
      <c r="C88" s="29"/>
      <c r="H88" s="29"/>
      <c r="K88" s="4"/>
      <c r="M88" s="4"/>
      <c r="O88" s="4"/>
      <c r="R88" s="3"/>
      <c r="S88" s="3"/>
      <c r="T88" s="3"/>
      <c r="U88" s="3"/>
      <c r="V88" s="3"/>
      <c r="W88" s="3"/>
      <c r="AC88" s="29"/>
      <c r="AD88" s="4"/>
      <c r="AE88" s="29"/>
      <c r="AF88" s="29"/>
      <c r="AG88" s="3"/>
      <c r="AJ88" s="29"/>
    </row>
    <row r="89" spans="3:37" s="23" customFormat="1" x14ac:dyDescent="0.35">
      <c r="R89" s="29"/>
      <c r="U89" s="29"/>
      <c r="V89" s="29"/>
      <c r="W89" s="29"/>
      <c r="AC89" s="29"/>
      <c r="AD89" s="4"/>
      <c r="AF89" s="29"/>
      <c r="AG89" s="3"/>
    </row>
    <row r="90" spans="3:37" s="23" customFormat="1" x14ac:dyDescent="0.35">
      <c r="D90" s="4"/>
      <c r="E90" s="4"/>
      <c r="F90" s="4"/>
      <c r="G90" s="4"/>
      <c r="K90" s="4"/>
      <c r="M90" s="4"/>
      <c r="O90" s="4"/>
      <c r="R90" s="3"/>
      <c r="S90" s="3"/>
      <c r="T90" s="3"/>
      <c r="U90" s="3"/>
      <c r="V90" s="3"/>
      <c r="W90" s="3"/>
      <c r="AC90" s="29"/>
      <c r="AD90" s="4"/>
      <c r="AF90" s="29"/>
      <c r="AG90" s="3"/>
    </row>
    <row r="91" spans="3:37" s="23" customFormat="1" x14ac:dyDescent="0.35">
      <c r="M91" s="4"/>
      <c r="O91" s="4"/>
      <c r="R91" s="3"/>
      <c r="S91" s="3"/>
      <c r="T91" s="3"/>
      <c r="U91" s="3"/>
      <c r="V91" s="3"/>
      <c r="W91" s="3"/>
      <c r="AC91" s="29"/>
      <c r="AD91" s="4"/>
      <c r="AF91" s="29"/>
      <c r="AG91" s="3"/>
    </row>
    <row r="92" spans="3:37" s="23" customFormat="1" x14ac:dyDescent="0.35">
      <c r="R92" s="29"/>
      <c r="U92" s="29"/>
      <c r="V92" s="29"/>
      <c r="W92" s="29"/>
      <c r="AC92" s="29"/>
      <c r="AD92" s="4"/>
      <c r="AF92" s="29"/>
      <c r="AG92" s="3"/>
    </row>
    <row r="93" spans="3:37" s="23" customFormat="1" x14ac:dyDescent="0.35">
      <c r="C93" s="29"/>
      <c r="M93" s="4"/>
      <c r="O93" s="4"/>
      <c r="R93" s="3"/>
      <c r="U93" s="3"/>
      <c r="V93" s="3"/>
      <c r="W93" s="3"/>
      <c r="AC93" s="29"/>
      <c r="AD93" s="4"/>
      <c r="AF93" s="29"/>
      <c r="AG93" s="3"/>
    </row>
    <row r="94" spans="3:37" s="23" customFormat="1" x14ac:dyDescent="0.35">
      <c r="C94" s="29"/>
      <c r="M94" s="4"/>
      <c r="O94" s="4"/>
      <c r="R94" s="3"/>
      <c r="U94" s="3"/>
      <c r="V94" s="3"/>
      <c r="W94" s="3"/>
      <c r="AC94" s="29"/>
      <c r="AD94" s="4"/>
      <c r="AF94" s="29"/>
      <c r="AG94" s="3"/>
    </row>
    <row r="95" spans="3:37" s="23" customFormat="1" x14ac:dyDescent="0.35">
      <c r="R95" s="29"/>
      <c r="U95" s="29"/>
      <c r="V95" s="29"/>
      <c r="W95" s="29"/>
      <c r="AC95" s="29"/>
      <c r="AD95" s="4"/>
      <c r="AF95" s="29"/>
      <c r="AG95" s="3"/>
    </row>
    <row r="96" spans="3:37" s="23" customFormat="1" x14ac:dyDescent="0.35">
      <c r="R96" s="29"/>
      <c r="U96" s="29"/>
      <c r="V96" s="29"/>
      <c r="W96" s="29"/>
      <c r="AC96" s="29"/>
      <c r="AD96" s="4"/>
      <c r="AF96" s="29"/>
      <c r="AG96" s="3"/>
    </row>
    <row r="97" spans="3:33" s="23" customFormat="1" x14ac:dyDescent="0.35">
      <c r="R97" s="29"/>
      <c r="U97" s="29"/>
      <c r="V97" s="29"/>
      <c r="W97" s="29"/>
      <c r="AC97" s="29"/>
      <c r="AD97" s="4"/>
      <c r="AF97" s="29"/>
      <c r="AG97" s="3"/>
    </row>
    <row r="98" spans="3:33" s="23" customFormat="1" x14ac:dyDescent="0.35">
      <c r="R98" s="29"/>
      <c r="U98" s="29"/>
      <c r="V98" s="29"/>
      <c r="W98" s="29"/>
      <c r="AC98" s="29"/>
      <c r="AD98" s="4"/>
      <c r="AF98" s="29"/>
      <c r="AG98" s="3"/>
    </row>
    <row r="99" spans="3:33" s="23" customFormat="1" x14ac:dyDescent="0.35">
      <c r="C99" s="29"/>
      <c r="H99" s="4"/>
      <c r="M99" s="4"/>
      <c r="O99" s="4"/>
      <c r="R99" s="3"/>
      <c r="S99" s="3"/>
      <c r="T99" s="3"/>
      <c r="U99" s="3"/>
      <c r="V99" s="3"/>
      <c r="W99" s="3"/>
      <c r="AC99" s="29"/>
      <c r="AD99" s="4"/>
      <c r="AF99" s="29"/>
      <c r="AG99" s="3"/>
    </row>
    <row r="100" spans="3:33" s="23" customFormat="1" x14ac:dyDescent="0.35">
      <c r="C100" s="29"/>
      <c r="H100" s="4"/>
      <c r="M100" s="4"/>
      <c r="O100" s="4"/>
      <c r="R100" s="3"/>
      <c r="S100" s="3"/>
      <c r="T100" s="3"/>
      <c r="U100" s="3"/>
      <c r="V100" s="3"/>
      <c r="W100" s="3"/>
      <c r="AC100" s="29"/>
      <c r="AD100" s="4"/>
      <c r="AF100" s="29"/>
      <c r="AG100" s="3"/>
    </row>
    <row r="101" spans="3:33" s="23" customFormat="1" x14ac:dyDescent="0.35">
      <c r="C101" s="29"/>
      <c r="H101" s="4"/>
      <c r="M101" s="4"/>
      <c r="O101" s="4"/>
      <c r="R101" s="3"/>
      <c r="S101" s="3"/>
      <c r="T101" s="3"/>
      <c r="U101" s="3"/>
      <c r="V101" s="3"/>
      <c r="W101" s="3"/>
      <c r="AC101" s="29"/>
      <c r="AD101" s="4"/>
      <c r="AF101" s="29"/>
      <c r="AG101" s="3"/>
    </row>
    <row r="102" spans="3:33" s="23" customFormat="1" x14ac:dyDescent="0.35">
      <c r="C102" s="29"/>
      <c r="H102" s="4"/>
      <c r="M102" s="4"/>
      <c r="O102" s="4"/>
      <c r="R102" s="3"/>
      <c r="S102" s="3"/>
      <c r="T102" s="3"/>
      <c r="U102" s="3"/>
      <c r="V102" s="3"/>
      <c r="W102" s="3"/>
      <c r="AC102" s="29"/>
      <c r="AD102" s="4"/>
      <c r="AF102" s="29"/>
      <c r="AG102" s="3"/>
    </row>
    <row r="103" spans="3:33" s="23" customFormat="1" x14ac:dyDescent="0.35">
      <c r="C103" s="29"/>
      <c r="H103" s="4"/>
      <c r="M103" s="4"/>
      <c r="O103" s="4"/>
      <c r="R103" s="3"/>
      <c r="S103" s="3"/>
      <c r="T103" s="3"/>
      <c r="U103" s="3"/>
      <c r="V103" s="3"/>
      <c r="W103" s="3"/>
      <c r="AC103" s="29"/>
      <c r="AD103" s="4"/>
      <c r="AF103" s="29"/>
      <c r="AG103" s="3"/>
    </row>
    <row r="104" spans="3:33" s="23" customFormat="1" x14ac:dyDescent="0.35">
      <c r="C104" s="29"/>
      <c r="H104" s="4"/>
      <c r="M104" s="4"/>
      <c r="O104" s="4"/>
      <c r="R104" s="3"/>
      <c r="S104" s="3"/>
      <c r="T104" s="3"/>
      <c r="U104" s="3"/>
      <c r="V104" s="3"/>
      <c r="W104" s="3"/>
      <c r="AC104" s="29"/>
      <c r="AD104" s="4"/>
      <c r="AF104" s="29"/>
      <c r="AG104" s="3"/>
    </row>
    <row r="105" spans="3:33" s="23" customFormat="1" x14ac:dyDescent="0.35">
      <c r="C105" s="29"/>
      <c r="H105" s="4"/>
      <c r="M105" s="4"/>
      <c r="O105" s="4"/>
      <c r="R105" s="3"/>
      <c r="S105" s="3"/>
      <c r="T105" s="3"/>
      <c r="U105" s="3"/>
      <c r="V105" s="3"/>
      <c r="W105" s="3"/>
      <c r="AC105" s="29"/>
      <c r="AD105" s="4"/>
      <c r="AF105" s="29"/>
      <c r="AG105" s="3"/>
    </row>
    <row r="106" spans="3:33" s="23" customFormat="1" x14ac:dyDescent="0.35">
      <c r="C106" s="29"/>
      <c r="H106" s="4"/>
      <c r="M106" s="4"/>
      <c r="O106" s="4"/>
      <c r="R106" s="3"/>
      <c r="S106" s="3"/>
      <c r="T106" s="3"/>
      <c r="U106" s="3"/>
      <c r="V106" s="3"/>
      <c r="W106" s="3"/>
      <c r="AC106" s="29"/>
      <c r="AD106" s="4"/>
      <c r="AF106" s="29"/>
      <c r="AG106" s="3"/>
    </row>
    <row r="107" spans="3:33" s="23" customFormat="1" x14ac:dyDescent="0.35">
      <c r="C107" s="29"/>
      <c r="H107" s="4"/>
      <c r="M107" s="4"/>
      <c r="O107" s="4"/>
      <c r="R107" s="3"/>
      <c r="S107" s="3"/>
      <c r="T107" s="3"/>
      <c r="U107" s="3"/>
      <c r="V107" s="3"/>
      <c r="W107" s="3"/>
      <c r="AC107" s="29"/>
      <c r="AD107" s="4"/>
      <c r="AF107" s="29"/>
      <c r="AG107" s="3"/>
    </row>
    <row r="108" spans="3:33" s="23" customFormat="1" x14ac:dyDescent="0.35">
      <c r="C108" s="29"/>
      <c r="H108" s="4"/>
      <c r="M108" s="4"/>
      <c r="O108" s="4"/>
      <c r="R108" s="3"/>
      <c r="S108" s="3"/>
      <c r="T108" s="3"/>
      <c r="U108" s="3"/>
      <c r="V108" s="3"/>
      <c r="W108" s="3"/>
      <c r="AC108" s="29"/>
      <c r="AD108" s="4"/>
      <c r="AF108" s="29"/>
      <c r="AG108" s="3"/>
    </row>
    <row r="109" spans="3:33" s="23" customFormat="1" x14ac:dyDescent="0.35">
      <c r="C109" s="29"/>
      <c r="H109" s="4"/>
      <c r="M109" s="4"/>
      <c r="O109" s="4"/>
      <c r="R109" s="3"/>
      <c r="S109" s="3"/>
      <c r="T109" s="3"/>
      <c r="U109" s="3"/>
      <c r="V109" s="3"/>
      <c r="W109" s="3"/>
      <c r="AC109" s="29"/>
      <c r="AD109" s="4"/>
      <c r="AF109" s="29"/>
      <c r="AG109" s="3"/>
    </row>
    <row r="110" spans="3:33" s="23" customFormat="1" x14ac:dyDescent="0.35">
      <c r="C110" s="29"/>
      <c r="H110" s="4"/>
      <c r="M110" s="4"/>
      <c r="O110" s="4"/>
      <c r="R110" s="3"/>
      <c r="S110" s="3"/>
      <c r="T110" s="3"/>
      <c r="U110" s="3"/>
      <c r="V110" s="3"/>
      <c r="W110" s="3"/>
      <c r="AC110" s="29"/>
      <c r="AD110" s="4"/>
      <c r="AF110" s="29"/>
      <c r="AG110" s="3"/>
    </row>
    <row r="111" spans="3:33" s="23" customFormat="1" x14ac:dyDescent="0.35">
      <c r="C111" s="29"/>
      <c r="H111" s="4"/>
      <c r="M111" s="4"/>
      <c r="O111" s="4"/>
      <c r="R111" s="3"/>
      <c r="S111" s="3"/>
      <c r="T111" s="3"/>
      <c r="U111" s="3"/>
      <c r="V111" s="3"/>
      <c r="W111" s="3"/>
      <c r="AC111" s="29"/>
      <c r="AD111" s="4"/>
      <c r="AF111" s="29"/>
      <c r="AG111" s="3"/>
    </row>
    <row r="112" spans="3:33" s="23" customFormat="1" x14ac:dyDescent="0.35">
      <c r="C112" s="29"/>
      <c r="H112" s="4"/>
      <c r="M112" s="4"/>
      <c r="O112" s="4"/>
      <c r="R112" s="3"/>
      <c r="S112" s="3"/>
      <c r="T112" s="3"/>
      <c r="U112" s="3"/>
      <c r="V112" s="3"/>
      <c r="W112" s="3"/>
      <c r="AC112" s="29"/>
      <c r="AD112" s="4"/>
      <c r="AF112" s="29"/>
      <c r="AG112" s="3"/>
    </row>
    <row r="113" spans="3:33" s="23" customFormat="1" x14ac:dyDescent="0.35">
      <c r="C113" s="29"/>
      <c r="H113" s="4"/>
      <c r="M113" s="4"/>
      <c r="O113" s="4"/>
      <c r="R113" s="3"/>
      <c r="S113" s="3"/>
      <c r="T113" s="3"/>
      <c r="U113" s="3"/>
      <c r="V113" s="3"/>
      <c r="W113" s="3"/>
      <c r="AC113" s="29"/>
      <c r="AD113" s="4"/>
      <c r="AF113" s="29"/>
      <c r="AG113" s="3"/>
    </row>
    <row r="114" spans="3:33" s="23" customFormat="1" x14ac:dyDescent="0.35">
      <c r="C114" s="29"/>
      <c r="H114" s="4"/>
      <c r="M114" s="4"/>
      <c r="O114" s="4"/>
      <c r="R114" s="3"/>
      <c r="S114" s="3"/>
      <c r="T114" s="3"/>
      <c r="U114" s="3"/>
      <c r="V114" s="3"/>
      <c r="W114" s="3"/>
      <c r="AC114" s="29"/>
      <c r="AD114" s="4"/>
      <c r="AF114" s="29"/>
      <c r="AG114" s="3"/>
    </row>
    <row r="115" spans="3:33" s="23" customFormat="1" x14ac:dyDescent="0.35">
      <c r="C115" s="29"/>
      <c r="H115" s="4"/>
      <c r="M115" s="4"/>
      <c r="O115" s="4"/>
      <c r="R115" s="3"/>
      <c r="S115" s="3"/>
      <c r="T115" s="3"/>
      <c r="U115" s="3"/>
      <c r="V115" s="3"/>
      <c r="W115" s="3"/>
      <c r="AC115" s="29"/>
      <c r="AD115" s="4"/>
      <c r="AF115" s="29"/>
      <c r="AG115" s="3"/>
    </row>
    <row r="116" spans="3:33" s="23" customFormat="1" x14ac:dyDescent="0.35">
      <c r="C116" s="29"/>
      <c r="H116" s="4"/>
      <c r="M116" s="4"/>
      <c r="O116" s="4"/>
      <c r="R116" s="3"/>
      <c r="S116" s="3"/>
      <c r="T116" s="3"/>
      <c r="U116" s="3"/>
      <c r="V116" s="3"/>
      <c r="W116" s="3"/>
      <c r="AC116" s="29"/>
      <c r="AD116" s="4"/>
      <c r="AF116" s="29"/>
      <c r="AG116" s="3"/>
    </row>
    <row r="117" spans="3:33" s="23" customFormat="1" x14ac:dyDescent="0.35">
      <c r="C117" s="29"/>
      <c r="H117" s="4"/>
      <c r="M117" s="4"/>
      <c r="O117" s="4"/>
      <c r="R117" s="3"/>
      <c r="S117" s="3"/>
      <c r="T117" s="3"/>
      <c r="U117" s="3"/>
      <c r="V117" s="3"/>
      <c r="W117" s="3"/>
      <c r="AC117" s="29"/>
      <c r="AD117" s="4"/>
      <c r="AF117" s="29"/>
      <c r="AG117" s="3"/>
    </row>
    <row r="118" spans="3:33" s="23" customFormat="1" x14ac:dyDescent="0.35">
      <c r="C118" s="29"/>
      <c r="H118" s="4"/>
      <c r="M118" s="4"/>
      <c r="O118" s="4"/>
      <c r="R118" s="3"/>
      <c r="S118" s="3"/>
      <c r="T118" s="3"/>
      <c r="U118" s="3"/>
      <c r="V118" s="3"/>
      <c r="W118" s="3"/>
      <c r="AC118" s="29"/>
      <c r="AD118" s="4"/>
      <c r="AF118" s="29"/>
      <c r="AG118" s="3"/>
    </row>
    <row r="119" spans="3:33" s="23" customFormat="1" x14ac:dyDescent="0.35">
      <c r="C119" s="29"/>
      <c r="K119" s="52"/>
      <c r="L119" s="4"/>
      <c r="M119" s="4"/>
      <c r="N119" s="4"/>
      <c r="O119" s="4"/>
      <c r="R119" s="3"/>
      <c r="S119" s="3"/>
      <c r="T119" s="3"/>
      <c r="U119" s="3"/>
      <c r="V119" s="3"/>
      <c r="W119" s="3"/>
      <c r="Y119" s="4"/>
      <c r="Z119" s="4"/>
      <c r="AA119" s="4"/>
      <c r="AB119" s="4"/>
      <c r="AD119" s="4"/>
      <c r="AF119" s="29"/>
      <c r="AG119" s="3"/>
    </row>
    <row r="120" spans="3:33" s="23" customFormat="1" x14ac:dyDescent="0.35">
      <c r="C120" s="29"/>
      <c r="H120" s="4"/>
      <c r="M120" s="4"/>
      <c r="O120" s="4"/>
      <c r="R120" s="3"/>
      <c r="S120" s="3"/>
      <c r="T120" s="3"/>
      <c r="U120" s="3"/>
      <c r="V120" s="3"/>
      <c r="W120" s="3"/>
      <c r="AC120" s="29"/>
      <c r="AD120" s="4"/>
      <c r="AF120" s="29"/>
      <c r="AG120" s="3"/>
    </row>
    <row r="121" spans="3:33" s="23" customFormat="1" x14ac:dyDescent="0.35">
      <c r="C121" s="29"/>
      <c r="H121" s="4"/>
      <c r="M121" s="4"/>
      <c r="O121" s="4"/>
      <c r="R121" s="3"/>
      <c r="S121" s="3"/>
      <c r="T121" s="3"/>
      <c r="U121" s="3"/>
      <c r="V121" s="3"/>
      <c r="W121" s="3"/>
      <c r="AC121" s="29"/>
      <c r="AD121" s="4"/>
      <c r="AF121" s="29"/>
      <c r="AG121" s="3"/>
    </row>
    <row r="122" spans="3:33" s="23" customFormat="1" x14ac:dyDescent="0.35">
      <c r="C122" s="29"/>
      <c r="H122" s="4"/>
      <c r="M122" s="4"/>
      <c r="O122" s="4"/>
      <c r="R122" s="3"/>
      <c r="S122" s="3"/>
      <c r="T122" s="3"/>
      <c r="U122" s="3"/>
      <c r="V122" s="3"/>
      <c r="W122" s="3"/>
      <c r="AC122" s="29"/>
      <c r="AD122" s="4"/>
      <c r="AF122" s="29"/>
      <c r="AG122" s="3"/>
    </row>
    <row r="123" spans="3:33" s="23" customFormat="1" x14ac:dyDescent="0.35">
      <c r="C123" s="29"/>
      <c r="AD123" s="4"/>
      <c r="AF123" s="29"/>
      <c r="AG123" s="3"/>
    </row>
    <row r="124" spans="3:33" s="23" customFormat="1" x14ac:dyDescent="0.35">
      <c r="C124" s="29"/>
      <c r="H124" s="4"/>
      <c r="M124" s="4"/>
      <c r="O124" s="4"/>
      <c r="R124" s="3"/>
      <c r="S124" s="3"/>
      <c r="T124" s="3"/>
      <c r="U124" s="3"/>
      <c r="V124" s="3"/>
      <c r="W124" s="3"/>
      <c r="AC124" s="29"/>
      <c r="AD124" s="4"/>
      <c r="AF124" s="29"/>
      <c r="AG124" s="3"/>
    </row>
    <row r="125" spans="3:33" s="23" customFormat="1" x14ac:dyDescent="0.35">
      <c r="C125" s="29"/>
      <c r="H125" s="4"/>
      <c r="M125" s="4"/>
      <c r="O125" s="4"/>
      <c r="R125" s="3"/>
      <c r="S125" s="3"/>
      <c r="T125" s="3"/>
      <c r="U125" s="3"/>
      <c r="V125" s="3"/>
      <c r="W125" s="3"/>
      <c r="AC125" s="29"/>
      <c r="AD125" s="4"/>
      <c r="AF125" s="29"/>
      <c r="AG125" s="3"/>
    </row>
    <row r="126" spans="3:33" s="23" customFormat="1" x14ac:dyDescent="0.35">
      <c r="C126" s="29"/>
      <c r="H126" s="4"/>
      <c r="M126" s="4"/>
      <c r="O126" s="4"/>
      <c r="R126" s="3"/>
      <c r="S126" s="3"/>
      <c r="T126" s="3"/>
      <c r="U126" s="3"/>
      <c r="V126" s="3"/>
      <c r="W126" s="3"/>
      <c r="AC126" s="29"/>
      <c r="AD126" s="4"/>
      <c r="AF126" s="29"/>
      <c r="AG126" s="3"/>
    </row>
    <row r="127" spans="3:33" s="23" customFormat="1" x14ac:dyDescent="0.35">
      <c r="C127" s="29"/>
      <c r="H127" s="4"/>
      <c r="M127" s="4"/>
      <c r="O127" s="4"/>
      <c r="R127" s="3"/>
      <c r="S127" s="3"/>
      <c r="T127" s="3"/>
      <c r="U127" s="3"/>
      <c r="V127" s="3"/>
      <c r="W127" s="3"/>
      <c r="AC127" s="29"/>
      <c r="AD127" s="4"/>
      <c r="AF127" s="29"/>
      <c r="AG127" s="3"/>
    </row>
    <row r="128" spans="3:33" s="23" customFormat="1" x14ac:dyDescent="0.35">
      <c r="C128" s="29"/>
      <c r="H128" s="4"/>
      <c r="M128" s="4"/>
      <c r="O128" s="4"/>
      <c r="R128" s="3"/>
      <c r="S128" s="3"/>
      <c r="T128" s="3"/>
      <c r="U128" s="3"/>
      <c r="V128" s="3"/>
      <c r="W128" s="3"/>
      <c r="AC128" s="29"/>
      <c r="AD128" s="4"/>
      <c r="AF128" s="29"/>
      <c r="AG128" s="3"/>
    </row>
    <row r="129" spans="3:33" s="23" customFormat="1" x14ac:dyDescent="0.35">
      <c r="C129" s="29"/>
      <c r="H129" s="4"/>
      <c r="M129" s="4"/>
      <c r="O129" s="4"/>
      <c r="R129" s="3"/>
      <c r="S129" s="3"/>
      <c r="T129" s="3"/>
      <c r="U129" s="3"/>
      <c r="V129" s="3"/>
      <c r="W129" s="3"/>
      <c r="AC129" s="29"/>
      <c r="AD129" s="4"/>
      <c r="AF129" s="29"/>
      <c r="AG129" s="3"/>
    </row>
    <row r="130" spans="3:33" s="23" customFormat="1" x14ac:dyDescent="0.35">
      <c r="C130" s="29"/>
      <c r="H130" s="4"/>
      <c r="M130" s="4"/>
      <c r="O130" s="4"/>
      <c r="R130" s="3"/>
      <c r="S130" s="3"/>
      <c r="T130" s="3"/>
      <c r="U130" s="3"/>
      <c r="V130" s="3"/>
      <c r="W130" s="3"/>
      <c r="AC130" s="29"/>
      <c r="AD130" s="4"/>
      <c r="AF130" s="29"/>
      <c r="AG130" s="3"/>
    </row>
    <row r="131" spans="3:33" s="23" customFormat="1" x14ac:dyDescent="0.35">
      <c r="C131" s="29"/>
      <c r="H131" s="4"/>
      <c r="M131" s="4"/>
      <c r="O131" s="4"/>
      <c r="R131" s="3"/>
      <c r="S131" s="3"/>
      <c r="T131" s="3"/>
      <c r="U131" s="3"/>
      <c r="V131" s="3"/>
      <c r="W131" s="3"/>
      <c r="AC131" s="29"/>
      <c r="AD131" s="4"/>
      <c r="AF131" s="29"/>
      <c r="AG131" s="3"/>
    </row>
    <row r="132" spans="3:33" s="23" customFormat="1" x14ac:dyDescent="0.35">
      <c r="C132" s="29"/>
      <c r="H132" s="4"/>
      <c r="M132" s="4"/>
      <c r="O132" s="4"/>
      <c r="R132" s="3"/>
      <c r="S132" s="3"/>
      <c r="T132" s="3"/>
      <c r="U132" s="3"/>
      <c r="V132" s="3"/>
      <c r="W132" s="3"/>
      <c r="AC132" s="29"/>
      <c r="AD132" s="4"/>
      <c r="AF132" s="29"/>
      <c r="AG132" s="3"/>
    </row>
    <row r="133" spans="3:33" s="23" customFormat="1" x14ac:dyDescent="0.35">
      <c r="C133" s="29"/>
      <c r="H133" s="4"/>
      <c r="M133" s="4"/>
      <c r="O133" s="4"/>
      <c r="R133" s="3"/>
      <c r="S133" s="3"/>
      <c r="T133" s="3"/>
      <c r="U133" s="3"/>
      <c r="V133" s="3"/>
      <c r="W133" s="3"/>
      <c r="AC133" s="29"/>
      <c r="AD133" s="4"/>
      <c r="AF133" s="29"/>
      <c r="AG133" s="3"/>
    </row>
    <row r="134" spans="3:33" s="23" customFormat="1" x14ac:dyDescent="0.35">
      <c r="C134" s="29"/>
      <c r="H134" s="4"/>
      <c r="M134" s="4"/>
      <c r="O134" s="4"/>
      <c r="R134" s="3"/>
      <c r="S134" s="3"/>
      <c r="T134" s="3"/>
      <c r="U134" s="3"/>
      <c r="V134" s="3"/>
      <c r="W134" s="3"/>
      <c r="AC134" s="29"/>
      <c r="AD134" s="4"/>
      <c r="AF134" s="29"/>
      <c r="AG134" s="3"/>
    </row>
    <row r="135" spans="3:33" s="23" customFormat="1" x14ac:dyDescent="0.35">
      <c r="C135" s="29"/>
      <c r="H135" s="4"/>
      <c r="M135" s="4"/>
      <c r="O135" s="4"/>
      <c r="R135" s="3"/>
      <c r="S135" s="3"/>
      <c r="T135" s="3"/>
      <c r="U135" s="3"/>
      <c r="V135" s="3"/>
      <c r="W135" s="3"/>
      <c r="AC135" s="29"/>
      <c r="AD135" s="4"/>
      <c r="AF135" s="29"/>
      <c r="AG135" s="3"/>
    </row>
    <row r="136" spans="3:33" s="23" customFormat="1" x14ac:dyDescent="0.35">
      <c r="C136" s="29"/>
      <c r="H136" s="4"/>
      <c r="M136" s="4"/>
      <c r="O136" s="4"/>
      <c r="R136" s="3"/>
      <c r="S136" s="3"/>
      <c r="T136" s="3"/>
      <c r="U136" s="3"/>
      <c r="V136" s="3"/>
      <c r="W136" s="3"/>
      <c r="AC136" s="29"/>
      <c r="AD136" s="4"/>
      <c r="AF136" s="29"/>
      <c r="AG136" s="3"/>
    </row>
    <row r="137" spans="3:33" s="23" customFormat="1" x14ac:dyDescent="0.35">
      <c r="C137" s="29"/>
      <c r="H137" s="4"/>
      <c r="M137" s="4"/>
      <c r="O137" s="4"/>
      <c r="R137" s="3"/>
      <c r="S137" s="3"/>
      <c r="T137" s="3"/>
      <c r="U137" s="3"/>
      <c r="V137" s="3"/>
      <c r="W137" s="3"/>
      <c r="AC137" s="29"/>
      <c r="AD137" s="4"/>
      <c r="AF137" s="29"/>
      <c r="AG137" s="3"/>
    </row>
    <row r="138" spans="3:33" s="23" customFormat="1" x14ac:dyDescent="0.35">
      <c r="C138" s="29"/>
      <c r="H138" s="4"/>
      <c r="M138" s="4"/>
      <c r="O138" s="4"/>
      <c r="R138" s="3"/>
      <c r="S138" s="3"/>
      <c r="T138" s="3"/>
      <c r="U138" s="3"/>
      <c r="V138" s="3"/>
      <c r="W138" s="3"/>
      <c r="AC138" s="29"/>
      <c r="AD138" s="4"/>
      <c r="AF138" s="29"/>
      <c r="AG138" s="3"/>
    </row>
    <row r="139" spans="3:33" s="23" customFormat="1" x14ac:dyDescent="0.35">
      <c r="C139" s="29"/>
      <c r="H139" s="4"/>
      <c r="M139" s="4"/>
      <c r="O139" s="4"/>
      <c r="R139" s="3"/>
      <c r="S139" s="3"/>
      <c r="T139" s="3"/>
      <c r="U139" s="3"/>
      <c r="V139" s="3"/>
      <c r="W139" s="3"/>
      <c r="AC139" s="29"/>
      <c r="AD139" s="4"/>
      <c r="AF139" s="29"/>
      <c r="AG139" s="3"/>
    </row>
    <row r="140" spans="3:33" s="23" customFormat="1" x14ac:dyDescent="0.35">
      <c r="C140" s="29"/>
      <c r="H140" s="4"/>
      <c r="M140" s="4"/>
      <c r="O140" s="4"/>
      <c r="R140" s="3"/>
      <c r="S140" s="3"/>
      <c r="T140" s="3"/>
      <c r="U140" s="3"/>
      <c r="V140" s="3"/>
      <c r="W140" s="3"/>
      <c r="AC140" s="29"/>
      <c r="AD140" s="4"/>
      <c r="AF140" s="29"/>
      <c r="AG140" s="3"/>
    </row>
    <row r="141" spans="3:33" s="23" customFormat="1" x14ac:dyDescent="0.35">
      <c r="C141" s="29"/>
      <c r="H141" s="4"/>
      <c r="M141" s="4"/>
      <c r="O141" s="4"/>
      <c r="R141" s="3"/>
      <c r="S141" s="3"/>
      <c r="T141" s="3"/>
      <c r="U141" s="3"/>
      <c r="V141" s="3"/>
      <c r="W141" s="3"/>
      <c r="AC141" s="29"/>
      <c r="AD141" s="4"/>
      <c r="AF141" s="29"/>
      <c r="AG141" s="3"/>
    </row>
    <row r="142" spans="3:33" s="23" customFormat="1" ht="14.25" customHeight="1" x14ac:dyDescent="0.35">
      <c r="C142" s="29"/>
      <c r="K142" s="52"/>
      <c r="M142" s="4"/>
      <c r="O142" s="4"/>
      <c r="R142" s="3"/>
      <c r="S142" s="3"/>
      <c r="T142" s="3"/>
      <c r="U142" s="3"/>
      <c r="V142" s="3"/>
      <c r="W142" s="3"/>
      <c r="AD142" s="4"/>
      <c r="AF142" s="4"/>
      <c r="AG142" s="3"/>
    </row>
    <row r="143" spans="3:33" s="23" customFormat="1" x14ac:dyDescent="0.35">
      <c r="C143" s="29"/>
      <c r="H143" s="4"/>
      <c r="M143" s="4"/>
      <c r="O143" s="4"/>
      <c r="R143" s="3"/>
      <c r="S143" s="3"/>
      <c r="T143" s="3"/>
      <c r="U143" s="3"/>
      <c r="V143" s="3"/>
      <c r="W143" s="3"/>
      <c r="AC143" s="29"/>
      <c r="AD143" s="4"/>
      <c r="AF143" s="29"/>
      <c r="AG143" s="3"/>
    </row>
    <row r="144" spans="3:33" s="23" customFormat="1" x14ac:dyDescent="0.35">
      <c r="C144" s="29"/>
      <c r="H144" s="4"/>
      <c r="M144" s="4"/>
      <c r="O144" s="4"/>
      <c r="R144" s="3"/>
      <c r="S144" s="3"/>
      <c r="T144" s="3"/>
      <c r="U144" s="3"/>
      <c r="V144" s="3"/>
      <c r="W144" s="3"/>
      <c r="AC144" s="29"/>
      <c r="AD144" s="4"/>
      <c r="AF144" s="29"/>
      <c r="AG144" s="3"/>
    </row>
    <row r="145" spans="3:33" s="23" customFormat="1" x14ac:dyDescent="0.35">
      <c r="C145" s="29"/>
      <c r="H145" s="4"/>
      <c r="M145" s="4"/>
      <c r="O145" s="4"/>
      <c r="R145" s="3"/>
      <c r="S145" s="3"/>
      <c r="T145" s="3"/>
      <c r="U145" s="3"/>
      <c r="V145" s="3"/>
      <c r="W145" s="3"/>
      <c r="AC145" s="29"/>
      <c r="AD145" s="4"/>
      <c r="AF145" s="29"/>
      <c r="AG145" s="3"/>
    </row>
    <row r="146" spans="3:33" s="23" customFormat="1" x14ac:dyDescent="0.35">
      <c r="C146" s="29"/>
      <c r="H146" s="4"/>
      <c r="M146" s="4"/>
      <c r="O146" s="4"/>
      <c r="R146" s="3"/>
      <c r="S146" s="3"/>
      <c r="T146" s="3"/>
      <c r="U146" s="3"/>
      <c r="V146" s="3"/>
      <c r="W146" s="3"/>
      <c r="AC146" s="29"/>
      <c r="AD146" s="4"/>
      <c r="AF146" s="29"/>
      <c r="AG146" s="3"/>
    </row>
    <row r="147" spans="3:33" s="23" customFormat="1" x14ac:dyDescent="0.35">
      <c r="C147" s="29"/>
      <c r="H147" s="4"/>
      <c r="M147" s="4"/>
      <c r="O147" s="4"/>
      <c r="R147" s="3"/>
      <c r="S147" s="3"/>
      <c r="T147" s="3"/>
      <c r="U147" s="3"/>
      <c r="V147" s="3"/>
      <c r="W147" s="3"/>
      <c r="AC147" s="29"/>
      <c r="AD147" s="4"/>
      <c r="AF147" s="29"/>
      <c r="AG147" s="3"/>
    </row>
    <row r="148" spans="3:33" s="59" customFormat="1" ht="14.25" customHeight="1" x14ac:dyDescent="0.35">
      <c r="C148" s="60"/>
      <c r="M148" s="61"/>
      <c r="O148" s="61"/>
      <c r="R148" s="62"/>
      <c r="S148" s="62"/>
      <c r="T148" s="62"/>
      <c r="U148" s="62"/>
      <c r="V148" s="62"/>
      <c r="W148" s="62"/>
      <c r="AD148" s="61"/>
      <c r="AF148" s="4"/>
      <c r="AG148" s="3"/>
    </row>
    <row r="149" spans="3:33" s="23" customFormat="1" x14ac:dyDescent="0.35">
      <c r="C149" s="29"/>
      <c r="H149" s="4"/>
      <c r="M149" s="4"/>
      <c r="O149" s="4"/>
      <c r="R149" s="3"/>
      <c r="S149" s="3"/>
      <c r="T149" s="3"/>
      <c r="U149" s="3"/>
      <c r="V149" s="3"/>
      <c r="W149" s="3"/>
      <c r="AC149" s="29"/>
      <c r="AD149" s="4"/>
      <c r="AF149" s="29"/>
      <c r="AG149" s="3"/>
    </row>
    <row r="150" spans="3:33" s="23" customFormat="1" x14ac:dyDescent="0.35">
      <c r="C150" s="29"/>
      <c r="H150" s="4"/>
      <c r="M150" s="4"/>
      <c r="O150" s="4"/>
      <c r="R150" s="3"/>
      <c r="S150" s="3"/>
      <c r="T150" s="3"/>
      <c r="U150" s="3"/>
      <c r="V150" s="3"/>
      <c r="W150" s="3"/>
      <c r="AC150" s="29"/>
      <c r="AD150" s="4"/>
      <c r="AF150" s="29"/>
      <c r="AG150" s="3"/>
    </row>
    <row r="151" spans="3:33" s="23" customFormat="1" x14ac:dyDescent="0.35">
      <c r="C151" s="29"/>
      <c r="H151" s="4"/>
      <c r="M151" s="4"/>
      <c r="O151" s="4"/>
      <c r="R151" s="3"/>
      <c r="S151" s="3"/>
      <c r="T151" s="3"/>
      <c r="U151" s="3"/>
      <c r="V151" s="3"/>
      <c r="W151" s="3"/>
      <c r="AC151" s="29"/>
      <c r="AD151" s="4"/>
      <c r="AF151" s="29"/>
      <c r="AG151" s="3"/>
    </row>
    <row r="152" spans="3:33" s="23" customFormat="1" x14ac:dyDescent="0.35">
      <c r="C152" s="29"/>
      <c r="H152" s="4"/>
      <c r="M152" s="4"/>
      <c r="O152" s="4"/>
      <c r="R152" s="3"/>
      <c r="S152" s="3"/>
      <c r="T152" s="3"/>
      <c r="U152" s="3"/>
      <c r="V152" s="3"/>
      <c r="W152" s="3"/>
      <c r="AC152" s="29"/>
      <c r="AD152" s="4"/>
      <c r="AF152" s="29"/>
      <c r="AG152" s="3"/>
    </row>
    <row r="153" spans="3:33" s="23" customFormat="1" x14ac:dyDescent="0.35">
      <c r="C153" s="29"/>
      <c r="H153" s="4"/>
      <c r="M153" s="4"/>
      <c r="O153" s="4"/>
      <c r="R153" s="3"/>
      <c r="S153" s="3"/>
      <c r="T153" s="3"/>
      <c r="U153" s="3"/>
      <c r="V153" s="3"/>
      <c r="W153" s="3"/>
      <c r="AC153" s="29"/>
      <c r="AD153" s="4"/>
      <c r="AF153" s="29"/>
      <c r="AG153" s="3"/>
    </row>
    <row r="154" spans="3:33" s="23" customFormat="1" x14ac:dyDescent="0.35">
      <c r="C154" s="29"/>
      <c r="H154" s="4"/>
      <c r="M154" s="4"/>
      <c r="O154" s="4"/>
      <c r="R154" s="3"/>
      <c r="S154" s="3"/>
      <c r="T154" s="3"/>
      <c r="U154" s="3"/>
      <c r="V154" s="3"/>
      <c r="W154" s="3"/>
      <c r="AC154" s="29"/>
      <c r="AD154" s="4"/>
      <c r="AF154" s="29"/>
      <c r="AG154" s="3"/>
    </row>
    <row r="155" spans="3:33" s="23" customFormat="1" x14ac:dyDescent="0.35">
      <c r="C155" s="29"/>
      <c r="H155" s="4"/>
      <c r="M155" s="4"/>
      <c r="O155" s="4"/>
      <c r="R155" s="3"/>
      <c r="S155" s="3"/>
      <c r="T155" s="3"/>
      <c r="U155" s="3"/>
      <c r="V155" s="3"/>
      <c r="W155" s="3"/>
      <c r="AC155" s="29"/>
      <c r="AD155" s="4"/>
      <c r="AF155" s="29"/>
      <c r="AG155" s="3"/>
    </row>
    <row r="156" spans="3:33" s="23" customFormat="1" x14ac:dyDescent="0.35">
      <c r="C156" s="29"/>
      <c r="H156" s="4"/>
      <c r="M156" s="4"/>
      <c r="O156" s="4"/>
      <c r="R156" s="3"/>
      <c r="S156" s="3"/>
      <c r="T156" s="3"/>
      <c r="U156" s="3"/>
      <c r="V156" s="3"/>
      <c r="W156" s="3"/>
      <c r="AC156" s="29"/>
      <c r="AD156" s="4"/>
      <c r="AF156" s="29"/>
      <c r="AG156" s="3"/>
    </row>
    <row r="157" spans="3:33" s="23" customFormat="1" x14ac:dyDescent="0.35">
      <c r="C157" s="29"/>
      <c r="H157" s="4"/>
      <c r="M157" s="4"/>
      <c r="O157" s="4"/>
      <c r="R157" s="3"/>
      <c r="S157" s="3"/>
      <c r="T157" s="3"/>
      <c r="U157" s="3"/>
      <c r="V157" s="3"/>
      <c r="W157" s="3"/>
      <c r="AC157" s="29"/>
      <c r="AD157" s="4"/>
      <c r="AF157" s="29"/>
      <c r="AG157" s="3"/>
    </row>
    <row r="158" spans="3:33" s="23" customFormat="1" x14ac:dyDescent="0.35">
      <c r="C158" s="29"/>
      <c r="H158" s="4"/>
      <c r="M158" s="4"/>
      <c r="O158" s="4"/>
      <c r="R158" s="3"/>
      <c r="S158" s="3"/>
      <c r="T158" s="3"/>
      <c r="U158" s="3"/>
      <c r="V158" s="3"/>
      <c r="W158" s="3"/>
      <c r="AC158" s="29"/>
      <c r="AD158" s="4"/>
      <c r="AF158" s="29"/>
      <c r="AG158" s="3"/>
    </row>
    <row r="159" spans="3:33" s="23" customFormat="1" x14ac:dyDescent="0.35">
      <c r="C159" s="29"/>
      <c r="H159" s="4"/>
      <c r="M159" s="4"/>
      <c r="O159" s="4"/>
      <c r="R159" s="3"/>
      <c r="S159" s="3"/>
      <c r="T159" s="3"/>
      <c r="U159" s="3"/>
      <c r="V159" s="3"/>
      <c r="W159" s="3"/>
      <c r="AC159" s="29"/>
      <c r="AD159" s="4"/>
      <c r="AF159" s="29"/>
      <c r="AG159" s="3"/>
    </row>
    <row r="160" spans="3:33" s="23" customFormat="1" x14ac:dyDescent="0.35">
      <c r="C160" s="29"/>
      <c r="H160" s="4"/>
      <c r="M160" s="4"/>
      <c r="O160" s="4"/>
      <c r="R160" s="3"/>
      <c r="S160" s="3"/>
      <c r="T160" s="3"/>
      <c r="U160" s="3"/>
      <c r="V160" s="3"/>
      <c r="W160" s="3"/>
      <c r="AC160" s="29"/>
      <c r="AD160" s="4"/>
      <c r="AF160" s="29"/>
      <c r="AG160" s="3"/>
    </row>
    <row r="161" spans="3:33" s="23" customFormat="1" x14ac:dyDescent="0.35">
      <c r="C161" s="29"/>
      <c r="H161" s="4"/>
      <c r="M161" s="4"/>
      <c r="O161" s="4"/>
      <c r="R161" s="3"/>
      <c r="S161" s="3"/>
      <c r="T161" s="3"/>
      <c r="U161" s="3"/>
      <c r="V161" s="3"/>
      <c r="W161" s="3"/>
      <c r="AC161" s="29"/>
      <c r="AD161" s="4"/>
      <c r="AF161" s="29"/>
      <c r="AG161" s="3"/>
    </row>
    <row r="162" spans="3:33" s="23" customFormat="1" x14ac:dyDescent="0.35">
      <c r="C162" s="29"/>
      <c r="H162" s="4"/>
      <c r="M162" s="4"/>
      <c r="O162" s="4"/>
      <c r="R162" s="3"/>
      <c r="S162" s="3"/>
      <c r="T162" s="3"/>
      <c r="U162" s="3"/>
      <c r="V162" s="3"/>
      <c r="W162" s="3"/>
      <c r="AC162" s="29"/>
      <c r="AD162" s="4"/>
      <c r="AF162" s="29"/>
      <c r="AG162" s="3"/>
    </row>
    <row r="163" spans="3:33" s="23" customFormat="1" x14ac:dyDescent="0.35">
      <c r="C163" s="29"/>
      <c r="H163" s="4"/>
      <c r="M163" s="4"/>
      <c r="O163" s="4"/>
      <c r="R163" s="3"/>
      <c r="S163" s="3"/>
      <c r="T163" s="3"/>
      <c r="U163" s="3"/>
      <c r="V163" s="3"/>
      <c r="W163" s="3"/>
      <c r="AC163" s="29"/>
      <c r="AD163" s="4"/>
      <c r="AF163" s="29"/>
      <c r="AG163" s="3"/>
    </row>
    <row r="164" spans="3:33" s="63" customFormat="1" x14ac:dyDescent="0.35">
      <c r="C164" s="64"/>
      <c r="H164" s="65"/>
      <c r="M164" s="65"/>
      <c r="O164" s="65"/>
      <c r="R164" s="66"/>
      <c r="S164" s="66"/>
      <c r="T164" s="66"/>
      <c r="U164" s="66"/>
      <c r="V164" s="66"/>
      <c r="W164" s="66"/>
      <c r="AC164" s="64"/>
      <c r="AD164" s="65"/>
      <c r="AF164" s="64"/>
      <c r="AG164" s="66"/>
    </row>
    <row r="165" spans="3:33" s="23" customFormat="1" x14ac:dyDescent="0.35">
      <c r="C165" s="29"/>
      <c r="H165" s="4"/>
      <c r="M165" s="4"/>
      <c r="O165" s="4"/>
      <c r="R165" s="3"/>
      <c r="S165" s="3"/>
      <c r="T165" s="3"/>
      <c r="U165" s="3"/>
      <c r="V165" s="3"/>
      <c r="W165" s="3"/>
      <c r="AC165" s="29"/>
      <c r="AD165" s="4"/>
      <c r="AF165" s="29"/>
      <c r="AG165" s="3"/>
    </row>
    <row r="166" spans="3:33" s="23" customFormat="1" x14ac:dyDescent="0.35">
      <c r="C166" s="29"/>
      <c r="H166" s="4"/>
      <c r="M166" s="4"/>
      <c r="O166" s="4"/>
      <c r="R166" s="3"/>
      <c r="S166" s="3"/>
      <c r="T166" s="3"/>
      <c r="U166" s="3"/>
      <c r="V166" s="3"/>
      <c r="W166" s="3"/>
      <c r="AC166" s="29"/>
      <c r="AD166" s="4"/>
      <c r="AF166" s="29"/>
      <c r="AG166" s="3"/>
    </row>
    <row r="167" spans="3:33" s="23" customFormat="1" x14ac:dyDescent="0.35"/>
    <row r="168" spans="3:33" s="63" customFormat="1" x14ac:dyDescent="0.35">
      <c r="C168" s="64"/>
      <c r="H168" s="65"/>
      <c r="M168" s="65"/>
      <c r="O168" s="65"/>
      <c r="R168" s="66"/>
      <c r="S168" s="66"/>
      <c r="T168" s="66"/>
      <c r="U168" s="66"/>
      <c r="V168" s="66"/>
      <c r="W168" s="66"/>
      <c r="AC168" s="64"/>
      <c r="AD168" s="65"/>
      <c r="AF168" s="64"/>
      <c r="AG168" s="66"/>
    </row>
    <row r="169" spans="3:33" s="23" customFormat="1" x14ac:dyDescent="0.35">
      <c r="C169" s="29"/>
      <c r="H169" s="4"/>
      <c r="M169" s="4"/>
      <c r="O169" s="4"/>
      <c r="R169" s="3"/>
      <c r="S169" s="3"/>
      <c r="T169" s="3"/>
      <c r="U169" s="3"/>
      <c r="V169" s="3"/>
      <c r="W169" s="3"/>
      <c r="AC169" s="29"/>
      <c r="AD169" s="4"/>
      <c r="AF169" s="29"/>
      <c r="AG169" s="3"/>
    </row>
    <row r="170" spans="3:33" s="23" customFormat="1" x14ac:dyDescent="0.35">
      <c r="C170" s="29"/>
      <c r="H170" s="4"/>
      <c r="M170" s="4"/>
      <c r="O170" s="4"/>
      <c r="R170" s="3"/>
      <c r="S170" s="3"/>
      <c r="T170" s="3"/>
      <c r="U170" s="3"/>
      <c r="V170" s="3"/>
      <c r="W170" s="3"/>
      <c r="AC170" s="29"/>
      <c r="AD170" s="4"/>
      <c r="AF170" s="29"/>
      <c r="AG170" s="3"/>
    </row>
    <row r="171" spans="3:33" s="23" customFormat="1" x14ac:dyDescent="0.35">
      <c r="C171" s="29"/>
      <c r="D171" s="67"/>
      <c r="H171" s="4"/>
      <c r="M171" s="4"/>
      <c r="O171" s="4"/>
      <c r="R171" s="3"/>
      <c r="S171" s="67"/>
      <c r="T171" s="67"/>
      <c r="U171" s="3"/>
      <c r="V171" s="3"/>
      <c r="W171" s="3"/>
      <c r="AC171" s="29"/>
      <c r="AD171" s="4"/>
      <c r="AF171" s="29"/>
      <c r="AG171" s="3"/>
    </row>
    <row r="172" spans="3:33" s="23" customFormat="1" x14ac:dyDescent="0.35">
      <c r="C172" s="29"/>
      <c r="H172" s="4"/>
      <c r="M172" s="4"/>
      <c r="O172" s="4"/>
      <c r="R172" s="3"/>
      <c r="S172" s="3"/>
      <c r="T172" s="3"/>
      <c r="U172" s="3"/>
      <c r="V172" s="3"/>
      <c r="W172" s="3"/>
      <c r="AC172" s="29"/>
      <c r="AD172" s="4"/>
      <c r="AF172" s="29"/>
      <c r="AG172" s="3"/>
    </row>
    <row r="173" spans="3:33" s="23" customFormat="1" x14ac:dyDescent="0.35">
      <c r="C173" s="29"/>
      <c r="H173" s="4"/>
      <c r="M173" s="4"/>
      <c r="O173" s="4"/>
      <c r="R173" s="3"/>
      <c r="S173" s="3"/>
      <c r="T173" s="3"/>
      <c r="U173" s="3"/>
      <c r="V173" s="3"/>
      <c r="W173" s="3"/>
      <c r="AC173" s="29"/>
      <c r="AD173" s="4"/>
      <c r="AF173" s="29"/>
      <c r="AG173" s="3"/>
    </row>
    <row r="174" spans="3:33" s="23" customFormat="1" x14ac:dyDescent="0.35">
      <c r="C174" s="29"/>
      <c r="H174" s="4"/>
      <c r="M174" s="4"/>
      <c r="O174" s="4"/>
      <c r="R174" s="3"/>
      <c r="S174" s="3"/>
      <c r="T174" s="3"/>
      <c r="U174" s="3"/>
      <c r="V174" s="3"/>
      <c r="W174" s="3"/>
      <c r="AC174" s="29"/>
      <c r="AD174" s="4"/>
      <c r="AF174" s="29"/>
      <c r="AG174" s="3"/>
    </row>
    <row r="175" spans="3:33" s="23" customFormat="1" x14ac:dyDescent="0.35">
      <c r="C175" s="29"/>
      <c r="H175" s="4"/>
      <c r="M175" s="4"/>
      <c r="O175" s="4"/>
      <c r="R175" s="3"/>
      <c r="S175" s="3"/>
      <c r="T175" s="3"/>
      <c r="U175" s="3"/>
      <c r="V175" s="3"/>
      <c r="W175" s="3"/>
      <c r="AC175" s="29"/>
      <c r="AD175" s="4"/>
      <c r="AF175" s="29"/>
      <c r="AG175" s="3"/>
    </row>
    <row r="176" spans="3:33" s="23" customFormat="1" x14ac:dyDescent="0.35">
      <c r="C176" s="29"/>
      <c r="H176" s="4"/>
      <c r="M176" s="4"/>
      <c r="O176" s="4"/>
      <c r="R176" s="3"/>
      <c r="S176" s="3"/>
      <c r="T176" s="3"/>
      <c r="U176" s="3"/>
      <c r="V176" s="3"/>
      <c r="W176" s="3"/>
      <c r="AC176" s="29"/>
      <c r="AD176" s="4"/>
      <c r="AF176" s="29"/>
      <c r="AG176" s="3"/>
    </row>
    <row r="177" spans="1:36" s="23" customFormat="1" x14ac:dyDescent="0.35">
      <c r="C177" s="29"/>
      <c r="H177" s="4"/>
      <c r="M177" s="4"/>
      <c r="O177" s="4"/>
      <c r="R177" s="3"/>
      <c r="S177" s="3"/>
      <c r="T177" s="3"/>
      <c r="U177" s="3"/>
      <c r="V177" s="3"/>
      <c r="W177" s="3"/>
      <c r="AC177" s="29"/>
      <c r="AD177" s="4"/>
      <c r="AF177" s="29"/>
      <c r="AG177" s="3"/>
    </row>
    <row r="178" spans="1:36" s="23" customFormat="1" x14ac:dyDescent="0.35">
      <c r="C178" s="29"/>
      <c r="H178" s="4"/>
      <c r="M178" s="4"/>
      <c r="O178" s="4"/>
      <c r="R178" s="3"/>
      <c r="S178" s="3"/>
      <c r="T178" s="3"/>
      <c r="U178" s="3"/>
      <c r="V178" s="3"/>
      <c r="W178" s="3"/>
      <c r="AC178" s="29"/>
      <c r="AD178" s="4"/>
      <c r="AF178" s="4"/>
      <c r="AG178" s="3"/>
    </row>
    <row r="179" spans="1:36" s="63" customFormat="1" x14ac:dyDescent="0.35">
      <c r="C179" s="64"/>
      <c r="H179" s="65"/>
      <c r="M179" s="65"/>
      <c r="O179" s="65"/>
      <c r="R179" s="66"/>
      <c r="S179" s="66"/>
      <c r="T179" s="66"/>
      <c r="U179" s="66"/>
      <c r="V179" s="66"/>
      <c r="W179" s="66"/>
      <c r="AC179" s="64"/>
      <c r="AD179" s="65"/>
      <c r="AF179" s="64"/>
      <c r="AG179" s="66"/>
    </row>
    <row r="180" spans="1:36" s="23" customFormat="1" x14ac:dyDescent="0.35">
      <c r="C180" s="29"/>
      <c r="H180" s="4"/>
      <c r="M180" s="4"/>
      <c r="O180" s="4"/>
      <c r="R180" s="3"/>
      <c r="S180" s="3"/>
      <c r="T180" s="3"/>
      <c r="U180" s="3"/>
      <c r="V180" s="3"/>
      <c r="W180" s="3"/>
      <c r="AC180" s="29"/>
      <c r="AD180" s="4"/>
      <c r="AF180" s="29"/>
      <c r="AG180" s="3"/>
    </row>
    <row r="181" spans="1:36" s="23" customFormat="1" x14ac:dyDescent="0.35">
      <c r="C181" s="29"/>
      <c r="H181" s="4"/>
      <c r="M181" s="4"/>
      <c r="O181" s="4"/>
      <c r="R181" s="3"/>
      <c r="S181" s="3"/>
      <c r="T181" s="3"/>
      <c r="U181" s="3"/>
      <c r="V181" s="3"/>
      <c r="W181" s="3"/>
      <c r="AC181" s="29"/>
      <c r="AD181" s="4"/>
      <c r="AF181" s="29"/>
      <c r="AG181" s="3"/>
    </row>
    <row r="182" spans="1:36" s="23" customFormat="1" x14ac:dyDescent="0.35">
      <c r="C182" s="29"/>
      <c r="H182" s="4"/>
      <c r="M182" s="4"/>
      <c r="O182" s="4"/>
      <c r="R182" s="3"/>
      <c r="S182" s="3"/>
      <c r="T182" s="3"/>
      <c r="U182" s="3"/>
      <c r="V182" s="3"/>
      <c r="W182" s="3"/>
      <c r="AC182" s="29"/>
      <c r="AD182" s="4"/>
    </row>
    <row r="183" spans="1:36" s="23" customFormat="1" x14ac:dyDescent="0.35">
      <c r="C183" s="29"/>
      <c r="H183" s="4"/>
      <c r="M183" s="4"/>
      <c r="O183" s="4"/>
      <c r="R183" s="3"/>
      <c r="S183" s="3"/>
      <c r="T183" s="3"/>
      <c r="U183" s="3"/>
      <c r="V183" s="3"/>
      <c r="W183" s="3"/>
      <c r="AC183" s="29"/>
      <c r="AD183" s="4"/>
    </row>
    <row r="184" spans="1:36" s="63" customFormat="1" x14ac:dyDescent="0.35">
      <c r="C184" s="64"/>
      <c r="H184" s="65"/>
      <c r="M184" s="65"/>
      <c r="O184" s="65"/>
      <c r="R184" s="66"/>
      <c r="S184" s="66"/>
      <c r="T184" s="66"/>
      <c r="U184" s="66"/>
      <c r="V184" s="66"/>
      <c r="W184" s="66"/>
      <c r="AC184" s="64"/>
      <c r="AD184" s="65"/>
      <c r="AF184" s="64"/>
      <c r="AG184" s="66"/>
    </row>
    <row r="185" spans="1:36" s="23" customFormat="1" x14ac:dyDescent="0.35">
      <c r="C185" s="29"/>
      <c r="H185" s="4"/>
      <c r="M185" s="4"/>
      <c r="O185" s="4"/>
      <c r="R185" s="3"/>
      <c r="S185" s="3"/>
      <c r="T185" s="3"/>
      <c r="U185" s="3"/>
      <c r="V185" s="3"/>
      <c r="W185" s="3"/>
      <c r="AC185" s="29"/>
      <c r="AD185" s="4"/>
      <c r="AF185" s="29"/>
      <c r="AG185" s="3"/>
    </row>
    <row r="186" spans="1:36" s="23" customFormat="1" x14ac:dyDescent="0.35">
      <c r="C186" s="29"/>
      <c r="H186" s="4"/>
      <c r="M186" s="4"/>
      <c r="O186" s="4"/>
      <c r="R186" s="3"/>
      <c r="S186" s="3"/>
      <c r="T186" s="3"/>
      <c r="U186" s="3"/>
      <c r="V186" s="3"/>
      <c r="W186" s="3"/>
      <c r="AC186" s="29"/>
      <c r="AD186" s="4"/>
      <c r="AF186" s="29"/>
      <c r="AG186" s="3"/>
    </row>
    <row r="187" spans="1:36" s="23" customFormat="1" x14ac:dyDescent="0.35">
      <c r="C187" s="29"/>
      <c r="H187" s="4"/>
      <c r="M187" s="4"/>
      <c r="O187" s="4"/>
      <c r="R187" s="3"/>
      <c r="S187" s="3"/>
      <c r="T187" s="3"/>
      <c r="U187" s="3"/>
      <c r="V187" s="3"/>
      <c r="W187" s="3"/>
      <c r="AC187" s="29"/>
      <c r="AD187" s="4"/>
      <c r="AF187" s="29"/>
      <c r="AG187" s="3"/>
    </row>
    <row r="188" spans="1:36" s="23" customFormat="1" x14ac:dyDescent="0.35">
      <c r="C188" s="29"/>
      <c r="H188" s="4"/>
      <c r="M188" s="4"/>
      <c r="O188" s="4"/>
      <c r="R188" s="3"/>
      <c r="S188" s="3"/>
      <c r="T188" s="3"/>
      <c r="U188" s="3"/>
      <c r="V188" s="3"/>
      <c r="W188" s="3"/>
      <c r="AC188" s="29"/>
      <c r="AD188" s="4"/>
      <c r="AF188" s="29"/>
      <c r="AG188" s="3"/>
      <c r="AJ188" s="23" t="s">
        <v>4222</v>
      </c>
    </row>
    <row r="189" spans="1:36" s="23" customFormat="1" x14ac:dyDescent="0.35">
      <c r="C189" s="29"/>
      <c r="H189" s="4"/>
      <c r="M189" s="4"/>
      <c r="O189" s="4"/>
      <c r="R189" s="3"/>
      <c r="S189" s="3"/>
      <c r="T189" s="3"/>
      <c r="U189" s="3"/>
      <c r="V189" s="3"/>
      <c r="W189" s="3"/>
      <c r="AC189" s="29"/>
      <c r="AD189" s="4"/>
      <c r="AF189" s="29"/>
      <c r="AG189" s="3"/>
    </row>
    <row r="190" spans="1:36" s="23" customFormat="1" x14ac:dyDescent="0.35">
      <c r="C190" s="29"/>
      <c r="H190" s="4"/>
      <c r="M190" s="4"/>
      <c r="O190" s="4"/>
      <c r="R190" s="3"/>
      <c r="S190" s="3"/>
      <c r="T190" s="3"/>
      <c r="U190" s="3"/>
      <c r="V190" s="3"/>
      <c r="W190" s="3"/>
      <c r="AC190" s="29"/>
      <c r="AD190" s="4"/>
      <c r="AF190" s="29"/>
      <c r="AG190" s="3"/>
    </row>
    <row r="191" spans="1:36" s="23" customFormat="1" x14ac:dyDescent="0.35">
      <c r="A191" s="4"/>
      <c r="C191" s="29"/>
      <c r="M191" s="4"/>
      <c r="O191" s="4"/>
      <c r="R191" s="3"/>
      <c r="S191" s="3"/>
      <c r="T191" s="3"/>
      <c r="U191" s="3"/>
      <c r="V191" s="3"/>
      <c r="W191" s="3"/>
      <c r="AD191" s="4"/>
      <c r="AF191" s="29"/>
      <c r="AG191" s="3"/>
    </row>
    <row r="192" spans="1:36" s="23" customFormat="1" x14ac:dyDescent="0.35">
      <c r="C192" s="29"/>
      <c r="H192" s="4"/>
      <c r="M192" s="4"/>
      <c r="O192" s="4"/>
      <c r="R192" s="3"/>
      <c r="S192" s="3"/>
      <c r="T192" s="3"/>
      <c r="U192" s="3"/>
      <c r="V192" s="3"/>
      <c r="W192" s="3"/>
      <c r="AC192" s="29"/>
      <c r="AD192" s="4"/>
      <c r="AF192" s="29"/>
      <c r="AG192" s="3"/>
    </row>
    <row r="193" spans="1:33" s="23" customFormat="1" x14ac:dyDescent="0.35">
      <c r="C193" s="29"/>
      <c r="H193" s="4"/>
      <c r="M193" s="4"/>
      <c r="O193" s="4"/>
      <c r="R193" s="3"/>
      <c r="S193" s="3"/>
      <c r="T193" s="3"/>
      <c r="U193" s="3"/>
      <c r="V193" s="3"/>
      <c r="W193" s="3"/>
      <c r="AC193" s="29"/>
      <c r="AD193" s="4"/>
      <c r="AF193" s="29"/>
      <c r="AG193" s="3"/>
    </row>
    <row r="194" spans="1:33" s="23" customFormat="1" x14ac:dyDescent="0.35">
      <c r="C194" s="29"/>
      <c r="H194" s="4"/>
      <c r="M194" s="4"/>
      <c r="O194" s="4"/>
      <c r="R194" s="3"/>
      <c r="S194" s="3"/>
      <c r="T194" s="3"/>
      <c r="U194" s="3"/>
      <c r="V194" s="3"/>
      <c r="W194" s="3"/>
      <c r="AC194" s="29"/>
      <c r="AD194" s="4"/>
      <c r="AF194" s="29"/>
      <c r="AG194" s="3"/>
    </row>
    <row r="195" spans="1:33" s="23" customFormat="1" x14ac:dyDescent="0.35">
      <c r="A195" s="4"/>
      <c r="R195" s="29"/>
      <c r="U195" s="3"/>
      <c r="V195" s="3"/>
      <c r="W195" s="3"/>
      <c r="AA195" s="4"/>
      <c r="AB195" s="4"/>
      <c r="AC195" s="29"/>
      <c r="AD195" s="4"/>
      <c r="AE195" s="29"/>
      <c r="AF195" s="4"/>
      <c r="AG195" s="3"/>
    </row>
    <row r="196" spans="1:33" s="23" customFormat="1" x14ac:dyDescent="0.35">
      <c r="C196" s="29"/>
      <c r="H196" s="4"/>
      <c r="M196" s="4"/>
      <c r="O196" s="4"/>
      <c r="R196" s="3"/>
      <c r="S196" s="3"/>
      <c r="T196" s="3"/>
      <c r="U196" s="3"/>
      <c r="V196" s="3"/>
      <c r="W196" s="3"/>
      <c r="AC196" s="29"/>
      <c r="AD196" s="4"/>
      <c r="AF196" s="29"/>
      <c r="AG196" s="3"/>
    </row>
    <row r="197" spans="1:33" s="23" customFormat="1" x14ac:dyDescent="0.35">
      <c r="A197" s="4"/>
      <c r="C197" s="29"/>
      <c r="M197" s="4"/>
      <c r="O197" s="4"/>
      <c r="R197" s="3"/>
      <c r="S197" s="3"/>
      <c r="T197" s="3"/>
      <c r="U197" s="3"/>
      <c r="V197" s="3"/>
      <c r="W197" s="3"/>
      <c r="AD197" s="4"/>
      <c r="AF197" s="29"/>
      <c r="AG197" s="3"/>
    </row>
    <row r="198" spans="1:33" s="23" customFormat="1" x14ac:dyDescent="0.35">
      <c r="A198" s="4"/>
      <c r="R198" s="29"/>
      <c r="U198" s="3"/>
      <c r="V198" s="3"/>
      <c r="W198" s="3"/>
      <c r="AA198" s="4"/>
      <c r="AB198" s="4"/>
      <c r="AC198" s="29"/>
      <c r="AD198" s="4"/>
      <c r="AE198" s="29"/>
      <c r="AF198" s="4"/>
      <c r="AG198" s="3"/>
    </row>
    <row r="199" spans="1:33" s="23" customFormat="1" x14ac:dyDescent="0.35">
      <c r="A199" s="4"/>
      <c r="C199" s="29"/>
      <c r="K199" s="52"/>
      <c r="M199" s="4"/>
      <c r="O199" s="4"/>
      <c r="R199" s="3"/>
      <c r="U199" s="3"/>
      <c r="V199" s="3"/>
      <c r="W199" s="3"/>
      <c r="AC199" s="29"/>
      <c r="AD199" s="4"/>
      <c r="AE199" s="29"/>
      <c r="AF199" s="4"/>
      <c r="AG199" s="3"/>
    </row>
    <row r="200" spans="1:33" s="23" customFormat="1" x14ac:dyDescent="0.35">
      <c r="A200" s="4"/>
      <c r="C200" s="29"/>
      <c r="K200" s="52"/>
      <c r="M200" s="4"/>
      <c r="N200" s="4"/>
      <c r="O200" s="4"/>
      <c r="R200" s="3"/>
      <c r="U200" s="3"/>
      <c r="V200" s="3"/>
      <c r="W200" s="3"/>
      <c r="AA200" s="4"/>
      <c r="AB200" s="4"/>
      <c r="AC200" s="29"/>
      <c r="AD200" s="4"/>
      <c r="AE200" s="29"/>
      <c r="AF200" s="29"/>
      <c r="AG200" s="3"/>
    </row>
    <row r="201" spans="1:33" s="23" customFormat="1" x14ac:dyDescent="0.35">
      <c r="A201" s="4"/>
      <c r="C201" s="29"/>
      <c r="K201" s="52"/>
      <c r="M201" s="4"/>
      <c r="N201" s="4"/>
      <c r="O201" s="4"/>
      <c r="R201" s="3"/>
      <c r="U201" s="3"/>
      <c r="V201" s="3"/>
      <c r="W201" s="3"/>
      <c r="AC201" s="29"/>
      <c r="AD201" s="4"/>
      <c r="AE201" s="29"/>
      <c r="AF201" s="29"/>
      <c r="AG201" s="3"/>
    </row>
    <row r="202" spans="1:33" s="23" customFormat="1" x14ac:dyDescent="0.35">
      <c r="A202" s="4"/>
      <c r="C202" s="29"/>
      <c r="E202" s="4"/>
      <c r="G202" s="4"/>
      <c r="K202" s="52"/>
      <c r="M202" s="4"/>
      <c r="N202" s="4"/>
      <c r="O202" s="4"/>
      <c r="R202" s="3"/>
      <c r="U202" s="3"/>
      <c r="V202" s="3"/>
      <c r="W202" s="3"/>
      <c r="AC202" s="29"/>
      <c r="AD202" s="4"/>
      <c r="AE202" s="29"/>
      <c r="AF202" s="68"/>
      <c r="AG202" s="3"/>
    </row>
    <row r="203" spans="1:33" s="23" customFormat="1" x14ac:dyDescent="0.35">
      <c r="A203" s="4"/>
      <c r="C203" s="29"/>
      <c r="D203" s="4"/>
      <c r="K203" s="52"/>
      <c r="M203" s="4"/>
      <c r="N203" s="4"/>
      <c r="O203" s="4"/>
      <c r="R203" s="3"/>
      <c r="U203" s="3"/>
      <c r="V203" s="3"/>
      <c r="W203" s="3"/>
      <c r="AC203" s="29"/>
      <c r="AD203" s="29"/>
      <c r="AE203" s="4"/>
      <c r="AF203" s="29"/>
      <c r="AG203" s="3"/>
    </row>
    <row r="204" spans="1:33" s="23" customFormat="1" x14ac:dyDescent="0.35">
      <c r="A204" s="29"/>
      <c r="B204" s="29"/>
      <c r="C204" s="29"/>
      <c r="D204" s="29"/>
      <c r="E204" s="29"/>
      <c r="F204" s="29"/>
      <c r="G204" s="29"/>
      <c r="K204" s="52"/>
      <c r="M204" s="29"/>
      <c r="N204" s="29"/>
      <c r="O204" s="29"/>
      <c r="R204" s="3"/>
      <c r="U204" s="3"/>
      <c r="V204" s="3"/>
      <c r="W204" s="3"/>
      <c r="AD204" s="29"/>
      <c r="AE204" s="29"/>
      <c r="AF204" s="29"/>
      <c r="AG204" s="3"/>
    </row>
    <row r="205" spans="1:33" s="23" customFormat="1" x14ac:dyDescent="0.35">
      <c r="A205" s="69"/>
      <c r="C205" s="29"/>
      <c r="D205" s="69"/>
      <c r="G205" s="69"/>
      <c r="K205" s="52"/>
      <c r="M205" s="29"/>
      <c r="N205" s="29"/>
      <c r="O205" s="29"/>
      <c r="R205" s="3"/>
      <c r="U205" s="3"/>
      <c r="V205" s="3"/>
      <c r="W205" s="3"/>
      <c r="AD205" s="29"/>
      <c r="AE205" s="29"/>
      <c r="AF205" s="29"/>
      <c r="AG205" s="3"/>
    </row>
    <row r="206" spans="1:33" s="23" customFormat="1" x14ac:dyDescent="0.35">
      <c r="A206" s="69"/>
      <c r="C206" s="29"/>
      <c r="D206" s="69"/>
      <c r="K206" s="52"/>
      <c r="M206" s="29"/>
      <c r="N206" s="29"/>
      <c r="O206" s="29"/>
      <c r="R206" s="3"/>
      <c r="U206" s="3"/>
      <c r="V206" s="3"/>
      <c r="W206" s="3"/>
      <c r="AD206" s="29"/>
      <c r="AE206" s="29"/>
      <c r="AF206" s="29"/>
      <c r="AG206" s="3"/>
    </row>
    <row r="207" spans="1:33" s="23" customFormat="1" ht="15.75" customHeight="1" x14ac:dyDescent="0.35">
      <c r="A207" s="69"/>
      <c r="C207" s="29"/>
      <c r="D207" s="69"/>
      <c r="G207" s="69"/>
      <c r="K207" s="52"/>
      <c r="M207" s="29"/>
      <c r="N207" s="29"/>
      <c r="O207" s="29"/>
      <c r="R207" s="3"/>
      <c r="U207" s="3"/>
      <c r="V207" s="3"/>
      <c r="W207" s="3"/>
      <c r="AD207" s="29"/>
      <c r="AE207" s="29"/>
      <c r="AF207" s="29"/>
      <c r="AG207" s="3"/>
    </row>
    <row r="208" spans="1:33" s="23" customFormat="1" x14ac:dyDescent="0.35">
      <c r="A208" s="69"/>
      <c r="C208" s="29"/>
      <c r="D208" s="69"/>
      <c r="G208" s="69"/>
      <c r="K208" s="52"/>
      <c r="M208" s="29"/>
      <c r="N208" s="29"/>
      <c r="O208" s="29"/>
      <c r="R208" s="3"/>
      <c r="U208" s="3"/>
      <c r="V208" s="3"/>
      <c r="W208" s="3"/>
      <c r="AD208" s="29"/>
      <c r="AE208" s="29"/>
      <c r="AF208" s="29"/>
      <c r="AG208" s="3"/>
    </row>
    <row r="209" spans="1:33" s="23" customFormat="1" x14ac:dyDescent="0.35">
      <c r="A209" s="69"/>
      <c r="C209" s="29"/>
      <c r="D209" s="69"/>
      <c r="G209" s="69"/>
      <c r="K209" s="52"/>
      <c r="M209" s="29"/>
      <c r="O209" s="29"/>
      <c r="R209" s="3"/>
      <c r="U209" s="3"/>
      <c r="V209" s="3"/>
      <c r="W209" s="3"/>
      <c r="AD209" s="29"/>
      <c r="AE209" s="29"/>
      <c r="AF209" s="29"/>
      <c r="AG209" s="3"/>
    </row>
    <row r="210" spans="1:33" s="23" customFormat="1" x14ac:dyDescent="0.35">
      <c r="A210" s="69"/>
      <c r="C210" s="29"/>
      <c r="R210" s="29"/>
      <c r="U210" s="3"/>
      <c r="V210" s="3"/>
      <c r="W210" s="3"/>
      <c r="AD210" s="29"/>
      <c r="AE210" s="29"/>
      <c r="AF210" s="4"/>
      <c r="AG210" s="3"/>
    </row>
    <row r="211" spans="1:33" s="23" customFormat="1" x14ac:dyDescent="0.35">
      <c r="A211" s="69"/>
      <c r="C211" s="29"/>
      <c r="D211" s="69"/>
      <c r="G211" s="69"/>
      <c r="K211" s="52"/>
      <c r="M211" s="29"/>
      <c r="O211" s="29"/>
      <c r="R211" s="3"/>
      <c r="U211" s="3"/>
      <c r="V211" s="3"/>
      <c r="W211" s="3"/>
      <c r="AD211" s="29"/>
      <c r="AE211" s="29"/>
      <c r="AF211" s="29"/>
      <c r="AG211" s="3"/>
    </row>
    <row r="212" spans="1:33" s="23" customFormat="1" x14ac:dyDescent="0.35">
      <c r="A212" s="69"/>
      <c r="C212" s="29"/>
      <c r="D212" s="69"/>
      <c r="G212" s="69"/>
      <c r="K212" s="52"/>
      <c r="M212" s="29"/>
      <c r="N212" s="29"/>
      <c r="O212" s="29"/>
      <c r="R212" s="3"/>
      <c r="U212" s="3"/>
      <c r="V212" s="3"/>
      <c r="W212" s="3"/>
      <c r="AD212" s="29"/>
      <c r="AE212" s="29"/>
      <c r="AF212" s="29"/>
      <c r="AG212" s="3"/>
    </row>
    <row r="213" spans="1:33" s="23" customFormat="1" x14ac:dyDescent="0.35">
      <c r="A213" s="69"/>
      <c r="C213" s="29"/>
      <c r="D213" s="69"/>
      <c r="G213" s="69"/>
      <c r="K213" s="52"/>
      <c r="M213" s="29"/>
      <c r="N213" s="29"/>
      <c r="O213" s="29"/>
      <c r="R213" s="3"/>
      <c r="U213" s="3"/>
      <c r="V213" s="3"/>
      <c r="W213" s="3"/>
      <c r="AD213" s="29"/>
      <c r="AE213" s="29"/>
      <c r="AF213" s="29"/>
      <c r="AG213" s="3"/>
    </row>
    <row r="214" spans="1:33" s="23" customFormat="1" x14ac:dyDescent="0.35">
      <c r="A214" s="69"/>
      <c r="R214" s="29"/>
      <c r="U214" s="3"/>
      <c r="V214" s="3"/>
      <c r="W214" s="3"/>
      <c r="AD214" s="29"/>
      <c r="AG214" s="3"/>
    </row>
    <row r="215" spans="1:33" s="23" customFormat="1" x14ac:dyDescent="0.35">
      <c r="A215" s="69"/>
      <c r="C215" s="29"/>
      <c r="K215" s="52"/>
      <c r="M215" s="29"/>
      <c r="N215" s="29"/>
      <c r="O215" s="29"/>
      <c r="R215" s="3"/>
      <c r="U215" s="3"/>
      <c r="V215" s="3"/>
      <c r="W215" s="3"/>
      <c r="AD215" s="29"/>
      <c r="AE215" s="29"/>
      <c r="AF215" s="4"/>
      <c r="AG215" s="3"/>
    </row>
    <row r="216" spans="1:33" s="23" customFormat="1" x14ac:dyDescent="0.35">
      <c r="A216" s="69"/>
      <c r="C216" s="29"/>
      <c r="D216" s="69"/>
      <c r="G216" s="69"/>
      <c r="K216" s="52"/>
      <c r="M216" s="29"/>
      <c r="O216" s="29"/>
      <c r="R216" s="3"/>
      <c r="U216" s="3"/>
      <c r="V216" s="3"/>
      <c r="W216" s="3"/>
      <c r="AD216" s="29"/>
      <c r="AE216" s="29"/>
      <c r="AF216" s="29"/>
      <c r="AG216" s="3"/>
    </row>
    <row r="217" spans="1:33" s="23" customFormat="1" x14ac:dyDescent="0.35">
      <c r="A217" s="69"/>
      <c r="C217" s="29"/>
      <c r="D217" s="69"/>
      <c r="G217" s="69"/>
      <c r="K217" s="52"/>
      <c r="M217" s="29"/>
      <c r="O217" s="29"/>
      <c r="R217" s="3"/>
      <c r="U217" s="3"/>
      <c r="V217" s="3"/>
      <c r="W217" s="3"/>
      <c r="AD217" s="29"/>
      <c r="AE217" s="29"/>
      <c r="AF217" s="29"/>
      <c r="AG217" s="3"/>
    </row>
    <row r="218" spans="1:33" s="23" customFormat="1" x14ac:dyDescent="0.35">
      <c r="A218" s="69"/>
      <c r="C218" s="29"/>
      <c r="D218" s="69"/>
      <c r="G218" s="69"/>
      <c r="K218" s="52"/>
      <c r="M218" s="29"/>
      <c r="N218" s="29"/>
      <c r="O218" s="29"/>
      <c r="R218" s="3"/>
      <c r="U218" s="3"/>
      <c r="V218" s="3"/>
      <c r="W218" s="3"/>
      <c r="AD218" s="29"/>
      <c r="AE218" s="29"/>
      <c r="AF218" s="29"/>
      <c r="AG218" s="3"/>
    </row>
    <row r="219" spans="1:33" s="23" customFormat="1" x14ac:dyDescent="0.35">
      <c r="A219" s="69"/>
      <c r="C219" s="29"/>
      <c r="D219" s="69"/>
      <c r="G219" s="69"/>
      <c r="K219" s="52"/>
      <c r="M219" s="29"/>
      <c r="O219" s="29"/>
      <c r="R219" s="3"/>
      <c r="U219" s="3"/>
      <c r="V219" s="3"/>
      <c r="W219" s="3"/>
      <c r="AD219" s="29"/>
      <c r="AE219" s="29"/>
      <c r="AF219" s="29"/>
      <c r="AG219" s="3"/>
    </row>
    <row r="220" spans="1:33" s="23" customFormat="1" x14ac:dyDescent="0.35">
      <c r="A220" s="69"/>
      <c r="C220" s="29"/>
      <c r="K220" s="52"/>
      <c r="M220" s="29"/>
      <c r="N220" s="29"/>
      <c r="O220" s="29"/>
      <c r="R220" s="3"/>
      <c r="U220" s="3"/>
      <c r="V220" s="3"/>
      <c r="W220" s="3"/>
      <c r="AD220" s="29"/>
      <c r="AE220" s="29"/>
      <c r="AF220" s="29"/>
      <c r="AG220" s="3"/>
    </row>
    <row r="221" spans="1:33" s="23" customFormat="1" x14ac:dyDescent="0.35">
      <c r="A221" s="69"/>
      <c r="C221" s="29"/>
      <c r="K221" s="52"/>
      <c r="M221" s="29"/>
      <c r="N221" s="29"/>
      <c r="O221" s="29"/>
      <c r="R221" s="3"/>
      <c r="U221" s="3"/>
      <c r="V221" s="3"/>
      <c r="W221" s="3"/>
      <c r="AD221" s="29"/>
      <c r="AE221" s="29"/>
      <c r="AF221" s="29"/>
      <c r="AG221" s="3"/>
    </row>
    <row r="222" spans="1:33" s="23" customFormat="1" x14ac:dyDescent="0.35">
      <c r="C222" s="29"/>
      <c r="M222" s="4"/>
      <c r="O222" s="4"/>
      <c r="R222" s="3"/>
      <c r="U222" s="3"/>
      <c r="V222" s="3"/>
      <c r="W222" s="3"/>
      <c r="AC222" s="29"/>
      <c r="AD222" s="4"/>
      <c r="AF222" s="29"/>
      <c r="AG222" s="3"/>
    </row>
    <row r="223" spans="1:33" s="23" customFormat="1" x14ac:dyDescent="0.35">
      <c r="A223" s="69"/>
      <c r="C223" s="29"/>
      <c r="K223" s="52"/>
      <c r="M223" s="29"/>
      <c r="N223" s="29"/>
      <c r="O223" s="29"/>
      <c r="R223" s="3"/>
      <c r="U223" s="3"/>
      <c r="V223" s="3"/>
      <c r="W223" s="3"/>
      <c r="AD223" s="29"/>
      <c r="AE223" s="29"/>
      <c r="AF223" s="29"/>
      <c r="AG223" s="3"/>
    </row>
    <row r="224" spans="1:33" s="23" customFormat="1" x14ac:dyDescent="0.35">
      <c r="A224" s="69"/>
      <c r="C224" s="29"/>
      <c r="K224" s="52"/>
      <c r="M224" s="29"/>
      <c r="N224" s="29"/>
      <c r="O224" s="29"/>
      <c r="R224" s="3"/>
      <c r="U224" s="3"/>
      <c r="V224" s="3"/>
      <c r="W224" s="3"/>
      <c r="AD224" s="29"/>
      <c r="AE224" s="29"/>
      <c r="AF224" s="29"/>
      <c r="AG224" s="3"/>
    </row>
    <row r="225" spans="1:33" s="23" customFormat="1" x14ac:dyDescent="0.35">
      <c r="A225" s="69"/>
      <c r="C225" s="29"/>
      <c r="K225" s="52"/>
      <c r="M225" s="29"/>
      <c r="N225" s="29"/>
      <c r="O225" s="29"/>
      <c r="R225" s="3"/>
      <c r="U225" s="3"/>
      <c r="V225" s="3"/>
      <c r="W225" s="3"/>
      <c r="AD225" s="29"/>
      <c r="AE225" s="29"/>
      <c r="AF225" s="29"/>
      <c r="AG225" s="3"/>
    </row>
    <row r="226" spans="1:33" s="23" customFormat="1" x14ac:dyDescent="0.35">
      <c r="A226" s="69"/>
      <c r="C226" s="29"/>
      <c r="K226" s="52"/>
      <c r="M226" s="29"/>
      <c r="N226" s="29"/>
      <c r="O226" s="29"/>
      <c r="R226" s="3"/>
      <c r="U226" s="3"/>
      <c r="V226" s="3"/>
      <c r="W226" s="3"/>
      <c r="AD226" s="29"/>
      <c r="AE226" s="29"/>
      <c r="AF226" s="29"/>
      <c r="AG226" s="3"/>
    </row>
    <row r="227" spans="1:33" s="23" customFormat="1" x14ac:dyDescent="0.35">
      <c r="A227" s="69"/>
      <c r="C227" s="29"/>
      <c r="K227" s="52"/>
      <c r="M227" s="29"/>
      <c r="N227" s="29"/>
      <c r="O227" s="29"/>
      <c r="R227" s="3"/>
      <c r="U227" s="3"/>
      <c r="V227" s="3"/>
      <c r="W227" s="3"/>
      <c r="AD227" s="29"/>
      <c r="AE227" s="29"/>
      <c r="AF227" s="4"/>
      <c r="AG227" s="3"/>
    </row>
    <row r="228" spans="1:33" s="23" customFormat="1" x14ac:dyDescent="0.35">
      <c r="A228" s="69"/>
      <c r="R228" s="29"/>
      <c r="U228" s="3"/>
      <c r="V228" s="3"/>
      <c r="W228" s="3"/>
      <c r="AD228" s="29"/>
      <c r="AG228" s="3"/>
    </row>
    <row r="229" spans="1:33" s="23" customFormat="1" x14ac:dyDescent="0.35">
      <c r="A229" s="69"/>
      <c r="C229" s="29"/>
      <c r="K229" s="52"/>
      <c r="M229" s="29"/>
      <c r="N229" s="29"/>
      <c r="O229" s="29"/>
      <c r="R229" s="3"/>
      <c r="U229" s="3"/>
      <c r="V229" s="3"/>
      <c r="W229" s="3"/>
      <c r="AD229" s="29"/>
      <c r="AE229" s="29"/>
      <c r="AF229" s="29"/>
      <c r="AG229" s="3"/>
    </row>
    <row r="230" spans="1:33" s="23" customFormat="1" x14ac:dyDescent="0.35">
      <c r="A230" s="69"/>
      <c r="C230" s="29"/>
      <c r="D230" s="69"/>
      <c r="G230" s="69"/>
      <c r="K230" s="52"/>
      <c r="M230" s="29"/>
      <c r="N230" s="29"/>
      <c r="O230" s="29"/>
      <c r="R230" s="3"/>
      <c r="U230" s="3"/>
      <c r="V230" s="3"/>
      <c r="W230" s="3"/>
      <c r="AD230" s="29"/>
      <c r="AE230" s="29"/>
      <c r="AF230" s="29"/>
      <c r="AG230" s="3"/>
    </row>
    <row r="231" spans="1:33" s="23" customFormat="1" x14ac:dyDescent="0.35">
      <c r="A231" s="69"/>
      <c r="C231" s="29"/>
      <c r="D231" s="69"/>
      <c r="G231" s="69"/>
      <c r="K231" s="52"/>
      <c r="M231" s="29"/>
      <c r="N231" s="29"/>
      <c r="O231" s="29"/>
      <c r="R231" s="3"/>
      <c r="U231" s="3"/>
      <c r="V231" s="3"/>
      <c r="W231" s="3"/>
      <c r="AD231" s="29"/>
      <c r="AE231" s="29"/>
      <c r="AF231" s="29"/>
      <c r="AG231" s="3"/>
    </row>
    <row r="232" spans="1:33" s="63" customFormat="1" x14ac:dyDescent="0.35">
      <c r="A232" s="64"/>
      <c r="C232" s="64"/>
      <c r="D232" s="64"/>
      <c r="G232" s="64"/>
      <c r="M232" s="64"/>
      <c r="N232" s="64"/>
      <c r="O232" s="64"/>
      <c r="R232" s="66"/>
      <c r="U232" s="66"/>
      <c r="V232" s="66"/>
      <c r="W232" s="66"/>
      <c r="AD232" s="64"/>
      <c r="AE232" s="64"/>
      <c r="AF232" s="64"/>
      <c r="AG232" s="66"/>
    </row>
    <row r="233" spans="1:33" s="23" customFormat="1" x14ac:dyDescent="0.35">
      <c r="A233" s="69"/>
      <c r="C233" s="29"/>
      <c r="K233" s="52"/>
      <c r="M233" s="29"/>
      <c r="N233" s="29"/>
      <c r="O233" s="29"/>
      <c r="R233" s="3"/>
      <c r="U233" s="3"/>
      <c r="V233" s="3"/>
      <c r="W233" s="3"/>
      <c r="AD233" s="29"/>
      <c r="AE233" s="29"/>
      <c r="AF233" s="29"/>
      <c r="AG233" s="3"/>
    </row>
    <row r="234" spans="1:33" s="23" customFormat="1" x14ac:dyDescent="0.35">
      <c r="A234" s="69"/>
      <c r="C234" s="29"/>
      <c r="K234" s="52"/>
      <c r="M234" s="29"/>
      <c r="N234" s="29"/>
      <c r="O234" s="29"/>
      <c r="R234" s="3"/>
      <c r="U234" s="3"/>
      <c r="V234" s="3"/>
      <c r="W234" s="3"/>
      <c r="AD234" s="29"/>
      <c r="AE234" s="29"/>
      <c r="AF234" s="29"/>
      <c r="AG234" s="3"/>
    </row>
    <row r="235" spans="1:33" s="23" customFormat="1" x14ac:dyDescent="0.35">
      <c r="A235" s="69"/>
      <c r="C235" s="29"/>
      <c r="K235" s="52"/>
      <c r="M235" s="29"/>
      <c r="N235" s="29"/>
      <c r="O235" s="29"/>
      <c r="R235" s="3"/>
      <c r="U235" s="3"/>
      <c r="V235" s="3"/>
      <c r="W235" s="3"/>
      <c r="AD235" s="29"/>
      <c r="AE235" s="29"/>
      <c r="AF235" s="4"/>
      <c r="AG235" s="3"/>
    </row>
    <row r="236" spans="1:33" s="63" customFormat="1" x14ac:dyDescent="0.35">
      <c r="A236" s="64"/>
      <c r="C236" s="64"/>
      <c r="D236" s="64"/>
      <c r="G236" s="64"/>
      <c r="M236" s="64"/>
      <c r="N236" s="64"/>
      <c r="O236" s="64"/>
      <c r="R236" s="66"/>
      <c r="U236" s="66"/>
      <c r="V236" s="66"/>
      <c r="W236" s="66"/>
      <c r="AD236" s="64"/>
      <c r="AE236" s="64"/>
      <c r="AF236" s="64"/>
      <c r="AG236" s="66"/>
    </row>
    <row r="237" spans="1:33" s="23" customFormat="1" x14ac:dyDescent="0.35">
      <c r="R237" s="29"/>
      <c r="U237" s="3"/>
      <c r="V237" s="3"/>
      <c r="W237" s="3"/>
      <c r="AG237" s="3"/>
    </row>
    <row r="238" spans="1:33" s="23" customFormat="1" x14ac:dyDescent="0.35">
      <c r="R238" s="29"/>
      <c r="U238" s="3"/>
      <c r="V238" s="3"/>
      <c r="W238" s="3"/>
      <c r="AG238" s="3"/>
    </row>
    <row r="239" spans="1:33" s="23" customFormat="1" x14ac:dyDescent="0.35">
      <c r="R239" s="29"/>
      <c r="U239" s="3"/>
      <c r="V239" s="3"/>
      <c r="W239" s="3"/>
      <c r="AG239" s="3"/>
    </row>
    <row r="240" spans="1:33" s="23" customFormat="1" x14ac:dyDescent="0.35">
      <c r="R240" s="29"/>
      <c r="U240" s="3"/>
      <c r="V240" s="3"/>
      <c r="W240" s="3"/>
      <c r="AG240" s="3"/>
    </row>
    <row r="241" spans="2:35" s="23" customFormat="1" x14ac:dyDescent="0.35">
      <c r="R241" s="29"/>
      <c r="U241" s="3"/>
      <c r="V241" s="3"/>
      <c r="W241" s="3"/>
      <c r="AG241" s="3"/>
    </row>
    <row r="242" spans="2:35" s="23" customFormat="1" x14ac:dyDescent="0.35">
      <c r="R242" s="29"/>
      <c r="U242" s="3"/>
      <c r="V242" s="3"/>
      <c r="W242" s="3"/>
      <c r="AG242" s="3"/>
    </row>
    <row r="243" spans="2:35" s="23" customFormat="1" x14ac:dyDescent="0.35">
      <c r="R243" s="29"/>
      <c r="U243" s="3"/>
      <c r="V243" s="3"/>
      <c r="W243" s="3"/>
      <c r="AG243" s="3"/>
    </row>
    <row r="244" spans="2:35" s="23" customFormat="1" x14ac:dyDescent="0.35">
      <c r="R244" s="29"/>
      <c r="U244" s="3"/>
      <c r="V244" s="3"/>
      <c r="W244" s="3"/>
      <c r="AG244" s="3"/>
    </row>
    <row r="245" spans="2:35" s="23" customFormat="1" x14ac:dyDescent="0.35">
      <c r="R245" s="29"/>
      <c r="U245" s="3"/>
      <c r="V245" s="3"/>
      <c r="W245" s="3"/>
      <c r="AG245" s="3"/>
    </row>
    <row r="246" spans="2:35" s="23" customFormat="1" x14ac:dyDescent="0.35">
      <c r="R246" s="29"/>
      <c r="U246" s="3"/>
      <c r="V246" s="3"/>
      <c r="W246" s="3"/>
      <c r="AG246" s="3"/>
    </row>
    <row r="247" spans="2:35" s="23" customFormat="1" x14ac:dyDescent="0.35">
      <c r="R247" s="29"/>
      <c r="U247" s="3"/>
      <c r="V247" s="3"/>
      <c r="W247" s="3"/>
      <c r="AG247" s="3"/>
    </row>
    <row r="248" spans="2:35" s="23" customFormat="1" x14ac:dyDescent="0.35">
      <c r="R248" s="29"/>
      <c r="U248" s="3"/>
      <c r="V248" s="3"/>
      <c r="W248" s="3"/>
      <c r="AG248" s="3"/>
    </row>
    <row r="249" spans="2:35" s="23" customFormat="1" x14ac:dyDescent="0.35">
      <c r="R249" s="29"/>
      <c r="U249" s="3"/>
      <c r="V249" s="3"/>
      <c r="W249" s="3"/>
      <c r="AG249" s="3"/>
    </row>
    <row r="250" spans="2:35" x14ac:dyDescent="0.35"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9"/>
      <c r="S250" s="23"/>
      <c r="T250" s="23"/>
      <c r="U250" s="3"/>
      <c r="V250" s="3"/>
      <c r="W250" s="44"/>
      <c r="X250" s="23"/>
      <c r="Y250" s="23"/>
      <c r="Z250" s="23"/>
      <c r="AA250" s="23"/>
      <c r="AB250" s="23"/>
      <c r="AC250" s="23"/>
      <c r="AD250" s="23"/>
      <c r="AE250" s="23"/>
      <c r="AF250" s="23"/>
      <c r="AG250" s="38"/>
      <c r="AH250" s="37"/>
      <c r="AI250" s="37"/>
    </row>
    <row r="251" spans="2:35" x14ac:dyDescent="0.35"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9"/>
      <c r="S251" s="23"/>
      <c r="T251" s="23"/>
      <c r="U251" s="3"/>
      <c r="V251" s="3"/>
      <c r="W251" s="44"/>
      <c r="X251" s="23"/>
      <c r="Y251" s="23"/>
      <c r="Z251" s="23"/>
      <c r="AA251" s="23"/>
      <c r="AB251" s="23"/>
      <c r="AC251" s="23"/>
      <c r="AD251" s="23"/>
      <c r="AE251" s="23"/>
      <c r="AF251" s="23"/>
      <c r="AG251" s="38"/>
      <c r="AH251" s="37"/>
      <c r="AI251" s="37"/>
    </row>
    <row r="252" spans="2:35" x14ac:dyDescent="0.35"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9"/>
      <c r="S252" s="23"/>
      <c r="T252" s="23"/>
      <c r="U252" s="3"/>
      <c r="V252" s="3"/>
      <c r="W252" s="44"/>
      <c r="X252" s="23"/>
      <c r="Y252" s="23"/>
      <c r="Z252" s="23"/>
      <c r="AA252" s="23"/>
      <c r="AB252" s="23"/>
      <c r="AC252" s="23"/>
      <c r="AD252" s="23"/>
      <c r="AE252" s="23"/>
      <c r="AF252" s="23"/>
      <c r="AG252" s="38"/>
      <c r="AH252" s="37"/>
      <c r="AI252" s="37"/>
    </row>
    <row r="253" spans="2:35" x14ac:dyDescent="0.35"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9"/>
      <c r="S253" s="23"/>
      <c r="T253" s="23"/>
      <c r="U253" s="3"/>
      <c r="V253" s="3"/>
      <c r="W253" s="44"/>
      <c r="X253" s="23"/>
      <c r="Y253" s="23"/>
      <c r="Z253" s="23"/>
      <c r="AA253" s="23"/>
      <c r="AB253" s="23"/>
      <c r="AC253" s="23"/>
      <c r="AD253" s="23"/>
      <c r="AE253" s="23"/>
      <c r="AF253" s="23"/>
      <c r="AG253" s="38"/>
      <c r="AH253" s="37"/>
      <c r="AI253" s="37"/>
    </row>
    <row r="254" spans="2:35" x14ac:dyDescent="0.35"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9"/>
      <c r="S254" s="23"/>
      <c r="T254" s="23"/>
      <c r="U254" s="3"/>
      <c r="V254" s="3"/>
      <c r="W254" s="44"/>
      <c r="X254" s="23"/>
      <c r="Y254" s="23"/>
      <c r="Z254" s="23"/>
      <c r="AA254" s="23"/>
      <c r="AB254" s="23"/>
      <c r="AC254" s="23"/>
      <c r="AD254" s="23"/>
      <c r="AE254" s="23"/>
      <c r="AF254" s="23"/>
      <c r="AG254" s="38"/>
      <c r="AH254" s="37"/>
      <c r="AI254" s="37"/>
    </row>
    <row r="255" spans="2:35" x14ac:dyDescent="0.35"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9"/>
      <c r="S255" s="23"/>
      <c r="T255" s="23"/>
      <c r="U255" s="3"/>
      <c r="V255" s="3"/>
      <c r="W255" s="44"/>
      <c r="X255" s="23"/>
      <c r="Y255" s="23"/>
      <c r="Z255" s="23"/>
      <c r="AA255" s="23"/>
      <c r="AB255" s="23"/>
      <c r="AC255" s="23"/>
      <c r="AD255" s="23"/>
      <c r="AE255" s="23"/>
      <c r="AF255" s="23"/>
      <c r="AG255" s="38"/>
      <c r="AH255" s="37"/>
      <c r="AI255" s="37"/>
    </row>
    <row r="256" spans="2:35" x14ac:dyDescent="0.35"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9"/>
      <c r="S256" s="23"/>
      <c r="T256" s="23"/>
      <c r="U256" s="3"/>
      <c r="V256" s="3"/>
      <c r="W256" s="44"/>
      <c r="X256" s="23"/>
      <c r="Y256" s="23"/>
      <c r="Z256" s="23"/>
      <c r="AA256" s="23"/>
      <c r="AB256" s="23"/>
      <c r="AC256" s="23"/>
      <c r="AD256" s="23"/>
      <c r="AE256" s="23"/>
      <c r="AF256" s="23"/>
      <c r="AG256" s="38"/>
      <c r="AH256" s="37"/>
      <c r="AI256" s="37"/>
    </row>
    <row r="257" spans="2:35" x14ac:dyDescent="0.35"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9"/>
      <c r="S257" s="23"/>
      <c r="T257" s="23"/>
      <c r="U257" s="3"/>
      <c r="V257" s="3"/>
      <c r="W257" s="44"/>
      <c r="X257" s="23"/>
      <c r="Y257" s="23"/>
      <c r="Z257" s="23"/>
      <c r="AA257" s="23"/>
      <c r="AB257" s="23"/>
      <c r="AC257" s="23"/>
      <c r="AD257" s="23"/>
      <c r="AE257" s="23"/>
      <c r="AF257" s="23"/>
      <c r="AG257" s="38"/>
      <c r="AH257" s="37"/>
      <c r="AI257" s="37"/>
    </row>
    <row r="258" spans="2:35" x14ac:dyDescent="0.35"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9"/>
      <c r="S258" s="23"/>
      <c r="T258" s="23"/>
      <c r="U258" s="3"/>
      <c r="V258" s="3"/>
      <c r="W258" s="44"/>
      <c r="X258" s="23"/>
      <c r="Y258" s="23"/>
      <c r="Z258" s="23"/>
      <c r="AA258" s="23"/>
      <c r="AB258" s="23"/>
      <c r="AC258" s="23"/>
      <c r="AD258" s="23"/>
      <c r="AE258" s="23"/>
      <c r="AF258" s="23"/>
      <c r="AG258" s="38"/>
      <c r="AH258" s="37"/>
      <c r="AI258" s="37"/>
    </row>
    <row r="259" spans="2:35" x14ac:dyDescent="0.35"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9"/>
      <c r="S259" s="23"/>
      <c r="T259" s="23"/>
      <c r="U259" s="3"/>
      <c r="V259" s="3"/>
      <c r="W259" s="44"/>
      <c r="X259" s="23"/>
      <c r="Y259" s="23"/>
      <c r="Z259" s="23"/>
      <c r="AA259" s="23"/>
      <c r="AB259" s="23"/>
      <c r="AC259" s="23"/>
      <c r="AD259" s="23"/>
      <c r="AE259" s="23"/>
      <c r="AF259" s="23"/>
      <c r="AG259" s="38"/>
      <c r="AH259" s="37"/>
      <c r="AI259" s="37"/>
    </row>
    <row r="260" spans="2:35" x14ac:dyDescent="0.35"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9"/>
      <c r="S260" s="23"/>
      <c r="T260" s="23"/>
      <c r="U260" s="3"/>
      <c r="V260" s="3"/>
      <c r="W260" s="44"/>
      <c r="X260" s="23"/>
      <c r="Y260" s="23"/>
      <c r="Z260" s="23"/>
      <c r="AA260" s="23"/>
      <c r="AB260" s="23"/>
      <c r="AC260" s="23"/>
      <c r="AD260" s="23"/>
      <c r="AE260" s="23"/>
      <c r="AF260" s="23"/>
      <c r="AG260" s="38"/>
      <c r="AH260" s="37"/>
      <c r="AI260" s="37"/>
    </row>
    <row r="261" spans="2:35" x14ac:dyDescent="0.35"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9"/>
      <c r="S261" s="23"/>
      <c r="T261" s="23"/>
      <c r="U261" s="3"/>
      <c r="V261" s="3"/>
      <c r="W261" s="44"/>
      <c r="X261" s="23"/>
      <c r="Y261" s="23"/>
      <c r="Z261" s="23"/>
      <c r="AA261" s="23"/>
      <c r="AB261" s="23"/>
      <c r="AC261" s="23"/>
      <c r="AD261" s="23"/>
      <c r="AE261" s="23"/>
      <c r="AF261" s="23"/>
      <c r="AG261" s="38"/>
      <c r="AH261" s="37"/>
      <c r="AI261" s="37"/>
    </row>
    <row r="262" spans="2:35" x14ac:dyDescent="0.35"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9"/>
      <c r="S262" s="23"/>
      <c r="T262" s="23"/>
      <c r="U262" s="3"/>
      <c r="V262" s="3"/>
      <c r="W262" s="44"/>
      <c r="X262" s="23"/>
      <c r="Y262" s="23"/>
      <c r="Z262" s="23"/>
      <c r="AA262" s="23"/>
      <c r="AB262" s="23"/>
      <c r="AC262" s="23"/>
      <c r="AD262" s="23"/>
      <c r="AE262" s="23"/>
      <c r="AF262" s="23"/>
      <c r="AG262" s="38"/>
      <c r="AH262" s="37"/>
      <c r="AI262" s="37"/>
    </row>
    <row r="263" spans="2:35" x14ac:dyDescent="0.35"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9"/>
      <c r="S263" s="23"/>
      <c r="T263" s="23"/>
      <c r="U263" s="3"/>
      <c r="V263" s="3"/>
      <c r="W263" s="44"/>
      <c r="X263" s="23"/>
      <c r="Y263" s="23"/>
      <c r="Z263" s="23"/>
      <c r="AA263" s="23"/>
      <c r="AB263" s="23"/>
      <c r="AC263" s="23"/>
      <c r="AD263" s="23"/>
      <c r="AE263" s="23"/>
      <c r="AF263" s="23"/>
      <c r="AG263" s="38"/>
      <c r="AH263" s="37"/>
      <c r="AI263" s="37"/>
    </row>
    <row r="264" spans="2:35" x14ac:dyDescent="0.35"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9"/>
      <c r="S264" s="23"/>
      <c r="T264" s="23"/>
      <c r="U264" s="3"/>
      <c r="V264" s="3"/>
      <c r="W264" s="44"/>
      <c r="X264" s="23"/>
      <c r="Y264" s="23"/>
      <c r="Z264" s="23"/>
      <c r="AA264" s="23"/>
      <c r="AB264" s="23"/>
      <c r="AC264" s="23"/>
      <c r="AD264" s="23"/>
      <c r="AE264" s="23"/>
      <c r="AF264" s="23"/>
      <c r="AG264" s="38"/>
      <c r="AH264" s="37"/>
      <c r="AI264" s="37"/>
    </row>
    <row r="265" spans="2:35" x14ac:dyDescent="0.35"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9"/>
      <c r="S265" s="23"/>
      <c r="T265" s="23"/>
      <c r="U265" s="3"/>
      <c r="V265" s="3"/>
      <c r="W265" s="44"/>
      <c r="X265" s="23"/>
      <c r="Y265" s="23"/>
      <c r="Z265" s="23"/>
      <c r="AA265" s="23"/>
      <c r="AB265" s="23"/>
      <c r="AC265" s="23"/>
      <c r="AD265" s="23"/>
      <c r="AE265" s="23"/>
      <c r="AF265" s="23"/>
      <c r="AG265" s="38"/>
      <c r="AH265" s="37"/>
      <c r="AI265" s="37"/>
    </row>
    <row r="266" spans="2:35" x14ac:dyDescent="0.35"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9"/>
      <c r="S266" s="23"/>
      <c r="T266" s="23"/>
      <c r="U266" s="3"/>
      <c r="V266" s="3"/>
      <c r="W266" s="44"/>
      <c r="X266" s="23"/>
      <c r="Y266" s="23"/>
      <c r="Z266" s="23"/>
      <c r="AA266" s="23"/>
      <c r="AB266" s="23"/>
      <c r="AC266" s="23"/>
      <c r="AD266" s="23"/>
      <c r="AE266" s="23"/>
      <c r="AF266" s="23"/>
      <c r="AG266" s="38"/>
      <c r="AH266" s="37"/>
      <c r="AI266" s="37"/>
    </row>
    <row r="267" spans="2:35" x14ac:dyDescent="0.35"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9"/>
      <c r="S267" s="23"/>
      <c r="T267" s="23"/>
      <c r="U267" s="3"/>
      <c r="V267" s="3"/>
      <c r="W267" s="44"/>
      <c r="X267" s="23"/>
      <c r="Y267" s="23"/>
      <c r="Z267" s="23"/>
      <c r="AA267" s="23"/>
      <c r="AB267" s="23"/>
      <c r="AC267" s="23"/>
      <c r="AD267" s="23"/>
      <c r="AE267" s="23"/>
      <c r="AF267" s="23"/>
      <c r="AG267" s="38"/>
      <c r="AH267" s="37"/>
      <c r="AI267" s="37"/>
    </row>
    <row r="268" spans="2:35" x14ac:dyDescent="0.35"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9"/>
      <c r="S268" s="23"/>
      <c r="T268" s="23"/>
      <c r="U268" s="3"/>
      <c r="V268" s="3"/>
      <c r="W268" s="44"/>
      <c r="X268" s="23"/>
      <c r="Y268" s="23"/>
      <c r="Z268" s="23"/>
      <c r="AA268" s="23"/>
      <c r="AB268" s="23"/>
      <c r="AC268" s="23"/>
      <c r="AD268" s="23"/>
      <c r="AE268" s="23"/>
      <c r="AF268" s="23"/>
      <c r="AG268" s="38"/>
      <c r="AH268" s="37"/>
      <c r="AI268" s="37"/>
    </row>
    <row r="269" spans="2:35" x14ac:dyDescent="0.35"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9"/>
      <c r="S269" s="23"/>
      <c r="T269" s="23"/>
      <c r="U269" s="3"/>
      <c r="V269" s="3"/>
      <c r="W269" s="44"/>
      <c r="X269" s="23"/>
      <c r="Y269" s="23"/>
      <c r="Z269" s="23"/>
      <c r="AA269" s="23"/>
      <c r="AB269" s="23"/>
      <c r="AC269" s="23"/>
      <c r="AD269" s="23"/>
      <c r="AE269" s="23"/>
      <c r="AF269" s="23"/>
      <c r="AG269" s="38"/>
      <c r="AH269" s="37"/>
      <c r="AI269" s="37"/>
    </row>
    <row r="270" spans="2:35" x14ac:dyDescent="0.35"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9"/>
      <c r="S270" s="23"/>
      <c r="T270" s="23"/>
      <c r="U270" s="3"/>
      <c r="V270" s="3"/>
      <c r="W270" s="44"/>
      <c r="X270" s="23"/>
      <c r="Y270" s="23"/>
      <c r="Z270" s="23"/>
      <c r="AA270" s="23"/>
      <c r="AB270" s="23"/>
      <c r="AC270" s="23"/>
      <c r="AD270" s="23"/>
      <c r="AE270" s="23"/>
      <c r="AF270" s="23"/>
      <c r="AG270" s="38"/>
      <c r="AH270" s="37"/>
      <c r="AI270" s="37"/>
    </row>
    <row r="271" spans="2:35" x14ac:dyDescent="0.35"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9"/>
      <c r="S271" s="23"/>
      <c r="T271" s="23"/>
      <c r="U271" s="3"/>
      <c r="V271" s="3"/>
      <c r="W271" s="44"/>
      <c r="X271" s="23"/>
      <c r="Y271" s="23"/>
      <c r="Z271" s="23"/>
      <c r="AA271" s="23"/>
      <c r="AB271" s="23"/>
      <c r="AC271" s="23"/>
      <c r="AD271" s="23"/>
      <c r="AE271" s="23"/>
      <c r="AF271" s="23"/>
      <c r="AG271" s="38"/>
      <c r="AH271" s="37"/>
      <c r="AI271" s="37"/>
    </row>
    <row r="272" spans="2:35" x14ac:dyDescent="0.35"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9"/>
      <c r="S272" s="23"/>
      <c r="T272" s="23"/>
      <c r="U272" s="3"/>
      <c r="V272" s="3"/>
      <c r="W272" s="44"/>
      <c r="X272" s="23"/>
      <c r="Y272" s="23"/>
      <c r="Z272" s="23"/>
      <c r="AA272" s="23"/>
      <c r="AB272" s="23"/>
      <c r="AC272" s="23"/>
      <c r="AD272" s="23"/>
      <c r="AE272" s="23"/>
      <c r="AF272" s="23"/>
      <c r="AG272" s="38"/>
      <c r="AH272" s="37"/>
      <c r="AI272" s="37"/>
    </row>
    <row r="273" spans="2:35" x14ac:dyDescent="0.35"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9"/>
      <c r="S273" s="23"/>
      <c r="T273" s="23"/>
      <c r="U273" s="3"/>
      <c r="V273" s="3"/>
      <c r="W273" s="44"/>
      <c r="X273" s="23"/>
      <c r="Y273" s="23"/>
      <c r="Z273" s="23"/>
      <c r="AA273" s="23"/>
      <c r="AB273" s="23"/>
      <c r="AC273" s="23"/>
      <c r="AD273" s="23"/>
      <c r="AE273" s="23"/>
      <c r="AF273" s="23"/>
      <c r="AG273" s="38"/>
      <c r="AH273" s="37"/>
      <c r="AI273" s="37"/>
    </row>
    <row r="274" spans="2:35" x14ac:dyDescent="0.35"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9"/>
      <c r="S274" s="23"/>
      <c r="T274" s="23"/>
      <c r="U274" s="3"/>
      <c r="V274" s="3"/>
      <c r="W274" s="44"/>
      <c r="X274" s="23"/>
      <c r="Y274" s="23"/>
      <c r="Z274" s="23"/>
      <c r="AA274" s="23"/>
      <c r="AB274" s="23"/>
      <c r="AC274" s="23"/>
      <c r="AD274" s="23"/>
      <c r="AE274" s="23"/>
      <c r="AF274" s="23"/>
      <c r="AG274" s="38"/>
      <c r="AH274" s="37"/>
      <c r="AI274" s="37"/>
    </row>
    <row r="275" spans="2:35" x14ac:dyDescent="0.35"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9"/>
      <c r="S275" s="23"/>
      <c r="T275" s="23"/>
      <c r="U275" s="3"/>
      <c r="V275" s="3"/>
      <c r="W275" s="44"/>
      <c r="X275" s="23"/>
      <c r="Y275" s="23"/>
      <c r="Z275" s="23"/>
      <c r="AA275" s="23"/>
      <c r="AB275" s="23"/>
      <c r="AC275" s="23"/>
      <c r="AD275" s="23"/>
      <c r="AE275" s="23"/>
      <c r="AF275" s="23"/>
      <c r="AG275" s="38"/>
      <c r="AH275" s="37"/>
      <c r="AI275" s="37"/>
    </row>
    <row r="276" spans="2:35" x14ac:dyDescent="0.35"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9"/>
      <c r="S276" s="23"/>
      <c r="T276" s="23"/>
      <c r="U276" s="3"/>
      <c r="V276" s="3"/>
      <c r="W276" s="44"/>
      <c r="X276" s="23"/>
      <c r="Y276" s="23"/>
      <c r="Z276" s="23"/>
      <c r="AA276" s="23"/>
      <c r="AB276" s="23"/>
      <c r="AC276" s="23"/>
      <c r="AD276" s="23"/>
      <c r="AE276" s="23"/>
      <c r="AF276" s="23"/>
      <c r="AG276" s="38"/>
      <c r="AH276" s="37"/>
      <c r="AI276" s="37"/>
    </row>
    <row r="277" spans="2:35" x14ac:dyDescent="0.35"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9"/>
      <c r="S277" s="23"/>
      <c r="T277" s="23"/>
      <c r="U277" s="3"/>
      <c r="V277" s="3"/>
      <c r="W277" s="44"/>
      <c r="X277" s="23"/>
      <c r="Y277" s="23"/>
      <c r="Z277" s="23"/>
      <c r="AA277" s="23"/>
      <c r="AB277" s="23"/>
      <c r="AC277" s="23"/>
      <c r="AD277" s="23"/>
      <c r="AE277" s="23"/>
      <c r="AF277" s="23"/>
      <c r="AG277" s="38"/>
      <c r="AH277" s="37"/>
      <c r="AI277" s="37"/>
    </row>
    <row r="278" spans="2:35" x14ac:dyDescent="0.35"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9"/>
      <c r="S278" s="23"/>
      <c r="T278" s="23"/>
      <c r="U278" s="3"/>
      <c r="V278" s="3"/>
      <c r="W278" s="44"/>
      <c r="X278" s="23"/>
      <c r="Y278" s="23"/>
      <c r="Z278" s="23"/>
      <c r="AA278" s="23"/>
      <c r="AB278" s="23"/>
      <c r="AC278" s="23"/>
      <c r="AD278" s="23"/>
      <c r="AE278" s="23"/>
      <c r="AF278" s="23"/>
      <c r="AG278" s="38"/>
      <c r="AH278" s="37"/>
      <c r="AI278" s="37"/>
    </row>
    <row r="279" spans="2:35" x14ac:dyDescent="0.35"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9"/>
      <c r="S279" s="23"/>
      <c r="T279" s="23"/>
      <c r="U279" s="3"/>
      <c r="V279" s="3"/>
      <c r="W279" s="44"/>
      <c r="X279" s="23"/>
      <c r="Y279" s="23"/>
      <c r="Z279" s="23"/>
      <c r="AA279" s="23"/>
      <c r="AB279" s="23"/>
      <c r="AC279" s="23"/>
      <c r="AD279" s="23"/>
      <c r="AE279" s="23"/>
      <c r="AF279" s="23"/>
      <c r="AG279" s="38"/>
      <c r="AH279" s="37"/>
      <c r="AI279" s="37"/>
    </row>
    <row r="280" spans="2:35" x14ac:dyDescent="0.35"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9"/>
      <c r="S280" s="23"/>
      <c r="T280" s="23"/>
      <c r="U280" s="3"/>
      <c r="V280" s="3"/>
      <c r="W280" s="44"/>
      <c r="X280" s="23"/>
      <c r="Y280" s="23"/>
      <c r="Z280" s="23"/>
      <c r="AA280" s="23"/>
      <c r="AB280" s="23"/>
      <c r="AC280" s="23"/>
      <c r="AD280" s="23"/>
      <c r="AE280" s="23"/>
      <c r="AF280" s="23"/>
      <c r="AG280" s="38"/>
      <c r="AH280" s="37"/>
      <c r="AI280" s="37"/>
    </row>
    <row r="281" spans="2:35" x14ac:dyDescent="0.35"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9"/>
      <c r="S281" s="23"/>
      <c r="T281" s="23"/>
      <c r="U281" s="3"/>
      <c r="V281" s="3"/>
      <c r="W281" s="44"/>
      <c r="X281" s="23"/>
      <c r="Y281" s="23"/>
      <c r="Z281" s="23"/>
      <c r="AA281" s="23"/>
      <c r="AB281" s="23"/>
      <c r="AC281" s="23"/>
      <c r="AD281" s="23"/>
      <c r="AE281" s="23"/>
      <c r="AF281" s="23"/>
      <c r="AG281" s="38"/>
      <c r="AH281" s="37"/>
      <c r="AI281" s="37"/>
    </row>
    <row r="282" spans="2:35" x14ac:dyDescent="0.35"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9"/>
      <c r="S282" s="23"/>
      <c r="T282" s="23"/>
      <c r="U282" s="3"/>
      <c r="V282" s="3"/>
      <c r="W282" s="44"/>
      <c r="X282" s="23"/>
      <c r="Y282" s="23"/>
      <c r="Z282" s="23"/>
      <c r="AA282" s="23"/>
      <c r="AB282" s="23"/>
      <c r="AC282" s="23"/>
      <c r="AD282" s="23"/>
      <c r="AE282" s="23"/>
      <c r="AF282" s="23"/>
      <c r="AG282" s="38"/>
      <c r="AH282" s="37"/>
      <c r="AI282" s="37"/>
    </row>
  </sheetData>
  <conditionalFormatting sqref="S1:S2 S86:S87 S29 S92:S98 S89 S68:S72 S60:S62 S66 S74:S77 S23:S27 S4:S13 S15:S21 S51:S55 S31:S49 S283:S1048576 S195">
    <cfRule type="duplicateValues" dxfId="597" priority="1953"/>
  </conditionalFormatting>
  <conditionalFormatting sqref="T1:T2 T86:T87 T29 T92:T98 T89 T68:T72 T60:T62 T66 T74:T77 T23:T27 T4:T13 T15:T21 T51:T55 T31:T49 T283:T1048576 T195">
    <cfRule type="duplicateValues" dxfId="596" priority="1952"/>
  </conditionalFormatting>
  <conditionalFormatting sqref="S78">
    <cfRule type="duplicateValues" dxfId="595" priority="1925"/>
  </conditionalFormatting>
  <conditionalFormatting sqref="T78">
    <cfRule type="duplicateValues" dxfId="594" priority="1924"/>
  </conditionalFormatting>
  <conditionalFormatting sqref="AF86">
    <cfRule type="duplicateValues" dxfId="593" priority="1921"/>
  </conditionalFormatting>
  <conditionalFormatting sqref="AF84">
    <cfRule type="duplicateValues" dxfId="592" priority="1920"/>
  </conditionalFormatting>
  <conditionalFormatting sqref="T85">
    <cfRule type="duplicateValues" dxfId="591" priority="1910"/>
  </conditionalFormatting>
  <conditionalFormatting sqref="U85">
    <cfRule type="duplicateValues" dxfId="590" priority="1909"/>
  </conditionalFormatting>
  <conditionalFormatting sqref="S85">
    <cfRule type="duplicateValues" dxfId="589" priority="1908"/>
  </conditionalFormatting>
  <conditionalFormatting sqref="T85">
    <cfRule type="duplicateValues" dxfId="588" priority="1907"/>
  </conditionalFormatting>
  <conditionalFormatting sqref="S84">
    <cfRule type="duplicateValues" dxfId="587" priority="1906"/>
  </conditionalFormatting>
  <conditionalFormatting sqref="T84">
    <cfRule type="duplicateValues" dxfId="586" priority="1905"/>
  </conditionalFormatting>
  <conditionalFormatting sqref="T91">
    <cfRule type="duplicateValues" dxfId="585" priority="1898"/>
  </conditionalFormatting>
  <conditionalFormatting sqref="U91">
    <cfRule type="duplicateValues" dxfId="584" priority="1897"/>
  </conditionalFormatting>
  <conditionalFormatting sqref="S91">
    <cfRule type="duplicateValues" dxfId="583" priority="1896"/>
  </conditionalFormatting>
  <conditionalFormatting sqref="T91">
    <cfRule type="duplicateValues" dxfId="582" priority="1895"/>
  </conditionalFormatting>
  <conditionalFormatting sqref="S90">
    <cfRule type="duplicateValues" dxfId="581" priority="1890"/>
  </conditionalFormatting>
  <conditionalFormatting sqref="T90">
    <cfRule type="duplicateValues" dxfId="580" priority="1889"/>
  </conditionalFormatting>
  <conditionalFormatting sqref="S79:S80">
    <cfRule type="duplicateValues" dxfId="579" priority="1856"/>
  </conditionalFormatting>
  <conditionalFormatting sqref="T79:T80">
    <cfRule type="duplicateValues" dxfId="578" priority="1855"/>
  </conditionalFormatting>
  <conditionalFormatting sqref="AF91">
    <cfRule type="duplicateValues" dxfId="577" priority="1853"/>
  </conditionalFormatting>
  <conditionalFormatting sqref="S56:S59">
    <cfRule type="duplicateValues" dxfId="576" priority="1850"/>
  </conditionalFormatting>
  <conditionalFormatting sqref="T56:T59">
    <cfRule type="duplicateValues" dxfId="575" priority="1849"/>
  </conditionalFormatting>
  <conditionalFormatting sqref="S63:S65">
    <cfRule type="duplicateValues" dxfId="574" priority="1848"/>
  </conditionalFormatting>
  <conditionalFormatting sqref="T63:T65">
    <cfRule type="duplicateValues" dxfId="573" priority="1847"/>
  </conditionalFormatting>
  <conditionalFormatting sqref="S73">
    <cfRule type="duplicateValues" dxfId="572" priority="1846"/>
  </conditionalFormatting>
  <conditionalFormatting sqref="T73">
    <cfRule type="duplicateValues" dxfId="571" priority="1845"/>
  </conditionalFormatting>
  <conditionalFormatting sqref="S22">
    <cfRule type="duplicateValues" dxfId="570" priority="1844"/>
  </conditionalFormatting>
  <conditionalFormatting sqref="T22">
    <cfRule type="duplicateValues" dxfId="569" priority="1843"/>
  </conditionalFormatting>
  <conditionalFormatting sqref="S3">
    <cfRule type="duplicateValues" dxfId="568" priority="1842"/>
  </conditionalFormatting>
  <conditionalFormatting sqref="T3">
    <cfRule type="duplicateValues" dxfId="567" priority="1841"/>
  </conditionalFormatting>
  <conditionalFormatting sqref="S14">
    <cfRule type="duplicateValues" dxfId="566" priority="1840"/>
  </conditionalFormatting>
  <conditionalFormatting sqref="T14">
    <cfRule type="duplicateValues" dxfId="565" priority="1839"/>
  </conditionalFormatting>
  <conditionalFormatting sqref="S50">
    <cfRule type="duplicateValues" dxfId="564" priority="1838"/>
  </conditionalFormatting>
  <conditionalFormatting sqref="T50">
    <cfRule type="duplicateValues" dxfId="563" priority="1837"/>
  </conditionalFormatting>
  <conditionalFormatting sqref="T83">
    <cfRule type="duplicateValues" dxfId="562" priority="1836"/>
  </conditionalFormatting>
  <conditionalFormatting sqref="U83">
    <cfRule type="duplicateValues" dxfId="561" priority="1835"/>
  </conditionalFormatting>
  <conditionalFormatting sqref="S83">
    <cfRule type="duplicateValues" dxfId="560" priority="1834"/>
  </conditionalFormatting>
  <conditionalFormatting sqref="T83">
    <cfRule type="duplicateValues" dxfId="559" priority="1833"/>
  </conditionalFormatting>
  <conditionalFormatting sqref="T81">
    <cfRule type="duplicateValues" dxfId="558" priority="1832"/>
  </conditionalFormatting>
  <conditionalFormatting sqref="U81">
    <cfRule type="duplicateValues" dxfId="557" priority="1831"/>
  </conditionalFormatting>
  <conditionalFormatting sqref="S81">
    <cfRule type="duplicateValues" dxfId="556" priority="1830"/>
  </conditionalFormatting>
  <conditionalFormatting sqref="T81">
    <cfRule type="duplicateValues" dxfId="555" priority="1829"/>
  </conditionalFormatting>
  <conditionalFormatting sqref="T67">
    <cfRule type="duplicateValues" dxfId="554" priority="1828"/>
  </conditionalFormatting>
  <conditionalFormatting sqref="U67">
    <cfRule type="duplicateValues" dxfId="553" priority="1827"/>
  </conditionalFormatting>
  <conditionalFormatting sqref="S67">
    <cfRule type="duplicateValues" dxfId="552" priority="1826"/>
  </conditionalFormatting>
  <conditionalFormatting sqref="T67">
    <cfRule type="duplicateValues" dxfId="551" priority="1825"/>
  </conditionalFormatting>
  <conditionalFormatting sqref="S82">
    <cfRule type="duplicateValues" dxfId="550" priority="1824"/>
  </conditionalFormatting>
  <conditionalFormatting sqref="T82">
    <cfRule type="duplicateValues" dxfId="549" priority="1823"/>
  </conditionalFormatting>
  <conditionalFormatting sqref="S88">
    <cfRule type="duplicateValues" dxfId="548" priority="1822"/>
  </conditionalFormatting>
  <conditionalFormatting sqref="T88">
    <cfRule type="duplicateValues" dxfId="547" priority="1821"/>
  </conditionalFormatting>
  <conditionalFormatting sqref="T28">
    <cfRule type="duplicateValues" dxfId="546" priority="1816"/>
  </conditionalFormatting>
  <conditionalFormatting sqref="U28">
    <cfRule type="duplicateValues" dxfId="545" priority="1815"/>
  </conditionalFormatting>
  <conditionalFormatting sqref="S28">
    <cfRule type="duplicateValues" dxfId="544" priority="1814"/>
  </conditionalFormatting>
  <conditionalFormatting sqref="T28">
    <cfRule type="duplicateValues" dxfId="543" priority="1813"/>
  </conditionalFormatting>
  <conditionalFormatting sqref="S30">
    <cfRule type="duplicateValues" dxfId="542" priority="1812"/>
  </conditionalFormatting>
  <conditionalFormatting sqref="T30">
    <cfRule type="duplicateValues" dxfId="541" priority="1811"/>
  </conditionalFormatting>
  <conditionalFormatting sqref="U94">
    <cfRule type="duplicateValues" dxfId="540" priority="1810"/>
  </conditionalFormatting>
  <conditionalFormatting sqref="U93">
    <cfRule type="duplicateValues" dxfId="539" priority="1809"/>
  </conditionalFormatting>
  <conditionalFormatting sqref="S119">
    <cfRule type="duplicateValues" dxfId="538" priority="1614"/>
  </conditionalFormatting>
  <conditionalFormatting sqref="T119">
    <cfRule type="duplicateValues" dxfId="537" priority="1613"/>
  </conditionalFormatting>
  <conditionalFormatting sqref="A142">
    <cfRule type="duplicateValues" dxfId="536" priority="1417"/>
  </conditionalFormatting>
  <conditionalFormatting sqref="A142">
    <cfRule type="duplicateValues" dxfId="535" priority="1416"/>
  </conditionalFormatting>
  <conditionalFormatting sqref="S142">
    <cfRule type="duplicateValues" dxfId="534" priority="1415"/>
  </conditionalFormatting>
  <conditionalFormatting sqref="T142">
    <cfRule type="duplicateValues" dxfId="533" priority="1414"/>
  </conditionalFormatting>
  <conditionalFormatting sqref="A148">
    <cfRule type="duplicateValues" dxfId="532" priority="1369"/>
  </conditionalFormatting>
  <conditionalFormatting sqref="A148">
    <cfRule type="duplicateValues" dxfId="531" priority="1368"/>
  </conditionalFormatting>
  <conditionalFormatting sqref="S148">
    <cfRule type="duplicateValues" dxfId="530" priority="1367"/>
  </conditionalFormatting>
  <conditionalFormatting sqref="T148">
    <cfRule type="duplicateValues" dxfId="529" priority="1366"/>
  </conditionalFormatting>
  <conditionalFormatting sqref="AF148">
    <cfRule type="duplicateValues" dxfId="528" priority="1343"/>
  </conditionalFormatting>
  <conditionalFormatting sqref="AD199">
    <cfRule type="duplicateValues" dxfId="527" priority="1167"/>
  </conditionalFormatting>
  <conditionalFormatting sqref="AD200">
    <cfRule type="duplicateValues" dxfId="526" priority="1166"/>
  </conditionalFormatting>
  <conditionalFormatting sqref="S195">
    <cfRule type="duplicateValues" dxfId="525" priority="2132"/>
  </conditionalFormatting>
  <conditionalFormatting sqref="T195">
    <cfRule type="duplicateValues" dxfId="524" priority="2141"/>
  </conditionalFormatting>
  <conditionalFormatting sqref="AF200">
    <cfRule type="duplicateValues" dxfId="523" priority="1160"/>
  </conditionalFormatting>
  <conditionalFormatting sqref="S195">
    <cfRule type="duplicateValues" dxfId="522" priority="1150"/>
  </conditionalFormatting>
  <conditionalFormatting sqref="T195">
    <cfRule type="duplicateValues" dxfId="521" priority="1149"/>
  </conditionalFormatting>
  <conditionalFormatting sqref="AD198">
    <cfRule type="duplicateValues" dxfId="520" priority="1126"/>
  </conditionalFormatting>
  <conditionalFormatting sqref="AD199">
    <cfRule type="duplicateValues" dxfId="519" priority="1125"/>
  </conditionalFormatting>
  <conditionalFormatting sqref="AF199">
    <cfRule type="duplicateValues" dxfId="518" priority="1121"/>
  </conditionalFormatting>
  <conditionalFormatting sqref="AD195">
    <cfRule type="duplicateValues" dxfId="517" priority="979"/>
  </conditionalFormatting>
  <conditionalFormatting sqref="AD199">
    <cfRule type="duplicateValues" dxfId="516" priority="977"/>
  </conditionalFormatting>
  <conditionalFormatting sqref="AD200">
    <cfRule type="duplicateValues" dxfId="515" priority="976"/>
  </conditionalFormatting>
  <conditionalFormatting sqref="AF199">
    <cfRule type="duplicateValues" dxfId="514" priority="973"/>
  </conditionalFormatting>
  <conditionalFormatting sqref="AF200">
    <cfRule type="duplicateValues" dxfId="513" priority="972"/>
  </conditionalFormatting>
  <conditionalFormatting sqref="AD198">
    <cfRule type="duplicateValues" dxfId="512" priority="962"/>
  </conditionalFormatting>
  <conditionalFormatting sqref="AD199">
    <cfRule type="duplicateValues" dxfId="511" priority="961"/>
  </conditionalFormatting>
  <conditionalFormatting sqref="AD200">
    <cfRule type="duplicateValues" dxfId="510" priority="960"/>
  </conditionalFormatting>
  <conditionalFormatting sqref="AF198">
    <cfRule type="duplicateValues" dxfId="509" priority="959"/>
  </conditionalFormatting>
  <conditionalFormatting sqref="AF199">
    <cfRule type="duplicateValues" dxfId="508" priority="958"/>
  </conditionalFormatting>
  <conditionalFormatting sqref="AD195">
    <cfRule type="duplicateValues" dxfId="507" priority="949"/>
  </conditionalFormatting>
  <conditionalFormatting sqref="AD198">
    <cfRule type="duplicateValues" dxfId="506" priority="948"/>
  </conditionalFormatting>
  <conditionalFormatting sqref="AD199">
    <cfRule type="duplicateValues" dxfId="505" priority="947"/>
  </conditionalFormatting>
  <conditionalFormatting sqref="AD200">
    <cfRule type="duplicateValues" dxfId="504" priority="946"/>
  </conditionalFormatting>
  <conditionalFormatting sqref="AF195">
    <cfRule type="duplicateValues" dxfId="503" priority="945"/>
  </conditionalFormatting>
  <conditionalFormatting sqref="AF198">
    <cfRule type="duplicateValues" dxfId="502" priority="944"/>
  </conditionalFormatting>
  <conditionalFormatting sqref="AF199">
    <cfRule type="duplicateValues" dxfId="501" priority="943"/>
  </conditionalFormatting>
  <conditionalFormatting sqref="AD198">
    <cfRule type="duplicateValues" dxfId="500" priority="941"/>
  </conditionalFormatting>
  <conditionalFormatting sqref="AD199">
    <cfRule type="duplicateValues" dxfId="499" priority="940"/>
  </conditionalFormatting>
  <conditionalFormatting sqref="AF198">
    <cfRule type="duplicateValues" dxfId="498" priority="938"/>
  </conditionalFormatting>
  <conditionalFormatting sqref="AF200">
    <cfRule type="duplicateValues" dxfId="497" priority="933"/>
  </conditionalFormatting>
  <conditionalFormatting sqref="S198 S203:S204 S210 S214">
    <cfRule type="duplicateValues" dxfId="496" priority="925"/>
  </conditionalFormatting>
  <conditionalFormatting sqref="T198 T203:T204 T210 T214">
    <cfRule type="duplicateValues" dxfId="495" priority="924"/>
  </conditionalFormatting>
  <conditionalFormatting sqref="S198">
    <cfRule type="duplicateValues" dxfId="494" priority="926"/>
  </conditionalFormatting>
  <conditionalFormatting sqref="T198">
    <cfRule type="duplicateValues" dxfId="493" priority="927"/>
  </conditionalFormatting>
  <conditionalFormatting sqref="S198">
    <cfRule type="duplicateValues" dxfId="492" priority="923"/>
  </conditionalFormatting>
  <conditionalFormatting sqref="T198">
    <cfRule type="duplicateValues" dxfId="491" priority="922"/>
  </conditionalFormatting>
  <conditionalFormatting sqref="S200">
    <cfRule type="duplicateValues" dxfId="490" priority="893"/>
  </conditionalFormatting>
  <conditionalFormatting sqref="T200">
    <cfRule type="duplicateValues" dxfId="489" priority="892"/>
  </conditionalFormatting>
  <conditionalFormatting sqref="S200">
    <cfRule type="duplicateValues" dxfId="488" priority="891"/>
  </conditionalFormatting>
  <conditionalFormatting sqref="T200">
    <cfRule type="duplicateValues" dxfId="487" priority="890"/>
  </conditionalFormatting>
  <conditionalFormatting sqref="S200">
    <cfRule type="duplicateValues" dxfId="486" priority="889"/>
  </conditionalFormatting>
  <conditionalFormatting sqref="T200">
    <cfRule type="duplicateValues" dxfId="485" priority="888"/>
  </conditionalFormatting>
  <conditionalFormatting sqref="S200">
    <cfRule type="duplicateValues" dxfId="484" priority="894"/>
  </conditionalFormatting>
  <conditionalFormatting sqref="T200">
    <cfRule type="duplicateValues" dxfId="483" priority="895"/>
  </conditionalFormatting>
  <conditionalFormatting sqref="S199">
    <cfRule type="duplicateValues" dxfId="482" priority="879"/>
  </conditionalFormatting>
  <conditionalFormatting sqref="T199">
    <cfRule type="duplicateValues" dxfId="481" priority="878"/>
  </conditionalFormatting>
  <conditionalFormatting sqref="S199">
    <cfRule type="duplicateValues" dxfId="480" priority="877"/>
  </conditionalFormatting>
  <conditionalFormatting sqref="T199">
    <cfRule type="duplicateValues" dxfId="479" priority="876"/>
  </conditionalFormatting>
  <conditionalFormatting sqref="S199">
    <cfRule type="duplicateValues" dxfId="478" priority="875"/>
  </conditionalFormatting>
  <conditionalFormatting sqref="T199">
    <cfRule type="duplicateValues" dxfId="477" priority="874"/>
  </conditionalFormatting>
  <conditionalFormatting sqref="S199">
    <cfRule type="duplicateValues" dxfId="476" priority="873"/>
  </conditionalFormatting>
  <conditionalFormatting sqref="T199">
    <cfRule type="duplicateValues" dxfId="475" priority="872"/>
  </conditionalFormatting>
  <conditionalFormatting sqref="AF201">
    <cfRule type="duplicateValues" dxfId="474" priority="862"/>
  </conditionalFormatting>
  <conditionalFormatting sqref="AF201">
    <cfRule type="duplicateValues" dxfId="473" priority="860"/>
  </conditionalFormatting>
  <conditionalFormatting sqref="AF201">
    <cfRule type="duplicateValues" dxfId="472" priority="857"/>
  </conditionalFormatting>
  <conditionalFormatting sqref="S201">
    <cfRule type="duplicateValues" dxfId="471" priority="854"/>
  </conditionalFormatting>
  <conditionalFormatting sqref="T201">
    <cfRule type="duplicateValues" dxfId="470" priority="853"/>
  </conditionalFormatting>
  <conditionalFormatting sqref="S201">
    <cfRule type="duplicateValues" dxfId="469" priority="852"/>
  </conditionalFormatting>
  <conditionalFormatting sqref="T201">
    <cfRule type="duplicateValues" dxfId="468" priority="851"/>
  </conditionalFormatting>
  <conditionalFormatting sqref="S201">
    <cfRule type="duplicateValues" dxfId="467" priority="850"/>
  </conditionalFormatting>
  <conditionalFormatting sqref="T201">
    <cfRule type="duplicateValues" dxfId="466" priority="849"/>
  </conditionalFormatting>
  <conditionalFormatting sqref="S201">
    <cfRule type="duplicateValues" dxfId="465" priority="855"/>
  </conditionalFormatting>
  <conditionalFormatting sqref="T201">
    <cfRule type="duplicateValues" dxfId="464" priority="856"/>
  </conditionalFormatting>
  <conditionalFormatting sqref="AD201">
    <cfRule type="duplicateValues" dxfId="463" priority="848"/>
  </conditionalFormatting>
  <conditionalFormatting sqref="AD201">
    <cfRule type="duplicateValues" dxfId="462" priority="847"/>
  </conditionalFormatting>
  <conditionalFormatting sqref="AD201">
    <cfRule type="duplicateValues" dxfId="461" priority="846"/>
  </conditionalFormatting>
  <conditionalFormatting sqref="AD201">
    <cfRule type="duplicateValues" dxfId="460" priority="845"/>
  </conditionalFormatting>
  <conditionalFormatting sqref="S202">
    <cfRule type="duplicateValues" dxfId="459" priority="842"/>
  </conditionalFormatting>
  <conditionalFormatting sqref="T202">
    <cfRule type="duplicateValues" dxfId="458" priority="841"/>
  </conditionalFormatting>
  <conditionalFormatting sqref="S202">
    <cfRule type="duplicateValues" dxfId="457" priority="840"/>
  </conditionalFormatting>
  <conditionalFormatting sqref="T202">
    <cfRule type="duplicateValues" dxfId="456" priority="839"/>
  </conditionalFormatting>
  <conditionalFormatting sqref="S202">
    <cfRule type="duplicateValues" dxfId="455" priority="838"/>
  </conditionalFormatting>
  <conditionalFormatting sqref="T202">
    <cfRule type="duplicateValues" dxfId="454" priority="837"/>
  </conditionalFormatting>
  <conditionalFormatting sqref="S202">
    <cfRule type="duplicateValues" dxfId="453" priority="843"/>
  </conditionalFormatting>
  <conditionalFormatting sqref="T202">
    <cfRule type="duplicateValues" dxfId="452" priority="844"/>
  </conditionalFormatting>
  <conditionalFormatting sqref="AD202">
    <cfRule type="duplicateValues" dxfId="451" priority="836"/>
  </conditionalFormatting>
  <conditionalFormatting sqref="AD203">
    <cfRule type="duplicateValues" dxfId="450" priority="834"/>
  </conditionalFormatting>
  <conditionalFormatting sqref="AF203">
    <cfRule type="duplicateValues" dxfId="449" priority="833"/>
  </conditionalFormatting>
  <conditionalFormatting sqref="S205">
    <cfRule type="duplicateValues" dxfId="448" priority="823"/>
  </conditionalFormatting>
  <conditionalFormatting sqref="T205">
    <cfRule type="duplicateValues" dxfId="447" priority="822"/>
  </conditionalFormatting>
  <conditionalFormatting sqref="S205">
    <cfRule type="duplicateValues" dxfId="446" priority="824"/>
  </conditionalFormatting>
  <conditionalFormatting sqref="T205">
    <cfRule type="duplicateValues" dxfId="445" priority="825"/>
  </conditionalFormatting>
  <conditionalFormatting sqref="S205">
    <cfRule type="duplicateValues" dxfId="444" priority="821"/>
  </conditionalFormatting>
  <conditionalFormatting sqref="T205">
    <cfRule type="duplicateValues" dxfId="443" priority="820"/>
  </conditionalFormatting>
  <conditionalFormatting sqref="AD205">
    <cfRule type="duplicateValues" dxfId="442" priority="819"/>
  </conditionalFormatting>
  <conditionalFormatting sqref="AD205">
    <cfRule type="duplicateValues" dxfId="441" priority="818"/>
  </conditionalFormatting>
  <conditionalFormatting sqref="AD205">
    <cfRule type="duplicateValues" dxfId="440" priority="817"/>
  </conditionalFormatting>
  <conditionalFormatting sqref="AD205">
    <cfRule type="duplicateValues" dxfId="439" priority="816"/>
  </conditionalFormatting>
  <conditionalFormatting sqref="AF205">
    <cfRule type="duplicateValues" dxfId="438" priority="814"/>
  </conditionalFormatting>
  <conditionalFormatting sqref="S237:S282">
    <cfRule type="duplicateValues" dxfId="437" priority="811"/>
  </conditionalFormatting>
  <conditionalFormatting sqref="T237:T282">
    <cfRule type="duplicateValues" dxfId="436" priority="810"/>
  </conditionalFormatting>
  <conditionalFormatting sqref="AD210 AD214">
    <cfRule type="duplicateValues" dxfId="435" priority="790"/>
  </conditionalFormatting>
  <conditionalFormatting sqref="AD210">
    <cfRule type="duplicateValues" dxfId="434" priority="789"/>
  </conditionalFormatting>
  <conditionalFormatting sqref="AD210">
    <cfRule type="duplicateValues" dxfId="433" priority="788"/>
  </conditionalFormatting>
  <conditionalFormatting sqref="AD210">
    <cfRule type="duplicateValues" dxfId="432" priority="787"/>
  </conditionalFormatting>
  <conditionalFormatting sqref="AD204">
    <cfRule type="duplicateValues" dxfId="431" priority="782"/>
  </conditionalFormatting>
  <conditionalFormatting sqref="AD204">
    <cfRule type="duplicateValues" dxfId="430" priority="781"/>
  </conditionalFormatting>
  <conditionalFormatting sqref="AD204">
    <cfRule type="duplicateValues" dxfId="429" priority="780"/>
  </conditionalFormatting>
  <conditionalFormatting sqref="AD204">
    <cfRule type="duplicateValues" dxfId="428" priority="779"/>
  </conditionalFormatting>
  <conditionalFormatting sqref="AF204">
    <cfRule type="duplicateValues" dxfId="427" priority="778"/>
  </conditionalFormatting>
  <conditionalFormatting sqref="AD206:AD207">
    <cfRule type="duplicateValues" dxfId="426" priority="771"/>
  </conditionalFormatting>
  <conditionalFormatting sqref="AD206:AD207">
    <cfRule type="duplicateValues" dxfId="425" priority="770"/>
  </conditionalFormatting>
  <conditionalFormatting sqref="AD206:AD207">
    <cfRule type="duplicateValues" dxfId="424" priority="769"/>
  </conditionalFormatting>
  <conditionalFormatting sqref="AD206:AD207">
    <cfRule type="duplicateValues" dxfId="423" priority="768"/>
  </conditionalFormatting>
  <conditionalFormatting sqref="AF206:AF207">
    <cfRule type="duplicateValues" dxfId="422" priority="767"/>
  </conditionalFormatting>
  <conditionalFormatting sqref="S211">
    <cfRule type="duplicateValues" dxfId="421" priority="764"/>
  </conditionalFormatting>
  <conditionalFormatting sqref="T211">
    <cfRule type="duplicateValues" dxfId="420" priority="763"/>
  </conditionalFormatting>
  <conditionalFormatting sqref="S211">
    <cfRule type="duplicateValues" dxfId="419" priority="765"/>
  </conditionalFormatting>
  <conditionalFormatting sqref="T211">
    <cfRule type="duplicateValues" dxfId="418" priority="766"/>
  </conditionalFormatting>
  <conditionalFormatting sqref="S211">
    <cfRule type="duplicateValues" dxfId="417" priority="762"/>
  </conditionalFormatting>
  <conditionalFormatting sqref="T211">
    <cfRule type="duplicateValues" dxfId="416" priority="761"/>
  </conditionalFormatting>
  <conditionalFormatting sqref="AD211">
    <cfRule type="duplicateValues" dxfId="415" priority="760"/>
  </conditionalFormatting>
  <conditionalFormatting sqref="AD211">
    <cfRule type="duplicateValues" dxfId="414" priority="759"/>
  </conditionalFormatting>
  <conditionalFormatting sqref="AD211">
    <cfRule type="duplicateValues" dxfId="413" priority="758"/>
  </conditionalFormatting>
  <conditionalFormatting sqref="AD211">
    <cfRule type="duplicateValues" dxfId="412" priority="757"/>
  </conditionalFormatting>
  <conditionalFormatting sqref="AF211">
    <cfRule type="duplicateValues" dxfId="411" priority="756"/>
  </conditionalFormatting>
  <conditionalFormatting sqref="S218">
    <cfRule type="duplicateValues" dxfId="410" priority="753"/>
  </conditionalFormatting>
  <conditionalFormatting sqref="T218">
    <cfRule type="duplicateValues" dxfId="409" priority="752"/>
  </conditionalFormatting>
  <conditionalFormatting sqref="S218">
    <cfRule type="duplicateValues" dxfId="408" priority="754"/>
  </conditionalFormatting>
  <conditionalFormatting sqref="T218">
    <cfRule type="duplicateValues" dxfId="407" priority="755"/>
  </conditionalFormatting>
  <conditionalFormatting sqref="S218">
    <cfRule type="duplicateValues" dxfId="406" priority="751"/>
  </conditionalFormatting>
  <conditionalFormatting sqref="T218">
    <cfRule type="duplicateValues" dxfId="405" priority="750"/>
  </conditionalFormatting>
  <conditionalFormatting sqref="AD218">
    <cfRule type="duplicateValues" dxfId="404" priority="749"/>
  </conditionalFormatting>
  <conditionalFormatting sqref="AD218">
    <cfRule type="duplicateValues" dxfId="403" priority="748"/>
  </conditionalFormatting>
  <conditionalFormatting sqref="AD218">
    <cfRule type="duplicateValues" dxfId="402" priority="747"/>
  </conditionalFormatting>
  <conditionalFormatting sqref="AD218">
    <cfRule type="duplicateValues" dxfId="401" priority="746"/>
  </conditionalFormatting>
  <conditionalFormatting sqref="AF218">
    <cfRule type="duplicateValues" dxfId="400" priority="745"/>
  </conditionalFormatting>
  <conditionalFormatting sqref="AD220">
    <cfRule type="duplicateValues" dxfId="399" priority="732"/>
  </conditionalFormatting>
  <conditionalFormatting sqref="AD220">
    <cfRule type="duplicateValues" dxfId="398" priority="731"/>
  </conditionalFormatting>
  <conditionalFormatting sqref="AD220">
    <cfRule type="duplicateValues" dxfId="397" priority="730"/>
  </conditionalFormatting>
  <conditionalFormatting sqref="AD220">
    <cfRule type="duplicateValues" dxfId="396" priority="729"/>
  </conditionalFormatting>
  <conditionalFormatting sqref="AF220">
    <cfRule type="duplicateValues" dxfId="395" priority="728"/>
  </conditionalFormatting>
  <conditionalFormatting sqref="S206">
    <cfRule type="duplicateValues" dxfId="394" priority="718"/>
  </conditionalFormatting>
  <conditionalFormatting sqref="T206">
    <cfRule type="duplicateValues" dxfId="393" priority="717"/>
  </conditionalFormatting>
  <conditionalFormatting sqref="S206">
    <cfRule type="duplicateValues" dxfId="392" priority="719"/>
  </conditionalFormatting>
  <conditionalFormatting sqref="T206">
    <cfRule type="duplicateValues" dxfId="391" priority="720"/>
  </conditionalFormatting>
  <conditionalFormatting sqref="S206">
    <cfRule type="duplicateValues" dxfId="390" priority="716"/>
  </conditionalFormatting>
  <conditionalFormatting sqref="T206">
    <cfRule type="duplicateValues" dxfId="389" priority="715"/>
  </conditionalFormatting>
  <conditionalFormatting sqref="S207">
    <cfRule type="duplicateValues" dxfId="388" priority="712"/>
  </conditionalFormatting>
  <conditionalFormatting sqref="T207">
    <cfRule type="duplicateValues" dxfId="387" priority="711"/>
  </conditionalFormatting>
  <conditionalFormatting sqref="S207">
    <cfRule type="duplicateValues" dxfId="386" priority="713"/>
  </conditionalFormatting>
  <conditionalFormatting sqref="T207">
    <cfRule type="duplicateValues" dxfId="385" priority="714"/>
  </conditionalFormatting>
  <conditionalFormatting sqref="S207">
    <cfRule type="duplicateValues" dxfId="384" priority="710"/>
  </conditionalFormatting>
  <conditionalFormatting sqref="T207">
    <cfRule type="duplicateValues" dxfId="383" priority="709"/>
  </conditionalFormatting>
  <conditionalFormatting sqref="T99:T118">
    <cfRule type="duplicateValues" dxfId="382" priority="708"/>
  </conditionalFormatting>
  <conditionalFormatting sqref="U99:U118">
    <cfRule type="duplicateValues" dxfId="381" priority="707"/>
  </conditionalFormatting>
  <conditionalFormatting sqref="S99:S118">
    <cfRule type="duplicateValues" dxfId="380" priority="706"/>
  </conditionalFormatting>
  <conditionalFormatting sqref="T99:T118">
    <cfRule type="duplicateValues" dxfId="379" priority="705"/>
  </conditionalFormatting>
  <conditionalFormatting sqref="T120:T122">
    <cfRule type="duplicateValues" dxfId="378" priority="704"/>
  </conditionalFormatting>
  <conditionalFormatting sqref="U120:U122">
    <cfRule type="duplicateValues" dxfId="377" priority="703"/>
  </conditionalFormatting>
  <conditionalFormatting sqref="S120:S122">
    <cfRule type="duplicateValues" dxfId="376" priority="702"/>
  </conditionalFormatting>
  <conditionalFormatting sqref="T120:T122">
    <cfRule type="duplicateValues" dxfId="375" priority="701"/>
  </conditionalFormatting>
  <conditionalFormatting sqref="T124:T141">
    <cfRule type="duplicateValues" dxfId="374" priority="700"/>
  </conditionalFormatting>
  <conditionalFormatting sqref="U124:U141">
    <cfRule type="duplicateValues" dxfId="373" priority="699"/>
  </conditionalFormatting>
  <conditionalFormatting sqref="S124:S141">
    <cfRule type="duplicateValues" dxfId="372" priority="698"/>
  </conditionalFormatting>
  <conditionalFormatting sqref="T124:T141">
    <cfRule type="duplicateValues" dxfId="371" priority="697"/>
  </conditionalFormatting>
  <conditionalFormatting sqref="T143:T147">
    <cfRule type="duplicateValues" dxfId="370" priority="696"/>
  </conditionalFormatting>
  <conditionalFormatting sqref="U143:U147">
    <cfRule type="duplicateValues" dxfId="369" priority="695"/>
  </conditionalFormatting>
  <conditionalFormatting sqref="S143:S147">
    <cfRule type="duplicateValues" dxfId="368" priority="694"/>
  </conditionalFormatting>
  <conditionalFormatting sqref="T143:T147">
    <cfRule type="duplicateValues" dxfId="367" priority="693"/>
  </conditionalFormatting>
  <conditionalFormatting sqref="T149:T167 T172:T178 T169:T170 T185:T190 T180:T183">
    <cfRule type="duplicateValues" dxfId="366" priority="692"/>
  </conditionalFormatting>
  <conditionalFormatting sqref="U149:U167 U169:U178 U185:U190 U180:U183">
    <cfRule type="duplicateValues" dxfId="365" priority="691"/>
  </conditionalFormatting>
  <conditionalFormatting sqref="S149:S167 S172:S178 S169:S170 S185:S190 S180:S183">
    <cfRule type="duplicateValues" dxfId="364" priority="690"/>
  </conditionalFormatting>
  <conditionalFormatting sqref="T149:T167">
    <cfRule type="duplicateValues" dxfId="363" priority="689"/>
  </conditionalFormatting>
  <conditionalFormatting sqref="T192:T194">
    <cfRule type="duplicateValues" dxfId="362" priority="688"/>
  </conditionalFormatting>
  <conditionalFormatting sqref="U192:U194">
    <cfRule type="duplicateValues" dxfId="361" priority="687"/>
  </conditionalFormatting>
  <conditionalFormatting sqref="S192:S194">
    <cfRule type="duplicateValues" dxfId="360" priority="686"/>
  </conditionalFormatting>
  <conditionalFormatting sqref="T192:T194">
    <cfRule type="duplicateValues" dxfId="359" priority="685"/>
  </conditionalFormatting>
  <conditionalFormatting sqref="T196">
    <cfRule type="duplicateValues" dxfId="358" priority="684"/>
  </conditionalFormatting>
  <conditionalFormatting sqref="U196">
    <cfRule type="duplicateValues" dxfId="357" priority="683"/>
  </conditionalFormatting>
  <conditionalFormatting sqref="S196">
    <cfRule type="duplicateValues" dxfId="356" priority="682"/>
  </conditionalFormatting>
  <conditionalFormatting sqref="T196">
    <cfRule type="duplicateValues" dxfId="355" priority="681"/>
  </conditionalFormatting>
  <conditionalFormatting sqref="AF210">
    <cfRule type="duplicateValues" dxfId="354" priority="680"/>
  </conditionalFormatting>
  <conditionalFormatting sqref="AF215">
    <cfRule type="duplicateValues" dxfId="353" priority="678"/>
  </conditionalFormatting>
  <conditionalFormatting sqref="AD215">
    <cfRule type="duplicateValues" dxfId="352" priority="677"/>
  </conditionalFormatting>
  <conditionalFormatting sqref="AD215">
    <cfRule type="duplicateValues" dxfId="351" priority="676"/>
  </conditionalFormatting>
  <conditionalFormatting sqref="AD215">
    <cfRule type="duplicateValues" dxfId="350" priority="675"/>
  </conditionalFormatting>
  <conditionalFormatting sqref="AD215">
    <cfRule type="duplicateValues" dxfId="349" priority="674"/>
  </conditionalFormatting>
  <conditionalFormatting sqref="S215">
    <cfRule type="duplicateValues" dxfId="348" priority="651"/>
  </conditionalFormatting>
  <conditionalFormatting sqref="T215">
    <cfRule type="duplicateValues" dxfId="347" priority="650"/>
  </conditionalFormatting>
  <conditionalFormatting sqref="S215">
    <cfRule type="duplicateValues" dxfId="346" priority="652"/>
  </conditionalFormatting>
  <conditionalFormatting sqref="T215">
    <cfRule type="duplicateValues" dxfId="345" priority="653"/>
  </conditionalFormatting>
  <conditionalFormatting sqref="S215">
    <cfRule type="duplicateValues" dxfId="344" priority="649"/>
  </conditionalFormatting>
  <conditionalFormatting sqref="T215">
    <cfRule type="duplicateValues" dxfId="343" priority="648"/>
  </conditionalFormatting>
  <conditionalFormatting sqref="S220">
    <cfRule type="duplicateValues" dxfId="342" priority="645"/>
  </conditionalFormatting>
  <conditionalFormatting sqref="T220">
    <cfRule type="duplicateValues" dxfId="341" priority="644"/>
  </conditionalFormatting>
  <conditionalFormatting sqref="S220">
    <cfRule type="duplicateValues" dxfId="340" priority="646"/>
  </conditionalFormatting>
  <conditionalFormatting sqref="T220">
    <cfRule type="duplicateValues" dxfId="339" priority="647"/>
  </conditionalFormatting>
  <conditionalFormatting sqref="S220">
    <cfRule type="duplicateValues" dxfId="338" priority="643"/>
  </conditionalFormatting>
  <conditionalFormatting sqref="T220">
    <cfRule type="duplicateValues" dxfId="337" priority="642"/>
  </conditionalFormatting>
  <conditionalFormatting sqref="U222">
    <cfRule type="duplicateValues" dxfId="336" priority="640"/>
  </conditionalFormatting>
  <conditionalFormatting sqref="U222">
    <cfRule type="duplicateValues" dxfId="335" priority="551"/>
  </conditionalFormatting>
  <conditionalFormatting sqref="S222">
    <cfRule type="duplicateValues" dxfId="334" priority="537"/>
  </conditionalFormatting>
  <conditionalFormatting sqref="T222">
    <cfRule type="duplicateValues" dxfId="333" priority="536"/>
  </conditionalFormatting>
  <conditionalFormatting sqref="S222">
    <cfRule type="duplicateValues" dxfId="332" priority="538"/>
  </conditionalFormatting>
  <conditionalFormatting sqref="T222">
    <cfRule type="duplicateValues" dxfId="331" priority="539"/>
  </conditionalFormatting>
  <conditionalFormatting sqref="S222">
    <cfRule type="duplicateValues" dxfId="330" priority="535"/>
  </conditionalFormatting>
  <conditionalFormatting sqref="T222">
    <cfRule type="duplicateValues" dxfId="329" priority="534"/>
  </conditionalFormatting>
  <conditionalFormatting sqref="AD224">
    <cfRule type="duplicateValues" dxfId="328" priority="479"/>
  </conditionalFormatting>
  <conditionalFormatting sqref="AD224">
    <cfRule type="duplicateValues" dxfId="327" priority="478"/>
  </conditionalFormatting>
  <conditionalFormatting sqref="AD224">
    <cfRule type="duplicateValues" dxfId="326" priority="477"/>
  </conditionalFormatting>
  <conditionalFormatting sqref="AD224">
    <cfRule type="duplicateValues" dxfId="325" priority="476"/>
  </conditionalFormatting>
  <conditionalFormatting sqref="AF224">
    <cfRule type="duplicateValues" dxfId="324" priority="475"/>
  </conditionalFormatting>
  <conditionalFormatting sqref="S224">
    <cfRule type="duplicateValues" dxfId="323" priority="472"/>
  </conditionalFormatting>
  <conditionalFormatting sqref="T224">
    <cfRule type="duplicateValues" dxfId="322" priority="471"/>
  </conditionalFormatting>
  <conditionalFormatting sqref="S224">
    <cfRule type="duplicateValues" dxfId="321" priority="473"/>
  </conditionalFormatting>
  <conditionalFormatting sqref="T224">
    <cfRule type="duplicateValues" dxfId="320" priority="474"/>
  </conditionalFormatting>
  <conditionalFormatting sqref="S224">
    <cfRule type="duplicateValues" dxfId="319" priority="470"/>
  </conditionalFormatting>
  <conditionalFormatting sqref="T224">
    <cfRule type="duplicateValues" dxfId="318" priority="469"/>
  </conditionalFormatting>
  <conditionalFormatting sqref="AD171">
    <cfRule type="duplicateValues" dxfId="317" priority="454"/>
  </conditionalFormatting>
  <conditionalFormatting sqref="AD226:AD227 AD229">
    <cfRule type="duplicateValues" dxfId="316" priority="448"/>
  </conditionalFormatting>
  <conditionalFormatting sqref="AD226:AD227">
    <cfRule type="duplicateValues" dxfId="315" priority="447"/>
  </conditionalFormatting>
  <conditionalFormatting sqref="AD226:AD227">
    <cfRule type="duplicateValues" dxfId="314" priority="446"/>
  </conditionalFormatting>
  <conditionalFormatting sqref="AD226:AD227">
    <cfRule type="duplicateValues" dxfId="313" priority="445"/>
  </conditionalFormatting>
  <conditionalFormatting sqref="AF226 AF229">
    <cfRule type="duplicateValues" dxfId="312" priority="444"/>
  </conditionalFormatting>
  <conditionalFormatting sqref="S226:S227 S229">
    <cfRule type="duplicateValues" dxfId="311" priority="441"/>
  </conditionalFormatting>
  <conditionalFormatting sqref="T226:T227 T229">
    <cfRule type="duplicateValues" dxfId="310" priority="440"/>
  </conditionalFormatting>
  <conditionalFormatting sqref="S226:S227">
    <cfRule type="duplicateValues" dxfId="309" priority="442"/>
  </conditionalFormatting>
  <conditionalFormatting sqref="T226:T227">
    <cfRule type="duplicateValues" dxfId="308" priority="443"/>
  </conditionalFormatting>
  <conditionalFormatting sqref="S226:S227">
    <cfRule type="duplicateValues" dxfId="307" priority="439"/>
  </conditionalFormatting>
  <conditionalFormatting sqref="T226:T227">
    <cfRule type="duplicateValues" dxfId="306" priority="438"/>
  </conditionalFormatting>
  <conditionalFormatting sqref="AF227">
    <cfRule type="duplicateValues" dxfId="305" priority="437"/>
  </conditionalFormatting>
  <conditionalFormatting sqref="U191">
    <cfRule type="duplicateValues" dxfId="304" priority="412"/>
  </conditionalFormatting>
  <conditionalFormatting sqref="T191">
    <cfRule type="duplicateValues" dxfId="303" priority="411"/>
  </conditionalFormatting>
  <conditionalFormatting sqref="S191">
    <cfRule type="duplicateValues" dxfId="302" priority="410"/>
  </conditionalFormatting>
  <conditionalFormatting sqref="T191">
    <cfRule type="duplicateValues" dxfId="301" priority="409"/>
  </conditionalFormatting>
  <conditionalFormatting sqref="S208">
    <cfRule type="duplicateValues" dxfId="300" priority="341"/>
  </conditionalFormatting>
  <conditionalFormatting sqref="T208">
    <cfRule type="duplicateValues" dxfId="299" priority="340"/>
  </conditionalFormatting>
  <conditionalFormatting sqref="S208">
    <cfRule type="duplicateValues" dxfId="298" priority="342"/>
  </conditionalFormatting>
  <conditionalFormatting sqref="T208">
    <cfRule type="duplicateValues" dxfId="297" priority="343"/>
  </conditionalFormatting>
  <conditionalFormatting sqref="S208">
    <cfRule type="duplicateValues" dxfId="296" priority="339"/>
  </conditionalFormatting>
  <conditionalFormatting sqref="T208">
    <cfRule type="duplicateValues" dxfId="295" priority="338"/>
  </conditionalFormatting>
  <conditionalFormatting sqref="AD208">
    <cfRule type="duplicateValues" dxfId="294" priority="337"/>
  </conditionalFormatting>
  <conditionalFormatting sqref="AD208">
    <cfRule type="duplicateValues" dxfId="293" priority="336"/>
  </conditionalFormatting>
  <conditionalFormatting sqref="AD208">
    <cfRule type="duplicateValues" dxfId="292" priority="335"/>
  </conditionalFormatting>
  <conditionalFormatting sqref="AD208">
    <cfRule type="duplicateValues" dxfId="291" priority="334"/>
  </conditionalFormatting>
  <conditionalFormatting sqref="AF208">
    <cfRule type="duplicateValues" dxfId="290" priority="333"/>
  </conditionalFormatting>
  <conditionalFormatting sqref="S219">
    <cfRule type="duplicateValues" dxfId="289" priority="319"/>
  </conditionalFormatting>
  <conditionalFormatting sqref="T219">
    <cfRule type="duplicateValues" dxfId="288" priority="318"/>
  </conditionalFormatting>
  <conditionalFormatting sqref="S219">
    <cfRule type="duplicateValues" dxfId="287" priority="320"/>
  </conditionalFormatting>
  <conditionalFormatting sqref="T219">
    <cfRule type="duplicateValues" dxfId="286" priority="321"/>
  </conditionalFormatting>
  <conditionalFormatting sqref="S219">
    <cfRule type="duplicateValues" dxfId="285" priority="317"/>
  </conditionalFormatting>
  <conditionalFormatting sqref="T219">
    <cfRule type="duplicateValues" dxfId="284" priority="316"/>
  </conditionalFormatting>
  <conditionalFormatting sqref="AD219">
    <cfRule type="duplicateValues" dxfId="283" priority="315"/>
  </conditionalFormatting>
  <conditionalFormatting sqref="AD219">
    <cfRule type="duplicateValues" dxfId="282" priority="314"/>
  </conditionalFormatting>
  <conditionalFormatting sqref="AD219">
    <cfRule type="duplicateValues" dxfId="281" priority="313"/>
  </conditionalFormatting>
  <conditionalFormatting sqref="AD219">
    <cfRule type="duplicateValues" dxfId="280" priority="312"/>
  </conditionalFormatting>
  <conditionalFormatting sqref="AF219">
    <cfRule type="duplicateValues" dxfId="279" priority="311"/>
  </conditionalFormatting>
  <conditionalFormatting sqref="S228">
    <cfRule type="duplicateValues" dxfId="278" priority="258"/>
  </conditionalFormatting>
  <conditionalFormatting sqref="T228">
    <cfRule type="duplicateValues" dxfId="277" priority="257"/>
  </conditionalFormatting>
  <conditionalFormatting sqref="S228">
    <cfRule type="duplicateValues" dxfId="276" priority="259"/>
  </conditionalFormatting>
  <conditionalFormatting sqref="T228">
    <cfRule type="duplicateValues" dxfId="275" priority="260"/>
  </conditionalFormatting>
  <conditionalFormatting sqref="S228">
    <cfRule type="duplicateValues" dxfId="274" priority="256"/>
  </conditionalFormatting>
  <conditionalFormatting sqref="T228">
    <cfRule type="duplicateValues" dxfId="273" priority="255"/>
  </conditionalFormatting>
  <conditionalFormatting sqref="AD228">
    <cfRule type="duplicateValues" dxfId="272" priority="254"/>
  </conditionalFormatting>
  <conditionalFormatting sqref="AD228">
    <cfRule type="duplicateValues" dxfId="271" priority="253"/>
  </conditionalFormatting>
  <conditionalFormatting sqref="AD228">
    <cfRule type="duplicateValues" dxfId="270" priority="252"/>
  </conditionalFormatting>
  <conditionalFormatting sqref="AD228">
    <cfRule type="duplicateValues" dxfId="269" priority="251"/>
  </conditionalFormatting>
  <conditionalFormatting sqref="S209">
    <cfRule type="duplicateValues" dxfId="268" priority="237"/>
  </conditionalFormatting>
  <conditionalFormatting sqref="T209">
    <cfRule type="duplicateValues" dxfId="267" priority="236"/>
  </conditionalFormatting>
  <conditionalFormatting sqref="S209">
    <cfRule type="duplicateValues" dxfId="266" priority="238"/>
  </conditionalFormatting>
  <conditionalFormatting sqref="T209">
    <cfRule type="duplicateValues" dxfId="265" priority="239"/>
  </conditionalFormatting>
  <conditionalFormatting sqref="S209">
    <cfRule type="duplicateValues" dxfId="264" priority="235"/>
  </conditionalFormatting>
  <conditionalFormatting sqref="T209">
    <cfRule type="duplicateValues" dxfId="263" priority="234"/>
  </conditionalFormatting>
  <conditionalFormatting sqref="AD209">
    <cfRule type="duplicateValues" dxfId="262" priority="233"/>
  </conditionalFormatting>
  <conditionalFormatting sqref="AD209">
    <cfRule type="duplicateValues" dxfId="261" priority="232"/>
  </conditionalFormatting>
  <conditionalFormatting sqref="AD209">
    <cfRule type="duplicateValues" dxfId="260" priority="231"/>
  </conditionalFormatting>
  <conditionalFormatting sqref="AD209">
    <cfRule type="duplicateValues" dxfId="259" priority="230"/>
  </conditionalFormatting>
  <conditionalFormatting sqref="AF209">
    <cfRule type="duplicateValues" dxfId="258" priority="229"/>
  </conditionalFormatting>
  <conditionalFormatting sqref="S216:S217">
    <cfRule type="duplicateValues" dxfId="257" priority="226"/>
  </conditionalFormatting>
  <conditionalFormatting sqref="T216:T217">
    <cfRule type="duplicateValues" dxfId="256" priority="225"/>
  </conditionalFormatting>
  <conditionalFormatting sqref="S216:S217">
    <cfRule type="duplicateValues" dxfId="255" priority="227"/>
  </conditionalFormatting>
  <conditionalFormatting sqref="T216:T217">
    <cfRule type="duplicateValues" dxfId="254" priority="228"/>
  </conditionalFormatting>
  <conditionalFormatting sqref="S216:S217">
    <cfRule type="duplicateValues" dxfId="253" priority="224"/>
  </conditionalFormatting>
  <conditionalFormatting sqref="T216:T217">
    <cfRule type="duplicateValues" dxfId="252" priority="223"/>
  </conditionalFormatting>
  <conditionalFormatting sqref="AD216:AD217">
    <cfRule type="duplicateValues" dxfId="251" priority="222"/>
  </conditionalFormatting>
  <conditionalFormatting sqref="AD216:AD217">
    <cfRule type="duplicateValues" dxfId="250" priority="221"/>
  </conditionalFormatting>
  <conditionalFormatting sqref="AD216:AD217">
    <cfRule type="duplicateValues" dxfId="249" priority="220"/>
  </conditionalFormatting>
  <conditionalFormatting sqref="AD216:AD217">
    <cfRule type="duplicateValues" dxfId="248" priority="219"/>
  </conditionalFormatting>
  <conditionalFormatting sqref="AF216:AF217">
    <cfRule type="duplicateValues" dxfId="247" priority="218"/>
  </conditionalFormatting>
  <conditionalFormatting sqref="AD221">
    <cfRule type="duplicateValues" dxfId="246" priority="217"/>
  </conditionalFormatting>
  <conditionalFormatting sqref="AD221">
    <cfRule type="duplicateValues" dxfId="245" priority="216"/>
  </conditionalFormatting>
  <conditionalFormatting sqref="AD221">
    <cfRule type="duplicateValues" dxfId="244" priority="215"/>
  </conditionalFormatting>
  <conditionalFormatting sqref="AD221">
    <cfRule type="duplicateValues" dxfId="243" priority="214"/>
  </conditionalFormatting>
  <conditionalFormatting sqref="AF221">
    <cfRule type="duplicateValues" dxfId="242" priority="213"/>
  </conditionalFormatting>
  <conditionalFormatting sqref="S221">
    <cfRule type="duplicateValues" dxfId="241" priority="210"/>
  </conditionalFormatting>
  <conditionalFormatting sqref="T221">
    <cfRule type="duplicateValues" dxfId="240" priority="209"/>
  </conditionalFormatting>
  <conditionalFormatting sqref="S221">
    <cfRule type="duplicateValues" dxfId="239" priority="211"/>
  </conditionalFormatting>
  <conditionalFormatting sqref="T221">
    <cfRule type="duplicateValues" dxfId="238" priority="212"/>
  </conditionalFormatting>
  <conditionalFormatting sqref="S221">
    <cfRule type="duplicateValues" dxfId="237" priority="208"/>
  </conditionalFormatting>
  <conditionalFormatting sqref="T221">
    <cfRule type="duplicateValues" dxfId="236" priority="207"/>
  </conditionalFormatting>
  <conditionalFormatting sqref="AD225">
    <cfRule type="duplicateValues" dxfId="235" priority="206"/>
  </conditionalFormatting>
  <conditionalFormatting sqref="AD225">
    <cfRule type="duplicateValues" dxfId="234" priority="205"/>
  </conditionalFormatting>
  <conditionalFormatting sqref="AD225">
    <cfRule type="duplicateValues" dxfId="233" priority="204"/>
  </conditionalFormatting>
  <conditionalFormatting sqref="AD225">
    <cfRule type="duplicateValues" dxfId="232" priority="203"/>
  </conditionalFormatting>
  <conditionalFormatting sqref="AF225">
    <cfRule type="duplicateValues" dxfId="231" priority="202"/>
  </conditionalFormatting>
  <conditionalFormatting sqref="S225">
    <cfRule type="duplicateValues" dxfId="230" priority="199"/>
  </conditionalFormatting>
  <conditionalFormatting sqref="T225">
    <cfRule type="duplicateValues" dxfId="229" priority="198"/>
  </conditionalFormatting>
  <conditionalFormatting sqref="S225">
    <cfRule type="duplicateValues" dxfId="228" priority="200"/>
  </conditionalFormatting>
  <conditionalFormatting sqref="T225">
    <cfRule type="duplicateValues" dxfId="227" priority="201"/>
  </conditionalFormatting>
  <conditionalFormatting sqref="S225">
    <cfRule type="duplicateValues" dxfId="226" priority="197"/>
  </conditionalFormatting>
  <conditionalFormatting sqref="T225">
    <cfRule type="duplicateValues" dxfId="225" priority="196"/>
  </conditionalFormatting>
  <conditionalFormatting sqref="S232">
    <cfRule type="duplicateValues" dxfId="224" priority="182"/>
  </conditionalFormatting>
  <conditionalFormatting sqref="T232">
    <cfRule type="duplicateValues" dxfId="223" priority="181"/>
  </conditionalFormatting>
  <conditionalFormatting sqref="S232">
    <cfRule type="duplicateValues" dxfId="222" priority="183"/>
  </conditionalFormatting>
  <conditionalFormatting sqref="T232">
    <cfRule type="duplicateValues" dxfId="221" priority="184"/>
  </conditionalFormatting>
  <conditionalFormatting sqref="S232">
    <cfRule type="duplicateValues" dxfId="220" priority="180"/>
  </conditionalFormatting>
  <conditionalFormatting sqref="T232">
    <cfRule type="duplicateValues" dxfId="219" priority="179"/>
  </conditionalFormatting>
  <conditionalFormatting sqref="AD232">
    <cfRule type="duplicateValues" dxfId="218" priority="178"/>
  </conditionalFormatting>
  <conditionalFormatting sqref="AD232">
    <cfRule type="duplicateValues" dxfId="217" priority="177"/>
  </conditionalFormatting>
  <conditionalFormatting sqref="AD232">
    <cfRule type="duplicateValues" dxfId="216" priority="176"/>
  </conditionalFormatting>
  <conditionalFormatting sqref="AD232">
    <cfRule type="duplicateValues" dxfId="215" priority="175"/>
  </conditionalFormatting>
  <conditionalFormatting sqref="AF232">
    <cfRule type="duplicateValues" dxfId="214" priority="174"/>
  </conditionalFormatting>
  <conditionalFormatting sqref="T168">
    <cfRule type="duplicateValues" dxfId="213" priority="173"/>
  </conditionalFormatting>
  <conditionalFormatting sqref="U168">
    <cfRule type="duplicateValues" dxfId="212" priority="172"/>
  </conditionalFormatting>
  <conditionalFormatting sqref="S168">
    <cfRule type="duplicateValues" dxfId="211" priority="171"/>
  </conditionalFormatting>
  <conditionalFormatting sqref="T168">
    <cfRule type="duplicateValues" dxfId="210" priority="170"/>
  </conditionalFormatting>
  <conditionalFormatting sqref="T184">
    <cfRule type="duplicateValues" dxfId="209" priority="169"/>
  </conditionalFormatting>
  <conditionalFormatting sqref="U184">
    <cfRule type="duplicateValues" dxfId="208" priority="168"/>
  </conditionalFormatting>
  <conditionalFormatting sqref="S184">
    <cfRule type="duplicateValues" dxfId="207" priority="167"/>
  </conditionalFormatting>
  <conditionalFormatting sqref="T184">
    <cfRule type="duplicateValues" dxfId="206" priority="166"/>
  </conditionalFormatting>
  <conditionalFormatting sqref="T179">
    <cfRule type="duplicateValues" dxfId="205" priority="161"/>
  </conditionalFormatting>
  <conditionalFormatting sqref="U179">
    <cfRule type="duplicateValues" dxfId="204" priority="160"/>
  </conditionalFormatting>
  <conditionalFormatting sqref="S179">
    <cfRule type="duplicateValues" dxfId="203" priority="159"/>
  </conditionalFormatting>
  <conditionalFormatting sqref="T179">
    <cfRule type="duplicateValues" dxfId="202" priority="158"/>
  </conditionalFormatting>
  <conditionalFormatting sqref="S212:S213">
    <cfRule type="duplicateValues" dxfId="201" priority="155"/>
  </conditionalFormatting>
  <conditionalFormatting sqref="T212:T213">
    <cfRule type="duplicateValues" dxfId="200" priority="154"/>
  </conditionalFormatting>
  <conditionalFormatting sqref="S212:S213">
    <cfRule type="duplicateValues" dxfId="199" priority="156"/>
  </conditionalFormatting>
  <conditionalFormatting sqref="T212:T213">
    <cfRule type="duplicateValues" dxfId="198" priority="157"/>
  </conditionalFormatting>
  <conditionalFormatting sqref="S212:S213">
    <cfRule type="duplicateValues" dxfId="197" priority="153"/>
  </conditionalFormatting>
  <conditionalFormatting sqref="T212:T213">
    <cfRule type="duplicateValues" dxfId="196" priority="152"/>
  </conditionalFormatting>
  <conditionalFormatting sqref="AD212:AD213">
    <cfRule type="duplicateValues" dxfId="195" priority="151"/>
  </conditionalFormatting>
  <conditionalFormatting sqref="AD212:AD213">
    <cfRule type="duplicateValues" dxfId="194" priority="150"/>
  </conditionalFormatting>
  <conditionalFormatting sqref="AD212:AD213">
    <cfRule type="duplicateValues" dxfId="193" priority="149"/>
  </conditionalFormatting>
  <conditionalFormatting sqref="AD212:AD213">
    <cfRule type="duplicateValues" dxfId="192" priority="148"/>
  </conditionalFormatting>
  <conditionalFormatting sqref="AF212:AF213">
    <cfRule type="duplicateValues" dxfId="191" priority="147"/>
  </conditionalFormatting>
  <conditionalFormatting sqref="S230:S231">
    <cfRule type="duplicateValues" dxfId="190" priority="144"/>
  </conditionalFormatting>
  <conditionalFormatting sqref="T230:T231">
    <cfRule type="duplicateValues" dxfId="189" priority="143"/>
  </conditionalFormatting>
  <conditionalFormatting sqref="S230:S231">
    <cfRule type="duplicateValues" dxfId="188" priority="145"/>
  </conditionalFormatting>
  <conditionalFormatting sqref="T230:T231">
    <cfRule type="duplicateValues" dxfId="187" priority="146"/>
  </conditionalFormatting>
  <conditionalFormatting sqref="S230:S231">
    <cfRule type="duplicateValues" dxfId="186" priority="142"/>
  </conditionalFormatting>
  <conditionalFormatting sqref="T230:T231">
    <cfRule type="duplicateValues" dxfId="185" priority="141"/>
  </conditionalFormatting>
  <conditionalFormatting sqref="AD230:AD231">
    <cfRule type="duplicateValues" dxfId="184" priority="140"/>
  </conditionalFormatting>
  <conditionalFormatting sqref="AD230:AD231">
    <cfRule type="duplicateValues" dxfId="183" priority="139"/>
  </conditionalFormatting>
  <conditionalFormatting sqref="AD230:AD231">
    <cfRule type="duplicateValues" dxfId="182" priority="138"/>
  </conditionalFormatting>
  <conditionalFormatting sqref="AD230:AD231">
    <cfRule type="duplicateValues" dxfId="181" priority="137"/>
  </conditionalFormatting>
  <conditionalFormatting sqref="AF230:AF231">
    <cfRule type="duplicateValues" dxfId="180" priority="136"/>
  </conditionalFormatting>
  <conditionalFormatting sqref="S236">
    <cfRule type="duplicateValues" dxfId="179" priority="83"/>
  </conditionalFormatting>
  <conditionalFormatting sqref="T236">
    <cfRule type="duplicateValues" dxfId="178" priority="82"/>
  </conditionalFormatting>
  <conditionalFormatting sqref="S236">
    <cfRule type="duplicateValues" dxfId="177" priority="84"/>
  </conditionalFormatting>
  <conditionalFormatting sqref="T236">
    <cfRule type="duplicateValues" dxfId="176" priority="85"/>
  </conditionalFormatting>
  <conditionalFormatting sqref="S236">
    <cfRule type="duplicateValues" dxfId="175" priority="81"/>
  </conditionalFormatting>
  <conditionalFormatting sqref="T236">
    <cfRule type="duplicateValues" dxfId="174" priority="80"/>
  </conditionalFormatting>
  <conditionalFormatting sqref="AD236">
    <cfRule type="duplicateValues" dxfId="173" priority="79"/>
  </conditionalFormatting>
  <conditionalFormatting sqref="AD236">
    <cfRule type="duplicateValues" dxfId="172" priority="78"/>
  </conditionalFormatting>
  <conditionalFormatting sqref="AD236">
    <cfRule type="duplicateValues" dxfId="171" priority="77"/>
  </conditionalFormatting>
  <conditionalFormatting sqref="AD236">
    <cfRule type="duplicateValues" dxfId="170" priority="76"/>
  </conditionalFormatting>
  <conditionalFormatting sqref="AD223">
    <cfRule type="duplicateValues" dxfId="169" priority="73"/>
  </conditionalFormatting>
  <conditionalFormatting sqref="AD223">
    <cfRule type="duplicateValues" dxfId="168" priority="72"/>
  </conditionalFormatting>
  <conditionalFormatting sqref="AD223">
    <cfRule type="duplicateValues" dxfId="167" priority="71"/>
  </conditionalFormatting>
  <conditionalFormatting sqref="AD223">
    <cfRule type="duplicateValues" dxfId="166" priority="70"/>
  </conditionalFormatting>
  <conditionalFormatting sqref="AF223">
    <cfRule type="duplicateValues" dxfId="165" priority="69"/>
  </conditionalFormatting>
  <conditionalFormatting sqref="S223">
    <cfRule type="duplicateValues" dxfId="164" priority="66"/>
  </conditionalFormatting>
  <conditionalFormatting sqref="T223">
    <cfRule type="duplicateValues" dxfId="163" priority="65"/>
  </conditionalFormatting>
  <conditionalFormatting sqref="S223">
    <cfRule type="duplicateValues" dxfId="162" priority="67"/>
  </conditionalFormatting>
  <conditionalFormatting sqref="T223">
    <cfRule type="duplicateValues" dxfId="161" priority="68"/>
  </conditionalFormatting>
  <conditionalFormatting sqref="S223">
    <cfRule type="duplicateValues" dxfId="160" priority="64"/>
  </conditionalFormatting>
  <conditionalFormatting sqref="T223">
    <cfRule type="duplicateValues" dxfId="159" priority="63"/>
  </conditionalFormatting>
  <conditionalFormatting sqref="AD233">
    <cfRule type="duplicateValues" dxfId="158" priority="62"/>
  </conditionalFormatting>
  <conditionalFormatting sqref="AD233">
    <cfRule type="duplicateValues" dxfId="157" priority="61"/>
  </conditionalFormatting>
  <conditionalFormatting sqref="AD233">
    <cfRule type="duplicateValues" dxfId="156" priority="60"/>
  </conditionalFormatting>
  <conditionalFormatting sqref="AD233">
    <cfRule type="duplicateValues" dxfId="155" priority="59"/>
  </conditionalFormatting>
  <conditionalFormatting sqref="AF233">
    <cfRule type="duplicateValues" dxfId="154" priority="58"/>
  </conditionalFormatting>
  <conditionalFormatting sqref="S233">
    <cfRule type="duplicateValues" dxfId="153" priority="55"/>
  </conditionalFormatting>
  <conditionalFormatting sqref="T233">
    <cfRule type="duplicateValues" dxfId="152" priority="54"/>
  </conditionalFormatting>
  <conditionalFormatting sqref="S233">
    <cfRule type="duplicateValues" dxfId="151" priority="56"/>
  </conditionalFormatting>
  <conditionalFormatting sqref="T233">
    <cfRule type="duplicateValues" dxfId="150" priority="57"/>
  </conditionalFormatting>
  <conditionalFormatting sqref="S233">
    <cfRule type="duplicateValues" dxfId="149" priority="53"/>
  </conditionalFormatting>
  <conditionalFormatting sqref="T233">
    <cfRule type="duplicateValues" dxfId="148" priority="52"/>
  </conditionalFormatting>
  <conditionalFormatting sqref="U197">
    <cfRule type="duplicateValues" dxfId="147" priority="49"/>
  </conditionalFormatting>
  <conditionalFormatting sqref="T197">
    <cfRule type="duplicateValues" dxfId="146" priority="48"/>
  </conditionalFormatting>
  <conditionalFormatting sqref="S197">
    <cfRule type="duplicateValues" dxfId="145" priority="47"/>
  </conditionalFormatting>
  <conditionalFormatting sqref="T197">
    <cfRule type="duplicateValues" dxfId="144" priority="46"/>
  </conditionalFormatting>
  <conditionalFormatting sqref="AD235">
    <cfRule type="duplicateValues" dxfId="143" priority="22"/>
  </conditionalFormatting>
  <conditionalFormatting sqref="AD235">
    <cfRule type="duplicateValues" dxfId="142" priority="21"/>
  </conditionalFormatting>
  <conditionalFormatting sqref="AD235">
    <cfRule type="duplicateValues" dxfId="141" priority="20"/>
  </conditionalFormatting>
  <conditionalFormatting sqref="AD235">
    <cfRule type="duplicateValues" dxfId="140" priority="19"/>
  </conditionalFormatting>
  <conditionalFormatting sqref="S235">
    <cfRule type="duplicateValues" dxfId="139" priority="16"/>
  </conditionalFormatting>
  <conditionalFormatting sqref="T235">
    <cfRule type="duplicateValues" dxfId="138" priority="15"/>
  </conditionalFormatting>
  <conditionalFormatting sqref="S235">
    <cfRule type="duplicateValues" dxfId="137" priority="17"/>
  </conditionalFormatting>
  <conditionalFormatting sqref="T235">
    <cfRule type="duplicateValues" dxfId="136" priority="18"/>
  </conditionalFormatting>
  <conditionalFormatting sqref="S235">
    <cfRule type="duplicateValues" dxfId="135" priority="14"/>
  </conditionalFormatting>
  <conditionalFormatting sqref="T235">
    <cfRule type="duplicateValues" dxfId="134" priority="13"/>
  </conditionalFormatting>
  <conditionalFormatting sqref="AF235">
    <cfRule type="duplicateValues" dxfId="133" priority="12"/>
  </conditionalFormatting>
  <conditionalFormatting sqref="S234">
    <cfRule type="duplicateValues" dxfId="132" priority="9"/>
  </conditionalFormatting>
  <conditionalFormatting sqref="T234">
    <cfRule type="duplicateValues" dxfId="131" priority="8"/>
  </conditionalFormatting>
  <conditionalFormatting sqref="S234">
    <cfRule type="duplicateValues" dxfId="130" priority="10"/>
  </conditionalFormatting>
  <conditionalFormatting sqref="T234">
    <cfRule type="duplicateValues" dxfId="129" priority="11"/>
  </conditionalFormatting>
  <conditionalFormatting sqref="S234">
    <cfRule type="duplicateValues" dxfId="128" priority="7"/>
  </conditionalFormatting>
  <conditionalFormatting sqref="T234">
    <cfRule type="duplicateValues" dxfId="127" priority="6"/>
  </conditionalFormatting>
  <conditionalFormatting sqref="AF234">
    <cfRule type="duplicateValues" dxfId="126" priority="5"/>
  </conditionalFormatting>
  <conditionalFormatting sqref="AD234">
    <cfRule type="duplicateValues" dxfId="125" priority="4"/>
  </conditionalFormatting>
  <conditionalFormatting sqref="AD234">
    <cfRule type="duplicateValues" dxfId="124" priority="3"/>
  </conditionalFormatting>
  <conditionalFormatting sqref="AD234">
    <cfRule type="duplicateValues" dxfId="123" priority="2"/>
  </conditionalFormatting>
  <conditionalFormatting sqref="AD234">
    <cfRule type="duplicateValues" dxfId="122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389D2510-87CC-46D7-A328-D5D62DF12C38}">
          <x14:formula1>
            <xm:f>'C:\Users\Nilson Gasparin\Desktop\Monte Cristo\Automação\[Dados - Formulario de Solicitação de Acesso 1.xlsx]Dados - Solicitação de acesso'!#REF!</xm:f>
          </x14:formula1>
          <xm:sqref>R1 R89 R43:R44 R69 R86:R87 R92 R95:R99 R102:R103 R105:R106 R110 R116 R130 R119:R123 R133 R139 R135:R136 R142 R145:R175 R185:R187 R177:R181 R183 R189:R190 R194:R195 R197:R199 R201:R221 R223:R230 R232:R233 R235:R1048576</xm:sqref>
        </x14:dataValidation>
        <x14:dataValidation type="list" allowBlank="1" showInputMessage="1" showErrorMessage="1" xr:uid="{4C225A07-D9BA-4667-8D76-DC7335013A9F}">
          <x14:formula1>
            <xm:f>'Dados - Solicitação de acesso'!$Q$2:$Q$3</xm:f>
          </x14:formula1>
          <xm:sqref>O2:O68 O88 O90:O91 O70:O85 O93:O94 O100:O101 O104 O107:O122 O225 O125:O189 O196:O197 O199:O209 O211:O213 O215:O217 O219:O223 O191:O194 O230:O233 O235:O236</xm:sqref>
        </x14:dataValidation>
        <x14:dataValidation type="list" allowBlank="1" showInputMessage="1" showErrorMessage="1" xr:uid="{714705CA-B725-420B-8FC5-8A6E094CC511}">
          <x14:formula1>
            <xm:f>'Dados - Solicitação de acesso'!$C$2:$C$7</xm:f>
          </x14:formula1>
          <xm:sqref>C2:C4 C24:C25 C28:C33 C40 C37:C38 G136 C43:C148 C196:C197 C191:C194 C150:C189 C199:C213 C215:C217 C219:C223 C225 C230:C231 C233 C235:C236</xm:sqref>
        </x14:dataValidation>
        <x14:dataValidation type="list" allowBlank="1" showInputMessage="1" showErrorMessage="1" xr:uid="{254AE9A6-BFB9-4D89-9FF4-101765C21087}">
          <x14:formula1>
            <xm:f>'Dados - Solicitação de acesso'!$Z$2:$Z$3</xm:f>
          </x14:formula1>
          <xm:sqref>X2:X68 X70:X85 X90:X91 X88 X93:X94 X100:X101 X104 X107:X122 X124:X233 X235:X282</xm:sqref>
        </x14:dataValidation>
        <x14:dataValidation type="list" allowBlank="1" showInputMessage="1" showErrorMessage="1" xr:uid="{D52B536E-C55F-40A3-91E3-7C08AA1F765D}">
          <x14:formula1>
            <xm:f>'C:\Users\Nilson Gasparin\Desktop\Monte Cristo\Automação\[Dados - Formulario de Solicitação de Acesso 1.xlsx]Dados - Solicitação de acesso'!#REF!</xm:f>
          </x14:formula1>
          <xm:sqref>M80:M81 M82:N85 C5:C22 C26 M41:M42 M64:N68 M60:N61 N62:N63 N58:N59 N70 M43:N57 M71:N73 N74:N81 M91:N91 M88:N88 N90 M93:N94 N100:N101 N104 N107 N113:N115 M116:N116 M108:N112 N117:N122 N126:N128 M129:N129 M124:N125 N130:N135 M126 M136:N136 N144 M138:N139 M141:N143 N140 N137 M225:N225 M145:N189 M196:N197 M199:N209 M215:N217 M211:N213 M219:N223 M191:N194 M230:N236 R234</xm:sqref>
        </x14:dataValidation>
        <x14:dataValidation type="list" allowBlank="1" showInputMessage="1" showErrorMessage="1" xr:uid="{C9E38D13-5F76-46A7-AB3B-0F33445A2FE6}">
          <x14:formula1>
            <xm:f>'C:\Users\Nilson Gasparin\Desktop\Monte Cristo\Automação\[Dados - Formulario de Solicitação de Acesso 1.xlsx]Dados - Inversores'!#REF!</xm:f>
          </x14:formula1>
          <xm:sqref>AF26:AF27 AF5:AF11 AF21:AF23 AF13:AF19 AF32:AF34 AF65:AF70 AF39:AF45 AF89:AF90 AF61:AF63 AF54:AF59 AF78:AF79 AF73:AF76 AF83 AF92 AF87 AF48:AF52 AF96:AF97 AF99:AF104 AF107:AF110 AF112:AF122 AF127:AF137 AF142 AF139:AF140 AF144:AF148 AF229:AF230 AF226 AF161 AF163:AF164 AF158:AF159 AF153:AF156 AF166 AF194:AF195 AF184:AF185 AF172:AF173 AF175 AF168 AF190 AF201:AF203 AF213 AF211 AF216:AF217 AF205:AF208 AF220 AF197:AF198 AF234:AF235 AF2</xm:sqref>
        </x14:dataValidation>
        <x14:dataValidation type="list" allowBlank="1" showInputMessage="1" showErrorMessage="1" xr:uid="{F3A54905-B65F-468B-BEE6-291F2B7285EB}">
          <x14:formula1>
            <xm:f>'Dados - Solicitação de acesso'!$O$2:$O$4</xm:f>
          </x14:formula1>
          <xm:sqref>M70:M85 M88 M90:M91 M2:M68 M93:M94 M100:M101 M104 M107:M122 M225 M124:M189 M196:M197 M199:M209 M215:M217 M211:M213 M219:M223 M191:M194 M230:M233 M235:M236</xm:sqref>
        </x14:dataValidation>
        <x14:dataValidation type="list" allowBlank="1" showInputMessage="1" showErrorMessage="1" xr:uid="{F95755C8-E7BD-4273-AE72-E017FF38934E}">
          <x14:formula1>
            <xm:f>'Dados - Solicitação de acesso'!$P$2:$P$3</xm:f>
          </x14:formula1>
          <xm:sqref>N2:N68 N70:N85 N90:N91 N88 N93:N94 N100:N101 N104 N107:N122 N124:N189 N225 N196:N197 N199:N209 N215:N217 N211:N213 N219:N223 N191:N194 N230:N233 N235:N236</xm:sqref>
        </x14:dataValidation>
        <x14:dataValidation type="list" allowBlank="1" showInputMessage="1" showErrorMessage="1" xr:uid="{C9F10CCB-19B6-4679-BACD-DA4764F53ED9}">
          <x14:formula1>
            <xm:f>'Dados - Solicitação de acesso'!$W$2:$W$3</xm:f>
          </x14:formula1>
          <xm:sqref>U2:U68 U70:U85 U90:U91 U88 U93:U94 U100:U101 U104 U107:U122 U124:U233 U235:U282</xm:sqref>
        </x14:dataValidation>
        <x14:dataValidation type="list" allowBlank="1" showInputMessage="1" showErrorMessage="1" xr:uid="{F1B63FAB-BEC1-4406-B94A-238BAC9B5C55}">
          <x14:formula1>
            <xm:f>'Dados - Solicitação de acesso'!$Y$2:$Y$4</xm:f>
          </x14:formula1>
          <xm:sqref>W2:W68 W70:W85 W90:W91 W88 W93:W94 W100:W101 W104 W107:W122 W124:W233 W235:W282</xm:sqref>
        </x14:dataValidation>
        <x14:dataValidation type="list" allowBlank="1" showInputMessage="1" showErrorMessage="1" xr:uid="{9F6C8149-6F71-47D1-ACAA-AC14930546DC}">
          <x14:formula1>
            <xm:f>'Dados - Solicitação de acesso'!$T$2:$T$9</xm:f>
          </x14:formula1>
          <xm:sqref>R2:R68 R70:R85 R90:R91 R88 R93:R94 R100:R101 R104 R107:R122 R124:R189 R225 R196:R197 R199:R209 R215:R217 R211:R213 R219:R223 R191:R194 R230:R233 R235:R236</xm:sqref>
        </x14:dataValidation>
        <x14:dataValidation type="list" allowBlank="1" showInputMessage="1" showErrorMessage="1" xr:uid="{30AF904F-DF84-42C7-9C17-BB22CF2D01ED}">
          <x14:formula1>
            <xm:f>'Dados - Solicitação de acesso'!$AT$2:$AT$28</xm:f>
          </x14:formula1>
          <xm:sqref>AI2:AI22</xm:sqref>
        </x14:dataValidation>
        <x14:dataValidation type="list" allowBlank="1" showInputMessage="1" showErrorMessage="1" xr:uid="{41B5C1AD-705B-4B61-839A-766F0F2C889A}">
          <x14:formula1>
            <xm:f>Dados!$H$2:$H$8</xm:f>
          </x14:formula1>
          <xm:sqref>L2:L68 L70:L85 L90:L91 L88 L93:L94 L100:L101 L104 L107:L122 L124:L233 L235:L282</xm:sqref>
        </x14:dataValidation>
        <x14:dataValidation type="list" allowBlank="1" showInputMessage="1" showErrorMessage="1" xr:uid="{CA43DB15-C5BE-4E20-A4D7-9BF5ED1B0CBE}">
          <x14:formula1>
            <xm:f>'Dados - Solicitação de acesso'!$AS$2:$AS$28</xm:f>
          </x14:formula1>
          <xm:sqref>AH2:AH22 AH23:AI233 AH235:AI282</xm:sqref>
        </x14:dataValidation>
        <x14:dataValidation type="list" allowBlank="1" showInputMessage="1" showErrorMessage="1" xr:uid="{B47B1E36-9B3A-4AD5-99F7-2FF20E3F5AAD}">
          <x14:formula1>
            <xm:f>Dados!$A:$A</xm:f>
          </x14:formula1>
          <xm:sqref>H30:H31</xm:sqref>
        </x14:dataValidation>
        <x14:dataValidation type="list" allowBlank="1" showInputMessage="1" showErrorMessage="1" xr:uid="{2AB8CB49-209B-45FA-BD7B-A47264565B8A}">
          <x14:formula1>
            <xm:f>'Dados - Placas'!$D:$D</xm:f>
          </x14:formula1>
          <xm:sqref>AD235:AD236 AD168 AD196 AD170 AD200:AD201 AD177 AD192:AD194 AD204:AD229 AD231 AD233 AD2:AD155</xm:sqref>
        </x14:dataValidation>
        <x14:dataValidation type="list" allowBlank="1" showInputMessage="1" showErrorMessage="1" xr:uid="{3EE47038-8B59-43B8-8DC3-325B469F50AD}">
          <x14:formula1>
            <xm:f>'Dados - Inversores'!$C:$C</xm:f>
          </x14:formula1>
          <xm:sqref>AF236 AF151:AF152 AF141 AF123 AF94:AF95 AF85 AF80 AF77 AF60 AF64 AF35:AF38 AF28:AF31 AF20 AF24:AF25 AF12 AF46:AF47 AF53 AF218 AF212 AF221 AF224 AF228 AF179 AF3:AF4</xm:sqref>
        </x14:dataValidation>
        <x14:dataValidation type="list" allowBlank="1" showInputMessage="1" showErrorMessage="1" xr:uid="{1D4F0875-EB51-4F3C-AFF9-4715A8378D5C}">
          <x14:formula1>
            <xm:f>'Dados - Placas'!#REF!</xm:f>
          </x14:formula1>
          <xm:sqref>AD234</xm:sqref>
        </x14:dataValidation>
        <x14:dataValidation type="list" allowBlank="1" showInputMessage="1" showErrorMessage="1" xr:uid="{86983DB6-DA0D-4E75-9039-67F5A0E97F86}">
          <x14:formula1>
            <xm:f>'C:\Users\Nilson Gasparin\Dropbox\MONTE CRISTO\automacoesV2\[Dados - Clientes.xlsm]Dados - Solicitação de acesso'!#REF!</xm:f>
          </x14:formula1>
          <xm:sqref>AH234:AI234 C234 M234:O234 U234 W234:X234 R234</xm:sqref>
        </x14:dataValidation>
        <x14:dataValidation type="list" allowBlank="1" showInputMessage="1" showErrorMessage="1" xr:uid="{B7249DE0-CC94-45A8-81AF-059B047F60C9}">
          <x14:formula1>
            <xm:f>'C:\Users\Nilson Gasparin\Dropbox\MONTE CRISTO\automacoesV2\[Dados - Clientes.xlsm]Dados'!#REF!</xm:f>
          </x14:formula1>
          <xm:sqref>L234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70B77-95EA-43EB-8ED7-E25BCC0D4E91}">
  <sheetPr codeName="Planilha4"/>
  <dimension ref="A2:AI126"/>
  <sheetViews>
    <sheetView workbookViewId="0">
      <selection activeCell="A4" sqref="A4"/>
    </sheetView>
  </sheetViews>
  <sheetFormatPr defaultRowHeight="14.5" x14ac:dyDescent="0.35"/>
  <cols>
    <col min="1" max="1" width="42.26953125" style="20" customWidth="1"/>
    <col min="3" max="3" width="61.26953125" bestFit="1" customWidth="1"/>
    <col min="5" max="5" width="61.26953125" style="10" bestFit="1" customWidth="1"/>
    <col min="7" max="7" width="20.54296875" bestFit="1" customWidth="1"/>
    <col min="8" max="8" width="17.26953125" bestFit="1" customWidth="1"/>
    <col min="9" max="9" width="10.7265625" bestFit="1" customWidth="1"/>
    <col min="10" max="10" width="19.453125" bestFit="1" customWidth="1"/>
  </cols>
  <sheetData>
    <row r="2" spans="1:8" x14ac:dyDescent="0.35">
      <c r="B2" s="10"/>
      <c r="C2" s="10"/>
      <c r="D2" s="10"/>
      <c r="F2" s="10"/>
      <c r="G2" s="10"/>
    </row>
    <row r="3" spans="1:8" x14ac:dyDescent="0.35">
      <c r="A3" s="50" t="s">
        <v>3839</v>
      </c>
      <c r="B3" s="10"/>
      <c r="C3" s="50" t="s">
        <v>4298</v>
      </c>
      <c r="D3" s="10"/>
      <c r="E3" s="50" t="s">
        <v>4299</v>
      </c>
      <c r="F3" s="50"/>
      <c r="G3" s="50" t="s">
        <v>3847</v>
      </c>
      <c r="H3" s="50"/>
    </row>
    <row r="4" spans="1:8" x14ac:dyDescent="0.35">
      <c r="A4" s="44" t="s">
        <v>4307</v>
      </c>
      <c r="B4" s="10"/>
      <c r="C4" s="24" t="str">
        <f>INDEX('1'!D:D,MATCH($A$4,'1'!A:A,0)) &amp; ", " &amp;INDEX('1'!E:E,MATCH($A$4,'1'!A:A,0)) &amp; " - " &amp;INDEX('1'!G:G,MATCH($A$4,'1'!A:A,0))</f>
        <v>RUA Teste, 0 - CENTRO</v>
      </c>
      <c r="D4" s="10"/>
      <c r="E4" s="51" t="s">
        <v>3840</v>
      </c>
      <c r="F4" s="50"/>
      <c r="G4" s="50">
        <v>9</v>
      </c>
      <c r="H4" s="50"/>
    </row>
    <row r="5" spans="1:8" x14ac:dyDescent="0.35">
      <c r="A5" s="44"/>
      <c r="B5" s="10"/>
      <c r="C5" s="24" t="str">
        <f>INDEX('1'!H:H,MATCH($A$4,'1'!A:A,0)) &amp; "/MS "</f>
        <v xml:space="preserve">CAMPO GRANDE/MS </v>
      </c>
      <c r="D5" s="10"/>
      <c r="E5" s="51" t="str">
        <f>"Fabricante:  "&amp; INDEX('Dados - Placas'!A:A,MATCH(A9,'Dados - Placas'!D:D,0))</f>
        <v>Fabricante:  DAH SOLAR</v>
      </c>
      <c r="F5" s="10"/>
    </row>
    <row r="6" spans="1:8" x14ac:dyDescent="0.35">
      <c r="A6" s="44" t="str">
        <f>E36</f>
        <v>CPF: 123.456.789-00</v>
      </c>
      <c r="B6" s="10"/>
      <c r="D6" s="10"/>
      <c r="E6" s="51" t="str">
        <f xml:space="preserve"> "Modelo: "&amp; INDEX('Dados - Placas'!D:D,MATCH(A9,'Dados - Placas'!D:D,0))</f>
        <v>Modelo: 1112 - DHM-72X10 550W</v>
      </c>
      <c r="F6" s="10"/>
      <c r="G6" s="50" t="s">
        <v>4304</v>
      </c>
    </row>
    <row r="7" spans="1:8" x14ac:dyDescent="0.35">
      <c r="A7" s="17"/>
      <c r="B7" s="10"/>
      <c r="C7" s="50" t="s">
        <v>4297</v>
      </c>
      <c r="D7" s="10"/>
      <c r="E7" s="51" t="s">
        <v>3841</v>
      </c>
      <c r="F7" s="10"/>
      <c r="G7" s="24" t="str">
        <f>INDEX('1'!U:U,MATCH($A$4,'1'!A:A,0))&amp; " m E"</f>
        <v>690000 m E</v>
      </c>
    </row>
    <row r="8" spans="1:8" x14ac:dyDescent="0.35">
      <c r="A8" s="50" t="s">
        <v>3842</v>
      </c>
      <c r="B8" s="10"/>
      <c r="C8" s="24" t="str">
        <f>INDEX('1'!AF:AF,MATCH($A$4,'1'!A:A,0)) &amp; " PAINÉIS  "&amp; INDEX('Dados - Placas'!M:M,MATCH(A9,'Dados - Placas'!D:D,0))&amp;" 144 CELULAS"</f>
        <v>18 PAINÉIS  MONOCRISTALINA 144 CELULAS</v>
      </c>
      <c r="D8" s="10"/>
      <c r="E8" s="51" t="str">
        <f xml:space="preserve"> "Potência Nominal:  "&amp; INDEX('Dados - Placas'!E:E,MATCH(A9,'Dados - Placas'!D:D,0))*1000 &amp;" W"</f>
        <v>Potência Nominal:  550 W</v>
      </c>
      <c r="F8" s="10"/>
      <c r="G8" s="24" t="str">
        <f>INDEX('1'!V:V,MATCH($A$4,'1'!A:A,0))&amp;" m S"</f>
        <v>7600000 m S</v>
      </c>
    </row>
    <row r="9" spans="1:8" x14ac:dyDescent="0.35">
      <c r="A9" s="44" t="str">
        <f>INDEX('1'!AG:AG,MATCH($A$4,'1'!A:A,0))</f>
        <v>1112 - DHM-72X10 550W</v>
      </c>
      <c r="B9" s="10"/>
      <c r="C9" s="24"/>
      <c r="D9" s="10"/>
      <c r="E9" s="51" t="str">
        <f>"Qtde. de Módulos: " &amp; G4</f>
        <v>Qtde. de Módulos: 9</v>
      </c>
      <c r="F9" s="10"/>
      <c r="G9" s="24" t="str">
        <f>INDEX('1'!T:T,MATCH($A$4,'1'!A:A,0))</f>
        <v>21K</v>
      </c>
    </row>
    <row r="10" spans="1:8" x14ac:dyDescent="0.35">
      <c r="A10" s="44" t="s">
        <v>4293</v>
      </c>
      <c r="B10" s="10"/>
      <c r="C10" s="24" t="str">
        <f>"MAX POTÊNCIA " &amp; INDEX('1'!AA:AA,MATCH(A4,'1'!A:A,0))&amp; " kW, Voc  "&amp; INDEX('Dados - Placas'!G:G,MATCH(A9,'Dados - Placas'!D:D,0))&amp;", Isc " &amp; INDEX('Dados - Placas'!H:H,MATCH(A9,'Dados - Placas'!D:D,0))</f>
        <v>MAX POTÊNCIA 10,62 kW, Voc  50.15 V, Isc 13.81A</v>
      </c>
      <c r="D10" s="10"/>
      <c r="E10" s="51" t="str">
        <f>"Potência Total: "&amp; INDEX('Dados - Placas'!E:E,MATCH(A9,'Dados - Placas'!D:D,0))*G4 &amp;" kWp"</f>
        <v>Potência Total: 4,95 kWp</v>
      </c>
      <c r="F10" s="10"/>
      <c r="G10" s="20"/>
    </row>
    <row r="11" spans="1:8" x14ac:dyDescent="0.35">
      <c r="A11" s="44">
        <f>INDEX('1'!AF:AF,MATCH($A$4,'1'!A:A,0))</f>
        <v>18</v>
      </c>
      <c r="B11" s="10"/>
      <c r="C11" s="24"/>
      <c r="D11" s="10"/>
      <c r="E11" s="20"/>
      <c r="F11" s="10"/>
      <c r="G11" s="20"/>
    </row>
    <row r="12" spans="1:8" x14ac:dyDescent="0.35">
      <c r="B12" s="10"/>
      <c r="C12" s="24" t="str">
        <f>"MODULO "&amp; INDEX('Dados - Placas'!A:A,MATCH(A9,'Dados - Placas'!D:D,0))&amp;"  - " &amp; A9 &amp;"  POLI HALF CELL 1500V"</f>
        <v>MODULO DAH SOLAR  - 1112 - DHM-72X10 550W  POLI HALF CELL 1500V</v>
      </c>
      <c r="D12" s="10"/>
      <c r="E12" s="50" t="s">
        <v>4301</v>
      </c>
      <c r="F12" s="10"/>
      <c r="G12" s="50" t="s">
        <v>4305</v>
      </c>
    </row>
    <row r="13" spans="1:8" x14ac:dyDescent="0.35">
      <c r="A13" s="50" t="s">
        <v>3845</v>
      </c>
      <c r="B13" s="10"/>
      <c r="D13" s="10"/>
      <c r="E13" s="24" t="str">
        <f>INDEX('1'!M:M,MATCH($A$4,'1'!A:A,0))&amp;" KW"</f>
        <v>10 KW</v>
      </c>
      <c r="F13" s="10"/>
      <c r="G13" s="24" t="str">
        <f>INDEX('1'!R:R,MATCH($A$4,'1'!A:A,0)) &amp; " A - C"</f>
        <v>40 A - C</v>
      </c>
    </row>
    <row r="14" spans="1:8" x14ac:dyDescent="0.35">
      <c r="A14" s="44" t="str">
        <f>INDEX('1'!AL:AL,MATCH($A$4,'1'!A:A,0))</f>
        <v>367 - 8000MTL-S</v>
      </c>
      <c r="B14" s="10"/>
      <c r="C14" s="50" t="s">
        <v>4296</v>
      </c>
      <c r="D14" s="10"/>
      <c r="F14" s="10"/>
      <c r="G14" s="24" t="str">
        <f>INDEX('1'!AP:AP,MATCH($A$4,'1'!A:A,0)) &amp; " A - C"</f>
        <v>100 A - C</v>
      </c>
    </row>
    <row r="15" spans="1:8" x14ac:dyDescent="0.35">
      <c r="A15" s="44" t="s">
        <v>3844</v>
      </c>
      <c r="B15" s="10"/>
      <c r="C15" s="24" t="s">
        <v>3843</v>
      </c>
      <c r="D15" s="10"/>
      <c r="E15" s="50" t="s">
        <v>4300</v>
      </c>
      <c r="F15" s="10"/>
      <c r="G15" s="24" t="str">
        <f>IF(INDEX('1'!O:O,MATCH($A$4,'1'!A:A,0))="TRIFASICO","3#" &amp; INDEX('1'!AC:AC,MATCH($A$4,'1'!A:A,0)) &amp; "(" &amp; INDEX('1'!AD:AD,MATCH($A$4,'1'!A:A,0)) &amp;")mm²",IF(INDEX('1'!O:O,MATCH($A$4,'1'!A:A,0))="BIFASICO","2#" &amp; INDEX('1'!AC:AC,MATCH($A$4,'1'!A:A,0)) &amp; "(" &amp; INDEX('1'!AD:AD,MATCH($A$4,'1'!A:A,0)) &amp;")mm²",0))</f>
        <v>2#10(10)mm²</v>
      </c>
    </row>
    <row r="16" spans="1:8" x14ac:dyDescent="0.35">
      <c r="A16" s="44" t="str">
        <f>INDEX('1'!AK:AK,MATCH($A$4,'1'!A:A,0))</f>
        <v>1</v>
      </c>
      <c r="B16" s="10"/>
      <c r="C16" s="24" t="str">
        <f>"Fabricante:  "&amp; INDEX('Dados - Placas'!A:A,MATCH(A9,'Dados - Placas'!D:D,0))</f>
        <v>Fabricante:  DAH SOLAR</v>
      </c>
      <c r="D16" s="10"/>
      <c r="E16" s="24" t="str">
        <f>"PLACA "&amp; INDEX('Dados - Placas'!A:A,MATCH(A9,'Dados - Placas'!D:D,0))</f>
        <v>PLACA DAH SOLAR</v>
      </c>
      <c r="F16" s="10"/>
      <c r="G16" s="24" t="str">
        <f>IF(INDEX('1'!O:O,MATCH($A$4,'1'!A:A,0))="TRIFASICO","3#" &amp; INDEX('1'!AC:AC,MATCH($A$4,'1'!A:A,0)) &amp; "(" &amp; INDEX('1'!AD:AD,MATCH($A$4,'1'!A:A,0)) &amp;") " &amp; INDEX('1'!AE:AE,MATCH($A$4,'1'!A:A,0)) &amp; " mm²",IF(INDEX('1'!O:O,MATCH($A$4,'1'!A:A,0))="BIFASICO","2#" &amp; INDEX('1'!AC:AC,MATCH($A$4,'1'!A:A,0)) &amp; "(" &amp; INDEX('1'!AD:AD,MATCH($A$4,'1'!A:A,0)) &amp;") " &amp; INDEX('1'!AE:AE,MATCH($A$4,'1'!A:A,0)) &amp; "mm²",0))</f>
        <v>2#10(10) 10mm²</v>
      </c>
    </row>
    <row r="17" spans="2:9" x14ac:dyDescent="0.35">
      <c r="B17" s="10"/>
      <c r="C17" s="24" t="str">
        <f xml:space="preserve"> "Modelo: "&amp; INDEX('Dados - Placas'!D:D,MATCH(A9,'Dados - Placas'!D:D,0))</f>
        <v>Modelo: 1112 - DHM-72X10 550W</v>
      </c>
      <c r="D17" s="10"/>
      <c r="E17" s="24" t="str">
        <f>"MODELO "&amp; INDEX('Dados - Placas'!D:D,MATCH(A9,'Dados - Placas'!D:D,0))</f>
        <v>MODELO 1112 - DHM-72X10 550W</v>
      </c>
      <c r="F17" s="10"/>
      <c r="G17" s="24" t="str">
        <f>IF(INDEX('Dados - Inversores'!AK:AK,MATCH(INDEX('1'!AL:AL,MATCH('Dados - Projeto'!A4,'1'!A:A,0)),'Dados - Inversores'!C:C,0))=1,2,3)&amp;"#"&amp;INDEX('1'!BD:BD,MATCH('Dados - Projeto'!A4,'1'!A:A,0))&amp;"mm²"</f>
        <v>2#25mm²</v>
      </c>
    </row>
    <row r="18" spans="2:9" x14ac:dyDescent="0.35">
      <c r="B18" s="10"/>
      <c r="C18" s="24" t="s">
        <v>3841</v>
      </c>
      <c r="D18" s="10"/>
      <c r="E18" s="20"/>
      <c r="F18" s="10"/>
      <c r="G18" s="10"/>
    </row>
    <row r="19" spans="2:9" x14ac:dyDescent="0.35">
      <c r="B19" s="10"/>
      <c r="C19" s="24" t="str">
        <f xml:space="preserve"> "Potência Nominal:  "&amp; INDEX('Dados - Placas'!E:E,MATCH(A9,'Dados - Placas'!D:D,0))*1000 &amp;" W"</f>
        <v>Potência Nominal:  550 W</v>
      </c>
      <c r="D19" s="10"/>
      <c r="E19" s="50" t="s">
        <v>4302</v>
      </c>
      <c r="F19" s="10"/>
      <c r="G19" s="10"/>
    </row>
    <row r="20" spans="2:9" x14ac:dyDescent="0.35">
      <c r="B20" s="10"/>
      <c r="C20" s="24" t="str">
        <f>"Qtde. de Módulos: " &amp; INDEX('1'!AF:AF,MATCH($A$4,'1'!A:A,0))</f>
        <v>Qtde. de Módulos: 18</v>
      </c>
      <c r="D20" s="10"/>
      <c r="E20" s="24" t="s">
        <v>3846</v>
      </c>
      <c r="F20" s="10"/>
      <c r="G20" s="10"/>
      <c r="H20" s="10"/>
    </row>
    <row r="21" spans="2:9" x14ac:dyDescent="0.35">
      <c r="B21" s="10"/>
      <c r="C21" s="24" t="str">
        <f>"Potência Total: "&amp; INDEX('1'!AA:AA,MATCH($A$4,'1'!A:A,0)) &amp;" kWp"</f>
        <v>Potência Total: 10,62 kWp</v>
      </c>
      <c r="D21" s="10"/>
      <c r="E21" s="24" t="str">
        <f>INDEX('1'!AS:AS,MATCH($A$4,'1'!A:A,0)) &amp; " KVA"</f>
        <v>0 KVA</v>
      </c>
      <c r="F21" s="10"/>
      <c r="G21" s="10"/>
      <c r="H21" s="10"/>
    </row>
    <row r="22" spans="2:9" x14ac:dyDescent="0.35">
      <c r="B22" s="10"/>
      <c r="D22" s="10"/>
      <c r="E22" s="20"/>
      <c r="F22" s="10"/>
      <c r="G22" s="10"/>
      <c r="H22" s="10"/>
    </row>
    <row r="23" spans="2:9" x14ac:dyDescent="0.35">
      <c r="C23" s="50" t="s">
        <v>4294</v>
      </c>
      <c r="E23" s="50" t="s">
        <v>4303</v>
      </c>
      <c r="G23" s="10"/>
      <c r="H23" s="10"/>
    </row>
    <row r="24" spans="2:9" x14ac:dyDescent="0.35">
      <c r="C24" s="24" t="str">
        <f>"Fabricante:  "&amp; INDEX('Dados - Inversores'!A:A,MATCH(A14,'Dados - Inversores'!C:C,0))</f>
        <v>Fabricante:  GROWATT</v>
      </c>
      <c r="E24" s="25" t="str">
        <f>A4</f>
        <v>Teste 1</v>
      </c>
      <c r="G24" s="10"/>
      <c r="H24" s="10"/>
    </row>
    <row r="25" spans="2:9" x14ac:dyDescent="0.35">
      <c r="C25" s="24" t="str">
        <f>"Modelo:  "&amp;INDEX('Dados - Inversores'!C:C,MATCH(A14,'Dados - Inversores'!C:C,0))</f>
        <v>Modelo:  367 - 8000MTL-S</v>
      </c>
      <c r="E25" s="24"/>
      <c r="G25" s="10"/>
      <c r="H25" s="10"/>
    </row>
    <row r="26" spans="2:9" x14ac:dyDescent="0.35">
      <c r="C26" s="24" t="str">
        <f>"Potência Nominal:  "&amp; INDEX('Dados - Inversores'!D:D,MATCH(A14,'Dados - Inversores'!C:C,0))</f>
        <v>Potência Nominal:  8000W</v>
      </c>
      <c r="E26" s="24"/>
      <c r="G26" s="10"/>
      <c r="H26" s="10"/>
    </row>
    <row r="27" spans="2:9" x14ac:dyDescent="0.35">
      <c r="E27" s="24" t="str">
        <f>INDEX('1'!D:D,MATCH($A$4,'1'!A:A,0)) &amp; ", " &amp;INDEX('1'!E:E,MATCH($A$4,'1'!A:A,0)) &amp; " - " &amp;INDEX('1'!G:G,MATCH($A$4,'1'!A:A,0))</f>
        <v>RUA Teste, 0 - CENTRO</v>
      </c>
      <c r="G27" s="10"/>
      <c r="H27" s="10"/>
    </row>
    <row r="28" spans="2:9" x14ac:dyDescent="0.35">
      <c r="E28" s="24" t="str">
        <f>INDEX('1'!H:H,MATCH($A$4,'1'!A:A,0)) &amp; "/MS "</f>
        <v xml:space="preserve">CAMPO GRANDE/MS </v>
      </c>
      <c r="G28" s="10"/>
      <c r="H28" s="10"/>
    </row>
    <row r="29" spans="2:9" x14ac:dyDescent="0.35">
      <c r="C29" s="50" t="s">
        <v>4295</v>
      </c>
      <c r="E29" s="24"/>
      <c r="G29" s="10"/>
      <c r="H29" s="10"/>
      <c r="I29" s="19"/>
    </row>
    <row r="30" spans="2:9" x14ac:dyDescent="0.35">
      <c r="C30" s="24" t="str">
        <f>"DADOS TÉCNICOS DO INVERSOR "&amp; INDEX('Dados - Inversores'!A:A,MATCH(A14,'Dados - Inversores'!C:C,0)) &amp; " "&amp;INDEX('Dados - Inversores'!C:C,MATCH(A14,'Dados - Inversores'!C:C,0))</f>
        <v>DADOS TÉCNICOS DO INVERSOR GROWATT 367 - 8000MTL-S</v>
      </c>
      <c r="E30" s="24"/>
      <c r="G30" s="10"/>
      <c r="H30" s="10"/>
    </row>
    <row r="31" spans="2:9" x14ac:dyDescent="0.35">
      <c r="C31" s="24" t="str">
        <f>"REGISTRO DO INMETRO "&amp; INDEX('Dados - Inversores'!M:M,MATCH(A14,'Dados - Inversores'!C:C,0))</f>
        <v>REGISTRO DO INMETRO 009256/2019</v>
      </c>
      <c r="E31" s="24"/>
      <c r="G31" s="10"/>
      <c r="H31" s="10"/>
      <c r="I31" s="19"/>
    </row>
    <row r="32" spans="2:9" x14ac:dyDescent="0.35">
      <c r="C32" s="24"/>
      <c r="E32" s="24"/>
      <c r="G32" s="10"/>
      <c r="H32" s="10"/>
    </row>
    <row r="33" spans="3:8" x14ac:dyDescent="0.35">
      <c r="C33" s="24"/>
      <c r="E33" s="24" t="str">
        <f>"- PROJETO DE ENERGIA SOLAR FOTOVOLTAICA  "&amp; INDEX('1'!AA:AA,MATCH($A$4,'1'!A:A,0))&amp;"  W."</f>
        <v>- PROJETO DE ENERGIA SOLAR FOTOVOLTAICA  10,62  W.</v>
      </c>
      <c r="G33" s="10"/>
      <c r="H33" s="10"/>
    </row>
    <row r="34" spans="3:8" x14ac:dyDescent="0.35">
      <c r="C34" s="24"/>
      <c r="E34" s="24" t="str">
        <f ca="1">INDEX('Dados - Solicitação de acesso'!BD2:BD13,MONTH(TODAY()))&amp;"/"&amp;YEAR(TODAY())</f>
        <v>FEVEREIRO/2024</v>
      </c>
      <c r="G34" s="10"/>
      <c r="H34" s="10"/>
    </row>
    <row r="35" spans="3:8" x14ac:dyDescent="0.35">
      <c r="C35" s="24" t="str">
        <f>"Max. corrente de alimentação:                           "&amp; INDEX('Dados - Inversores'!N:N,MATCH(A14,'Dados - Inversores'!C:C,0))</f>
        <v>Max. corrente de alimentação:                           25A/12.5A</v>
      </c>
      <c r="E35" s="24"/>
      <c r="G35" s="10"/>
      <c r="H35" s="10"/>
    </row>
    <row r="36" spans="3:8" x14ac:dyDescent="0.35">
      <c r="C36" s="24"/>
      <c r="E36" s="24" t="str">
        <f>IF(LEN(INDEX('1'!L:L,MATCH($A$4,'1'!A:A,0)))=11,"CPF: "&amp;LEFT(INDEX('1'!L:L,MATCH($A$4,'1'!A:A,0)),3)&amp;"."&amp;RIGHT(LEFT(INDEX('1'!L:L,MATCH($A$4,'1'!A:A,0)),6),3)&amp;"."&amp;RIGHT(LEFT(INDEX('1'!L:L,MATCH($A$4,'1'!A:A,0)),9),3)&amp;"-"&amp;RIGHT(LEFT(INDEX('1'!L:L,MATCH($A$4,'1'!A:A,0)),12),2),IF(LEN(INDEX('1'!L:L,MATCH($A$4,'1'!A:A,0)))=14,"CNPJ: "&amp;LEFT(INDEX('1'!L:L,MATCH($A$4,'1'!A:A,0)),2)&amp;"."&amp;RIGHT(LEFT(INDEX('1'!L:L,MATCH($A$4,'1'!A:A,0)),5),3)&amp;"."&amp;RIGHT(LEFT(INDEX('1'!L:L,MATCH($A$4,'1'!A:A,0)),8),3)&amp;"/"&amp;RIGHT(LEFT(INDEX('1'!L:L,MATCH($A$4,'1'!A:A,0)),12),4)&amp;"-"&amp;RIGHT(LEFT(INDEX('1'!L:L,MATCH($A$4,'1'!A:A,0)),14),2)))</f>
        <v>CPF: 123.456.789-00</v>
      </c>
      <c r="G36" s="10"/>
      <c r="H36" s="10"/>
    </row>
    <row r="37" spans="3:8" x14ac:dyDescent="0.35">
      <c r="C37" s="24" t="str">
        <f>"Max. Isc por arranjo:                                              "&amp; INDEX('Dados - Inversores'!O:O,MATCH(A14,'Dados - Inversores'!C:C,0))</f>
        <v>Max. Isc por arranjo:                                              32A/16A</v>
      </c>
      <c r="G37" s="10"/>
      <c r="H37" s="10"/>
    </row>
    <row r="38" spans="3:8" x14ac:dyDescent="0.35">
      <c r="C38" s="24"/>
      <c r="G38" s="10"/>
      <c r="H38" s="10"/>
    </row>
    <row r="39" spans="3:8" x14ac:dyDescent="0.35">
      <c r="C39" s="24" t="str">
        <f>"Min. tensão de entrada (Udc min):                                 "&amp; INDEX('Dados - Inversores'!P:P,MATCH(A14,'Dados - Inversores'!C:C,0))</f>
        <v>Min. tensão de entrada (Udc min):                                 80V</v>
      </c>
      <c r="G39" s="10"/>
      <c r="H39" s="10"/>
    </row>
    <row r="40" spans="3:8" x14ac:dyDescent="0.35">
      <c r="C40" s="24"/>
      <c r="G40" s="10"/>
      <c r="H40" s="10"/>
    </row>
    <row r="41" spans="3:8" x14ac:dyDescent="0.35">
      <c r="C41" s="24" t="str">
        <f>"Tensão de partida (Udc start):                                    "&amp; INDEX('Dados - Inversores'!Q:Q,MATCH(A14,'Dados - Inversores'!C:C,0))</f>
        <v>Tensão de partida (Udc start):                                    100V</v>
      </c>
      <c r="G41" s="10"/>
      <c r="H41" s="10"/>
    </row>
    <row r="42" spans="3:8" x14ac:dyDescent="0.35">
      <c r="C42" s="24"/>
      <c r="G42" s="10"/>
      <c r="H42" s="10"/>
    </row>
    <row r="43" spans="3:8" x14ac:dyDescent="0.35">
      <c r="C43" s="24" t="str">
        <f>"Tensão nominal (Udc,r):                                                "&amp; INDEX('Dados - Inversores'!R:R,MATCH(A14,'Dados - Inversores'!C:C,0))</f>
        <v>Tensão nominal (Udc,r):                                                360V</v>
      </c>
      <c r="G43" s="10"/>
      <c r="H43" s="10"/>
    </row>
    <row r="44" spans="3:8" x14ac:dyDescent="0.35">
      <c r="C44" s="24"/>
      <c r="G44" s="10"/>
      <c r="H44" s="10"/>
    </row>
    <row r="45" spans="3:8" x14ac:dyDescent="0.35">
      <c r="C45" s="24" t="str">
        <f>"Max. tensão de entrada (Udc max):                           "&amp; INDEX('Dados - Inversores'!S:S,MATCH(A14,'Dados - Inversores'!C:C,0))</f>
        <v>Max. tensão de entrada (Udc max):                           550V</v>
      </c>
      <c r="G45" s="10"/>
      <c r="H45" s="10"/>
    </row>
    <row r="46" spans="3:8" x14ac:dyDescent="0.35">
      <c r="C46" s="24"/>
      <c r="G46" s="10"/>
      <c r="H46" s="10"/>
    </row>
    <row r="47" spans="3:8" x14ac:dyDescent="0.35">
      <c r="C47" s="24" t="str">
        <f>"Gradiente de tensão do rastreador MPP:          "&amp; INDEX('Dados - Inversores'!T:T,MATCH(A14,'Dados - Inversores'!C:C,0))</f>
        <v>Gradiente de tensão do rastreador MPP:          80V-550V</v>
      </c>
      <c r="G47" s="10"/>
      <c r="H47" s="10"/>
    </row>
    <row r="48" spans="3:8" x14ac:dyDescent="0.35">
      <c r="C48" s="24"/>
      <c r="G48" s="10"/>
      <c r="H48" s="10"/>
    </row>
    <row r="49" spans="3:35" x14ac:dyDescent="0.35">
      <c r="C49" s="24" t="str">
        <f>"Num. de rastr. do Ponto de máx. Potência:                     "&amp; INDEX('Dados - Inversores'!U:U,MATCH(A14,'Dados - Inversores'!C:C,0))</f>
        <v>Num. de rastr. do Ponto de máx. Potência:                     2</v>
      </c>
      <c r="G49" s="10"/>
      <c r="H49" s="10"/>
    </row>
    <row r="50" spans="3:35" x14ac:dyDescent="0.35">
      <c r="C50" s="24"/>
      <c r="G50" s="10"/>
      <c r="H50" s="10"/>
    </row>
    <row r="51" spans="3:35" x14ac:dyDescent="0.35">
      <c r="C51" s="24" t="str">
        <f>"Numero de conexões CC:                                              "&amp; INDEX('Dados - Inversores'!V:V,MATCH(A14,'Dados - Inversores'!C:C,0))</f>
        <v>Numero de conexões CC:                                              2+1</v>
      </c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</row>
    <row r="52" spans="3:35" x14ac:dyDescent="0.35">
      <c r="C52" s="24"/>
      <c r="G52" s="10"/>
      <c r="H52" s="10"/>
    </row>
    <row r="53" spans="3:35" x14ac:dyDescent="0.35">
      <c r="C53" s="24" t="str">
        <f>"Max. potência do gerador fotovoltáico:              "&amp; INDEX('Dados - Inversores'!W:W,MATCH(A14,'Dados - Inversores'!C:C,0))</f>
        <v>Max. potência do gerador fotovoltáico:              10,5 kWp</v>
      </c>
      <c r="G53" s="10"/>
      <c r="H53" s="10"/>
    </row>
    <row r="54" spans="3:35" x14ac:dyDescent="0.35">
      <c r="C54" s="24"/>
      <c r="G54" s="10"/>
      <c r="H54" s="10"/>
    </row>
    <row r="55" spans="3:35" x14ac:dyDescent="0.35">
      <c r="C55" s="24"/>
      <c r="G55" s="10"/>
      <c r="H55" s="10"/>
    </row>
    <row r="56" spans="3:35" x14ac:dyDescent="0.35">
      <c r="C56" s="24"/>
      <c r="G56" s="10"/>
      <c r="H56" s="10"/>
    </row>
    <row r="57" spans="3:35" x14ac:dyDescent="0.35">
      <c r="C57" s="24"/>
      <c r="G57" s="10"/>
      <c r="H57" s="10"/>
    </row>
    <row r="58" spans="3:35" x14ac:dyDescent="0.35">
      <c r="C58" s="24"/>
      <c r="G58" s="10"/>
      <c r="H58" s="10"/>
    </row>
    <row r="59" spans="3:35" x14ac:dyDescent="0.35">
      <c r="C59" s="24" t="str">
        <f>"Potência  Nominal CA:                                             "&amp; INDEX('Dados - Inversores'!D:D,MATCH(A14,'Dados - Inversores'!C:C,0))</f>
        <v>Potência  Nominal CA:                                             8000W</v>
      </c>
      <c r="G59" s="10"/>
      <c r="H59" s="10"/>
    </row>
    <row r="60" spans="3:35" x14ac:dyDescent="0.35">
      <c r="C60" s="24"/>
      <c r="G60" s="10"/>
      <c r="H60" s="10"/>
    </row>
    <row r="61" spans="3:35" x14ac:dyDescent="0.35">
      <c r="C61" s="24" t="str">
        <f>"Potência Máxima CA:                                              "&amp; INDEX('Dados - Inversores'!F:F,MATCH(A14,'Dados - Inversores'!C:C,0))</f>
        <v>Potência Máxima CA:                                              8000VA</v>
      </c>
      <c r="G61" s="10"/>
      <c r="H61" s="10"/>
    </row>
    <row r="62" spans="3:35" x14ac:dyDescent="0.35">
      <c r="C62" s="24"/>
      <c r="G62" s="10"/>
      <c r="H62" s="10"/>
    </row>
    <row r="63" spans="3:35" x14ac:dyDescent="0.35">
      <c r="C63" s="24" t="str">
        <f>"Corrente de Saída nominal:                                        "&amp; INDEX('Dados - Inversores'!G:G,MATCH(A14,'Dados - Inversores'!C:C,0))</f>
        <v>Corrente de Saída nominal:                                        36.4A</v>
      </c>
      <c r="G63" s="10"/>
      <c r="H63" s="10"/>
    </row>
    <row r="64" spans="3:35" x14ac:dyDescent="0.35">
      <c r="C64" s="24"/>
    </row>
    <row r="65" spans="3:3" x14ac:dyDescent="0.35">
      <c r="C65" s="24" t="str">
        <f>"Tensão de conexão com a rede:             "&amp; INDEX('Dados - Inversores'!H:H,MATCH(A14,'Dados - Inversores'!C:C,0))</f>
        <v>Tensão de conexão com a rede:             220V/(180V-280V)</v>
      </c>
    </row>
    <row r="66" spans="3:3" x14ac:dyDescent="0.35">
      <c r="C66" s="24"/>
    </row>
    <row r="67" spans="3:3" x14ac:dyDescent="0.35">
      <c r="C67" s="24" t="str">
        <f>"Frequencia                                                        "&amp; INDEX('Dados - Inversores'!I:I,MATCH(A14,'Dados - Inversores'!C:C,0))</f>
        <v>Frequencia                                                               50,60Hz</v>
      </c>
    </row>
    <row r="68" spans="3:3" x14ac:dyDescent="0.35">
      <c r="C68" s="24"/>
    </row>
    <row r="69" spans="3:3" x14ac:dyDescent="0.35">
      <c r="C69" s="24" t="str">
        <f>"Distorção Harmônica Total:                                         "&amp; INDEX('Dados - Inversores'!J:J,MATCH(A14,'Dados - Inversores'!C:C,0))</f>
        <v>Distorção Harmônica Total:                                         &lt;3%</v>
      </c>
    </row>
    <row r="70" spans="3:3" x14ac:dyDescent="0.35">
      <c r="C70" s="24"/>
    </row>
    <row r="71" spans="3:3" x14ac:dyDescent="0.35">
      <c r="C71" s="24" t="str">
        <f>"Fator de Potência (cos φ):                   "&amp; INDEX('Dados - Inversores'!K:K,MATCH(A14,'Dados - Inversores'!C:C,0))</f>
        <v>Fator de Potência (cos φ):                   1 (ajustável +/- 0,8)</v>
      </c>
    </row>
    <row r="72" spans="3:3" x14ac:dyDescent="0.35">
      <c r="C72" s="24"/>
    </row>
    <row r="73" spans="3:3" x14ac:dyDescent="0.35">
      <c r="C73" s="24"/>
    </row>
    <row r="74" spans="3:3" x14ac:dyDescent="0.35">
      <c r="C74" s="24"/>
    </row>
    <row r="75" spans="3:3" x14ac:dyDescent="0.35">
      <c r="C75" s="24"/>
    </row>
    <row r="76" spans="3:3" x14ac:dyDescent="0.35">
      <c r="C76" s="24" t="str">
        <f>"Dimensões (altura x largura x prof.):      "&amp; INDEX('Dados - Inversores'!Y:Y,MATCH(A14,'Dados - Inversores'!C:C,0))</f>
        <v>Dimensões (altura x largura x prof.):      419x355x185mm</v>
      </c>
    </row>
    <row r="77" spans="3:3" x14ac:dyDescent="0.35">
      <c r="C77" s="24"/>
    </row>
    <row r="78" spans="3:3" x14ac:dyDescent="0.35">
      <c r="C78" s="24" t="str">
        <f>"Peso:                                                                          "&amp; INDEX('Dados - Inversores'!Z:Z,MATCH(A14,'Dados - Inversores'!C:C,0))</f>
        <v>Peso:                                                                          16,8 kg</v>
      </c>
    </row>
    <row r="79" spans="3:3" x14ac:dyDescent="0.35">
      <c r="C79" s="24"/>
    </row>
    <row r="80" spans="3:3" x14ac:dyDescent="0.35">
      <c r="C80" s="24" t="str">
        <f>"Grau de Proteção:                                                        "&amp; INDEX('Dados - Inversores'!AA:AA,MATCH(A14,'Dados - Inversores'!C:C,0))</f>
        <v>Grau de Proteção:                                                        IP 65</v>
      </c>
    </row>
    <row r="81" spans="3:3" x14ac:dyDescent="0.35">
      <c r="C81" s="24"/>
    </row>
    <row r="82" spans="3:3" x14ac:dyDescent="0.35">
      <c r="C82" s="24" t="str">
        <f>"Classe de proteção:                                                           "&amp; INDEX('Dados - Inversores'!AB:AB,MATCH(A14,'Dados - Inversores'!C:C,0))</f>
        <v>Classe de proteção:                                                           1</v>
      </c>
    </row>
    <row r="83" spans="3:3" x14ac:dyDescent="0.35">
      <c r="C83" s="24"/>
    </row>
    <row r="84" spans="3:3" x14ac:dyDescent="0.35">
      <c r="C84" s="24" t="str">
        <f>"Consumo noturno:                                                      "&amp; INDEX('Dados - Inversores'!AC:AC,MATCH(A14,'Dados - Inversores'!C:C,0))</f>
        <v>Consumo noturno:                                                      &lt;0,5 W</v>
      </c>
    </row>
    <row r="85" spans="3:3" x14ac:dyDescent="0.35">
      <c r="C85" s="24"/>
    </row>
    <row r="86" spans="3:3" x14ac:dyDescent="0.35">
      <c r="C86" s="24" t="str">
        <f>"Topologia do Inversor:                     "&amp; INDEX('Dados - Inversores'!AD:AD,MATCH(A14,'Dados - Inversores'!C:C,0))</f>
        <v>Topologia do Inversor:                     Sem Transformador</v>
      </c>
    </row>
    <row r="87" spans="3:3" x14ac:dyDescent="0.35">
      <c r="C87" s="24"/>
    </row>
    <row r="88" spans="3:3" x14ac:dyDescent="0.35">
      <c r="C88" s="24" t="str">
        <f>"Controle de temperatura:                    "&amp; INDEX('Dados - Inversores'!AE:AE,MATCH(A14,'Dados - Inversores'!C:C,0))</f>
        <v>Controle de temperatura:                    Ventilação Natural</v>
      </c>
    </row>
    <row r="89" spans="3:3" x14ac:dyDescent="0.35">
      <c r="C89" s="24"/>
    </row>
    <row r="90" spans="3:3" x14ac:dyDescent="0.35">
      <c r="C90" s="24" t="str">
        <f>"Gradiente de temperatura ambiente:            "&amp; INDEX('Dados - Inversores'!AF:AF,MATCH(A14,'Dados - Inversores'!C:C,0))</f>
        <v>Gradiente de temperatura ambiente:            -25°C ± 60°C</v>
      </c>
    </row>
    <row r="91" spans="3:3" x14ac:dyDescent="0.35">
      <c r="C91" s="24"/>
    </row>
    <row r="92" spans="3:3" x14ac:dyDescent="0.35">
      <c r="C92" s="24" t="str">
        <f>"Umidade relativa do ar:                                       "&amp; INDEX('Dados - Inversores'!AG:AG,MATCH(A14,'Dados - Inversores'!C:C,0))</f>
        <v>Umidade relativa do ar:                                       0 a 100 %</v>
      </c>
    </row>
    <row r="93" spans="3:3" x14ac:dyDescent="0.35">
      <c r="C93" s="24"/>
    </row>
    <row r="94" spans="3:3" x14ac:dyDescent="0.35">
      <c r="C94" s="24" t="str">
        <f>"Bitola dos Terminais CC:                               "&amp; INDEX('Dados - Inversores'!AH:AH,MATCH(A14,'Dados - Inversores'!C:C,0))</f>
        <v xml:space="preserve">Bitola dos Terminais CC:                               </v>
      </c>
    </row>
    <row r="95" spans="3:3" x14ac:dyDescent="0.35">
      <c r="C95" s="24" t="s">
        <v>533</v>
      </c>
    </row>
    <row r="96" spans="3:3" x14ac:dyDescent="0.35">
      <c r="C96" s="24" t="str">
        <f>"Conexão com a Rede:                             "&amp; INDEX('Dados - Inversores'!AI:AI,MATCH(A14,'Dados - Inversores'!C:C,0))</f>
        <v>Conexão com a Rede:                             2 polos CA FF+T</v>
      </c>
    </row>
    <row r="97" spans="3:3" x14ac:dyDescent="0.35">
      <c r="C97" s="24"/>
    </row>
    <row r="98" spans="3:3" x14ac:dyDescent="0.35">
      <c r="C98" s="24" t="str">
        <f>"Bitola dos Terminais CA:                               "&amp; INDEX('Dados - Inversores'!AJ:AJ,MATCH(A14,'Dados - Inversores'!C:C,0))</f>
        <v xml:space="preserve">Bitola dos Terminais CA:                               </v>
      </c>
    </row>
    <row r="121" spans="5:5" x14ac:dyDescent="0.35">
      <c r="E121" s="20"/>
    </row>
    <row r="122" spans="5:5" x14ac:dyDescent="0.35">
      <c r="E122" s="20"/>
    </row>
    <row r="123" spans="5:5" x14ac:dyDescent="0.35">
      <c r="E123" s="20"/>
    </row>
    <row r="124" spans="5:5" x14ac:dyDescent="0.35">
      <c r="E124" s="20"/>
    </row>
    <row r="125" spans="5:5" x14ac:dyDescent="0.35">
      <c r="E125" s="20"/>
    </row>
    <row r="126" spans="5:5" x14ac:dyDescent="0.35">
      <c r="E126" s="20"/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1B9860-F4B0-419F-8070-3E76DB2F22C0}">
          <x14:formula1>
            <xm:f>'Dados - Cliente'!$A:$A</xm:f>
          </x14:formula1>
          <xm:sqref>A4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4732-7A61-4CE2-AC40-A9B773F86C2D}">
  <sheetPr codeName="Planilha13"/>
  <dimension ref="A1:G156"/>
  <sheetViews>
    <sheetView zoomScale="130" zoomScaleNormal="130" workbookViewId="0">
      <pane ySplit="1" topLeftCell="A2" activePane="bottomLeft" state="frozen"/>
      <selection pane="bottomLeft" activeCell="B3" sqref="B3"/>
    </sheetView>
  </sheetViews>
  <sheetFormatPr defaultColWidth="8.81640625" defaultRowHeight="14.5" x14ac:dyDescent="0.35"/>
  <cols>
    <col min="1" max="1" width="46" style="47" customWidth="1"/>
    <col min="2" max="2" width="12.54296875" style="12" bestFit="1" customWidth="1"/>
    <col min="3" max="3" width="15.1796875" style="12" bestFit="1" customWidth="1"/>
    <col min="4" max="4" width="59" style="12" customWidth="1"/>
    <col min="5" max="5" width="6" style="12" bestFit="1" customWidth="1"/>
    <col min="6" max="6" width="8.81640625" style="22"/>
    <col min="7" max="7" width="8.81640625" style="6"/>
    <col min="8" max="16384" width="8.81640625" style="22"/>
  </cols>
  <sheetData>
    <row r="1" spans="1:6" ht="15.5" x14ac:dyDescent="0.35">
      <c r="A1" s="1" t="s">
        <v>0</v>
      </c>
      <c r="B1" s="1" t="s">
        <v>1</v>
      </c>
      <c r="C1" s="1" t="s">
        <v>11</v>
      </c>
      <c r="D1" s="1" t="s">
        <v>63</v>
      </c>
      <c r="E1" s="1" t="s">
        <v>64</v>
      </c>
      <c r="F1" s="1" t="s">
        <v>4310</v>
      </c>
    </row>
    <row r="2" spans="1:6" x14ac:dyDescent="0.35">
      <c r="A2" s="48" t="s">
        <v>4307</v>
      </c>
      <c r="B2" s="48" t="s">
        <v>4315</v>
      </c>
      <c r="C2" s="48">
        <f>INDEX('Dados - Cliente'!I:I,MATCH('Dados - Beneficiarias'!A2,'Dados - Cliente'!A:A,0))</f>
        <v>12345678900</v>
      </c>
      <c r="D2" s="48" t="s">
        <v>4312</v>
      </c>
      <c r="E2" s="48">
        <v>50</v>
      </c>
      <c r="F2" s="48">
        <v>200</v>
      </c>
    </row>
    <row r="3" spans="1:6" x14ac:dyDescent="0.35">
      <c r="A3" s="48" t="s">
        <v>4307</v>
      </c>
      <c r="B3" s="48" t="s">
        <v>4311</v>
      </c>
      <c r="C3" s="48">
        <f>INDEX('Dados - Cliente'!I:I,MATCH('Dados - Beneficiarias'!A3,'Dados - Cliente'!A:A,0))</f>
        <v>12345678900</v>
      </c>
      <c r="D3" s="48" t="s">
        <v>4312</v>
      </c>
      <c r="E3" s="48">
        <v>50</v>
      </c>
      <c r="F3" s="48">
        <v>200</v>
      </c>
    </row>
    <row r="4" spans="1:6" x14ac:dyDescent="0.35">
      <c r="A4" s="46"/>
      <c r="B4" s="39"/>
      <c r="C4" s="12" t="e">
        <f>INDEX('Dados - Cliente'!I:I,MATCH('Dados - Beneficiarias'!A4,'Dados - Cliente'!A:A,0))</f>
        <v>#N/A</v>
      </c>
    </row>
    <row r="5" spans="1:6" x14ac:dyDescent="0.35">
      <c r="A5" s="45"/>
      <c r="B5" s="39"/>
      <c r="C5" s="12" t="e">
        <f>INDEX('Dados - Cliente'!I:I,MATCH('Dados - Beneficiarias'!A5,'Dados - Cliente'!A:A,0))</f>
        <v>#N/A</v>
      </c>
    </row>
    <row r="6" spans="1:6" x14ac:dyDescent="0.35">
      <c r="C6" s="12" t="e">
        <f>INDEX('Dados - Cliente'!I:I,MATCH('Dados - Beneficiarias'!A6,'Dados - Cliente'!A:A,0))</f>
        <v>#N/A</v>
      </c>
    </row>
    <row r="7" spans="1:6" x14ac:dyDescent="0.35">
      <c r="C7" s="12" t="e">
        <f>INDEX('Dados - Cliente'!I:I,MATCH('Dados - Beneficiarias'!A7,'Dados - Cliente'!A:A,0))</f>
        <v>#N/A</v>
      </c>
    </row>
    <row r="8" spans="1:6" x14ac:dyDescent="0.35">
      <c r="A8" s="45"/>
      <c r="B8" s="39"/>
      <c r="C8" s="12" t="e">
        <f>INDEX('Dados - Cliente'!I:I,MATCH('Dados - Beneficiarias'!A8,'Dados - Cliente'!A:A,0))</f>
        <v>#N/A</v>
      </c>
    </row>
    <row r="9" spans="1:6" x14ac:dyDescent="0.35">
      <c r="A9" s="45"/>
      <c r="B9" s="39"/>
      <c r="C9" s="12" t="e">
        <f>INDEX('Dados - Cliente'!I:I,MATCH('Dados - Beneficiarias'!A9,'Dados - Cliente'!A:A,0))</f>
        <v>#N/A</v>
      </c>
    </row>
    <row r="10" spans="1:6" x14ac:dyDescent="0.35">
      <c r="A10" s="45"/>
      <c r="B10" s="39"/>
      <c r="C10" s="12" t="e">
        <f>INDEX('Dados - Cliente'!I:I,MATCH('Dados - Beneficiarias'!A10,'Dados - Cliente'!A:A,0))</f>
        <v>#N/A</v>
      </c>
    </row>
    <row r="11" spans="1:6" x14ac:dyDescent="0.35">
      <c r="A11" s="45"/>
      <c r="B11" s="39"/>
      <c r="C11" s="12" t="e">
        <f>INDEX('Dados - Cliente'!I:I,MATCH('Dados - Beneficiarias'!A11,'Dados - Cliente'!A:A,0))</f>
        <v>#N/A</v>
      </c>
    </row>
    <row r="12" spans="1:6" x14ac:dyDescent="0.35">
      <c r="A12" s="45"/>
      <c r="B12" s="39"/>
      <c r="C12" s="12" t="e">
        <f>INDEX('Dados - Cliente'!I:I,MATCH('Dados - Beneficiarias'!A12,'Dados - Cliente'!A:A,0))</f>
        <v>#N/A</v>
      </c>
    </row>
    <row r="13" spans="1:6" x14ac:dyDescent="0.35">
      <c r="A13" s="45"/>
      <c r="B13" s="39"/>
      <c r="C13" s="12" t="e">
        <f>INDEX('Dados - Cliente'!I:I,MATCH('Dados - Beneficiarias'!A13,'Dados - Cliente'!A:A,0))</f>
        <v>#N/A</v>
      </c>
    </row>
    <row r="14" spans="1:6" x14ac:dyDescent="0.35">
      <c r="A14" s="45"/>
      <c r="B14" s="39"/>
      <c r="C14" s="12" t="e">
        <f>INDEX('Dados - Cliente'!I:I,MATCH('Dados - Beneficiarias'!A14,'Dados - Cliente'!A:A,0))</f>
        <v>#N/A</v>
      </c>
    </row>
    <row r="15" spans="1:6" x14ac:dyDescent="0.35">
      <c r="A15" s="45"/>
      <c r="B15" s="39"/>
      <c r="C15" s="12" t="e">
        <f>INDEX('Dados - Cliente'!I:I,MATCH('Dados - Beneficiarias'!A15,'Dados - Cliente'!A:A,0))</f>
        <v>#N/A</v>
      </c>
    </row>
    <row r="16" spans="1:6" x14ac:dyDescent="0.35">
      <c r="A16" s="45"/>
      <c r="B16" s="23"/>
      <c r="C16" s="12" t="e">
        <f>INDEX('Dados - Cliente'!I:I,MATCH('Dados - Beneficiarias'!A16,'Dados - Cliente'!A:A,0))</f>
        <v>#N/A</v>
      </c>
    </row>
    <row r="17" spans="1:7" x14ac:dyDescent="0.35">
      <c r="A17" s="45"/>
      <c r="B17" s="39"/>
      <c r="C17" s="12" t="e">
        <f>INDEX('Dados - Cliente'!I:I,MATCH('Dados - Beneficiarias'!A17,'Dados - Cliente'!A:A,0))</f>
        <v>#N/A</v>
      </c>
    </row>
    <row r="18" spans="1:7" x14ac:dyDescent="0.35">
      <c r="A18" s="45"/>
      <c r="B18" s="39"/>
      <c r="C18" s="12" t="e">
        <f>INDEX('Dados - Cliente'!I:I,MATCH('Dados - Beneficiarias'!A18,'Dados - Cliente'!A:A,0))</f>
        <v>#N/A</v>
      </c>
    </row>
    <row r="19" spans="1:7" x14ac:dyDescent="0.35">
      <c r="A19" s="45"/>
      <c r="B19" s="39"/>
      <c r="C19" s="12" t="e">
        <f>INDEX('Dados - Cliente'!I:I,MATCH('Dados - Beneficiarias'!A19,'Dados - Cliente'!A:A,0))</f>
        <v>#N/A</v>
      </c>
    </row>
    <row r="20" spans="1:7" x14ac:dyDescent="0.35">
      <c r="A20" s="45"/>
      <c r="B20" s="39"/>
      <c r="C20" s="12" t="e">
        <f>INDEX('Dados - Cliente'!I:I,MATCH('Dados - Beneficiarias'!A20,'Dados - Cliente'!A:A,0))</f>
        <v>#N/A</v>
      </c>
    </row>
    <row r="21" spans="1:7" s="4" customFormat="1" x14ac:dyDescent="0.35">
      <c r="A21" s="45"/>
      <c r="B21" s="29"/>
      <c r="C21" s="29" t="e">
        <f>INDEX('Dados - Cliente'!I:I,MATCH('Dados - Beneficiarias'!A21,'Dados - Cliente'!A:A,0))</f>
        <v>#N/A</v>
      </c>
      <c r="D21" s="29"/>
      <c r="E21" s="29"/>
      <c r="G21" s="70"/>
    </row>
    <row r="22" spans="1:7" s="4" customFormat="1" x14ac:dyDescent="0.35">
      <c r="A22" s="45"/>
      <c r="B22" s="29"/>
      <c r="C22" s="29" t="e">
        <f>INDEX('Dados - Cliente'!I:I,MATCH('Dados - Beneficiarias'!A22,'Dados - Cliente'!A:A,0))</f>
        <v>#N/A</v>
      </c>
      <c r="D22" s="29"/>
      <c r="E22" s="29"/>
      <c r="F22" s="23"/>
      <c r="G22" s="70"/>
    </row>
    <row r="23" spans="1:7" s="4" customFormat="1" x14ac:dyDescent="0.35">
      <c r="A23" s="45"/>
      <c r="B23" s="29"/>
      <c r="C23" s="29" t="e">
        <f>INDEX('Dados - Cliente'!I:I,MATCH('Dados - Beneficiarias'!A23,'Dados - Cliente'!A:A,0))</f>
        <v>#N/A</v>
      </c>
      <c r="D23" s="29"/>
      <c r="E23" s="29"/>
      <c r="G23" s="71"/>
    </row>
    <row r="24" spans="1:7" s="4" customFormat="1" x14ac:dyDescent="0.35">
      <c r="A24" s="45"/>
      <c r="B24" s="29"/>
      <c r="C24" s="29" t="e">
        <f>INDEX('Dados - Cliente'!I:I,MATCH('Dados - Beneficiarias'!A24,'Dados - Cliente'!A:A,0))</f>
        <v>#N/A</v>
      </c>
      <c r="D24" s="29"/>
      <c r="E24" s="29"/>
      <c r="G24" s="71"/>
    </row>
    <row r="25" spans="1:7" s="4" customFormat="1" x14ac:dyDescent="0.35">
      <c r="A25" s="45"/>
      <c r="B25" s="29"/>
      <c r="C25" s="29" t="e">
        <f>INDEX('Dados - Cliente'!I:I,MATCH('Dados - Beneficiarias'!A25,'Dados - Cliente'!A:A,0))</f>
        <v>#N/A</v>
      </c>
      <c r="D25" s="29"/>
      <c r="E25" s="29"/>
      <c r="G25" s="71"/>
    </row>
    <row r="26" spans="1:7" s="4" customFormat="1" x14ac:dyDescent="0.35">
      <c r="A26" s="45"/>
      <c r="B26" s="29"/>
      <c r="C26" s="29" t="e">
        <f>INDEX('Dados - Cliente'!I:I,MATCH('Dados - Beneficiarias'!A26,'Dados - Cliente'!A:A,0))</f>
        <v>#N/A</v>
      </c>
      <c r="D26" s="29"/>
      <c r="E26" s="29"/>
      <c r="G26" s="71"/>
    </row>
    <row r="27" spans="1:7" s="4" customFormat="1" x14ac:dyDescent="0.35">
      <c r="A27" s="45"/>
      <c r="B27" s="29"/>
      <c r="C27" s="29" t="e">
        <f>INDEX('Dados - Cliente'!I:I,MATCH('Dados - Beneficiarias'!A27,'Dados - Cliente'!A:A,0))</f>
        <v>#N/A</v>
      </c>
      <c r="D27" s="29"/>
      <c r="E27" s="29"/>
      <c r="G27" s="70"/>
    </row>
    <row r="28" spans="1:7" s="4" customFormat="1" x14ac:dyDescent="0.35">
      <c r="A28" s="45"/>
      <c r="B28" s="29"/>
      <c r="C28" s="29" t="e">
        <f>INDEX('Dados - Cliente'!I:I,MATCH('Dados - Beneficiarias'!A28,'Dados - Cliente'!A:A,0))</f>
        <v>#N/A</v>
      </c>
      <c r="D28" s="29"/>
      <c r="E28" s="29"/>
      <c r="G28" s="70"/>
    </row>
    <row r="29" spans="1:7" s="4" customFormat="1" x14ac:dyDescent="0.35">
      <c r="A29" s="45"/>
      <c r="B29" s="29"/>
      <c r="C29" s="29" t="e">
        <f>INDEX('Dados - Cliente'!I:I,MATCH('Dados - Beneficiarias'!A29,'Dados - Cliente'!A:A,0))</f>
        <v>#N/A</v>
      </c>
      <c r="D29" s="29"/>
      <c r="E29" s="29"/>
      <c r="G29" s="70"/>
    </row>
    <row r="30" spans="1:7" s="4" customFormat="1" x14ac:dyDescent="0.35">
      <c r="A30" s="45"/>
      <c r="B30" s="29"/>
      <c r="C30" s="29" t="e">
        <f>INDEX('Dados - Cliente'!I:I,MATCH('Dados - Beneficiarias'!A30,'Dados - Cliente'!A:A,0))</f>
        <v>#N/A</v>
      </c>
      <c r="D30" s="29"/>
      <c r="E30" s="29"/>
      <c r="G30" s="70"/>
    </row>
    <row r="31" spans="1:7" s="4" customFormat="1" x14ac:dyDescent="0.35">
      <c r="A31" s="45"/>
      <c r="B31" s="29"/>
      <c r="C31" s="29" t="e">
        <f>INDEX('Dados - Cliente'!I:I,MATCH('Dados - Beneficiarias'!A31,'Dados - Cliente'!A:A,0))</f>
        <v>#N/A</v>
      </c>
      <c r="D31" s="29"/>
      <c r="E31" s="29"/>
      <c r="G31" s="70"/>
    </row>
    <row r="32" spans="1:7" s="4" customFormat="1" x14ac:dyDescent="0.35">
      <c r="A32" s="45"/>
      <c r="B32" s="29"/>
      <c r="C32" s="29" t="e">
        <f>INDEX('Dados - Cliente'!I:I,MATCH('Dados - Beneficiarias'!A32,'Dados - Cliente'!A:A,0))</f>
        <v>#N/A</v>
      </c>
      <c r="D32" s="29"/>
      <c r="E32" s="29"/>
      <c r="G32" s="70"/>
    </row>
    <row r="33" spans="1:7" s="4" customFormat="1" x14ac:dyDescent="0.35">
      <c r="A33" s="45"/>
      <c r="B33" s="29"/>
      <c r="C33" s="29" t="e">
        <f>INDEX('Dados - Cliente'!I:I,MATCH('Dados - Beneficiarias'!A33,'Dados - Cliente'!A:A,0))</f>
        <v>#N/A</v>
      </c>
      <c r="D33" s="29"/>
      <c r="E33" s="29"/>
      <c r="G33" s="70"/>
    </row>
    <row r="34" spans="1:7" s="4" customFormat="1" x14ac:dyDescent="0.35">
      <c r="A34" s="45"/>
      <c r="B34" s="29"/>
      <c r="C34" s="29" t="e">
        <f>INDEX('Dados - Cliente'!I:I,MATCH('Dados - Beneficiarias'!A34,'Dados - Cliente'!A:A,0))</f>
        <v>#N/A</v>
      </c>
      <c r="D34" s="29"/>
      <c r="E34" s="29"/>
      <c r="G34" s="70"/>
    </row>
    <row r="35" spans="1:7" s="4" customFormat="1" x14ac:dyDescent="0.35">
      <c r="A35" s="45"/>
      <c r="B35" s="29"/>
      <c r="C35" s="29" t="e">
        <f>INDEX('Dados - Cliente'!I:I,MATCH('Dados - Beneficiarias'!A35,'Dados - Cliente'!A:A,0))</f>
        <v>#N/A</v>
      </c>
      <c r="D35" s="29"/>
      <c r="E35" s="29"/>
      <c r="G35" s="70"/>
    </row>
    <row r="36" spans="1:7" s="4" customFormat="1" x14ac:dyDescent="0.35">
      <c r="A36" s="45"/>
      <c r="B36" s="29"/>
      <c r="C36" s="29" t="e">
        <f>INDEX('Dados - Cliente'!I:I,MATCH('Dados - Beneficiarias'!A36,'Dados - Cliente'!A:A,0))</f>
        <v>#N/A</v>
      </c>
      <c r="D36" s="29"/>
      <c r="E36" s="29"/>
      <c r="G36" s="70"/>
    </row>
    <row r="37" spans="1:7" s="4" customFormat="1" x14ac:dyDescent="0.35">
      <c r="A37" s="45"/>
      <c r="B37" s="23"/>
      <c r="C37" s="29" t="e">
        <f>INDEX('Dados - Cliente'!I:I,MATCH('Dados - Beneficiarias'!A37,'Dados - Cliente'!A:A,0))</f>
        <v>#N/A</v>
      </c>
      <c r="D37" s="29"/>
      <c r="E37" s="29"/>
      <c r="G37" s="70"/>
    </row>
    <row r="38" spans="1:7" s="4" customFormat="1" x14ac:dyDescent="0.35">
      <c r="A38" s="45"/>
      <c r="B38" s="29"/>
      <c r="C38" s="29" t="e">
        <f>INDEX('Dados - Cliente'!I:I,MATCH('Dados - Beneficiarias'!A38,'Dados - Cliente'!A:A,0))</f>
        <v>#N/A</v>
      </c>
      <c r="D38" s="29"/>
      <c r="E38" s="29"/>
      <c r="G38" s="70"/>
    </row>
    <row r="39" spans="1:7" s="4" customFormat="1" x14ac:dyDescent="0.35">
      <c r="A39" s="45"/>
      <c r="B39" s="29"/>
      <c r="C39" s="29" t="e">
        <f>INDEX('Dados - Cliente'!I:I,MATCH('Dados - Beneficiarias'!A39,'Dados - Cliente'!A:A,0))</f>
        <v>#N/A</v>
      </c>
      <c r="D39" s="29"/>
      <c r="E39" s="29"/>
      <c r="G39" s="70"/>
    </row>
    <row r="40" spans="1:7" s="4" customFormat="1" x14ac:dyDescent="0.35">
      <c r="A40" s="45"/>
      <c r="B40" s="29"/>
      <c r="C40" s="29" t="e">
        <f>INDEX('Dados - Cliente'!I:I,MATCH('Dados - Beneficiarias'!A40,'Dados - Cliente'!A:A,0))</f>
        <v>#N/A</v>
      </c>
      <c r="D40" s="29"/>
      <c r="E40" s="29"/>
      <c r="G40" s="70"/>
    </row>
    <row r="41" spans="1:7" s="4" customFormat="1" x14ac:dyDescent="0.35">
      <c r="A41" s="45"/>
      <c r="B41" s="29"/>
      <c r="C41" s="29" t="e">
        <f>INDEX('Dados - Cliente'!I:I,MATCH('Dados - Beneficiarias'!A41,'Dados - Cliente'!A:A,0))</f>
        <v>#N/A</v>
      </c>
      <c r="D41" s="29"/>
      <c r="E41" s="29"/>
      <c r="G41" s="70"/>
    </row>
    <row r="42" spans="1:7" s="4" customFormat="1" x14ac:dyDescent="0.35">
      <c r="A42" s="45"/>
      <c r="B42" s="29"/>
      <c r="C42" s="29" t="e">
        <f>INDEX('Dados - Cliente'!I:I,MATCH('Dados - Beneficiarias'!A42,'Dados - Cliente'!A:A,0))</f>
        <v>#N/A</v>
      </c>
      <c r="D42" s="29"/>
      <c r="E42" s="29"/>
      <c r="G42" s="70"/>
    </row>
    <row r="43" spans="1:7" s="4" customFormat="1" x14ac:dyDescent="0.35">
      <c r="A43" s="45"/>
      <c r="B43" s="29"/>
      <c r="C43" s="29" t="e">
        <f>INDEX('Dados - Cliente'!I:I,MATCH('Dados - Beneficiarias'!A43,'Dados - Cliente'!A:A,0))</f>
        <v>#N/A</v>
      </c>
      <c r="D43" s="29"/>
      <c r="E43" s="29"/>
      <c r="G43" s="70"/>
    </row>
    <row r="44" spans="1:7" s="4" customFormat="1" x14ac:dyDescent="0.35">
      <c r="A44" s="45"/>
      <c r="B44" s="29"/>
      <c r="C44" s="29" t="e">
        <f>INDEX('Dados - Cliente'!I:I,MATCH('Dados - Beneficiarias'!A44,'Dados - Cliente'!A:A,0))</f>
        <v>#N/A</v>
      </c>
      <c r="D44" s="29"/>
      <c r="E44" s="29"/>
      <c r="G44" s="70"/>
    </row>
    <row r="45" spans="1:7" s="4" customFormat="1" x14ac:dyDescent="0.35">
      <c r="A45" s="45"/>
      <c r="B45" s="29"/>
      <c r="C45" s="29" t="e">
        <f>INDEX('Dados - Cliente'!I:I,MATCH('Dados - Beneficiarias'!A45,'Dados - Cliente'!A:A,0))</f>
        <v>#N/A</v>
      </c>
      <c r="D45" s="29"/>
      <c r="E45" s="29"/>
      <c r="G45" s="70"/>
    </row>
    <row r="46" spans="1:7" s="4" customFormat="1" x14ac:dyDescent="0.35">
      <c r="A46" s="45"/>
      <c r="B46" s="29"/>
      <c r="C46" s="29" t="e">
        <f>INDEX('Dados - Cliente'!I:I,MATCH('Dados - Beneficiarias'!A46,'Dados - Cliente'!A:A,0))</f>
        <v>#N/A</v>
      </c>
      <c r="D46" s="29"/>
      <c r="E46" s="29"/>
      <c r="G46" s="70"/>
    </row>
    <row r="47" spans="1:7" s="4" customFormat="1" x14ac:dyDescent="0.35">
      <c r="A47" s="45"/>
      <c r="B47" s="29"/>
      <c r="C47" s="29" t="e">
        <f>INDEX('Dados - Cliente'!I:I,MATCH('Dados - Beneficiarias'!A47,'Dados - Cliente'!A:A,0))</f>
        <v>#N/A</v>
      </c>
      <c r="D47" s="29"/>
      <c r="E47" s="29"/>
      <c r="G47" s="70"/>
    </row>
    <row r="48" spans="1:7" s="4" customFormat="1" x14ac:dyDescent="0.35">
      <c r="A48" s="45"/>
      <c r="B48" s="29"/>
      <c r="C48" s="29" t="e">
        <f>INDEX('Dados - Cliente'!I:I,MATCH('Dados - Beneficiarias'!A48,'Dados - Cliente'!A:A,0))</f>
        <v>#N/A</v>
      </c>
      <c r="D48" s="29"/>
      <c r="E48" s="29"/>
      <c r="G48" s="70"/>
    </row>
    <row r="49" spans="1:7" s="4" customFormat="1" x14ac:dyDescent="0.35">
      <c r="A49" s="45"/>
      <c r="B49" s="29"/>
      <c r="C49" s="29" t="e">
        <f>INDEX('Dados - Cliente'!I:I,MATCH('Dados - Beneficiarias'!A49,'Dados - Cliente'!A:A,0))</f>
        <v>#N/A</v>
      </c>
      <c r="D49" s="29"/>
      <c r="E49" s="29"/>
      <c r="G49" s="70"/>
    </row>
    <row r="50" spans="1:7" s="4" customFormat="1" x14ac:dyDescent="0.35">
      <c r="A50" s="45"/>
      <c r="B50" s="29"/>
      <c r="C50" s="29" t="e">
        <f>INDEX('Dados - Cliente'!I:I,MATCH('Dados - Beneficiarias'!A50,'Dados - Cliente'!A:A,0))</f>
        <v>#N/A</v>
      </c>
      <c r="D50" s="29"/>
      <c r="E50" s="29"/>
      <c r="G50" s="70"/>
    </row>
    <row r="51" spans="1:7" s="4" customFormat="1" x14ac:dyDescent="0.35">
      <c r="A51" s="45"/>
      <c r="B51" s="29"/>
      <c r="C51" s="29" t="e">
        <f>INDEX('Dados - Cliente'!I:I,MATCH('Dados - Beneficiarias'!A51,'Dados - Cliente'!A:A,0))</f>
        <v>#N/A</v>
      </c>
      <c r="D51" s="29"/>
      <c r="E51" s="29"/>
      <c r="G51" s="70"/>
    </row>
    <row r="52" spans="1:7" s="4" customFormat="1" x14ac:dyDescent="0.35">
      <c r="A52" s="45"/>
      <c r="B52" s="29"/>
      <c r="C52" s="29" t="e">
        <f>INDEX('Dados - Cliente'!I:I,MATCH('Dados - Beneficiarias'!A52,'Dados - Cliente'!A:A,0))</f>
        <v>#N/A</v>
      </c>
      <c r="D52" s="29"/>
      <c r="E52" s="29"/>
      <c r="G52" s="70"/>
    </row>
    <row r="53" spans="1:7" s="4" customFormat="1" x14ac:dyDescent="0.35">
      <c r="A53" s="45"/>
      <c r="B53" s="29"/>
      <c r="C53" s="29" t="e">
        <f>INDEX('Dados - Cliente'!I:I,MATCH('Dados - Beneficiarias'!A53,'Dados - Cliente'!A:A,0))</f>
        <v>#N/A</v>
      </c>
      <c r="D53" s="29"/>
      <c r="E53" s="29"/>
      <c r="G53" s="71"/>
    </row>
    <row r="54" spans="1:7" s="4" customFormat="1" x14ac:dyDescent="0.35">
      <c r="A54" s="45"/>
      <c r="B54" s="29"/>
      <c r="C54" s="29" t="e">
        <f>INDEX('Dados - Cliente'!I:I,MATCH('Dados - Beneficiarias'!A54,'Dados - Cliente'!A:A,0))</f>
        <v>#N/A</v>
      </c>
      <c r="D54" s="29"/>
      <c r="E54" s="29"/>
      <c r="G54" s="70"/>
    </row>
    <row r="55" spans="1:7" s="4" customFormat="1" x14ac:dyDescent="0.35">
      <c r="A55" s="45"/>
      <c r="B55" s="23"/>
      <c r="C55" s="29" t="e">
        <f>INDEX('Dados - Cliente'!I:I,MATCH('Dados - Beneficiarias'!A55,'Dados - Cliente'!A:A,0))</f>
        <v>#N/A</v>
      </c>
      <c r="D55" s="29"/>
      <c r="E55" s="29"/>
      <c r="G55" s="70"/>
    </row>
    <row r="56" spans="1:7" s="4" customFormat="1" x14ac:dyDescent="0.35">
      <c r="A56" s="45"/>
      <c r="B56" s="29"/>
      <c r="C56" s="29" t="e">
        <f>INDEX('Dados - Cliente'!I:I,MATCH('Dados - Beneficiarias'!A56,'Dados - Cliente'!A:A,0))</f>
        <v>#N/A</v>
      </c>
      <c r="D56" s="29"/>
      <c r="G56" s="70"/>
    </row>
    <row r="57" spans="1:7" s="4" customFormat="1" x14ac:dyDescent="0.35">
      <c r="A57" s="45"/>
      <c r="B57" s="29"/>
      <c r="C57" s="29" t="e">
        <f>INDEX('Dados - Cliente'!I:I,MATCH('Dados - Beneficiarias'!A57,'Dados - Cliente'!A:A,0))</f>
        <v>#N/A</v>
      </c>
      <c r="D57" s="29"/>
      <c r="G57" s="70"/>
    </row>
    <row r="58" spans="1:7" s="4" customFormat="1" x14ac:dyDescent="0.35">
      <c r="A58" s="45"/>
      <c r="B58" s="29"/>
      <c r="C58" s="29" t="e">
        <f>INDEX('Dados - Cliente'!I:I,MATCH('Dados - Beneficiarias'!A58,'Dados - Cliente'!A:A,0))</f>
        <v>#N/A</v>
      </c>
      <c r="D58" s="29"/>
      <c r="G58" s="70"/>
    </row>
    <row r="59" spans="1:7" s="4" customFormat="1" x14ac:dyDescent="0.35">
      <c r="A59" s="45"/>
      <c r="B59" s="29"/>
      <c r="C59" s="29" t="e">
        <f>INDEX('Dados - Cliente'!I:I,MATCH('Dados - Beneficiarias'!A59,'Dados - Cliente'!A:A,0))</f>
        <v>#N/A</v>
      </c>
      <c r="D59" s="29"/>
      <c r="G59" s="70"/>
    </row>
    <row r="60" spans="1:7" s="4" customFormat="1" x14ac:dyDescent="0.35">
      <c r="A60" s="45"/>
      <c r="B60" s="29"/>
      <c r="C60" s="29" t="e">
        <f>INDEX('Dados - Cliente'!I:I,MATCH('Dados - Beneficiarias'!A60,'Dados - Cliente'!A:A,0))</f>
        <v>#N/A</v>
      </c>
      <c r="D60" s="29"/>
      <c r="G60" s="70"/>
    </row>
    <row r="61" spans="1:7" s="4" customFormat="1" x14ac:dyDescent="0.35">
      <c r="A61" s="45"/>
      <c r="B61" s="29"/>
      <c r="C61" s="29" t="e">
        <f>INDEX('Dados - Cliente'!I:I,MATCH('Dados - Beneficiarias'!A61,'Dados - Cliente'!A:A,0))</f>
        <v>#N/A</v>
      </c>
      <c r="D61" s="29"/>
      <c r="G61" s="70"/>
    </row>
    <row r="62" spans="1:7" s="4" customFormat="1" x14ac:dyDescent="0.35">
      <c r="A62" s="45"/>
      <c r="B62" s="29"/>
      <c r="C62" s="29" t="e">
        <f>INDEX('Dados - Cliente'!I:I,MATCH('Dados - Beneficiarias'!A62,'Dados - Cliente'!A:A,0))</f>
        <v>#N/A</v>
      </c>
      <c r="D62" s="29"/>
      <c r="G62" s="70"/>
    </row>
    <row r="63" spans="1:7" s="4" customFormat="1" x14ac:dyDescent="0.35">
      <c r="A63" s="45"/>
      <c r="B63" s="29"/>
      <c r="C63" s="29" t="e">
        <f>INDEX('Dados - Cliente'!I:I,MATCH('Dados - Beneficiarias'!A63,'Dados - Cliente'!A:A,0))</f>
        <v>#N/A</v>
      </c>
      <c r="D63" s="29"/>
      <c r="G63" s="70"/>
    </row>
    <row r="64" spans="1:7" s="4" customFormat="1" x14ac:dyDescent="0.35">
      <c r="A64" s="45"/>
      <c r="B64" s="29"/>
      <c r="C64" s="29" t="e">
        <f>INDEX('Dados - Cliente'!I:I,MATCH('Dados - Beneficiarias'!A64,'Dados - Cliente'!A:A,0))</f>
        <v>#N/A</v>
      </c>
      <c r="D64" s="29"/>
      <c r="G64" s="70"/>
    </row>
    <row r="65" spans="1:7" s="4" customFormat="1" x14ac:dyDescent="0.35">
      <c r="A65" s="45"/>
      <c r="B65" s="29"/>
      <c r="C65" s="29" t="e">
        <f>INDEX('Dados - Cliente'!I:I,MATCH('Dados - Beneficiarias'!A65,'Dados - Cliente'!A:A,0))</f>
        <v>#N/A</v>
      </c>
      <c r="D65" s="29"/>
      <c r="E65" s="29"/>
      <c r="G65" s="70"/>
    </row>
    <row r="66" spans="1:7" s="4" customFormat="1" x14ac:dyDescent="0.35">
      <c r="A66" s="45"/>
      <c r="B66" s="29"/>
      <c r="C66" s="29" t="e">
        <f>INDEX('Dados - Cliente'!I:I,MATCH('Dados - Beneficiarias'!A66,'Dados - Cliente'!A:A,0))</f>
        <v>#N/A</v>
      </c>
      <c r="D66" s="29"/>
      <c r="E66" s="29"/>
      <c r="G66" s="70"/>
    </row>
    <row r="67" spans="1:7" s="4" customFormat="1" x14ac:dyDescent="0.35">
      <c r="A67" s="45"/>
      <c r="B67" s="29"/>
      <c r="C67" s="29" t="e">
        <f>INDEX('Dados - Cliente'!I:I,MATCH('Dados - Beneficiarias'!A67,'Dados - Cliente'!A:A,0))</f>
        <v>#N/A</v>
      </c>
      <c r="D67" s="29"/>
      <c r="E67" s="29"/>
      <c r="G67" s="70"/>
    </row>
    <row r="68" spans="1:7" s="4" customFormat="1" x14ac:dyDescent="0.35">
      <c r="A68" s="45"/>
      <c r="B68" s="29"/>
      <c r="C68" s="29" t="e">
        <f>INDEX('Dados - Cliente'!I:I,MATCH('Dados - Beneficiarias'!A68,'Dados - Cliente'!A:A,0))</f>
        <v>#N/A</v>
      </c>
      <c r="D68" s="29"/>
      <c r="E68" s="29"/>
      <c r="G68" s="70"/>
    </row>
    <row r="69" spans="1:7" s="4" customFormat="1" x14ac:dyDescent="0.35">
      <c r="A69" s="45"/>
      <c r="B69" s="29"/>
      <c r="C69" s="29" t="e">
        <f>INDEX('Dados - Cliente'!I:I,MATCH('Dados - Beneficiarias'!A69,'Dados - Cliente'!A:A,0))</f>
        <v>#N/A</v>
      </c>
      <c r="D69" s="29"/>
      <c r="E69" s="29"/>
      <c r="G69" s="70"/>
    </row>
    <row r="70" spans="1:7" s="4" customFormat="1" x14ac:dyDescent="0.35">
      <c r="A70" s="45"/>
      <c r="B70" s="29"/>
      <c r="C70" s="29" t="e">
        <f>INDEX('Dados - Cliente'!I:I,MATCH('Dados - Beneficiarias'!A70,'Dados - Cliente'!A:A,0))</f>
        <v>#N/A</v>
      </c>
      <c r="D70" s="29"/>
      <c r="E70" s="29"/>
      <c r="G70" s="70"/>
    </row>
    <row r="71" spans="1:7" s="4" customFormat="1" x14ac:dyDescent="0.35">
      <c r="A71" s="45"/>
      <c r="B71" s="29"/>
      <c r="C71" s="29" t="e">
        <f>INDEX('Dados - Cliente'!I:I,MATCH('Dados - Beneficiarias'!A71,'Dados - Cliente'!A:A,0))</f>
        <v>#N/A</v>
      </c>
      <c r="D71" s="29"/>
      <c r="E71" s="29"/>
      <c r="G71" s="70"/>
    </row>
    <row r="72" spans="1:7" s="4" customFormat="1" x14ac:dyDescent="0.35">
      <c r="A72" s="72"/>
      <c r="B72" s="29"/>
      <c r="C72" s="29" t="e">
        <f>INDEX('Dados - Cliente'!I:I,MATCH('Dados - Beneficiarias'!A72,'Dados - Cliente'!A:A,0))</f>
        <v>#N/A</v>
      </c>
      <c r="D72" s="29"/>
      <c r="E72" s="29"/>
      <c r="G72" s="70"/>
    </row>
    <row r="73" spans="1:7" s="4" customFormat="1" x14ac:dyDescent="0.35">
      <c r="A73" s="45"/>
      <c r="B73" s="29"/>
      <c r="C73" s="29" t="e">
        <f>INDEX('Dados - Cliente'!I:I,MATCH('Dados - Beneficiarias'!A73,'Dados - Cliente'!A:A,0))</f>
        <v>#N/A</v>
      </c>
      <c r="D73" s="29"/>
      <c r="E73" s="29"/>
      <c r="G73" s="70"/>
    </row>
    <row r="74" spans="1:7" s="4" customFormat="1" x14ac:dyDescent="0.35">
      <c r="A74" s="45"/>
      <c r="B74" s="29"/>
      <c r="C74" s="29" t="e">
        <f>INDEX('Dados - Cliente'!I:I,MATCH('Dados - Beneficiarias'!A74,'Dados - Cliente'!A:A,0))</f>
        <v>#N/A</v>
      </c>
      <c r="D74" s="29"/>
      <c r="E74" s="29"/>
      <c r="G74" s="70"/>
    </row>
    <row r="75" spans="1:7" s="4" customFormat="1" x14ac:dyDescent="0.35">
      <c r="A75" s="45"/>
      <c r="B75" s="29"/>
      <c r="C75" s="29" t="e">
        <f>INDEX('Dados - Cliente'!I:I,MATCH('Dados - Beneficiarias'!A75,'Dados - Cliente'!A:A,0))</f>
        <v>#N/A</v>
      </c>
      <c r="D75" s="29"/>
      <c r="E75" s="29"/>
      <c r="G75" s="70"/>
    </row>
    <row r="76" spans="1:7" s="4" customFormat="1" x14ac:dyDescent="0.35">
      <c r="A76" s="45"/>
      <c r="B76" s="29"/>
      <c r="C76" s="29" t="e">
        <f>INDEX('Dados - Cliente'!I:I,MATCH('Dados - Beneficiarias'!A76,'Dados - Cliente'!A:A,0))</f>
        <v>#N/A</v>
      </c>
      <c r="D76" s="29"/>
      <c r="E76" s="29"/>
      <c r="G76" s="70"/>
    </row>
    <row r="77" spans="1:7" s="4" customFormat="1" x14ac:dyDescent="0.35">
      <c r="A77" s="45"/>
      <c r="B77" s="29"/>
      <c r="C77" s="29" t="e">
        <f>INDEX('Dados - Cliente'!I:I,MATCH('Dados - Beneficiarias'!A77,'Dados - Cliente'!A:A,0))</f>
        <v>#N/A</v>
      </c>
      <c r="D77" s="29"/>
      <c r="E77" s="29"/>
      <c r="G77" s="70"/>
    </row>
    <row r="78" spans="1:7" s="4" customFormat="1" x14ac:dyDescent="0.35">
      <c r="A78" s="45"/>
      <c r="B78" s="29"/>
      <c r="C78" s="29" t="e">
        <f>INDEX('Dados - Cliente'!I:I,MATCH('Dados - Beneficiarias'!A78,'Dados - Cliente'!A:A,0))</f>
        <v>#N/A</v>
      </c>
      <c r="D78" s="29"/>
      <c r="E78" s="29"/>
      <c r="G78" s="70"/>
    </row>
    <row r="79" spans="1:7" s="4" customFormat="1" x14ac:dyDescent="0.35">
      <c r="A79" s="45"/>
      <c r="B79" s="67"/>
      <c r="C79" s="29" t="e">
        <f>INDEX('Dados - Cliente'!I:I,MATCH('Dados - Beneficiarias'!A79,'Dados - Cliente'!A:A,0))</f>
        <v>#N/A</v>
      </c>
      <c r="D79" s="29"/>
      <c r="E79" s="29"/>
      <c r="G79" s="70"/>
    </row>
    <row r="80" spans="1:7" s="4" customFormat="1" x14ac:dyDescent="0.35">
      <c r="A80" s="45"/>
      <c r="B80" s="29"/>
      <c r="C80" s="29" t="e">
        <f>INDEX('Dados - Cliente'!I:I,MATCH('Dados - Beneficiarias'!A80,'Dados - Cliente'!A:A,0))</f>
        <v>#N/A</v>
      </c>
      <c r="D80" s="29"/>
      <c r="E80" s="29"/>
      <c r="G80" s="70"/>
    </row>
    <row r="81" spans="1:7" s="4" customFormat="1" x14ac:dyDescent="0.35">
      <c r="A81" s="45"/>
      <c r="B81" s="67"/>
      <c r="C81" s="29" t="e">
        <f>INDEX('Dados - Cliente'!I:I,MATCH('Dados - Beneficiarias'!A81,'Dados - Cliente'!A:A,0))</f>
        <v>#N/A</v>
      </c>
      <c r="D81" s="29"/>
      <c r="E81" s="29"/>
      <c r="G81" s="70"/>
    </row>
    <row r="82" spans="1:7" s="4" customFormat="1" x14ac:dyDescent="0.35">
      <c r="A82" s="45"/>
      <c r="B82" s="29"/>
      <c r="C82" s="29" t="e">
        <f>INDEX('Dados - Cliente'!I:I,MATCH('Dados - Beneficiarias'!A82,'Dados - Cliente'!A:A,0))</f>
        <v>#N/A</v>
      </c>
      <c r="D82" s="29"/>
      <c r="E82" s="29"/>
      <c r="G82" s="70"/>
    </row>
    <row r="83" spans="1:7" s="4" customFormat="1" x14ac:dyDescent="0.35">
      <c r="A83" s="45"/>
      <c r="B83" s="29"/>
      <c r="C83" s="29" t="e">
        <f>INDEX('Dados - Cliente'!I:I,MATCH('Dados - Beneficiarias'!A83,'Dados - Cliente'!A:A,0))</f>
        <v>#N/A</v>
      </c>
      <c r="D83" s="29"/>
      <c r="E83" s="29"/>
      <c r="G83" s="70"/>
    </row>
    <row r="84" spans="1:7" s="4" customFormat="1" x14ac:dyDescent="0.35">
      <c r="A84" s="45"/>
      <c r="B84" s="29"/>
      <c r="C84" s="29" t="e">
        <f>INDEX('Dados - Cliente'!I:I,MATCH('Dados - Beneficiarias'!A84,'Dados - Cliente'!A:A,0))</f>
        <v>#N/A</v>
      </c>
      <c r="D84" s="29"/>
      <c r="E84" s="29"/>
      <c r="G84" s="70"/>
    </row>
    <row r="85" spans="1:7" s="4" customFormat="1" x14ac:dyDescent="0.35">
      <c r="A85" s="45"/>
      <c r="B85" s="29"/>
      <c r="C85" s="29" t="e">
        <f>INDEX('Dados - Cliente'!I:I,MATCH('Dados - Beneficiarias'!A85,'Dados - Cliente'!A:A,0))</f>
        <v>#N/A</v>
      </c>
      <c r="D85" s="29"/>
      <c r="E85" s="29"/>
      <c r="G85" s="70"/>
    </row>
    <row r="86" spans="1:7" s="4" customFormat="1" x14ac:dyDescent="0.35">
      <c r="A86" s="45"/>
      <c r="B86" s="29"/>
      <c r="C86" s="29" t="e">
        <f>INDEX('Dados - Cliente'!I:I,MATCH('Dados - Beneficiarias'!A86,'Dados - Cliente'!A:A,0))</f>
        <v>#N/A</v>
      </c>
      <c r="D86" s="29"/>
      <c r="E86" s="29"/>
      <c r="G86" s="70"/>
    </row>
    <row r="87" spans="1:7" s="4" customFormat="1" x14ac:dyDescent="0.35">
      <c r="A87" s="45"/>
      <c r="B87" s="29"/>
      <c r="C87" s="29" t="e">
        <f>INDEX('Dados - Cliente'!I:I,MATCH('Dados - Beneficiarias'!A87,'Dados - Cliente'!A:A,0))</f>
        <v>#N/A</v>
      </c>
      <c r="D87" s="29"/>
      <c r="E87" s="29"/>
      <c r="G87" s="70"/>
    </row>
    <row r="88" spans="1:7" s="4" customFormat="1" x14ac:dyDescent="0.35">
      <c r="A88" s="45"/>
      <c r="B88" s="29"/>
      <c r="C88" s="29" t="e">
        <f>INDEX('Dados - Cliente'!I:I,MATCH('Dados - Beneficiarias'!A88,'Dados - Cliente'!A:A,0))</f>
        <v>#N/A</v>
      </c>
      <c r="D88" s="29"/>
      <c r="E88" s="29"/>
      <c r="G88" s="70"/>
    </row>
    <row r="89" spans="1:7" s="4" customFormat="1" x14ac:dyDescent="0.35">
      <c r="A89" s="45"/>
      <c r="B89" s="29"/>
      <c r="C89" s="29" t="e">
        <f>INDEX('Dados - Cliente'!I:I,MATCH('Dados - Beneficiarias'!A89,'Dados - Cliente'!A:A,0))</f>
        <v>#N/A</v>
      </c>
      <c r="D89" s="29"/>
      <c r="E89" s="29"/>
      <c r="G89" s="70"/>
    </row>
    <row r="90" spans="1:7" s="4" customFormat="1" x14ac:dyDescent="0.35">
      <c r="A90" s="45"/>
      <c r="B90" s="29"/>
      <c r="C90" s="29" t="e">
        <f>INDEX('Dados - Cliente'!I:I,MATCH('Dados - Beneficiarias'!A90,'Dados - Cliente'!A:A,0))</f>
        <v>#N/A</v>
      </c>
      <c r="D90" s="29"/>
      <c r="E90" s="29"/>
      <c r="G90" s="70"/>
    </row>
    <row r="91" spans="1:7" s="4" customFormat="1" x14ac:dyDescent="0.35">
      <c r="A91" s="45"/>
      <c r="B91" s="29"/>
      <c r="C91" s="29" t="e">
        <f>INDEX('Dados - Cliente'!I:I,MATCH('Dados - Beneficiarias'!A91,'Dados - Cliente'!A:A,0))</f>
        <v>#N/A</v>
      </c>
      <c r="D91" s="29"/>
      <c r="E91" s="29"/>
      <c r="G91" s="70"/>
    </row>
    <row r="92" spans="1:7" s="4" customFormat="1" x14ac:dyDescent="0.35">
      <c r="A92" s="45"/>
      <c r="B92" s="29"/>
      <c r="C92" s="29" t="e">
        <f>INDEX('Dados - Cliente'!I:I,MATCH('Dados - Beneficiarias'!A92,'Dados - Cliente'!A:A,0))</f>
        <v>#N/A</v>
      </c>
      <c r="D92" s="29"/>
      <c r="E92" s="29"/>
      <c r="G92" s="70"/>
    </row>
    <row r="93" spans="1:7" s="4" customFormat="1" x14ac:dyDescent="0.35">
      <c r="A93" s="45"/>
      <c r="B93" s="29"/>
      <c r="C93" s="29" t="e">
        <f>INDEX('Dados - Cliente'!I:I,MATCH('Dados - Beneficiarias'!A93,'Dados - Cliente'!A:A,0))</f>
        <v>#N/A</v>
      </c>
      <c r="D93" s="29"/>
      <c r="E93" s="29"/>
      <c r="G93" s="70"/>
    </row>
    <row r="94" spans="1:7" s="4" customFormat="1" x14ac:dyDescent="0.35">
      <c r="A94" s="45"/>
      <c r="B94" s="29"/>
      <c r="C94" s="29" t="e">
        <f>INDEX('Dados - Cliente'!I:I,MATCH('Dados - Beneficiarias'!A94,'Dados - Cliente'!A:A,0))</f>
        <v>#N/A</v>
      </c>
      <c r="D94" s="29"/>
      <c r="E94" s="29"/>
      <c r="G94" s="70"/>
    </row>
    <row r="95" spans="1:7" s="4" customFormat="1" x14ac:dyDescent="0.35">
      <c r="A95" s="45"/>
      <c r="B95" s="29"/>
      <c r="C95" s="29" t="e">
        <f>INDEX('Dados - Cliente'!I:I,MATCH('Dados - Beneficiarias'!A95,'Dados - Cliente'!A:A,0))</f>
        <v>#N/A</v>
      </c>
      <c r="D95" s="29"/>
      <c r="E95" s="29"/>
      <c r="G95" s="70"/>
    </row>
    <row r="96" spans="1:7" s="4" customFormat="1" x14ac:dyDescent="0.35">
      <c r="A96" s="45"/>
      <c r="B96" s="29"/>
      <c r="C96" s="29" t="e">
        <f>INDEX('Dados - Cliente'!I:I,MATCH('Dados - Beneficiarias'!A96,'Dados - Cliente'!A:A,0))</f>
        <v>#N/A</v>
      </c>
      <c r="D96" s="29"/>
      <c r="E96" s="29"/>
      <c r="G96" s="70"/>
    </row>
    <row r="97" spans="1:7" s="4" customFormat="1" x14ac:dyDescent="0.35">
      <c r="A97" s="45"/>
      <c r="B97" s="29"/>
      <c r="C97" s="29" t="e">
        <f>INDEX('Dados - Cliente'!I:I,MATCH('Dados - Beneficiarias'!A97,'Dados - Cliente'!A:A,0))</f>
        <v>#N/A</v>
      </c>
      <c r="D97" s="29"/>
      <c r="E97" s="29"/>
      <c r="G97" s="70"/>
    </row>
    <row r="98" spans="1:7" s="4" customFormat="1" x14ac:dyDescent="0.35">
      <c r="A98" s="45"/>
      <c r="B98" s="29"/>
      <c r="C98" s="29" t="e">
        <f>INDEX('Dados - Cliente'!I:I,MATCH('Dados - Beneficiarias'!A98,'Dados - Cliente'!A:A,0))</f>
        <v>#N/A</v>
      </c>
      <c r="D98" s="29"/>
      <c r="E98" s="29"/>
      <c r="G98" s="70"/>
    </row>
    <row r="99" spans="1:7" s="4" customFormat="1" x14ac:dyDescent="0.35">
      <c r="A99" s="72"/>
      <c r="B99" s="29"/>
      <c r="C99" s="29" t="e">
        <f>INDEX('Dados - Cliente'!I:I,MATCH('Dados - Beneficiarias'!A99,'Dados - Cliente'!A:A,0))</f>
        <v>#N/A</v>
      </c>
      <c r="D99" s="67"/>
      <c r="E99" s="29"/>
      <c r="G99" s="70"/>
    </row>
    <row r="100" spans="1:7" s="4" customFormat="1" x14ac:dyDescent="0.35">
      <c r="A100" s="72"/>
      <c r="B100" s="29"/>
      <c r="C100" s="29" t="e">
        <f>INDEX('Dados - Cliente'!I:I,MATCH('Dados - Beneficiarias'!A100,'Dados - Cliente'!A:A,0))</f>
        <v>#N/A</v>
      </c>
      <c r="D100" s="67"/>
      <c r="E100" s="29"/>
      <c r="G100" s="70"/>
    </row>
    <row r="101" spans="1:7" s="4" customFormat="1" x14ac:dyDescent="0.35">
      <c r="A101" s="72"/>
      <c r="B101" s="29"/>
      <c r="C101" s="29" t="e">
        <f>INDEX('Dados - Cliente'!I:I,MATCH('Dados - Beneficiarias'!A101,'Dados - Cliente'!A:A,0))</f>
        <v>#N/A</v>
      </c>
      <c r="D101" s="29"/>
      <c r="E101" s="29"/>
      <c r="G101" s="70"/>
    </row>
    <row r="102" spans="1:7" s="4" customFormat="1" x14ac:dyDescent="0.35">
      <c r="A102" s="49"/>
      <c r="B102" s="29"/>
      <c r="C102" s="29" t="e">
        <f>INDEX('Dados - Cliente'!I:I,MATCH('Dados - Beneficiarias'!A102,'Dados - Cliente'!A:A,0))</f>
        <v>#N/A</v>
      </c>
      <c r="D102" s="29"/>
      <c r="E102" s="29"/>
      <c r="G102" s="70"/>
    </row>
    <row r="103" spans="1:7" s="4" customFormat="1" x14ac:dyDescent="0.35">
      <c r="A103" s="49"/>
      <c r="B103" s="29"/>
      <c r="C103" s="29" t="e">
        <f>INDEX('Dados - Cliente'!I:I,MATCH('Dados - Beneficiarias'!A103,'Dados - Cliente'!A:A,0))</f>
        <v>#N/A</v>
      </c>
      <c r="D103" s="29"/>
      <c r="E103" s="29"/>
      <c r="G103" s="70"/>
    </row>
    <row r="104" spans="1:7" s="4" customFormat="1" x14ac:dyDescent="0.35">
      <c r="A104" s="49"/>
      <c r="B104" s="29"/>
      <c r="C104" s="29" t="e">
        <f>INDEX('Dados - Cliente'!I:I,MATCH('Dados - Beneficiarias'!A104,'Dados - Cliente'!A:A,0))</f>
        <v>#N/A</v>
      </c>
      <c r="D104" s="29"/>
      <c r="E104" s="29"/>
      <c r="G104" s="70"/>
    </row>
    <row r="105" spans="1:7" s="4" customFormat="1" x14ac:dyDescent="0.35">
      <c r="A105" s="49"/>
      <c r="B105" s="29"/>
      <c r="C105" s="29" t="e">
        <f>INDEX('Dados - Cliente'!I:I,MATCH('Dados - Beneficiarias'!A105,'Dados - Cliente'!A:A,0))</f>
        <v>#N/A</v>
      </c>
      <c r="D105" s="29"/>
      <c r="E105" s="29"/>
      <c r="G105" s="71"/>
    </row>
    <row r="106" spans="1:7" s="4" customFormat="1" x14ac:dyDescent="0.35">
      <c r="A106" s="49"/>
      <c r="B106" s="29"/>
      <c r="C106" s="29" t="e">
        <f>INDEX('Dados - Cliente'!I:I,MATCH('Dados - Beneficiarias'!A106,'Dados - Cliente'!A:A,0))</f>
        <v>#N/A</v>
      </c>
      <c r="D106" s="29"/>
      <c r="E106" s="29"/>
      <c r="G106" s="70"/>
    </row>
    <row r="107" spans="1:7" s="4" customFormat="1" x14ac:dyDescent="0.35">
      <c r="A107" s="49"/>
      <c r="B107" s="29"/>
      <c r="C107" s="29" t="e">
        <f>INDEX('Dados - Cliente'!I:I,MATCH('Dados - Beneficiarias'!A107,'Dados - Cliente'!A:A,0))</f>
        <v>#N/A</v>
      </c>
      <c r="D107" s="29"/>
      <c r="E107" s="29"/>
      <c r="G107" s="70"/>
    </row>
    <row r="108" spans="1:7" s="4" customFormat="1" x14ac:dyDescent="0.35">
      <c r="A108" s="49"/>
      <c r="B108" s="29"/>
      <c r="C108" s="29" t="e">
        <f>INDEX('Dados - Cliente'!I:I,MATCH('Dados - Beneficiarias'!A108,'Dados - Cliente'!A:A,0))</f>
        <v>#N/A</v>
      </c>
      <c r="D108" s="29"/>
      <c r="E108" s="29"/>
      <c r="G108" s="70"/>
    </row>
    <row r="109" spans="1:7" s="4" customFormat="1" x14ac:dyDescent="0.35">
      <c r="A109" s="49"/>
      <c r="B109" s="29"/>
      <c r="C109" s="29" t="e">
        <f>INDEX('Dados - Cliente'!I:I,MATCH('Dados - Beneficiarias'!A109,'Dados - Cliente'!A:A,0))</f>
        <v>#N/A</v>
      </c>
      <c r="D109" s="29"/>
      <c r="E109" s="29"/>
      <c r="G109" s="70"/>
    </row>
    <row r="110" spans="1:7" s="4" customFormat="1" x14ac:dyDescent="0.35">
      <c r="A110" s="49"/>
      <c r="B110" s="29"/>
      <c r="C110" s="29" t="e">
        <f>INDEX('Dados - Cliente'!I:I,MATCH('Dados - Beneficiarias'!A110,'Dados - Cliente'!A:A,0))</f>
        <v>#N/A</v>
      </c>
      <c r="D110" s="29"/>
      <c r="E110" s="29"/>
      <c r="G110" s="70"/>
    </row>
    <row r="111" spans="1:7" s="4" customFormat="1" x14ac:dyDescent="0.35">
      <c r="A111" s="49"/>
      <c r="B111" s="29"/>
      <c r="C111" s="29" t="e">
        <f>INDEX('Dados - Cliente'!I:I,MATCH('Dados - Beneficiarias'!A111,'Dados - Cliente'!A:A,0))</f>
        <v>#N/A</v>
      </c>
      <c r="D111" s="29"/>
      <c r="E111" s="29"/>
      <c r="G111" s="70"/>
    </row>
    <row r="112" spans="1:7" s="4" customFormat="1" x14ac:dyDescent="0.35">
      <c r="A112" s="49"/>
      <c r="B112" s="29"/>
      <c r="C112" s="29" t="e">
        <f>INDEX('Dados - Cliente'!I:I,MATCH('Dados - Beneficiarias'!A112,'Dados - Cliente'!A:A,0))</f>
        <v>#N/A</v>
      </c>
      <c r="D112" s="29"/>
      <c r="E112" s="29"/>
      <c r="G112" s="70"/>
    </row>
    <row r="113" spans="1:7" s="4" customFormat="1" x14ac:dyDescent="0.35">
      <c r="A113" s="49"/>
      <c r="B113" s="29"/>
      <c r="C113" s="29" t="e">
        <f>INDEX('Dados - Cliente'!I:I,MATCH('Dados - Beneficiarias'!A113,'Dados - Cliente'!A:A,0))</f>
        <v>#N/A</v>
      </c>
      <c r="D113" s="29"/>
      <c r="E113" s="29"/>
      <c r="G113" s="70"/>
    </row>
    <row r="114" spans="1:7" s="4" customFormat="1" x14ac:dyDescent="0.35">
      <c r="A114" s="49"/>
      <c r="B114" s="29"/>
      <c r="C114" s="29" t="e">
        <f>INDEX('Dados - Cliente'!I:I,MATCH('Dados - Beneficiarias'!A114,'Dados - Cliente'!A:A,0))</f>
        <v>#N/A</v>
      </c>
      <c r="D114" s="29"/>
      <c r="E114" s="29"/>
      <c r="G114" s="70"/>
    </row>
    <row r="115" spans="1:7" s="4" customFormat="1" x14ac:dyDescent="0.35">
      <c r="A115" s="49"/>
      <c r="B115" s="23"/>
      <c r="C115" s="29" t="e">
        <f>INDEX('Dados - Cliente'!I:I,MATCH('Dados - Beneficiarias'!A115,'Dados - Cliente'!A:A,0))</f>
        <v>#N/A</v>
      </c>
      <c r="D115" s="29"/>
      <c r="G115" s="70"/>
    </row>
    <row r="116" spans="1:7" s="4" customFormat="1" x14ac:dyDescent="0.35">
      <c r="A116" s="49"/>
      <c r="B116" s="23"/>
      <c r="C116" s="29" t="e">
        <f>INDEX('Dados - Cliente'!I:I,MATCH('Dados - Beneficiarias'!A116,'Dados - Cliente'!A:A,0))</f>
        <v>#N/A</v>
      </c>
      <c r="D116" s="29"/>
      <c r="E116" s="29"/>
      <c r="G116" s="70"/>
    </row>
    <row r="117" spans="1:7" s="4" customFormat="1" x14ac:dyDescent="0.35">
      <c r="A117" s="49"/>
      <c r="B117" s="29"/>
      <c r="C117" s="29" t="e">
        <f>INDEX('Dados - Cliente'!I:I,MATCH('Dados - Beneficiarias'!A117,'Dados - Cliente'!A:A,0))</f>
        <v>#N/A</v>
      </c>
      <c r="D117" s="29"/>
      <c r="E117" s="29"/>
      <c r="G117" s="70"/>
    </row>
    <row r="118" spans="1:7" s="4" customFormat="1" x14ac:dyDescent="0.35">
      <c r="A118" s="49"/>
      <c r="B118" s="29"/>
      <c r="C118" s="29" t="e">
        <f>INDEX('Dados - Cliente'!I:I,MATCH('Dados - Beneficiarias'!A118,'Dados - Cliente'!A:A,0))</f>
        <v>#N/A</v>
      </c>
      <c r="D118" s="29"/>
      <c r="E118" s="29"/>
      <c r="G118" s="70"/>
    </row>
    <row r="119" spans="1:7" s="4" customFormat="1" x14ac:dyDescent="0.35">
      <c r="A119" s="49"/>
      <c r="B119" s="67"/>
      <c r="C119" s="29" t="e">
        <f>INDEX('Dados - Cliente'!I:I,MATCH('Dados - Beneficiarias'!A119,'Dados - Cliente'!A:A,0))</f>
        <v>#N/A</v>
      </c>
      <c r="D119" s="67"/>
      <c r="E119" s="29"/>
      <c r="G119" s="70"/>
    </row>
    <row r="120" spans="1:7" s="4" customFormat="1" x14ac:dyDescent="0.35">
      <c r="A120" s="49"/>
      <c r="B120" s="29"/>
      <c r="C120" s="29" t="e">
        <f>INDEX('Dados - Cliente'!I:I,MATCH('Dados - Beneficiarias'!A120,'Dados - Cliente'!A:A,0))</f>
        <v>#N/A</v>
      </c>
      <c r="D120" s="29"/>
      <c r="E120" s="29"/>
      <c r="G120" s="70"/>
    </row>
    <row r="121" spans="1:7" s="4" customFormat="1" x14ac:dyDescent="0.35">
      <c r="A121" s="49"/>
      <c r="B121" s="29"/>
      <c r="C121" s="29" t="e">
        <f>INDEX('Dados - Cliente'!I:I,MATCH('Dados - Beneficiarias'!A121,'Dados - Cliente'!A:A,0))</f>
        <v>#N/A</v>
      </c>
      <c r="D121" s="29"/>
      <c r="E121" s="29"/>
      <c r="G121" s="70"/>
    </row>
    <row r="122" spans="1:7" s="4" customFormat="1" x14ac:dyDescent="0.35">
      <c r="A122" s="73"/>
      <c r="B122" s="29"/>
      <c r="C122" s="29" t="e">
        <f>INDEX('Dados - Cliente'!I:I,MATCH('Dados - Beneficiarias'!A122,'Dados - Cliente'!A:A,0))</f>
        <v>#N/A</v>
      </c>
      <c r="D122" s="29"/>
      <c r="E122" s="29"/>
      <c r="G122" s="70"/>
    </row>
    <row r="123" spans="1:7" s="4" customFormat="1" x14ac:dyDescent="0.35">
      <c r="A123" s="73"/>
      <c r="B123" s="29"/>
      <c r="C123" s="29" t="e">
        <f>INDEX('Dados - Cliente'!I:I,MATCH('Dados - Beneficiarias'!A123,'Dados - Cliente'!A:A,0))</f>
        <v>#N/A</v>
      </c>
      <c r="D123" s="29"/>
      <c r="E123" s="29"/>
      <c r="G123" s="70"/>
    </row>
    <row r="124" spans="1:7" s="4" customFormat="1" x14ac:dyDescent="0.35">
      <c r="A124" s="73"/>
      <c r="B124" s="29"/>
      <c r="C124" s="29" t="e">
        <f>INDEX('Dados - Cliente'!I:I,MATCH('Dados - Beneficiarias'!A124,'Dados - Cliente'!A:A,0))</f>
        <v>#N/A</v>
      </c>
      <c r="D124" s="29"/>
      <c r="E124" s="29"/>
      <c r="G124" s="70"/>
    </row>
    <row r="125" spans="1:7" s="4" customFormat="1" x14ac:dyDescent="0.35">
      <c r="A125" s="74"/>
      <c r="B125" s="29"/>
      <c r="C125" s="29" t="e">
        <f>INDEX('Dados - Cliente'!I:I,MATCH('Dados - Beneficiarias'!A125,'Dados - Cliente'!A:A,0))</f>
        <v>#N/A</v>
      </c>
      <c r="D125" s="29"/>
      <c r="E125" s="29"/>
      <c r="G125" s="70"/>
    </row>
    <row r="126" spans="1:7" s="4" customFormat="1" x14ac:dyDescent="0.35">
      <c r="A126" s="74"/>
      <c r="B126" s="29"/>
      <c r="C126" s="29" t="e">
        <f>INDEX('Dados - Cliente'!I:I,MATCH('Dados - Beneficiarias'!A126,'Dados - Cliente'!A:A,0))</f>
        <v>#N/A</v>
      </c>
      <c r="D126" s="29"/>
      <c r="E126" s="29"/>
      <c r="G126" s="70"/>
    </row>
    <row r="127" spans="1:7" s="4" customFormat="1" x14ac:dyDescent="0.35">
      <c r="A127" s="72"/>
      <c r="B127" s="29"/>
      <c r="C127" s="29" t="e">
        <f>INDEX('Dados - Cliente'!I:I,MATCH('Dados - Beneficiarias'!A127,'Dados - Cliente'!A:A,0))</f>
        <v>#N/A</v>
      </c>
      <c r="D127" s="29"/>
      <c r="E127" s="29"/>
      <c r="G127" s="70"/>
    </row>
    <row r="128" spans="1:7" s="4" customFormat="1" x14ac:dyDescent="0.35">
      <c r="A128" s="72"/>
      <c r="B128" s="67"/>
      <c r="C128" s="29" t="e">
        <f>INDEX('Dados - Cliente'!I:I,MATCH('Dados - Beneficiarias'!A128,'Dados - Cliente'!A:A,0))</f>
        <v>#N/A</v>
      </c>
      <c r="D128" s="29"/>
      <c r="E128" s="29"/>
      <c r="G128" s="70"/>
    </row>
    <row r="129" spans="1:7" s="4" customFormat="1" x14ac:dyDescent="0.35">
      <c r="A129" s="72"/>
      <c r="B129" s="67"/>
      <c r="C129" s="29" t="e">
        <f>INDEX('Dados - Cliente'!I:I,MATCH('Dados - Beneficiarias'!A129,'Dados - Cliente'!A:A,0))</f>
        <v>#N/A</v>
      </c>
      <c r="D129" s="29"/>
      <c r="E129" s="29"/>
      <c r="G129" s="70"/>
    </row>
    <row r="130" spans="1:7" s="4" customFormat="1" x14ac:dyDescent="0.35">
      <c r="A130" s="72"/>
      <c r="B130" s="29"/>
      <c r="C130" s="29" t="e">
        <f>INDEX('Dados - Cliente'!I:I,MATCH('Dados - Beneficiarias'!A130,'Dados - Cliente'!A:A,0))</f>
        <v>#N/A</v>
      </c>
      <c r="D130" s="29"/>
      <c r="E130" s="29"/>
      <c r="G130" s="70"/>
    </row>
    <row r="131" spans="1:7" s="4" customFormat="1" x14ac:dyDescent="0.35">
      <c r="A131" s="72"/>
      <c r="B131" s="29"/>
      <c r="C131" s="29" t="e">
        <f>INDEX('Dados - Cliente'!I:I,MATCH('Dados - Beneficiarias'!A131,'Dados - Cliente'!A:A,0))</f>
        <v>#N/A</v>
      </c>
      <c r="D131" s="29"/>
      <c r="E131" s="29"/>
      <c r="G131" s="70"/>
    </row>
    <row r="132" spans="1:7" s="4" customFormat="1" x14ac:dyDescent="0.35">
      <c r="A132" s="72"/>
      <c r="B132" s="29"/>
      <c r="C132" s="29" t="e">
        <f>INDEX('Dados - Cliente'!I:I,MATCH('Dados - Beneficiarias'!A132,'Dados - Cliente'!A:A,0))</f>
        <v>#N/A</v>
      </c>
      <c r="D132" s="29"/>
      <c r="E132" s="29"/>
      <c r="G132" s="70"/>
    </row>
    <row r="133" spans="1:7" s="4" customFormat="1" x14ac:dyDescent="0.35">
      <c r="A133" s="72"/>
      <c r="B133" s="29"/>
      <c r="C133" s="29" t="e">
        <f>INDEX('Dados - Cliente'!I:I,MATCH('Dados - Beneficiarias'!A133,'Dados - Cliente'!A:A,0))</f>
        <v>#N/A</v>
      </c>
      <c r="D133" s="29"/>
      <c r="E133" s="29"/>
      <c r="G133" s="70"/>
    </row>
    <row r="134" spans="1:7" s="4" customFormat="1" x14ac:dyDescent="0.35">
      <c r="A134" s="72"/>
      <c r="B134" s="29"/>
      <c r="C134" s="29" t="e">
        <f>INDEX('Dados - Cliente'!I:I,MATCH('Dados - Beneficiarias'!A134,'Dados - Cliente'!A:A,0))</f>
        <v>#N/A</v>
      </c>
      <c r="D134" s="29"/>
      <c r="E134" s="29"/>
      <c r="G134" s="70"/>
    </row>
    <row r="135" spans="1:7" s="4" customFormat="1" x14ac:dyDescent="0.35">
      <c r="A135" s="72"/>
      <c r="B135" s="29"/>
      <c r="C135" s="29" t="e">
        <f>INDEX('Dados - Cliente'!I:I,MATCH('Dados - Beneficiarias'!A135,'Dados - Cliente'!A:A,0))</f>
        <v>#N/A</v>
      </c>
      <c r="D135" s="29"/>
      <c r="E135" s="29"/>
      <c r="G135" s="70"/>
    </row>
    <row r="136" spans="1:7" s="4" customFormat="1" x14ac:dyDescent="0.35">
      <c r="A136" s="72"/>
      <c r="B136" s="29"/>
      <c r="C136" s="29" t="e">
        <f>INDEX('Dados - Cliente'!I:I,MATCH('Dados - Beneficiarias'!A136,'Dados - Cliente'!A:A,0))</f>
        <v>#N/A</v>
      </c>
      <c r="D136" s="29"/>
      <c r="E136" s="29"/>
      <c r="G136" s="70"/>
    </row>
    <row r="137" spans="1:7" s="4" customFormat="1" x14ac:dyDescent="0.35">
      <c r="A137" s="72"/>
      <c r="B137" s="29"/>
      <c r="C137" s="29" t="e">
        <f>INDEX('Dados - Cliente'!I:I,MATCH('Dados - Beneficiarias'!A137,'Dados - Cliente'!A:A,0))</f>
        <v>#N/A</v>
      </c>
      <c r="D137" s="29"/>
      <c r="E137" s="29"/>
      <c r="G137" s="70"/>
    </row>
    <row r="138" spans="1:7" s="4" customFormat="1" x14ac:dyDescent="0.35">
      <c r="A138" s="72"/>
      <c r="B138" s="29"/>
      <c r="C138" s="29" t="e">
        <f>INDEX('Dados - Cliente'!I:I,MATCH('Dados - Beneficiarias'!A138,'Dados - Cliente'!A:A,0))</f>
        <v>#N/A</v>
      </c>
      <c r="D138" s="29"/>
      <c r="E138" s="29"/>
      <c r="G138" s="70"/>
    </row>
    <row r="139" spans="1:7" s="4" customFormat="1" x14ac:dyDescent="0.35">
      <c r="A139" s="72"/>
      <c r="B139" s="29"/>
      <c r="C139" s="29" t="e">
        <f>INDEX('Dados - Cliente'!I:I,MATCH('Dados - Beneficiarias'!A139,'Dados - Cliente'!A:A,0))</f>
        <v>#N/A</v>
      </c>
      <c r="D139" s="29"/>
      <c r="E139" s="29"/>
      <c r="G139" s="70"/>
    </row>
    <row r="140" spans="1:7" s="4" customFormat="1" x14ac:dyDescent="0.35">
      <c r="A140" s="72"/>
      <c r="B140" s="29"/>
      <c r="C140" s="29" t="e">
        <f>INDEX('Dados - Cliente'!I:I,MATCH('Dados - Beneficiarias'!A140,'Dados - Cliente'!A:A,0))</f>
        <v>#N/A</v>
      </c>
      <c r="D140" s="29"/>
      <c r="E140" s="29"/>
      <c r="G140" s="70"/>
    </row>
    <row r="141" spans="1:7" s="4" customFormat="1" x14ac:dyDescent="0.35">
      <c r="A141" s="72"/>
      <c r="B141" s="29"/>
      <c r="C141" s="29" t="e">
        <f>INDEX('Dados - Cliente'!I:I,MATCH('Dados - Beneficiarias'!A141,'Dados - Cliente'!A:A,0))</f>
        <v>#N/A</v>
      </c>
      <c r="D141" s="29"/>
      <c r="E141" s="29"/>
      <c r="G141" s="70"/>
    </row>
    <row r="142" spans="1:7" s="4" customFormat="1" x14ac:dyDescent="0.35">
      <c r="A142" s="72"/>
      <c r="B142" s="29"/>
      <c r="C142" s="29" t="e">
        <f>INDEX('Dados - Cliente'!I:I,MATCH('Dados - Beneficiarias'!A142,'Dados - Cliente'!A:A,0))</f>
        <v>#N/A</v>
      </c>
      <c r="D142" s="29"/>
      <c r="E142" s="29"/>
      <c r="G142" s="70"/>
    </row>
    <row r="143" spans="1:7" s="4" customFormat="1" x14ac:dyDescent="0.35">
      <c r="A143" s="72"/>
      <c r="B143" s="29"/>
      <c r="C143" s="29" t="e">
        <f>INDEX('Dados - Cliente'!I:I,MATCH('Dados - Beneficiarias'!A143,'Dados - Cliente'!A:A,0))</f>
        <v>#N/A</v>
      </c>
      <c r="D143" s="29"/>
      <c r="E143" s="29"/>
      <c r="G143" s="70"/>
    </row>
    <row r="144" spans="1:7" s="4" customFormat="1" x14ac:dyDescent="0.35">
      <c r="A144" s="72"/>
      <c r="B144" s="29"/>
      <c r="C144" s="29" t="e">
        <f>INDEX('Dados - Cliente'!I:I,MATCH('Dados - Beneficiarias'!A144,'Dados - Cliente'!A:A,0))</f>
        <v>#N/A</v>
      </c>
      <c r="D144" s="29"/>
      <c r="E144" s="29"/>
      <c r="G144" s="70"/>
    </row>
    <row r="145" spans="1:7" s="4" customFormat="1" x14ac:dyDescent="0.35">
      <c r="A145" s="72"/>
      <c r="B145" s="29"/>
      <c r="C145" s="29" t="e">
        <f>INDEX('Dados - Cliente'!I:I,MATCH('Dados - Beneficiarias'!A145,'Dados - Cliente'!A:A,0))</f>
        <v>#N/A</v>
      </c>
      <c r="D145" s="29"/>
      <c r="E145" s="29"/>
      <c r="G145" s="70"/>
    </row>
    <row r="146" spans="1:7" x14ac:dyDescent="0.35">
      <c r="C146" s="12" t="e">
        <f>INDEX('Dados - Cliente'!I:I,MATCH('Dados - Beneficiarias'!A146,'Dados - Cliente'!A:A,0))</f>
        <v>#N/A</v>
      </c>
    </row>
    <row r="147" spans="1:7" x14ac:dyDescent="0.35">
      <c r="C147" s="12" t="e">
        <f>INDEX('Dados - Cliente'!I:I,MATCH('Dados - Beneficiarias'!A147,'Dados - Cliente'!A:A,0))</f>
        <v>#N/A</v>
      </c>
    </row>
    <row r="148" spans="1:7" x14ac:dyDescent="0.35">
      <c r="C148" s="12" t="e">
        <f>INDEX('Dados - Cliente'!I:I,MATCH('Dados - Beneficiarias'!A148,'Dados - Cliente'!A:A,0))</f>
        <v>#N/A</v>
      </c>
    </row>
    <row r="149" spans="1:7" x14ac:dyDescent="0.35">
      <c r="C149" s="12" t="e">
        <f>INDEX('Dados - Cliente'!I:I,MATCH('Dados - Beneficiarias'!A149,'Dados - Cliente'!A:A,0))</f>
        <v>#N/A</v>
      </c>
    </row>
    <row r="150" spans="1:7" x14ac:dyDescent="0.35">
      <c r="C150" s="12" t="e">
        <f>INDEX('Dados - Cliente'!I:I,MATCH('Dados - Beneficiarias'!A150,'Dados - Cliente'!A:A,0))</f>
        <v>#N/A</v>
      </c>
    </row>
    <row r="151" spans="1:7" x14ac:dyDescent="0.35">
      <c r="C151" s="12" t="e">
        <f>INDEX('Dados - Cliente'!I:I,MATCH('Dados - Beneficiarias'!A151,'Dados - Cliente'!A:A,0))</f>
        <v>#N/A</v>
      </c>
    </row>
    <row r="152" spans="1:7" x14ac:dyDescent="0.35">
      <c r="C152" s="12" t="e">
        <f>INDEX('Dados - Cliente'!I:I,MATCH('Dados - Beneficiarias'!A152,'Dados - Cliente'!A:A,0))</f>
        <v>#N/A</v>
      </c>
    </row>
    <row r="153" spans="1:7" x14ac:dyDescent="0.35">
      <c r="C153" s="12" t="e">
        <f>INDEX('Dados - Cliente'!I:I,MATCH('Dados - Beneficiarias'!A153,'Dados - Cliente'!A:A,0))</f>
        <v>#N/A</v>
      </c>
    </row>
    <row r="154" spans="1:7" x14ac:dyDescent="0.35">
      <c r="C154" s="12" t="e">
        <f>INDEX('Dados - Cliente'!I:I,MATCH('Dados - Beneficiarias'!A154,'Dados - Cliente'!A:A,0))</f>
        <v>#N/A</v>
      </c>
    </row>
    <row r="155" spans="1:7" x14ac:dyDescent="0.35">
      <c r="C155" s="12" t="e">
        <f>INDEX('Dados - Cliente'!I:I,MATCH('Dados - Beneficiarias'!A155,'Dados - Cliente'!A:A,0))</f>
        <v>#N/A</v>
      </c>
    </row>
    <row r="156" spans="1:7" x14ac:dyDescent="0.35">
      <c r="C156" s="12" t="e">
        <f>INDEX('Dados - Cliente'!I:I,MATCH('Dados - Beneficiarias'!A156,'Dados - Cliente'!A:A,0))</f>
        <v>#N/A</v>
      </c>
    </row>
  </sheetData>
  <conditionalFormatting sqref="B117:B118 B8:B15 B4:B5 B17:B21 B27:B31 B33:B36 B47:B54 B39:B45 B56:B64 B66:B78 B80 B82:B99 B101:B114 B120:B127 B130:B1048576">
    <cfRule type="duplicateValues" dxfId="120" priority="97"/>
  </conditionalFormatting>
  <conditionalFormatting sqref="B22:B27">
    <cfRule type="duplicateValues" dxfId="119" priority="95"/>
  </conditionalFormatting>
  <conditionalFormatting sqref="B32">
    <cfRule type="duplicateValues" dxfId="118" priority="94"/>
  </conditionalFormatting>
  <conditionalFormatting sqref="B46">
    <cfRule type="duplicateValues" dxfId="117" priority="93"/>
  </conditionalFormatting>
  <conditionalFormatting sqref="A46">
    <cfRule type="duplicateValues" dxfId="116" priority="92"/>
  </conditionalFormatting>
  <conditionalFormatting sqref="A47">
    <cfRule type="duplicateValues" dxfId="115" priority="91"/>
  </conditionalFormatting>
  <conditionalFormatting sqref="A47">
    <cfRule type="duplicateValues" dxfId="114" priority="90"/>
  </conditionalFormatting>
  <conditionalFormatting sqref="A48">
    <cfRule type="duplicateValues" dxfId="113" priority="89"/>
  </conditionalFormatting>
  <conditionalFormatting sqref="A48">
    <cfRule type="duplicateValues" dxfId="112" priority="88"/>
  </conditionalFormatting>
  <conditionalFormatting sqref="A49">
    <cfRule type="duplicateValues" dxfId="111" priority="87"/>
  </conditionalFormatting>
  <conditionalFormatting sqref="A49">
    <cfRule type="duplicateValues" dxfId="110" priority="86"/>
  </conditionalFormatting>
  <conditionalFormatting sqref="A50">
    <cfRule type="duplicateValues" dxfId="109" priority="85"/>
  </conditionalFormatting>
  <conditionalFormatting sqref="A50">
    <cfRule type="duplicateValues" dxfId="108" priority="84"/>
  </conditionalFormatting>
  <conditionalFormatting sqref="A51">
    <cfRule type="duplicateValues" dxfId="107" priority="83"/>
  </conditionalFormatting>
  <conditionalFormatting sqref="A51">
    <cfRule type="duplicateValues" dxfId="106" priority="82"/>
  </conditionalFormatting>
  <conditionalFormatting sqref="A52:A54">
    <cfRule type="duplicateValues" dxfId="105" priority="81"/>
  </conditionalFormatting>
  <conditionalFormatting sqref="A52:A54">
    <cfRule type="duplicateValues" dxfId="104" priority="80"/>
  </conditionalFormatting>
  <conditionalFormatting sqref="A55">
    <cfRule type="duplicateValues" dxfId="103" priority="79"/>
  </conditionalFormatting>
  <conditionalFormatting sqref="A55">
    <cfRule type="duplicateValues" dxfId="102" priority="78"/>
  </conditionalFormatting>
  <conditionalFormatting sqref="A56">
    <cfRule type="duplicateValues" dxfId="101" priority="77"/>
  </conditionalFormatting>
  <conditionalFormatting sqref="A56">
    <cfRule type="duplicateValues" dxfId="100" priority="76"/>
  </conditionalFormatting>
  <conditionalFormatting sqref="A57:A63">
    <cfRule type="duplicateValues" dxfId="99" priority="75"/>
  </conditionalFormatting>
  <conditionalFormatting sqref="A57:A63">
    <cfRule type="duplicateValues" dxfId="98" priority="74"/>
  </conditionalFormatting>
  <conditionalFormatting sqref="A64">
    <cfRule type="duplicateValues" dxfId="97" priority="73"/>
  </conditionalFormatting>
  <conditionalFormatting sqref="A64">
    <cfRule type="duplicateValues" dxfId="96" priority="72"/>
  </conditionalFormatting>
  <conditionalFormatting sqref="B117:B118 B4:B64 B66:B78 B80 B82:B99 B101:B114 B120:B127 B130:B1048576">
    <cfRule type="duplicateValues" dxfId="95" priority="71"/>
  </conditionalFormatting>
  <conditionalFormatting sqref="A65">
    <cfRule type="duplicateValues" dxfId="94" priority="70"/>
  </conditionalFormatting>
  <conditionalFormatting sqref="A65">
    <cfRule type="duplicateValues" dxfId="93" priority="69"/>
  </conditionalFormatting>
  <conditionalFormatting sqref="A66">
    <cfRule type="duplicateValues" dxfId="92" priority="68"/>
  </conditionalFormatting>
  <conditionalFormatting sqref="A66">
    <cfRule type="duplicateValues" dxfId="91" priority="67"/>
  </conditionalFormatting>
  <conditionalFormatting sqref="A67">
    <cfRule type="duplicateValues" dxfId="90" priority="66"/>
  </conditionalFormatting>
  <conditionalFormatting sqref="A67">
    <cfRule type="duplicateValues" dxfId="89" priority="65"/>
  </conditionalFormatting>
  <conditionalFormatting sqref="A68">
    <cfRule type="duplicateValues" dxfId="88" priority="64"/>
  </conditionalFormatting>
  <conditionalFormatting sqref="A68">
    <cfRule type="duplicateValues" dxfId="87" priority="63"/>
  </conditionalFormatting>
  <conditionalFormatting sqref="A69">
    <cfRule type="duplicateValues" dxfId="86" priority="62"/>
  </conditionalFormatting>
  <conditionalFormatting sqref="A69">
    <cfRule type="duplicateValues" dxfId="85" priority="61"/>
  </conditionalFormatting>
  <conditionalFormatting sqref="A70">
    <cfRule type="duplicateValues" dxfId="84" priority="60"/>
  </conditionalFormatting>
  <conditionalFormatting sqref="A70">
    <cfRule type="duplicateValues" dxfId="83" priority="59"/>
  </conditionalFormatting>
  <conditionalFormatting sqref="A71">
    <cfRule type="duplicateValues" dxfId="82" priority="58"/>
  </conditionalFormatting>
  <conditionalFormatting sqref="A71">
    <cfRule type="duplicateValues" dxfId="81" priority="57"/>
  </conditionalFormatting>
  <conditionalFormatting sqref="B65">
    <cfRule type="duplicateValues" dxfId="80" priority="56"/>
  </conditionalFormatting>
  <conditionalFormatting sqref="B65">
    <cfRule type="duplicateValues" dxfId="79" priority="55"/>
  </conditionalFormatting>
  <conditionalFormatting sqref="A73">
    <cfRule type="duplicateValues" dxfId="78" priority="54"/>
  </conditionalFormatting>
  <conditionalFormatting sqref="A73">
    <cfRule type="duplicateValues" dxfId="77" priority="53"/>
  </conditionalFormatting>
  <conditionalFormatting sqref="A74">
    <cfRule type="duplicateValues" dxfId="76" priority="52"/>
  </conditionalFormatting>
  <conditionalFormatting sqref="A74">
    <cfRule type="duplicateValues" dxfId="75" priority="51"/>
  </conditionalFormatting>
  <conditionalFormatting sqref="A75">
    <cfRule type="duplicateValues" dxfId="74" priority="50"/>
  </conditionalFormatting>
  <conditionalFormatting sqref="A75">
    <cfRule type="duplicateValues" dxfId="73" priority="49"/>
  </conditionalFormatting>
  <conditionalFormatting sqref="A76">
    <cfRule type="duplicateValues" dxfId="72" priority="48"/>
  </conditionalFormatting>
  <conditionalFormatting sqref="A76">
    <cfRule type="duplicateValues" dxfId="71" priority="47"/>
  </conditionalFormatting>
  <conditionalFormatting sqref="A77">
    <cfRule type="duplicateValues" dxfId="70" priority="46"/>
  </conditionalFormatting>
  <conditionalFormatting sqref="A77">
    <cfRule type="duplicateValues" dxfId="69" priority="45"/>
  </conditionalFormatting>
  <conditionalFormatting sqref="A78">
    <cfRule type="duplicateValues" dxfId="68" priority="44"/>
  </conditionalFormatting>
  <conditionalFormatting sqref="A78">
    <cfRule type="duplicateValues" dxfId="67" priority="43"/>
  </conditionalFormatting>
  <conditionalFormatting sqref="A79">
    <cfRule type="duplicateValues" dxfId="66" priority="42"/>
  </conditionalFormatting>
  <conditionalFormatting sqref="A79">
    <cfRule type="duplicateValues" dxfId="65" priority="41"/>
  </conditionalFormatting>
  <conditionalFormatting sqref="A80">
    <cfRule type="duplicateValues" dxfId="64" priority="40"/>
  </conditionalFormatting>
  <conditionalFormatting sqref="A80">
    <cfRule type="duplicateValues" dxfId="63" priority="39"/>
  </conditionalFormatting>
  <conditionalFormatting sqref="A81">
    <cfRule type="duplicateValues" dxfId="62" priority="38"/>
  </conditionalFormatting>
  <conditionalFormatting sqref="A81">
    <cfRule type="duplicateValues" dxfId="61" priority="37"/>
  </conditionalFormatting>
  <conditionalFormatting sqref="A82">
    <cfRule type="duplicateValues" dxfId="60" priority="36"/>
  </conditionalFormatting>
  <conditionalFormatting sqref="A82">
    <cfRule type="duplicateValues" dxfId="59" priority="35"/>
  </conditionalFormatting>
  <conditionalFormatting sqref="A83">
    <cfRule type="duplicateValues" dxfId="58" priority="34"/>
  </conditionalFormatting>
  <conditionalFormatting sqref="A83">
    <cfRule type="duplicateValues" dxfId="57" priority="33"/>
  </conditionalFormatting>
  <conditionalFormatting sqref="A84">
    <cfRule type="duplicateValues" dxfId="56" priority="32"/>
  </conditionalFormatting>
  <conditionalFormatting sqref="A84">
    <cfRule type="duplicateValues" dxfId="55" priority="31"/>
  </conditionalFormatting>
  <conditionalFormatting sqref="A85">
    <cfRule type="duplicateValues" dxfId="54" priority="30"/>
  </conditionalFormatting>
  <conditionalFormatting sqref="A85">
    <cfRule type="duplicateValues" dxfId="53" priority="29"/>
  </conditionalFormatting>
  <conditionalFormatting sqref="A86">
    <cfRule type="duplicateValues" dxfId="52" priority="28"/>
  </conditionalFormatting>
  <conditionalFormatting sqref="A86">
    <cfRule type="duplicateValues" dxfId="51" priority="27"/>
  </conditionalFormatting>
  <conditionalFormatting sqref="A87">
    <cfRule type="duplicateValues" dxfId="50" priority="26"/>
  </conditionalFormatting>
  <conditionalFormatting sqref="A87">
    <cfRule type="duplicateValues" dxfId="49" priority="25"/>
  </conditionalFormatting>
  <conditionalFormatting sqref="A88">
    <cfRule type="duplicateValues" dxfId="48" priority="24"/>
  </conditionalFormatting>
  <conditionalFormatting sqref="A88">
    <cfRule type="duplicateValues" dxfId="47" priority="23"/>
  </conditionalFormatting>
  <conditionalFormatting sqref="A89">
    <cfRule type="duplicateValues" dxfId="46" priority="22"/>
  </conditionalFormatting>
  <conditionalFormatting sqref="A89">
    <cfRule type="duplicateValues" dxfId="45" priority="21"/>
  </conditionalFormatting>
  <conditionalFormatting sqref="A90">
    <cfRule type="duplicateValues" dxfId="44" priority="20"/>
  </conditionalFormatting>
  <conditionalFormatting sqref="A90">
    <cfRule type="duplicateValues" dxfId="43" priority="19"/>
  </conditionalFormatting>
  <conditionalFormatting sqref="A91">
    <cfRule type="duplicateValues" dxfId="42" priority="18"/>
  </conditionalFormatting>
  <conditionalFormatting sqref="A91">
    <cfRule type="duplicateValues" dxfId="41" priority="17"/>
  </conditionalFormatting>
  <conditionalFormatting sqref="A92">
    <cfRule type="duplicateValues" dxfId="40" priority="16"/>
  </conditionalFormatting>
  <conditionalFormatting sqref="A92">
    <cfRule type="duplicateValues" dxfId="39" priority="15"/>
  </conditionalFormatting>
  <conditionalFormatting sqref="A93">
    <cfRule type="duplicateValues" dxfId="38" priority="14"/>
  </conditionalFormatting>
  <conditionalFormatting sqref="A93">
    <cfRule type="duplicateValues" dxfId="37" priority="13"/>
  </conditionalFormatting>
  <conditionalFormatting sqref="A94">
    <cfRule type="duplicateValues" dxfId="36" priority="12"/>
  </conditionalFormatting>
  <conditionalFormatting sqref="A94">
    <cfRule type="duplicateValues" dxfId="35" priority="11"/>
  </conditionalFormatting>
  <conditionalFormatting sqref="A95">
    <cfRule type="duplicateValues" dxfId="34" priority="10"/>
  </conditionalFormatting>
  <conditionalFormatting sqref="A95">
    <cfRule type="duplicateValues" dxfId="33" priority="9"/>
  </conditionalFormatting>
  <conditionalFormatting sqref="A96">
    <cfRule type="duplicateValues" dxfId="32" priority="8"/>
  </conditionalFormatting>
  <conditionalFormatting sqref="A96">
    <cfRule type="duplicateValues" dxfId="31" priority="7"/>
  </conditionalFormatting>
  <conditionalFormatting sqref="A97">
    <cfRule type="duplicateValues" dxfId="30" priority="6"/>
  </conditionalFormatting>
  <conditionalFormatting sqref="A97">
    <cfRule type="duplicateValues" dxfId="29" priority="5"/>
  </conditionalFormatting>
  <conditionalFormatting sqref="A98">
    <cfRule type="duplicateValues" dxfId="28" priority="4"/>
  </conditionalFormatting>
  <conditionalFormatting sqref="A98">
    <cfRule type="duplicateValues" dxfId="27" priority="3"/>
  </conditionalFormatting>
  <conditionalFormatting sqref="B100">
    <cfRule type="duplicateValues" dxfId="26" priority="2"/>
  </conditionalFormatting>
  <conditionalFormatting sqref="B100">
    <cfRule type="duplicateValues" dxfId="25" priority="1"/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7ABE76-F405-429D-AEFB-8A2B66A38547}">
          <x14:formula1>
            <xm:f>'Dados - Cliente'!$A:$A</xm:f>
          </x14:formula1>
          <xm:sqref>A2:A3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4A4A-B58A-4388-A09B-EDDC8625B233}">
  <sheetPr codeName="Planilha14"/>
  <dimension ref="A1:K244"/>
  <sheetViews>
    <sheetView workbookViewId="0">
      <pane xSplit="2" ySplit="1" topLeftCell="C217" activePane="bottomRight" state="frozen"/>
      <selection pane="topRight" activeCell="C1" sqref="C1"/>
      <selection pane="bottomLeft" activeCell="A2" sqref="A2"/>
      <selection pane="bottomRight" activeCell="A244" sqref="A244"/>
    </sheetView>
  </sheetViews>
  <sheetFormatPr defaultColWidth="9.1796875" defaultRowHeight="14.5" x14ac:dyDescent="0.35"/>
  <cols>
    <col min="1" max="1" width="54.26953125" style="22" bestFit="1" customWidth="1"/>
    <col min="2" max="2" width="22.54296875" style="22" bestFit="1" customWidth="1"/>
    <col min="3" max="3" width="21.1796875" style="22" customWidth="1"/>
    <col min="4" max="4" width="18.453125" style="22" bestFit="1" customWidth="1"/>
    <col min="5" max="5" width="17" style="22" bestFit="1" customWidth="1"/>
    <col min="6" max="6" width="13.1796875" style="22" bestFit="1" customWidth="1"/>
    <col min="7" max="7" width="22.81640625" style="22" bestFit="1" customWidth="1"/>
    <col min="8" max="8" width="19.7265625" style="22" bestFit="1" customWidth="1"/>
    <col min="9" max="9" width="23.7265625" style="22" bestFit="1" customWidth="1"/>
    <col min="10" max="10" width="10" style="22" bestFit="1" customWidth="1"/>
    <col min="11" max="11" width="12.54296875" style="22" bestFit="1" customWidth="1"/>
    <col min="12" max="16384" width="9.1796875" style="22"/>
  </cols>
  <sheetData>
    <row r="1" spans="1:11" ht="18.5" x14ac:dyDescent="0.45">
      <c r="A1" s="40" t="s">
        <v>3887</v>
      </c>
      <c r="B1" s="40" t="s">
        <v>4088</v>
      </c>
      <c r="C1" s="40" t="s">
        <v>4089</v>
      </c>
      <c r="D1" s="40" t="s">
        <v>4090</v>
      </c>
      <c r="E1" s="40" t="s">
        <v>4091</v>
      </c>
      <c r="F1" s="40" t="s">
        <v>4092</v>
      </c>
      <c r="G1" s="40" t="s">
        <v>4093</v>
      </c>
      <c r="H1" s="40" t="s">
        <v>4094</v>
      </c>
      <c r="I1" s="40" t="s">
        <v>4095</v>
      </c>
      <c r="J1" s="40" t="s">
        <v>4096</v>
      </c>
      <c r="K1" s="40" t="s">
        <v>4097</v>
      </c>
    </row>
    <row r="2" spans="1:11" x14ac:dyDescent="0.35">
      <c r="A2" s="22" t="str">
        <f>'Dados - Cliente'!A2</f>
        <v>Teste 1</v>
      </c>
      <c r="B2" s="22" t="str">
        <f>INDEX('Dados - Cliente'!H:H,MATCH(CheckList!A2,'Dados - Cliente'!A:A,0))</f>
        <v>CAMPO GRANDE</v>
      </c>
      <c r="C2" s="22" t="str">
        <f>IF(INDEX('1'!B:B,MATCH(CheckList!$A2,'1'!$A:$A,0))=0, "N/A", "SIM")</f>
        <v>SIM</v>
      </c>
      <c r="D2" s="22" t="str">
        <f>INDEX('1'!Q:Q,MATCH(CheckList!$A2,'1'!$A:$A,0))</f>
        <v>SIM</v>
      </c>
      <c r="E2" s="22" t="str">
        <f>IF(D2="SIM",IF(MATCH(A2,'2'!$A:$A,0)="","NÃO","SIM"),"NAO")</f>
        <v>SIM</v>
      </c>
      <c r="F2" s="22" t="str">
        <f>IF(INDEX('1'!R:R,MATCH(CheckList!$A2,'1'!$A:$A,0))=0, "N/A", "SIM")</f>
        <v>SIM</v>
      </c>
      <c r="G2" s="22" t="str">
        <f>IF(INDEX('1'!AC:AC,MATCH(CheckList!$A2,'1'!$A:$A,0))=0, "N/A", "SIM")</f>
        <v>SIM</v>
      </c>
      <c r="H2" s="22" t="str">
        <f>IF(INDEX('1'!AF:AF,MATCH(CheckList!$A2,'1'!$A:$A,0))=0, "N/A", "SIM")</f>
        <v>SIM</v>
      </c>
      <c r="I2" s="22" t="str">
        <f>IF(INDEX('1'!L:L,MATCH(CheckList!$A2,'1'!$A:$A,0))=0, "N/A", "SIM")</f>
        <v>SIM</v>
      </c>
      <c r="J2" s="22" t="str">
        <f>IF(LEN(INDEX('1'!L:L,MATCH(CheckList!$A2,'1'!$A:$A,0)))=11, "NAO", IF(LEN(INDEX('1'!L:L,MATCH(CheckList!$A2,'1'!$A:$A,0)))=14,"SIM","N/A"))</f>
        <v>NAO</v>
      </c>
      <c r="K2" s="22" t="str">
        <f>IF(INDEX('1'!BE:BE,MATCH(CheckList!$A2,'1'!$A:$A,0))=0, "N/A", "SIM")</f>
        <v>SIM</v>
      </c>
    </row>
    <row r="3" spans="1:11" x14ac:dyDescent="0.35">
      <c r="A3" s="22">
        <f>'Dados - Cliente'!A3</f>
        <v>0</v>
      </c>
      <c r="B3" s="22" t="e">
        <f>INDEX('Dados - Cliente'!H:H,MATCH(CheckList!A3,'Dados - Cliente'!A:A,0))</f>
        <v>#N/A</v>
      </c>
      <c r="C3" s="22" t="str">
        <f>IF(INDEX('1'!B:B,MATCH(CheckList!$A3,'1'!$A:$A,0))=0, "N/A", "SIM")</f>
        <v>N/A</v>
      </c>
      <c r="D3" s="22">
        <f>INDEX('1'!Q:Q,MATCH(CheckList!$A3,'1'!$A:$A,0))</f>
        <v>0</v>
      </c>
      <c r="E3" s="22" t="str">
        <f>IF(D3="SIM",IF(MATCH(A3,'2'!$A:$A,0)="","NÃO","SIM"),"NAO")</f>
        <v>NAO</v>
      </c>
      <c r="F3" s="22" t="str">
        <f>IF(INDEX('1'!R:R,MATCH(CheckList!$A3,'1'!$A:$A,0))=0, "N/A", "SIM")</f>
        <v>N/A</v>
      </c>
      <c r="G3" s="22" t="str">
        <f>IF(INDEX('1'!AC:AC,MATCH(CheckList!$A3,'1'!$A:$A,0))=0, "N/A", "SIM")</f>
        <v>N/A</v>
      </c>
      <c r="H3" s="22" t="str">
        <f>IF(INDEX('1'!AF:AF,MATCH(CheckList!$A3,'1'!$A:$A,0))=0, "N/A", "SIM")</f>
        <v>N/A</v>
      </c>
      <c r="I3" s="22" t="str">
        <f>IF(INDEX('1'!L:L,MATCH(CheckList!$A3,'1'!$A:$A,0))=0, "N/A", "SIM")</f>
        <v>N/A</v>
      </c>
      <c r="J3" s="22" t="str">
        <f>IF(LEN(INDEX('1'!L:L,MATCH(CheckList!$A3,'1'!$A:$A,0)))=11, "NAO", IF(LEN(INDEX('1'!L:L,MATCH(CheckList!$A3,'1'!$A:$A,0)))=14,"SIM","N/A"))</f>
        <v>N/A</v>
      </c>
      <c r="K3" s="22" t="str">
        <f>IF(INDEX('1'!BE:BE,MATCH(CheckList!$A3,'1'!$A:$A,0))=0, "N/A", "SIM")</f>
        <v>N/A</v>
      </c>
    </row>
    <row r="4" spans="1:11" x14ac:dyDescent="0.35">
      <c r="A4" s="22">
        <f>'Dados - Cliente'!A4</f>
        <v>0</v>
      </c>
      <c r="B4" s="22" t="e">
        <f>INDEX('Dados - Cliente'!H:H,MATCH(CheckList!A4,'Dados - Cliente'!A:A,0))</f>
        <v>#N/A</v>
      </c>
      <c r="C4" s="22" t="str">
        <f>IF(INDEX('1'!B:B,MATCH(CheckList!$A4,'1'!$A:$A,0))=0, "N/A", "SIM")</f>
        <v>N/A</v>
      </c>
      <c r="D4" s="22">
        <f>INDEX('1'!Q:Q,MATCH(CheckList!$A4,'1'!$A:$A,0))</f>
        <v>0</v>
      </c>
      <c r="E4" s="22" t="str">
        <f>IF(D4="SIM",IF(MATCH(A4,'2'!$A:$A,0)="","NÃO","SIM"),"NAO")</f>
        <v>NAO</v>
      </c>
      <c r="F4" s="22" t="str">
        <f>IF(INDEX('1'!R:R,MATCH(CheckList!$A4,'1'!$A:$A,0))=0, "N/A", "SIM")</f>
        <v>N/A</v>
      </c>
      <c r="G4" s="22" t="str">
        <f>IF(INDEX('1'!AC:AC,MATCH(CheckList!$A4,'1'!$A:$A,0))=0, "N/A", "SIM")</f>
        <v>N/A</v>
      </c>
      <c r="H4" s="22" t="str">
        <f>IF(INDEX('1'!AF:AF,MATCH(CheckList!$A4,'1'!$A:$A,0))=0, "N/A", "SIM")</f>
        <v>N/A</v>
      </c>
      <c r="I4" s="22" t="str">
        <f>IF(INDEX('1'!L:L,MATCH(CheckList!$A4,'1'!$A:$A,0))=0, "N/A", "SIM")</f>
        <v>N/A</v>
      </c>
      <c r="J4" s="22" t="str">
        <f>IF(LEN(INDEX('1'!L:L,MATCH(CheckList!$A4,'1'!$A:$A,0)))=11, "NAO", IF(LEN(INDEX('1'!L:L,MATCH(CheckList!$A4,'1'!$A:$A,0)))=14,"SIM","N/A"))</f>
        <v>N/A</v>
      </c>
      <c r="K4" s="22" t="str">
        <f>IF(INDEX('1'!BE:BE,MATCH(CheckList!$A4,'1'!$A:$A,0))=0, "N/A", "SIM")</f>
        <v>N/A</v>
      </c>
    </row>
    <row r="5" spans="1:11" x14ac:dyDescent="0.35">
      <c r="A5" s="22">
        <f>'Dados - Cliente'!A5</f>
        <v>0</v>
      </c>
      <c r="B5" s="22" t="e">
        <f>INDEX('Dados - Cliente'!H:H,MATCH(CheckList!A5,'Dados - Cliente'!A:A,0))</f>
        <v>#N/A</v>
      </c>
      <c r="C5" s="22" t="str">
        <f>IF(INDEX('1'!B:B,MATCH(CheckList!$A5,'1'!$A:$A,0))=0, "N/A", "SIM")</f>
        <v>N/A</v>
      </c>
      <c r="D5" s="22">
        <f>INDEX('1'!Q:Q,MATCH(CheckList!$A5,'1'!$A:$A,0))</f>
        <v>0</v>
      </c>
      <c r="E5" s="22" t="str">
        <f>IF(D5="SIM",IF(MATCH(A5,'2'!$A:$A,0)="","NÃO","SIM"),"NAO")</f>
        <v>NAO</v>
      </c>
      <c r="F5" s="22" t="str">
        <f>IF(INDEX('1'!R:R,MATCH(CheckList!$A5,'1'!$A:$A,0))=0, "N/A", "SIM")</f>
        <v>N/A</v>
      </c>
      <c r="G5" s="22" t="str">
        <f>IF(INDEX('1'!AC:AC,MATCH(CheckList!$A5,'1'!$A:$A,0))=0, "N/A", "SIM")</f>
        <v>N/A</v>
      </c>
      <c r="H5" s="22" t="str">
        <f>IF(INDEX('1'!AF:AF,MATCH(CheckList!$A5,'1'!$A:$A,0))=0, "N/A", "SIM")</f>
        <v>N/A</v>
      </c>
      <c r="I5" s="22" t="str">
        <f>IF(INDEX('1'!L:L,MATCH(CheckList!$A5,'1'!$A:$A,0))=0, "N/A", "SIM")</f>
        <v>N/A</v>
      </c>
      <c r="J5" s="22" t="str">
        <f>IF(LEN(INDEX('1'!L:L,MATCH(CheckList!$A5,'1'!$A:$A,0)))=11, "NAO", IF(LEN(INDEX('1'!L:L,MATCH(CheckList!$A5,'1'!$A:$A,0)))=14,"SIM","N/A"))</f>
        <v>N/A</v>
      </c>
      <c r="K5" s="22" t="str">
        <f>IF(INDEX('1'!BE:BE,MATCH(CheckList!$A5,'1'!$A:$A,0))=0, "N/A", "SIM")</f>
        <v>N/A</v>
      </c>
    </row>
    <row r="6" spans="1:11" x14ac:dyDescent="0.35">
      <c r="A6" s="22">
        <f>'Dados - Cliente'!A6</f>
        <v>0</v>
      </c>
      <c r="B6" s="22" t="e">
        <f>INDEX('Dados - Cliente'!H:H,MATCH(CheckList!A6,'Dados - Cliente'!A:A,0))</f>
        <v>#N/A</v>
      </c>
      <c r="C6" s="22" t="str">
        <f>IF(INDEX('1'!B:B,MATCH(CheckList!$A6,'1'!$A:$A,0))=0, "N/A", "SIM")</f>
        <v>N/A</v>
      </c>
      <c r="D6" s="22">
        <f>INDEX('1'!Q:Q,MATCH(CheckList!$A6,'1'!$A:$A,0))</f>
        <v>0</v>
      </c>
      <c r="E6" s="22" t="str">
        <f>IF(D6="SIM",IF(MATCH(A6,'2'!$A:$A,0)="","NÃO","SIM"),"NAO")</f>
        <v>NAO</v>
      </c>
      <c r="F6" s="22" t="str">
        <f>IF(INDEX('1'!R:R,MATCH(CheckList!$A6,'1'!$A:$A,0))=0, "N/A", "SIM")</f>
        <v>N/A</v>
      </c>
      <c r="G6" s="22" t="str">
        <f>IF(INDEX('1'!AC:AC,MATCH(CheckList!$A6,'1'!$A:$A,0))=0, "N/A", "SIM")</f>
        <v>N/A</v>
      </c>
      <c r="H6" s="22" t="str">
        <f>IF(INDEX('1'!AF:AF,MATCH(CheckList!$A6,'1'!$A:$A,0))=0, "N/A", "SIM")</f>
        <v>N/A</v>
      </c>
      <c r="I6" s="22" t="str">
        <f>IF(INDEX('1'!L:L,MATCH(CheckList!$A6,'1'!$A:$A,0))=0, "N/A", "SIM")</f>
        <v>N/A</v>
      </c>
      <c r="J6" s="22" t="str">
        <f>IF(LEN(INDEX('1'!L:L,MATCH(CheckList!$A6,'1'!$A:$A,0)))=11, "NAO", IF(LEN(INDEX('1'!L:L,MATCH(CheckList!$A6,'1'!$A:$A,0)))=14,"SIM","N/A"))</f>
        <v>N/A</v>
      </c>
      <c r="K6" s="22" t="str">
        <f>IF(INDEX('1'!BE:BE,MATCH(CheckList!$A6,'1'!$A:$A,0))=0, "N/A", "SIM")</f>
        <v>N/A</v>
      </c>
    </row>
    <row r="7" spans="1:11" x14ac:dyDescent="0.35">
      <c r="A7" s="22">
        <f>'Dados - Cliente'!A7</f>
        <v>0</v>
      </c>
      <c r="B7" s="22" t="e">
        <f>INDEX('Dados - Cliente'!H:H,MATCH(CheckList!A7,'Dados - Cliente'!A:A,0))</f>
        <v>#N/A</v>
      </c>
      <c r="C7" s="22" t="str">
        <f>IF(INDEX('1'!B:B,MATCH(CheckList!$A7,'1'!$A:$A,0))=0, "N/A", "SIM")</f>
        <v>N/A</v>
      </c>
      <c r="D7" s="22">
        <f>INDEX('1'!Q:Q,MATCH(CheckList!$A7,'1'!$A:$A,0))</f>
        <v>0</v>
      </c>
      <c r="E7" s="22" t="str">
        <f>IF(D7="SIM",IF(MATCH(A7,'2'!$A:$A,0)="","NÃO","SIM"),"NAO")</f>
        <v>NAO</v>
      </c>
      <c r="F7" s="22" t="str">
        <f>IF(INDEX('1'!R:R,MATCH(CheckList!$A7,'1'!$A:$A,0))=0, "N/A", "SIM")</f>
        <v>N/A</v>
      </c>
      <c r="G7" s="22" t="str">
        <f>IF(INDEX('1'!AC:AC,MATCH(CheckList!$A7,'1'!$A:$A,0))=0, "N/A", "SIM")</f>
        <v>N/A</v>
      </c>
      <c r="H7" s="22" t="str">
        <f>IF(INDEX('1'!AF:AF,MATCH(CheckList!$A7,'1'!$A:$A,0))=0, "N/A", "SIM")</f>
        <v>N/A</v>
      </c>
      <c r="I7" s="22" t="str">
        <f>IF(INDEX('1'!L:L,MATCH(CheckList!$A7,'1'!$A:$A,0))=0, "N/A", "SIM")</f>
        <v>N/A</v>
      </c>
      <c r="J7" s="22" t="str">
        <f>IF(LEN(INDEX('1'!L:L,MATCH(CheckList!$A7,'1'!$A:$A,0)))=11, "NAO", IF(LEN(INDEX('1'!L:L,MATCH(CheckList!$A7,'1'!$A:$A,0)))=14,"SIM","N/A"))</f>
        <v>N/A</v>
      </c>
      <c r="K7" s="22" t="str">
        <f>IF(INDEX('1'!BE:BE,MATCH(CheckList!$A7,'1'!$A:$A,0))=0, "N/A", "SIM")</f>
        <v>N/A</v>
      </c>
    </row>
    <row r="8" spans="1:11" x14ac:dyDescent="0.35">
      <c r="A8" s="22">
        <f>'Dados - Cliente'!A8</f>
        <v>0</v>
      </c>
      <c r="B8" s="22" t="e">
        <f>INDEX('Dados - Cliente'!H:H,MATCH(CheckList!A8,'Dados - Cliente'!A:A,0))</f>
        <v>#N/A</v>
      </c>
      <c r="C8" s="22" t="str">
        <f>IF(INDEX('1'!B:B,MATCH(CheckList!$A8,'1'!$A:$A,0))=0, "N/A", "SIM")</f>
        <v>N/A</v>
      </c>
      <c r="D8" s="22">
        <f>INDEX('1'!Q:Q,MATCH(CheckList!$A8,'1'!$A:$A,0))</f>
        <v>0</v>
      </c>
      <c r="E8" s="22" t="str">
        <f>IF(D8="SIM",IF(MATCH(A8,'2'!$A:$A,0)="","NÃO","SIM"),"NAO")</f>
        <v>NAO</v>
      </c>
      <c r="F8" s="22" t="str">
        <f>IF(INDEX('1'!R:R,MATCH(CheckList!$A8,'1'!$A:$A,0))=0, "N/A", "SIM")</f>
        <v>N/A</v>
      </c>
      <c r="G8" s="22" t="str">
        <f>IF(INDEX('1'!AC:AC,MATCH(CheckList!$A8,'1'!$A:$A,0))=0, "N/A", "SIM")</f>
        <v>N/A</v>
      </c>
      <c r="H8" s="22" t="str">
        <f>IF(INDEX('1'!AF:AF,MATCH(CheckList!$A8,'1'!$A:$A,0))=0, "N/A", "SIM")</f>
        <v>N/A</v>
      </c>
      <c r="I8" s="22" t="str">
        <f>IF(INDEX('1'!L:L,MATCH(CheckList!$A8,'1'!$A:$A,0))=0, "N/A", "SIM")</f>
        <v>N/A</v>
      </c>
      <c r="J8" s="22" t="str">
        <f>IF(LEN(INDEX('1'!L:L,MATCH(CheckList!$A8,'1'!$A:$A,0)))=11, "NAO", IF(LEN(INDEX('1'!L:L,MATCH(CheckList!$A8,'1'!$A:$A,0)))=14,"SIM","N/A"))</f>
        <v>N/A</v>
      </c>
      <c r="K8" s="22" t="str">
        <f>IF(INDEX('1'!BE:BE,MATCH(CheckList!$A8,'1'!$A:$A,0))=0, "N/A", "SIM")</f>
        <v>N/A</v>
      </c>
    </row>
    <row r="9" spans="1:11" x14ac:dyDescent="0.35">
      <c r="A9" s="22">
        <f>'Dados - Cliente'!A9</f>
        <v>0</v>
      </c>
      <c r="B9" s="22" t="e">
        <f>INDEX('Dados - Cliente'!H:H,MATCH(CheckList!A9,'Dados - Cliente'!A:A,0))</f>
        <v>#N/A</v>
      </c>
      <c r="C9" s="22" t="str">
        <f>IF(INDEX('1'!B:B,MATCH(CheckList!$A9,'1'!$A:$A,0))=0, "N/A", "SIM")</f>
        <v>N/A</v>
      </c>
      <c r="D9" s="22">
        <f>INDEX('1'!Q:Q,MATCH(CheckList!$A9,'1'!$A:$A,0))</f>
        <v>0</v>
      </c>
      <c r="E9" s="22" t="str">
        <f>IF(D9="SIM",IF(MATCH(A9,'2'!$A:$A,0)="","NÃO","SIM"),"NAO")</f>
        <v>NAO</v>
      </c>
      <c r="F9" s="22" t="str">
        <f>IF(INDEX('1'!R:R,MATCH(CheckList!$A9,'1'!$A:$A,0))=0, "N/A", "SIM")</f>
        <v>N/A</v>
      </c>
      <c r="G9" s="22" t="str">
        <f>IF(INDEX('1'!AC:AC,MATCH(CheckList!$A9,'1'!$A:$A,0))=0, "N/A", "SIM")</f>
        <v>N/A</v>
      </c>
      <c r="H9" s="22" t="str">
        <f>IF(INDEX('1'!AF:AF,MATCH(CheckList!$A9,'1'!$A:$A,0))=0, "N/A", "SIM")</f>
        <v>N/A</v>
      </c>
      <c r="I9" s="22" t="str">
        <f>IF(INDEX('1'!L:L,MATCH(CheckList!$A9,'1'!$A:$A,0))=0, "N/A", "SIM")</f>
        <v>N/A</v>
      </c>
      <c r="J9" s="22" t="str">
        <f>IF(LEN(INDEX('1'!L:L,MATCH(CheckList!$A9,'1'!$A:$A,0)))=11, "NAO", IF(LEN(INDEX('1'!L:L,MATCH(CheckList!$A9,'1'!$A:$A,0)))=14,"SIM","N/A"))</f>
        <v>N/A</v>
      </c>
      <c r="K9" s="22" t="str">
        <f>IF(INDEX('1'!BE:BE,MATCH(CheckList!$A9,'1'!$A:$A,0))=0, "N/A", "SIM")</f>
        <v>N/A</v>
      </c>
    </row>
    <row r="10" spans="1:11" x14ac:dyDescent="0.35">
      <c r="A10" s="22">
        <f>'Dados - Cliente'!A10</f>
        <v>0</v>
      </c>
      <c r="B10" s="22" t="e">
        <f>INDEX('Dados - Cliente'!H:H,MATCH(CheckList!A10,'Dados - Cliente'!A:A,0))</f>
        <v>#N/A</v>
      </c>
      <c r="C10" s="22" t="str">
        <f>IF(INDEX('1'!B:B,MATCH(CheckList!$A10,'1'!$A:$A,0))=0, "N/A", "SIM")</f>
        <v>N/A</v>
      </c>
      <c r="D10" s="22">
        <f>INDEX('1'!Q:Q,MATCH(CheckList!$A10,'1'!$A:$A,0))</f>
        <v>0</v>
      </c>
      <c r="E10" s="22" t="str">
        <f>IF(D10="SIM",IF(MATCH(A10,'2'!$A:$A,0)="","NÃO","SIM"),"NAO")</f>
        <v>NAO</v>
      </c>
      <c r="F10" s="22" t="str">
        <f>IF(INDEX('1'!R:R,MATCH(CheckList!$A10,'1'!$A:$A,0))=0, "N/A", "SIM")</f>
        <v>N/A</v>
      </c>
      <c r="G10" s="22" t="str">
        <f>IF(INDEX('1'!AC:AC,MATCH(CheckList!$A10,'1'!$A:$A,0))=0, "N/A", "SIM")</f>
        <v>N/A</v>
      </c>
      <c r="H10" s="22" t="str">
        <f>IF(INDEX('1'!AF:AF,MATCH(CheckList!$A10,'1'!$A:$A,0))=0, "N/A", "SIM")</f>
        <v>N/A</v>
      </c>
      <c r="I10" s="22" t="str">
        <f>IF(INDEX('1'!L:L,MATCH(CheckList!$A10,'1'!$A:$A,0))=0, "N/A", "SIM")</f>
        <v>N/A</v>
      </c>
      <c r="J10" s="22" t="str">
        <f>IF(LEN(INDEX('1'!L:L,MATCH(CheckList!$A10,'1'!$A:$A,0)))=11, "NAO", IF(LEN(INDEX('1'!L:L,MATCH(CheckList!$A10,'1'!$A:$A,0)))=14,"SIM","N/A"))</f>
        <v>N/A</v>
      </c>
      <c r="K10" s="22" t="str">
        <f>IF(INDEX('1'!BE:BE,MATCH(CheckList!$A10,'1'!$A:$A,0))=0, "N/A", "SIM")</f>
        <v>N/A</v>
      </c>
    </row>
    <row r="11" spans="1:11" x14ac:dyDescent="0.35">
      <c r="A11" s="22">
        <f>'Dados - Cliente'!A11</f>
        <v>0</v>
      </c>
      <c r="B11" s="22" t="e">
        <f>INDEX('Dados - Cliente'!H:H,MATCH(CheckList!A11,'Dados - Cliente'!A:A,0))</f>
        <v>#N/A</v>
      </c>
      <c r="C11" s="22" t="str">
        <f>IF(INDEX('1'!B:B,MATCH(CheckList!$A11,'1'!$A:$A,0))=0, "N/A", "SIM")</f>
        <v>N/A</v>
      </c>
      <c r="D11" s="22">
        <f>INDEX('1'!Q:Q,MATCH(CheckList!$A11,'1'!$A:$A,0))</f>
        <v>0</v>
      </c>
      <c r="E11" s="22" t="str">
        <f>IF(D11="SIM",IF(MATCH(A11,'2'!$A:$A,0)="","NÃO","SIM"),"NAO")</f>
        <v>NAO</v>
      </c>
      <c r="F11" s="22" t="str">
        <f>IF(INDEX('1'!R:R,MATCH(CheckList!$A11,'1'!$A:$A,0))=0, "N/A", "SIM")</f>
        <v>N/A</v>
      </c>
      <c r="G11" s="22" t="str">
        <f>IF(INDEX('1'!AC:AC,MATCH(CheckList!$A11,'1'!$A:$A,0))=0, "N/A", "SIM")</f>
        <v>N/A</v>
      </c>
      <c r="H11" s="22" t="str">
        <f>IF(INDEX('1'!AF:AF,MATCH(CheckList!$A11,'1'!$A:$A,0))=0, "N/A", "SIM")</f>
        <v>N/A</v>
      </c>
      <c r="I11" s="22" t="str">
        <f>IF(INDEX('1'!L:L,MATCH(CheckList!$A11,'1'!$A:$A,0))=0, "N/A", "SIM")</f>
        <v>N/A</v>
      </c>
      <c r="J11" s="22" t="str">
        <f>IF(LEN(INDEX('1'!L:L,MATCH(CheckList!$A11,'1'!$A:$A,0)))=11, "NAO", IF(LEN(INDEX('1'!L:L,MATCH(CheckList!$A11,'1'!$A:$A,0)))=14,"SIM","N/A"))</f>
        <v>N/A</v>
      </c>
      <c r="K11" s="22" t="str">
        <f>IF(INDEX('1'!BE:BE,MATCH(CheckList!$A11,'1'!$A:$A,0))=0, "N/A", "SIM")</f>
        <v>N/A</v>
      </c>
    </row>
    <row r="12" spans="1:11" x14ac:dyDescent="0.35">
      <c r="A12" s="22">
        <f>'Dados - Cliente'!A12</f>
        <v>0</v>
      </c>
      <c r="B12" s="22" t="e">
        <f>INDEX('Dados - Cliente'!H:H,MATCH(CheckList!A12,'Dados - Cliente'!A:A,0))</f>
        <v>#N/A</v>
      </c>
      <c r="C12" s="22" t="str">
        <f>IF(INDEX('1'!B:B,MATCH(CheckList!$A12,'1'!$A:$A,0))=0, "N/A", "SIM")</f>
        <v>N/A</v>
      </c>
      <c r="D12" s="22">
        <f>INDEX('1'!Q:Q,MATCH(CheckList!$A12,'1'!$A:$A,0))</f>
        <v>0</v>
      </c>
      <c r="E12" s="22" t="str">
        <f>IF(D12="SIM",IF(MATCH(A12,'2'!$A:$A,0)="","NÃO","SIM"),"NAO")</f>
        <v>NAO</v>
      </c>
      <c r="F12" s="22" t="str">
        <f>IF(INDEX('1'!R:R,MATCH(CheckList!$A12,'1'!$A:$A,0))=0, "N/A", "SIM")</f>
        <v>N/A</v>
      </c>
      <c r="G12" s="22" t="str">
        <f>IF(INDEX('1'!AC:AC,MATCH(CheckList!$A12,'1'!$A:$A,0))=0, "N/A", "SIM")</f>
        <v>N/A</v>
      </c>
      <c r="H12" s="22" t="str">
        <f>IF(INDEX('1'!AF:AF,MATCH(CheckList!$A12,'1'!$A:$A,0))=0, "N/A", "SIM")</f>
        <v>N/A</v>
      </c>
      <c r="I12" s="22" t="str">
        <f>IF(INDEX('1'!L:L,MATCH(CheckList!$A12,'1'!$A:$A,0))=0, "N/A", "SIM")</f>
        <v>N/A</v>
      </c>
      <c r="J12" s="22" t="str">
        <f>IF(LEN(INDEX('1'!L:L,MATCH(CheckList!$A12,'1'!$A:$A,0)))=11, "NAO", IF(LEN(INDEX('1'!L:L,MATCH(CheckList!$A12,'1'!$A:$A,0)))=14,"SIM","N/A"))</f>
        <v>N/A</v>
      </c>
      <c r="K12" s="22" t="str">
        <f>IF(INDEX('1'!BE:BE,MATCH(CheckList!$A12,'1'!$A:$A,0))=0, "N/A", "SIM")</f>
        <v>N/A</v>
      </c>
    </row>
    <row r="13" spans="1:11" x14ac:dyDescent="0.35">
      <c r="A13" s="22">
        <f>'Dados - Cliente'!A13</f>
        <v>0</v>
      </c>
      <c r="B13" s="22" t="e">
        <f>INDEX('Dados - Cliente'!H:H,MATCH(CheckList!A13,'Dados - Cliente'!A:A,0))</f>
        <v>#N/A</v>
      </c>
      <c r="C13" s="22" t="str">
        <f>IF(INDEX('1'!B:B,MATCH(CheckList!$A13,'1'!$A:$A,0))=0, "N/A", "SIM")</f>
        <v>N/A</v>
      </c>
      <c r="D13" s="22">
        <f>INDEX('1'!Q:Q,MATCH(CheckList!$A13,'1'!$A:$A,0))</f>
        <v>0</v>
      </c>
      <c r="E13" s="22" t="str">
        <f>IF(D13="SIM",IF(MATCH(A13,'2'!$A:$A,0)="","NÃO","SIM"),"NAO")</f>
        <v>NAO</v>
      </c>
      <c r="F13" s="22" t="str">
        <f>IF(INDEX('1'!R:R,MATCH(CheckList!$A13,'1'!$A:$A,0))=0, "N/A", "SIM")</f>
        <v>N/A</v>
      </c>
      <c r="G13" s="22" t="str">
        <f>IF(INDEX('1'!AC:AC,MATCH(CheckList!$A13,'1'!$A:$A,0))=0, "N/A", "SIM")</f>
        <v>N/A</v>
      </c>
      <c r="H13" s="22" t="str">
        <f>IF(INDEX('1'!AF:AF,MATCH(CheckList!$A13,'1'!$A:$A,0))=0, "N/A", "SIM")</f>
        <v>N/A</v>
      </c>
      <c r="I13" s="22" t="str">
        <f>IF(INDEX('1'!L:L,MATCH(CheckList!$A13,'1'!$A:$A,0))=0, "N/A", "SIM")</f>
        <v>N/A</v>
      </c>
      <c r="J13" s="22" t="str">
        <f>IF(LEN(INDEX('1'!L:L,MATCH(CheckList!$A13,'1'!$A:$A,0)))=11, "NAO", IF(LEN(INDEX('1'!L:L,MATCH(CheckList!$A13,'1'!$A:$A,0)))=14,"SIM","N/A"))</f>
        <v>N/A</v>
      </c>
      <c r="K13" s="22" t="str">
        <f>IF(INDEX('1'!BE:BE,MATCH(CheckList!$A13,'1'!$A:$A,0))=0, "N/A", "SIM")</f>
        <v>N/A</v>
      </c>
    </row>
    <row r="14" spans="1:11" x14ac:dyDescent="0.35">
      <c r="A14" s="22">
        <f>'Dados - Cliente'!A14</f>
        <v>0</v>
      </c>
      <c r="B14" s="22" t="e">
        <f>INDEX('Dados - Cliente'!H:H,MATCH(CheckList!A14,'Dados - Cliente'!A:A,0))</f>
        <v>#N/A</v>
      </c>
      <c r="C14" s="22" t="str">
        <f>IF(INDEX('1'!B:B,MATCH(CheckList!$A14,'1'!$A:$A,0))=0, "N/A", "SIM")</f>
        <v>N/A</v>
      </c>
      <c r="D14" s="22">
        <f>INDEX('1'!Q:Q,MATCH(CheckList!$A14,'1'!$A:$A,0))</f>
        <v>0</v>
      </c>
      <c r="E14" s="22" t="str">
        <f>IF(D14="SIM",IF(MATCH(A14,'2'!$A:$A,0)="","NÃO","SIM"),"NAO")</f>
        <v>NAO</v>
      </c>
      <c r="F14" s="22" t="str">
        <f>IF(INDEX('1'!R:R,MATCH(CheckList!$A14,'1'!$A:$A,0))=0, "N/A", "SIM")</f>
        <v>N/A</v>
      </c>
      <c r="G14" s="22" t="str">
        <f>IF(INDEX('1'!AC:AC,MATCH(CheckList!$A14,'1'!$A:$A,0))=0, "N/A", "SIM")</f>
        <v>N/A</v>
      </c>
      <c r="H14" s="22" t="str">
        <f>IF(INDEX('1'!AF:AF,MATCH(CheckList!$A14,'1'!$A:$A,0))=0, "N/A", "SIM")</f>
        <v>N/A</v>
      </c>
      <c r="I14" s="22" t="str">
        <f>IF(INDEX('1'!L:L,MATCH(CheckList!$A14,'1'!$A:$A,0))=0, "N/A", "SIM")</f>
        <v>N/A</v>
      </c>
      <c r="J14" s="22" t="str">
        <f>IF(LEN(INDEX('1'!L:L,MATCH(CheckList!$A14,'1'!$A:$A,0)))=11, "NAO", IF(LEN(INDEX('1'!L:L,MATCH(CheckList!$A14,'1'!$A:$A,0)))=14,"SIM","N/A"))</f>
        <v>N/A</v>
      </c>
      <c r="K14" s="22" t="str">
        <f>IF(INDEX('1'!BE:BE,MATCH(CheckList!$A14,'1'!$A:$A,0))=0, "N/A", "SIM")</f>
        <v>N/A</v>
      </c>
    </row>
    <row r="15" spans="1:11" x14ac:dyDescent="0.35">
      <c r="A15" s="22">
        <f>'Dados - Cliente'!A15</f>
        <v>0</v>
      </c>
      <c r="B15" s="22" t="e">
        <f>INDEX('Dados - Cliente'!H:H,MATCH(CheckList!A15,'Dados - Cliente'!A:A,0))</f>
        <v>#N/A</v>
      </c>
      <c r="C15" s="22" t="str">
        <f>IF(INDEX('1'!B:B,MATCH(CheckList!$A15,'1'!$A:$A,0))=0, "N/A", "SIM")</f>
        <v>N/A</v>
      </c>
      <c r="D15" s="22">
        <f>INDEX('1'!Q:Q,MATCH(CheckList!$A15,'1'!$A:$A,0))</f>
        <v>0</v>
      </c>
      <c r="E15" s="22" t="str">
        <f>IF(D15="SIM",IF(MATCH(A15,'2'!$A:$A,0)="","NÃO","SIM"),"NAO")</f>
        <v>NAO</v>
      </c>
      <c r="F15" s="22" t="str">
        <f>IF(INDEX('1'!R:R,MATCH(CheckList!$A15,'1'!$A:$A,0))=0, "N/A", "SIM")</f>
        <v>N/A</v>
      </c>
      <c r="G15" s="22" t="str">
        <f>IF(INDEX('1'!AC:AC,MATCH(CheckList!$A15,'1'!$A:$A,0))=0, "N/A", "SIM")</f>
        <v>N/A</v>
      </c>
      <c r="H15" s="22" t="str">
        <f>IF(INDEX('1'!AF:AF,MATCH(CheckList!$A15,'1'!$A:$A,0))=0, "N/A", "SIM")</f>
        <v>N/A</v>
      </c>
      <c r="I15" s="22" t="str">
        <f>IF(INDEX('1'!L:L,MATCH(CheckList!$A15,'1'!$A:$A,0))=0, "N/A", "SIM")</f>
        <v>N/A</v>
      </c>
      <c r="J15" s="22" t="str">
        <f>IF(LEN(INDEX('1'!L:L,MATCH(CheckList!$A15,'1'!$A:$A,0)))=11, "NAO", IF(LEN(INDEX('1'!L:L,MATCH(CheckList!$A15,'1'!$A:$A,0)))=14,"SIM","N/A"))</f>
        <v>N/A</v>
      </c>
      <c r="K15" s="22" t="str">
        <f>IF(INDEX('1'!BE:BE,MATCH(CheckList!$A15,'1'!$A:$A,0))=0, "N/A", "SIM")</f>
        <v>N/A</v>
      </c>
    </row>
    <row r="16" spans="1:11" x14ac:dyDescent="0.35">
      <c r="A16" s="22">
        <f>'Dados - Cliente'!A16</f>
        <v>0</v>
      </c>
      <c r="B16" s="22" t="e">
        <f>INDEX('Dados - Cliente'!H:H,MATCH(CheckList!A16,'Dados - Cliente'!A:A,0))</f>
        <v>#N/A</v>
      </c>
      <c r="C16" s="22" t="str">
        <f>IF(INDEX('1'!B:B,MATCH(CheckList!$A16,'1'!$A:$A,0))=0, "N/A", "SIM")</f>
        <v>N/A</v>
      </c>
      <c r="D16" s="22">
        <f>INDEX('1'!Q:Q,MATCH(CheckList!$A16,'1'!$A:$A,0))</f>
        <v>0</v>
      </c>
      <c r="E16" s="22" t="str">
        <f>IF(D16="SIM",IF(MATCH(A16,'2'!$A:$A,0)="","NÃO","SIM"),"NAO")</f>
        <v>NAO</v>
      </c>
      <c r="F16" s="22" t="str">
        <f>IF(INDEX('1'!R:R,MATCH(CheckList!$A16,'1'!$A:$A,0))=0, "N/A", "SIM")</f>
        <v>N/A</v>
      </c>
      <c r="G16" s="22" t="str">
        <f>IF(INDEX('1'!AC:AC,MATCH(CheckList!$A16,'1'!$A:$A,0))=0, "N/A", "SIM")</f>
        <v>N/A</v>
      </c>
      <c r="H16" s="22" t="str">
        <f>IF(INDEX('1'!AF:AF,MATCH(CheckList!$A16,'1'!$A:$A,0))=0, "N/A", "SIM")</f>
        <v>N/A</v>
      </c>
      <c r="I16" s="22" t="str">
        <f>IF(INDEX('1'!L:L,MATCH(CheckList!$A16,'1'!$A:$A,0))=0, "N/A", "SIM")</f>
        <v>N/A</v>
      </c>
      <c r="J16" s="22" t="str">
        <f>IF(LEN(INDEX('1'!L:L,MATCH(CheckList!$A16,'1'!$A:$A,0)))=11, "NAO", IF(LEN(INDEX('1'!L:L,MATCH(CheckList!$A16,'1'!$A:$A,0)))=14,"SIM","N/A"))</f>
        <v>N/A</v>
      </c>
      <c r="K16" s="22" t="str">
        <f>IF(INDEX('1'!BE:BE,MATCH(CheckList!$A16,'1'!$A:$A,0))=0, "N/A", "SIM")</f>
        <v>N/A</v>
      </c>
    </row>
    <row r="17" spans="1:11" x14ac:dyDescent="0.35">
      <c r="A17" s="22">
        <f>'Dados - Cliente'!A17</f>
        <v>0</v>
      </c>
      <c r="B17" s="22" t="e">
        <f>INDEX('Dados - Cliente'!H:H,MATCH(CheckList!A17,'Dados - Cliente'!A:A,0))</f>
        <v>#N/A</v>
      </c>
      <c r="C17" s="22" t="str">
        <f>IF(INDEX('1'!B:B,MATCH(CheckList!$A17,'1'!$A:$A,0))=0, "N/A", "SIM")</f>
        <v>N/A</v>
      </c>
      <c r="D17" s="22">
        <f>INDEX('1'!Q:Q,MATCH(CheckList!$A17,'1'!$A:$A,0))</f>
        <v>0</v>
      </c>
      <c r="E17" s="22" t="str">
        <f>IF(D17="SIM",IF(MATCH(A17,'2'!$A:$A,0)="","NÃO","SIM"),"NAO")</f>
        <v>NAO</v>
      </c>
      <c r="F17" s="22" t="str">
        <f>IF(INDEX('1'!R:R,MATCH(CheckList!$A17,'1'!$A:$A,0))=0, "N/A", "SIM")</f>
        <v>N/A</v>
      </c>
      <c r="G17" s="22" t="str">
        <f>IF(INDEX('1'!AC:AC,MATCH(CheckList!$A17,'1'!$A:$A,0))=0, "N/A", "SIM")</f>
        <v>N/A</v>
      </c>
      <c r="H17" s="22" t="str">
        <f>IF(INDEX('1'!AF:AF,MATCH(CheckList!$A17,'1'!$A:$A,0))=0, "N/A", "SIM")</f>
        <v>N/A</v>
      </c>
      <c r="I17" s="22" t="str">
        <f>IF(INDEX('1'!L:L,MATCH(CheckList!$A17,'1'!$A:$A,0))=0, "N/A", "SIM")</f>
        <v>N/A</v>
      </c>
      <c r="J17" s="22" t="str">
        <f>IF(LEN(INDEX('1'!L:L,MATCH(CheckList!$A17,'1'!$A:$A,0)))=11, "NAO", IF(LEN(INDEX('1'!L:L,MATCH(CheckList!$A17,'1'!$A:$A,0)))=14,"SIM","N/A"))</f>
        <v>N/A</v>
      </c>
      <c r="K17" s="22" t="str">
        <f>IF(INDEX('1'!BE:BE,MATCH(CheckList!$A17,'1'!$A:$A,0))=0, "N/A", "SIM")</f>
        <v>N/A</v>
      </c>
    </row>
    <row r="18" spans="1:11" x14ac:dyDescent="0.35">
      <c r="A18" s="22">
        <f>'Dados - Cliente'!A18</f>
        <v>0</v>
      </c>
      <c r="B18" s="22" t="e">
        <f>INDEX('Dados - Cliente'!H:H,MATCH(CheckList!A18,'Dados - Cliente'!A:A,0))</f>
        <v>#N/A</v>
      </c>
      <c r="C18" s="22" t="str">
        <f>IF(INDEX('1'!B:B,MATCH(CheckList!$A18,'1'!$A:$A,0))=0, "N/A", "SIM")</f>
        <v>N/A</v>
      </c>
      <c r="D18" s="22">
        <f>INDEX('1'!Q:Q,MATCH(CheckList!$A18,'1'!$A:$A,0))</f>
        <v>0</v>
      </c>
      <c r="E18" s="22" t="str">
        <f>IF(D18="SIM",IF(MATCH(A18,'2'!$A:$A,0)="","NÃO","SIM"),"NAO")</f>
        <v>NAO</v>
      </c>
      <c r="F18" s="22" t="str">
        <f>IF(INDEX('1'!R:R,MATCH(CheckList!$A18,'1'!$A:$A,0))=0, "N/A", "SIM")</f>
        <v>N/A</v>
      </c>
      <c r="G18" s="22" t="str">
        <f>IF(INDEX('1'!AC:AC,MATCH(CheckList!$A18,'1'!$A:$A,0))=0, "N/A", "SIM")</f>
        <v>N/A</v>
      </c>
      <c r="H18" s="22" t="str">
        <f>IF(INDEX('1'!AF:AF,MATCH(CheckList!$A18,'1'!$A:$A,0))=0, "N/A", "SIM")</f>
        <v>N/A</v>
      </c>
      <c r="I18" s="22" t="str">
        <f>IF(INDEX('1'!L:L,MATCH(CheckList!$A18,'1'!$A:$A,0))=0, "N/A", "SIM")</f>
        <v>N/A</v>
      </c>
      <c r="J18" s="22" t="str">
        <f>IF(LEN(INDEX('1'!L:L,MATCH(CheckList!$A18,'1'!$A:$A,0)))=11, "NAO", IF(LEN(INDEX('1'!L:L,MATCH(CheckList!$A18,'1'!$A:$A,0)))=14,"SIM","N/A"))</f>
        <v>N/A</v>
      </c>
      <c r="K18" s="22" t="str">
        <f>IF(INDEX('1'!BE:BE,MATCH(CheckList!$A18,'1'!$A:$A,0))=0, "N/A", "SIM")</f>
        <v>N/A</v>
      </c>
    </row>
    <row r="19" spans="1:11" x14ac:dyDescent="0.35">
      <c r="A19" s="22">
        <f>'Dados - Cliente'!A19</f>
        <v>0</v>
      </c>
      <c r="B19" s="22" t="e">
        <f>INDEX('Dados - Cliente'!H:H,MATCH(CheckList!A19,'Dados - Cliente'!A:A,0))</f>
        <v>#N/A</v>
      </c>
      <c r="C19" s="22" t="str">
        <f>IF(INDEX('1'!B:B,MATCH(CheckList!$A19,'1'!$A:$A,0))=0, "N/A", "SIM")</f>
        <v>N/A</v>
      </c>
      <c r="D19" s="22">
        <f>INDEX('1'!Q:Q,MATCH(CheckList!$A19,'1'!$A:$A,0))</f>
        <v>0</v>
      </c>
      <c r="E19" s="22" t="str">
        <f>IF(D19="SIM",IF(MATCH(A19,'2'!$A:$A,0)="","NÃO","SIM"),"NAO")</f>
        <v>NAO</v>
      </c>
      <c r="F19" s="22" t="str">
        <f>IF(INDEX('1'!R:R,MATCH(CheckList!$A19,'1'!$A:$A,0))=0, "N/A", "SIM")</f>
        <v>N/A</v>
      </c>
      <c r="G19" s="22" t="str">
        <f>IF(INDEX('1'!AC:AC,MATCH(CheckList!$A19,'1'!$A:$A,0))=0, "N/A", "SIM")</f>
        <v>N/A</v>
      </c>
      <c r="H19" s="22" t="str">
        <f>IF(INDEX('1'!AF:AF,MATCH(CheckList!$A19,'1'!$A:$A,0))=0, "N/A", "SIM")</f>
        <v>N/A</v>
      </c>
      <c r="I19" s="22" t="str">
        <f>IF(INDEX('1'!L:L,MATCH(CheckList!$A19,'1'!$A:$A,0))=0, "N/A", "SIM")</f>
        <v>N/A</v>
      </c>
      <c r="J19" s="22" t="str">
        <f>IF(LEN(INDEX('1'!L:L,MATCH(CheckList!$A19,'1'!$A:$A,0)))=11, "NAO", IF(LEN(INDEX('1'!L:L,MATCH(CheckList!$A19,'1'!$A:$A,0)))=14,"SIM","N/A"))</f>
        <v>N/A</v>
      </c>
      <c r="K19" s="22" t="str">
        <f>IF(INDEX('1'!BE:BE,MATCH(CheckList!$A19,'1'!$A:$A,0))=0, "N/A", "SIM")</f>
        <v>N/A</v>
      </c>
    </row>
    <row r="20" spans="1:11" x14ac:dyDescent="0.35">
      <c r="A20" s="22">
        <f>'Dados - Cliente'!A20</f>
        <v>0</v>
      </c>
      <c r="B20" s="22" t="e">
        <f>INDEX('Dados - Cliente'!H:H,MATCH(CheckList!A20,'Dados - Cliente'!A:A,0))</f>
        <v>#N/A</v>
      </c>
      <c r="C20" s="22" t="str">
        <f>IF(INDEX('1'!B:B,MATCH(CheckList!$A20,'1'!$A:$A,0))=0, "N/A", "SIM")</f>
        <v>N/A</v>
      </c>
      <c r="D20" s="22">
        <f>INDEX('1'!Q:Q,MATCH(CheckList!$A20,'1'!$A:$A,0))</f>
        <v>0</v>
      </c>
      <c r="E20" s="22" t="str">
        <f>IF(D20="SIM",IF(MATCH(A20,'2'!$A:$A,0)="","NÃO","SIM"),"NAO")</f>
        <v>NAO</v>
      </c>
      <c r="F20" s="22" t="str">
        <f>IF(INDEX('1'!R:R,MATCH(CheckList!$A20,'1'!$A:$A,0))=0, "N/A", "SIM")</f>
        <v>N/A</v>
      </c>
      <c r="G20" s="22" t="str">
        <f>IF(INDEX('1'!AC:AC,MATCH(CheckList!$A20,'1'!$A:$A,0))=0, "N/A", "SIM")</f>
        <v>N/A</v>
      </c>
      <c r="H20" s="22" t="str">
        <f>IF(INDEX('1'!AF:AF,MATCH(CheckList!$A20,'1'!$A:$A,0))=0, "N/A", "SIM")</f>
        <v>N/A</v>
      </c>
      <c r="I20" s="22" t="str">
        <f>IF(INDEX('1'!L:L,MATCH(CheckList!$A20,'1'!$A:$A,0))=0, "N/A", "SIM")</f>
        <v>N/A</v>
      </c>
      <c r="J20" s="22" t="str">
        <f>IF(LEN(INDEX('1'!L:L,MATCH(CheckList!$A20,'1'!$A:$A,0)))=11, "NAO", IF(LEN(INDEX('1'!L:L,MATCH(CheckList!$A20,'1'!$A:$A,0)))=14,"SIM","N/A"))</f>
        <v>N/A</v>
      </c>
      <c r="K20" s="22" t="str">
        <f>IF(INDEX('1'!BE:BE,MATCH(CheckList!$A20,'1'!$A:$A,0))=0, "N/A", "SIM")</f>
        <v>N/A</v>
      </c>
    </row>
    <row r="21" spans="1:11" x14ac:dyDescent="0.35">
      <c r="A21" s="22">
        <f>'Dados - Cliente'!A21</f>
        <v>0</v>
      </c>
      <c r="B21" s="22" t="e">
        <f>INDEX('Dados - Cliente'!H:H,MATCH(CheckList!A21,'Dados - Cliente'!A:A,0))</f>
        <v>#N/A</v>
      </c>
      <c r="C21" s="22" t="str">
        <f>IF(INDEX('1'!B:B,MATCH(CheckList!$A21,'1'!$A:$A,0))=0, "N/A", "SIM")</f>
        <v>N/A</v>
      </c>
      <c r="D21" s="22">
        <f>INDEX('1'!Q:Q,MATCH(CheckList!$A21,'1'!$A:$A,0))</f>
        <v>0</v>
      </c>
      <c r="E21" s="22" t="str">
        <f>IF(D21="SIM",IF(MATCH(A21,'2'!$A:$A,0)="","NÃO","SIM"),"NAO")</f>
        <v>NAO</v>
      </c>
      <c r="F21" s="22" t="str">
        <f>IF(INDEX('1'!R:R,MATCH(CheckList!$A21,'1'!$A:$A,0))=0, "N/A", "SIM")</f>
        <v>N/A</v>
      </c>
      <c r="G21" s="22" t="str">
        <f>IF(INDEX('1'!AC:AC,MATCH(CheckList!$A21,'1'!$A:$A,0))=0, "N/A", "SIM")</f>
        <v>N/A</v>
      </c>
      <c r="H21" s="22" t="str">
        <f>IF(INDEX('1'!AF:AF,MATCH(CheckList!$A21,'1'!$A:$A,0))=0, "N/A", "SIM")</f>
        <v>N/A</v>
      </c>
      <c r="I21" s="22" t="str">
        <f>IF(INDEX('1'!L:L,MATCH(CheckList!$A21,'1'!$A:$A,0))=0, "N/A", "SIM")</f>
        <v>N/A</v>
      </c>
      <c r="J21" s="22" t="str">
        <f>IF(LEN(INDEX('1'!L:L,MATCH(CheckList!$A21,'1'!$A:$A,0)))=11, "NAO", IF(LEN(INDEX('1'!L:L,MATCH(CheckList!$A21,'1'!$A:$A,0)))=14,"SIM","N/A"))</f>
        <v>N/A</v>
      </c>
      <c r="K21" s="22" t="str">
        <f>IF(INDEX('1'!BE:BE,MATCH(CheckList!$A21,'1'!$A:$A,0))=0, "N/A", "SIM")</f>
        <v>N/A</v>
      </c>
    </row>
    <row r="22" spans="1:11" x14ac:dyDescent="0.35">
      <c r="A22" s="22">
        <f>'Dados - Cliente'!A22</f>
        <v>0</v>
      </c>
      <c r="B22" s="22" t="e">
        <f>INDEX('Dados - Cliente'!H:H,MATCH(CheckList!A22,'Dados - Cliente'!A:A,0))</f>
        <v>#N/A</v>
      </c>
      <c r="C22" s="22" t="str">
        <f>IF(INDEX('1'!B:B,MATCH(CheckList!$A22,'1'!$A:$A,0))=0, "N/A", "SIM")</f>
        <v>N/A</v>
      </c>
      <c r="D22" s="22">
        <f>INDEX('1'!Q:Q,MATCH(CheckList!$A22,'1'!$A:$A,0))</f>
        <v>0</v>
      </c>
      <c r="E22" s="22" t="str">
        <f>IF(D22="SIM",IF(MATCH(A22,'2'!$A:$A,0)="","NÃO","SIM"),"NAO")</f>
        <v>NAO</v>
      </c>
      <c r="F22" s="22" t="str">
        <f>IF(INDEX('1'!R:R,MATCH(CheckList!$A22,'1'!$A:$A,0))=0, "N/A", "SIM")</f>
        <v>N/A</v>
      </c>
      <c r="G22" s="22" t="str">
        <f>IF(INDEX('1'!AC:AC,MATCH(CheckList!$A22,'1'!$A:$A,0))=0, "N/A", "SIM")</f>
        <v>N/A</v>
      </c>
      <c r="H22" s="22" t="str">
        <f>IF(INDEX('1'!AF:AF,MATCH(CheckList!$A22,'1'!$A:$A,0))=0, "N/A", "SIM")</f>
        <v>N/A</v>
      </c>
      <c r="I22" s="22" t="str">
        <f>IF(INDEX('1'!L:L,MATCH(CheckList!$A22,'1'!$A:$A,0))=0, "N/A", "SIM")</f>
        <v>N/A</v>
      </c>
      <c r="J22" s="22" t="str">
        <f>IF(LEN(INDEX('1'!L:L,MATCH(CheckList!$A22,'1'!$A:$A,0)))=11, "NAO", IF(LEN(INDEX('1'!L:L,MATCH(CheckList!$A22,'1'!$A:$A,0)))=14,"SIM","N/A"))</f>
        <v>N/A</v>
      </c>
      <c r="K22" s="22" t="str">
        <f>IF(INDEX('1'!BE:BE,MATCH(CheckList!$A22,'1'!$A:$A,0))=0, "N/A", "SIM")</f>
        <v>N/A</v>
      </c>
    </row>
    <row r="23" spans="1:11" x14ac:dyDescent="0.35">
      <c r="A23" s="22">
        <f>'Dados - Cliente'!A23</f>
        <v>0</v>
      </c>
      <c r="B23" s="22" t="e">
        <f>INDEX('Dados - Cliente'!H:H,MATCH(CheckList!A23,'Dados - Cliente'!A:A,0))</f>
        <v>#N/A</v>
      </c>
      <c r="C23" s="22" t="str">
        <f>IF(INDEX('1'!B:B,MATCH(CheckList!$A23,'1'!$A:$A,0))=0, "N/A", "SIM")</f>
        <v>N/A</v>
      </c>
      <c r="D23" s="22">
        <f>INDEX('1'!Q:Q,MATCH(CheckList!$A23,'1'!$A:$A,0))</f>
        <v>0</v>
      </c>
      <c r="E23" s="22" t="str">
        <f>IF(D23="SIM",IF(MATCH(A23,'2'!$A:$A,0)="","NÃO","SIM"),"NAO")</f>
        <v>NAO</v>
      </c>
      <c r="F23" s="22" t="str">
        <f>IF(INDEX('1'!R:R,MATCH(CheckList!$A23,'1'!$A:$A,0))=0, "N/A", "SIM")</f>
        <v>N/A</v>
      </c>
      <c r="G23" s="22" t="str">
        <f>IF(INDEX('1'!AC:AC,MATCH(CheckList!$A23,'1'!$A:$A,0))=0, "N/A", "SIM")</f>
        <v>N/A</v>
      </c>
      <c r="H23" s="22" t="str">
        <f>IF(INDEX('1'!AF:AF,MATCH(CheckList!$A23,'1'!$A:$A,0))=0, "N/A", "SIM")</f>
        <v>N/A</v>
      </c>
      <c r="I23" s="22" t="str">
        <f>IF(INDEX('1'!L:L,MATCH(CheckList!$A23,'1'!$A:$A,0))=0, "N/A", "SIM")</f>
        <v>N/A</v>
      </c>
      <c r="J23" s="22" t="str">
        <f>IF(LEN(INDEX('1'!L:L,MATCH(CheckList!$A23,'1'!$A:$A,0)))=11, "NAO", IF(LEN(INDEX('1'!L:L,MATCH(CheckList!$A23,'1'!$A:$A,0)))=14,"SIM","N/A"))</f>
        <v>N/A</v>
      </c>
      <c r="K23" s="22" t="str">
        <f>IF(INDEX('1'!BE:BE,MATCH(CheckList!$A23,'1'!$A:$A,0))=0, "N/A", "SIM")</f>
        <v>N/A</v>
      </c>
    </row>
    <row r="24" spans="1:11" x14ac:dyDescent="0.35">
      <c r="A24" s="22">
        <f>'Dados - Cliente'!A24</f>
        <v>0</v>
      </c>
      <c r="B24" s="22" t="e">
        <f>INDEX('Dados - Cliente'!H:H,MATCH(CheckList!A24,'Dados - Cliente'!A:A,0))</f>
        <v>#N/A</v>
      </c>
      <c r="C24" s="22" t="str">
        <f>IF(INDEX('1'!B:B,MATCH(CheckList!$A24,'1'!$A:$A,0))=0, "N/A", "SIM")</f>
        <v>N/A</v>
      </c>
      <c r="D24" s="22">
        <f>INDEX('1'!Q:Q,MATCH(CheckList!$A24,'1'!$A:$A,0))</f>
        <v>0</v>
      </c>
      <c r="E24" s="22" t="str">
        <f>IF(D24="SIM",IF(MATCH(A24,'2'!$A:$A,0)="","NÃO","SIM"),"NAO")</f>
        <v>NAO</v>
      </c>
      <c r="F24" s="22" t="str">
        <f>IF(INDEX('1'!R:R,MATCH(CheckList!$A24,'1'!$A:$A,0))=0, "N/A", "SIM")</f>
        <v>N/A</v>
      </c>
      <c r="G24" s="22" t="str">
        <f>IF(INDEX('1'!AC:AC,MATCH(CheckList!$A24,'1'!$A:$A,0))=0, "N/A", "SIM")</f>
        <v>N/A</v>
      </c>
      <c r="H24" s="22" t="str">
        <f>IF(INDEX('1'!AF:AF,MATCH(CheckList!$A24,'1'!$A:$A,0))=0, "N/A", "SIM")</f>
        <v>N/A</v>
      </c>
      <c r="I24" s="22" t="str">
        <f>IF(INDEX('1'!L:L,MATCH(CheckList!$A24,'1'!$A:$A,0))=0, "N/A", "SIM")</f>
        <v>N/A</v>
      </c>
      <c r="J24" s="22" t="str">
        <f>IF(LEN(INDEX('1'!L:L,MATCH(CheckList!$A24,'1'!$A:$A,0)))=11, "NAO", IF(LEN(INDEX('1'!L:L,MATCH(CheckList!$A24,'1'!$A:$A,0)))=14,"SIM","N/A"))</f>
        <v>N/A</v>
      </c>
      <c r="K24" s="22" t="str">
        <f>IF(INDEX('1'!BE:BE,MATCH(CheckList!$A24,'1'!$A:$A,0))=0, "N/A", "SIM")</f>
        <v>N/A</v>
      </c>
    </row>
    <row r="25" spans="1:11" x14ac:dyDescent="0.35">
      <c r="A25" s="22">
        <f>'Dados - Cliente'!A25</f>
        <v>0</v>
      </c>
      <c r="B25" s="22" t="e">
        <f>INDEX('Dados - Cliente'!H:H,MATCH(CheckList!A25,'Dados - Cliente'!A:A,0))</f>
        <v>#N/A</v>
      </c>
      <c r="C25" s="22" t="str">
        <f>IF(INDEX('1'!B:B,MATCH(CheckList!$A25,'1'!$A:$A,0))=0, "N/A", "SIM")</f>
        <v>N/A</v>
      </c>
      <c r="D25" s="22">
        <f>INDEX('1'!Q:Q,MATCH(CheckList!$A25,'1'!$A:$A,0))</f>
        <v>0</v>
      </c>
      <c r="E25" s="22" t="str">
        <f>IF(D25="SIM",IF(MATCH(A25,'2'!$A:$A,0)="","NÃO","SIM"),"NAO")</f>
        <v>NAO</v>
      </c>
      <c r="F25" s="22" t="str">
        <f>IF(INDEX('1'!R:R,MATCH(CheckList!$A25,'1'!$A:$A,0))=0, "N/A", "SIM")</f>
        <v>N/A</v>
      </c>
      <c r="G25" s="22" t="str">
        <f>IF(INDEX('1'!AC:AC,MATCH(CheckList!$A25,'1'!$A:$A,0))=0, "N/A", "SIM")</f>
        <v>N/A</v>
      </c>
      <c r="H25" s="22" t="str">
        <f>IF(INDEX('1'!AF:AF,MATCH(CheckList!$A25,'1'!$A:$A,0))=0, "N/A", "SIM")</f>
        <v>N/A</v>
      </c>
      <c r="I25" s="22" t="str">
        <f>IF(INDEX('1'!L:L,MATCH(CheckList!$A25,'1'!$A:$A,0))=0, "N/A", "SIM")</f>
        <v>N/A</v>
      </c>
      <c r="J25" s="22" t="str">
        <f>IF(LEN(INDEX('1'!L:L,MATCH(CheckList!$A25,'1'!$A:$A,0)))=11, "NAO", IF(LEN(INDEX('1'!L:L,MATCH(CheckList!$A25,'1'!$A:$A,0)))=14,"SIM","N/A"))</f>
        <v>N/A</v>
      </c>
      <c r="K25" s="22" t="str">
        <f>IF(INDEX('1'!BE:BE,MATCH(CheckList!$A25,'1'!$A:$A,0))=0, "N/A", "SIM")</f>
        <v>N/A</v>
      </c>
    </row>
    <row r="26" spans="1:11" x14ac:dyDescent="0.35">
      <c r="A26" s="22">
        <f>'Dados - Cliente'!A26</f>
        <v>0</v>
      </c>
      <c r="B26" s="22" t="e">
        <f>INDEX('Dados - Cliente'!H:H,MATCH(CheckList!A26,'Dados - Cliente'!A:A,0))</f>
        <v>#N/A</v>
      </c>
      <c r="C26" s="22" t="str">
        <f>IF(INDEX('1'!B:B,MATCH(CheckList!$A26,'1'!$A:$A,0))=0, "N/A", "SIM")</f>
        <v>N/A</v>
      </c>
      <c r="D26" s="22">
        <f>INDEX('1'!Q:Q,MATCH(CheckList!$A26,'1'!$A:$A,0))</f>
        <v>0</v>
      </c>
      <c r="E26" s="22" t="str">
        <f>IF(D26="SIM",IF(MATCH(A26,'2'!$A:$A,0)="","NÃO","SIM"),"NAO")</f>
        <v>NAO</v>
      </c>
      <c r="F26" s="22" t="str">
        <f>IF(INDEX('1'!R:R,MATCH(CheckList!$A26,'1'!$A:$A,0))=0, "N/A", "SIM")</f>
        <v>N/A</v>
      </c>
      <c r="G26" s="22" t="str">
        <f>IF(INDEX('1'!AC:AC,MATCH(CheckList!$A26,'1'!$A:$A,0))=0, "N/A", "SIM")</f>
        <v>N/A</v>
      </c>
      <c r="H26" s="22" t="str">
        <f>IF(INDEX('1'!AF:AF,MATCH(CheckList!$A26,'1'!$A:$A,0))=0, "N/A", "SIM")</f>
        <v>N/A</v>
      </c>
      <c r="I26" s="22" t="str">
        <f>IF(INDEX('1'!L:L,MATCH(CheckList!$A26,'1'!$A:$A,0))=0, "N/A", "SIM")</f>
        <v>N/A</v>
      </c>
      <c r="J26" s="22" t="str">
        <f>IF(LEN(INDEX('1'!L:L,MATCH(CheckList!$A26,'1'!$A:$A,0)))=11, "NAO", IF(LEN(INDEX('1'!L:L,MATCH(CheckList!$A26,'1'!$A:$A,0)))=14,"SIM","N/A"))</f>
        <v>N/A</v>
      </c>
      <c r="K26" s="22" t="str">
        <f>IF(INDEX('1'!BE:BE,MATCH(CheckList!$A26,'1'!$A:$A,0))=0, "N/A", "SIM")</f>
        <v>N/A</v>
      </c>
    </row>
    <row r="27" spans="1:11" x14ac:dyDescent="0.35">
      <c r="A27" s="22">
        <f>'Dados - Cliente'!A27</f>
        <v>0</v>
      </c>
      <c r="B27" s="22" t="e">
        <f>INDEX('Dados - Cliente'!H:H,MATCH(CheckList!A27,'Dados - Cliente'!A:A,0))</f>
        <v>#N/A</v>
      </c>
      <c r="C27" s="22" t="str">
        <f>IF(INDEX('1'!B:B,MATCH(CheckList!$A27,'1'!$A:$A,0))=0, "N/A", "SIM")</f>
        <v>N/A</v>
      </c>
      <c r="D27" s="22">
        <f>INDEX('1'!Q:Q,MATCH(CheckList!$A27,'1'!$A:$A,0))</f>
        <v>0</v>
      </c>
      <c r="E27" s="22" t="str">
        <f>IF(D27="SIM",IF(MATCH(A27,'2'!$A:$A,0)="","NÃO","SIM"),"NAO")</f>
        <v>NAO</v>
      </c>
      <c r="F27" s="22" t="str">
        <f>IF(INDEX('1'!R:R,MATCH(CheckList!$A27,'1'!$A:$A,0))=0, "N/A", "SIM")</f>
        <v>N/A</v>
      </c>
      <c r="G27" s="22" t="str">
        <f>IF(INDEX('1'!AC:AC,MATCH(CheckList!$A27,'1'!$A:$A,0))=0, "N/A", "SIM")</f>
        <v>N/A</v>
      </c>
      <c r="H27" s="22" t="str">
        <f>IF(INDEX('1'!AF:AF,MATCH(CheckList!$A27,'1'!$A:$A,0))=0, "N/A", "SIM")</f>
        <v>N/A</v>
      </c>
      <c r="I27" s="22" t="str">
        <f>IF(INDEX('1'!L:L,MATCH(CheckList!$A27,'1'!$A:$A,0))=0, "N/A", "SIM")</f>
        <v>N/A</v>
      </c>
      <c r="J27" s="22" t="str">
        <f>IF(LEN(INDEX('1'!L:L,MATCH(CheckList!$A27,'1'!$A:$A,0)))=11, "NAO", IF(LEN(INDEX('1'!L:L,MATCH(CheckList!$A27,'1'!$A:$A,0)))=14,"SIM","N/A"))</f>
        <v>N/A</v>
      </c>
      <c r="K27" s="22" t="str">
        <f>IF(INDEX('1'!BE:BE,MATCH(CheckList!$A27,'1'!$A:$A,0))=0, "N/A", "SIM")</f>
        <v>N/A</v>
      </c>
    </row>
    <row r="28" spans="1:11" x14ac:dyDescent="0.35">
      <c r="A28" s="22">
        <f>'Dados - Cliente'!A28</f>
        <v>0</v>
      </c>
      <c r="B28" s="22" t="e">
        <f>INDEX('Dados - Cliente'!H:H,MATCH(CheckList!A28,'Dados - Cliente'!A:A,0))</f>
        <v>#N/A</v>
      </c>
      <c r="C28" s="22" t="str">
        <f>IF(INDEX('1'!B:B,MATCH(CheckList!$A28,'1'!$A:$A,0))=0, "N/A", "SIM")</f>
        <v>N/A</v>
      </c>
      <c r="D28" s="22">
        <f>INDEX('1'!Q:Q,MATCH(CheckList!$A28,'1'!$A:$A,0))</f>
        <v>0</v>
      </c>
      <c r="E28" s="22" t="str">
        <f>IF(D28="SIM",IF(MATCH(A28,'2'!$A:$A,0)="","NÃO","SIM"),"NAO")</f>
        <v>NAO</v>
      </c>
      <c r="F28" s="22" t="str">
        <f>IF(INDEX('1'!R:R,MATCH(CheckList!$A28,'1'!$A:$A,0))=0, "N/A", "SIM")</f>
        <v>N/A</v>
      </c>
      <c r="G28" s="22" t="str">
        <f>IF(INDEX('1'!AC:AC,MATCH(CheckList!$A28,'1'!$A:$A,0))=0, "N/A", "SIM")</f>
        <v>N/A</v>
      </c>
      <c r="H28" s="22" t="str">
        <f>IF(INDEX('1'!AF:AF,MATCH(CheckList!$A28,'1'!$A:$A,0))=0, "N/A", "SIM")</f>
        <v>N/A</v>
      </c>
      <c r="I28" s="22" t="str">
        <f>IF(INDEX('1'!L:L,MATCH(CheckList!$A28,'1'!$A:$A,0))=0, "N/A", "SIM")</f>
        <v>N/A</v>
      </c>
      <c r="J28" s="22" t="str">
        <f>IF(LEN(INDEX('1'!L:L,MATCH(CheckList!$A28,'1'!$A:$A,0)))=11, "NAO", IF(LEN(INDEX('1'!L:L,MATCH(CheckList!$A28,'1'!$A:$A,0)))=14,"SIM","N/A"))</f>
        <v>N/A</v>
      </c>
      <c r="K28" s="22" t="str">
        <f>IF(INDEX('1'!BE:BE,MATCH(CheckList!$A28,'1'!$A:$A,0))=0, "N/A", "SIM")</f>
        <v>N/A</v>
      </c>
    </row>
    <row r="29" spans="1:11" x14ac:dyDescent="0.35">
      <c r="A29" s="22">
        <f>'Dados - Cliente'!A29</f>
        <v>0</v>
      </c>
      <c r="B29" s="22" t="e">
        <f>INDEX('Dados - Cliente'!H:H,MATCH(CheckList!A29,'Dados - Cliente'!A:A,0))</f>
        <v>#N/A</v>
      </c>
      <c r="C29" s="22" t="str">
        <f>IF(INDEX('1'!B:B,MATCH(CheckList!$A29,'1'!$A:$A,0))=0, "N/A", "SIM")</f>
        <v>N/A</v>
      </c>
      <c r="D29" s="22">
        <f>INDEX('1'!Q:Q,MATCH(CheckList!$A29,'1'!$A:$A,0))</f>
        <v>0</v>
      </c>
      <c r="E29" s="22" t="str">
        <f>IF(D29="SIM",IF(MATCH(A29,'2'!$A:$A,0)="","NÃO","SIM"),"NAO")</f>
        <v>NAO</v>
      </c>
      <c r="F29" s="22" t="str">
        <f>IF(INDEX('1'!R:R,MATCH(CheckList!$A29,'1'!$A:$A,0))=0, "N/A", "SIM")</f>
        <v>N/A</v>
      </c>
      <c r="G29" s="22" t="str">
        <f>IF(INDEX('1'!AC:AC,MATCH(CheckList!$A29,'1'!$A:$A,0))=0, "N/A", "SIM")</f>
        <v>N/A</v>
      </c>
      <c r="H29" s="22" t="str">
        <f>IF(INDEX('1'!AF:AF,MATCH(CheckList!$A29,'1'!$A:$A,0))=0, "N/A", "SIM")</f>
        <v>N/A</v>
      </c>
      <c r="I29" s="22" t="str">
        <f>IF(INDEX('1'!L:L,MATCH(CheckList!$A29,'1'!$A:$A,0))=0, "N/A", "SIM")</f>
        <v>N/A</v>
      </c>
      <c r="J29" s="22" t="str">
        <f>IF(LEN(INDEX('1'!L:L,MATCH(CheckList!$A29,'1'!$A:$A,0)))=11, "NAO", IF(LEN(INDEX('1'!L:L,MATCH(CheckList!$A29,'1'!$A:$A,0)))=14,"SIM","N/A"))</f>
        <v>N/A</v>
      </c>
      <c r="K29" s="22" t="str">
        <f>IF(INDEX('1'!BE:BE,MATCH(CheckList!$A29,'1'!$A:$A,0))=0, "N/A", "SIM")</f>
        <v>N/A</v>
      </c>
    </row>
    <row r="30" spans="1:11" x14ac:dyDescent="0.35">
      <c r="A30" s="22">
        <f>'Dados - Cliente'!A30</f>
        <v>0</v>
      </c>
      <c r="B30" s="22" t="e">
        <f>INDEX('Dados - Cliente'!H:H,MATCH(CheckList!A30,'Dados - Cliente'!A:A,0))</f>
        <v>#N/A</v>
      </c>
      <c r="C30" s="22" t="str">
        <f>IF(INDEX('1'!B:B,MATCH(CheckList!$A30,'1'!$A:$A,0))=0, "N/A", "SIM")</f>
        <v>N/A</v>
      </c>
      <c r="D30" s="22">
        <f>INDEX('1'!Q:Q,MATCH(CheckList!$A30,'1'!$A:$A,0))</f>
        <v>0</v>
      </c>
      <c r="E30" s="22" t="str">
        <f>IF(D30="SIM",IF(MATCH(A30,'2'!$A:$A,0)="","NÃO","SIM"),"NAO")</f>
        <v>NAO</v>
      </c>
      <c r="F30" s="22" t="str">
        <f>IF(INDEX('1'!R:R,MATCH(CheckList!$A30,'1'!$A:$A,0))=0, "N/A", "SIM")</f>
        <v>N/A</v>
      </c>
      <c r="G30" s="22" t="str">
        <f>IF(INDEX('1'!AC:AC,MATCH(CheckList!$A30,'1'!$A:$A,0))=0, "N/A", "SIM")</f>
        <v>N/A</v>
      </c>
      <c r="H30" s="22" t="str">
        <f>IF(INDEX('1'!AF:AF,MATCH(CheckList!$A30,'1'!$A:$A,0))=0, "N/A", "SIM")</f>
        <v>N/A</v>
      </c>
      <c r="I30" s="22" t="str">
        <f>IF(INDEX('1'!L:L,MATCH(CheckList!$A30,'1'!$A:$A,0))=0, "N/A", "SIM")</f>
        <v>N/A</v>
      </c>
      <c r="J30" s="22" t="str">
        <f>IF(LEN(INDEX('1'!L:L,MATCH(CheckList!$A30,'1'!$A:$A,0)))=11, "NAO", IF(LEN(INDEX('1'!L:L,MATCH(CheckList!$A30,'1'!$A:$A,0)))=14,"SIM","N/A"))</f>
        <v>N/A</v>
      </c>
      <c r="K30" s="22" t="str">
        <f>IF(INDEX('1'!BE:BE,MATCH(CheckList!$A30,'1'!$A:$A,0))=0, "N/A", "SIM")</f>
        <v>N/A</v>
      </c>
    </row>
    <row r="31" spans="1:11" x14ac:dyDescent="0.35">
      <c r="A31" s="22">
        <f>'Dados - Cliente'!A31</f>
        <v>0</v>
      </c>
      <c r="B31" s="22" t="e">
        <f>INDEX('Dados - Cliente'!H:H,MATCH(CheckList!A31,'Dados - Cliente'!A:A,0))</f>
        <v>#N/A</v>
      </c>
      <c r="C31" s="22" t="str">
        <f>IF(INDEX('1'!B:B,MATCH(CheckList!$A31,'1'!$A:$A,0))=0, "N/A", "SIM")</f>
        <v>N/A</v>
      </c>
      <c r="D31" s="22">
        <f>INDEX('1'!Q:Q,MATCH(CheckList!$A31,'1'!$A:$A,0))</f>
        <v>0</v>
      </c>
      <c r="E31" s="22" t="str">
        <f>IF(D31="SIM",IF(MATCH(A31,'2'!$A:$A,0)="","NÃO","SIM"),"NAO")</f>
        <v>NAO</v>
      </c>
      <c r="F31" s="22" t="str">
        <f>IF(INDEX('1'!R:R,MATCH(CheckList!$A31,'1'!$A:$A,0))=0, "N/A", "SIM")</f>
        <v>N/A</v>
      </c>
      <c r="G31" s="22" t="str">
        <f>IF(INDEX('1'!AC:AC,MATCH(CheckList!$A31,'1'!$A:$A,0))=0, "N/A", "SIM")</f>
        <v>N/A</v>
      </c>
      <c r="H31" s="22" t="str">
        <f>IF(INDEX('1'!AF:AF,MATCH(CheckList!$A31,'1'!$A:$A,0))=0, "N/A", "SIM")</f>
        <v>N/A</v>
      </c>
      <c r="I31" s="22" t="str">
        <f>IF(INDEX('1'!L:L,MATCH(CheckList!$A31,'1'!$A:$A,0))=0, "N/A", "SIM")</f>
        <v>N/A</v>
      </c>
      <c r="J31" s="22" t="str">
        <f>IF(LEN(INDEX('1'!L:L,MATCH(CheckList!$A31,'1'!$A:$A,0)))=11, "NAO", IF(LEN(INDEX('1'!L:L,MATCH(CheckList!$A31,'1'!$A:$A,0)))=14,"SIM","N/A"))</f>
        <v>N/A</v>
      </c>
      <c r="K31" s="22" t="str">
        <f>IF(INDEX('1'!BE:BE,MATCH(CheckList!$A31,'1'!$A:$A,0))=0, "N/A", "SIM")</f>
        <v>N/A</v>
      </c>
    </row>
    <row r="32" spans="1:11" x14ac:dyDescent="0.35">
      <c r="A32" s="22">
        <f>'Dados - Cliente'!A32</f>
        <v>0</v>
      </c>
      <c r="B32" s="22" t="e">
        <f>INDEX('Dados - Cliente'!H:H,MATCH(CheckList!A32,'Dados - Cliente'!A:A,0))</f>
        <v>#N/A</v>
      </c>
      <c r="C32" s="22" t="str">
        <f>IF(INDEX('1'!B:B,MATCH(CheckList!$A32,'1'!$A:$A,0))=0, "N/A", "SIM")</f>
        <v>N/A</v>
      </c>
      <c r="D32" s="22">
        <f>INDEX('1'!Q:Q,MATCH(CheckList!$A32,'1'!$A:$A,0))</f>
        <v>0</v>
      </c>
      <c r="E32" s="22" t="str">
        <f>IF(D32="SIM",IF(MATCH(A32,'2'!$A:$A,0)="","NÃO","SIM"),"NAO")</f>
        <v>NAO</v>
      </c>
      <c r="F32" s="22" t="str">
        <f>IF(INDEX('1'!R:R,MATCH(CheckList!$A32,'1'!$A:$A,0))=0, "N/A", "SIM")</f>
        <v>N/A</v>
      </c>
      <c r="G32" s="22" t="str">
        <f>IF(INDEX('1'!AC:AC,MATCH(CheckList!$A32,'1'!$A:$A,0))=0, "N/A", "SIM")</f>
        <v>N/A</v>
      </c>
      <c r="H32" s="22" t="str">
        <f>IF(INDEX('1'!AF:AF,MATCH(CheckList!$A32,'1'!$A:$A,0))=0, "N/A", "SIM")</f>
        <v>N/A</v>
      </c>
      <c r="I32" s="22" t="str">
        <f>IF(INDEX('1'!L:L,MATCH(CheckList!$A32,'1'!$A:$A,0))=0, "N/A", "SIM")</f>
        <v>N/A</v>
      </c>
      <c r="J32" s="22" t="str">
        <f>IF(LEN(INDEX('1'!L:L,MATCH(CheckList!$A32,'1'!$A:$A,0)))=11, "NAO", IF(LEN(INDEX('1'!L:L,MATCH(CheckList!$A32,'1'!$A:$A,0)))=14,"SIM","N/A"))</f>
        <v>N/A</v>
      </c>
      <c r="K32" s="22" t="str">
        <f>IF(INDEX('1'!BE:BE,MATCH(CheckList!$A32,'1'!$A:$A,0))=0, "N/A", "SIM")</f>
        <v>N/A</v>
      </c>
    </row>
    <row r="33" spans="1:11" x14ac:dyDescent="0.35">
      <c r="A33" s="22">
        <f>'Dados - Cliente'!A33</f>
        <v>0</v>
      </c>
      <c r="B33" s="22" t="e">
        <f>INDEX('Dados - Cliente'!H:H,MATCH(CheckList!A33,'Dados - Cliente'!A:A,0))</f>
        <v>#N/A</v>
      </c>
      <c r="C33" s="22" t="str">
        <f>IF(INDEX('1'!B:B,MATCH(CheckList!$A33,'1'!$A:$A,0))=0, "N/A", "SIM")</f>
        <v>N/A</v>
      </c>
      <c r="D33" s="22">
        <f>INDEX('1'!Q:Q,MATCH(CheckList!$A33,'1'!$A:$A,0))</f>
        <v>0</v>
      </c>
      <c r="E33" s="22" t="str">
        <f>IF(D33="SIM",IF(MATCH(A33,'2'!$A:$A,0)="","NÃO","SIM"),"NAO")</f>
        <v>NAO</v>
      </c>
      <c r="F33" s="22" t="str">
        <f>IF(INDEX('1'!R:R,MATCH(CheckList!$A33,'1'!$A:$A,0))=0, "N/A", "SIM")</f>
        <v>N/A</v>
      </c>
      <c r="G33" s="22" t="str">
        <f>IF(INDEX('1'!AC:AC,MATCH(CheckList!$A33,'1'!$A:$A,0))=0, "N/A", "SIM")</f>
        <v>N/A</v>
      </c>
      <c r="H33" s="22" t="str">
        <f>IF(INDEX('1'!AF:AF,MATCH(CheckList!$A33,'1'!$A:$A,0))=0, "N/A", "SIM")</f>
        <v>N/A</v>
      </c>
      <c r="I33" s="22" t="str">
        <f>IF(INDEX('1'!L:L,MATCH(CheckList!$A33,'1'!$A:$A,0))=0, "N/A", "SIM")</f>
        <v>N/A</v>
      </c>
      <c r="J33" s="22" t="str">
        <f>IF(LEN(INDEX('1'!L:L,MATCH(CheckList!$A33,'1'!$A:$A,0)))=11, "NAO", IF(LEN(INDEX('1'!L:L,MATCH(CheckList!$A33,'1'!$A:$A,0)))=14,"SIM","N/A"))</f>
        <v>N/A</v>
      </c>
      <c r="K33" s="22" t="str">
        <f>IF(INDEX('1'!BE:BE,MATCH(CheckList!$A33,'1'!$A:$A,0))=0, "N/A", "SIM")</f>
        <v>N/A</v>
      </c>
    </row>
    <row r="34" spans="1:11" x14ac:dyDescent="0.35">
      <c r="A34" s="22">
        <f>'Dados - Cliente'!A34</f>
        <v>0</v>
      </c>
      <c r="B34" s="22" t="e">
        <f>INDEX('Dados - Cliente'!H:H,MATCH(CheckList!A34,'Dados - Cliente'!A:A,0))</f>
        <v>#N/A</v>
      </c>
      <c r="C34" s="22" t="str">
        <f>IF(INDEX('1'!B:B,MATCH(CheckList!$A34,'1'!$A:$A,0))=0, "N/A", "SIM")</f>
        <v>N/A</v>
      </c>
      <c r="D34" s="22">
        <f>INDEX('1'!Q:Q,MATCH(CheckList!$A34,'1'!$A:$A,0))</f>
        <v>0</v>
      </c>
      <c r="E34" s="22" t="str">
        <f>IF(D34="SIM",IF(MATCH(A34,'2'!$A:$A,0)="","NÃO","SIM"),"NAO")</f>
        <v>NAO</v>
      </c>
      <c r="F34" s="22" t="str">
        <f>IF(INDEX('1'!R:R,MATCH(CheckList!$A34,'1'!$A:$A,0))=0, "N/A", "SIM")</f>
        <v>N/A</v>
      </c>
      <c r="G34" s="22" t="str">
        <f>IF(INDEX('1'!AC:AC,MATCH(CheckList!$A34,'1'!$A:$A,0))=0, "N/A", "SIM")</f>
        <v>N/A</v>
      </c>
      <c r="H34" s="22" t="str">
        <f>IF(INDEX('1'!AF:AF,MATCH(CheckList!$A34,'1'!$A:$A,0))=0, "N/A", "SIM")</f>
        <v>N/A</v>
      </c>
      <c r="I34" s="22" t="str">
        <f>IF(INDEX('1'!L:L,MATCH(CheckList!$A34,'1'!$A:$A,0))=0, "N/A", "SIM")</f>
        <v>N/A</v>
      </c>
      <c r="J34" s="22" t="str">
        <f>IF(LEN(INDEX('1'!L:L,MATCH(CheckList!$A34,'1'!$A:$A,0)))=11, "NAO", IF(LEN(INDEX('1'!L:L,MATCH(CheckList!$A34,'1'!$A:$A,0)))=14,"SIM","N/A"))</f>
        <v>N/A</v>
      </c>
      <c r="K34" s="22" t="str">
        <f>IF(INDEX('1'!BE:BE,MATCH(CheckList!$A34,'1'!$A:$A,0))=0, "N/A", "SIM")</f>
        <v>N/A</v>
      </c>
    </row>
    <row r="35" spans="1:11" x14ac:dyDescent="0.35">
      <c r="A35" s="22">
        <f>'Dados - Cliente'!A35</f>
        <v>0</v>
      </c>
      <c r="B35" s="22" t="e">
        <f>INDEX('Dados - Cliente'!H:H,MATCH(CheckList!A35,'Dados - Cliente'!A:A,0))</f>
        <v>#N/A</v>
      </c>
      <c r="C35" s="22" t="str">
        <f>IF(INDEX('1'!B:B,MATCH(CheckList!$A35,'1'!$A:$A,0))=0, "N/A", "SIM")</f>
        <v>N/A</v>
      </c>
      <c r="D35" s="22">
        <f>INDEX('1'!Q:Q,MATCH(CheckList!$A35,'1'!$A:$A,0))</f>
        <v>0</v>
      </c>
      <c r="E35" s="22" t="str">
        <f>IF(D35="SIM",IF(MATCH(A35,'2'!$A:$A,0)="","NÃO","SIM"),"NAO")</f>
        <v>NAO</v>
      </c>
      <c r="F35" s="22" t="str">
        <f>IF(INDEX('1'!R:R,MATCH(CheckList!$A35,'1'!$A:$A,0))=0, "N/A", "SIM")</f>
        <v>N/A</v>
      </c>
      <c r="G35" s="22" t="str">
        <f>IF(INDEX('1'!AC:AC,MATCH(CheckList!$A35,'1'!$A:$A,0))=0, "N/A", "SIM")</f>
        <v>N/A</v>
      </c>
      <c r="H35" s="22" t="str">
        <f>IF(INDEX('1'!AF:AF,MATCH(CheckList!$A35,'1'!$A:$A,0))=0, "N/A", "SIM")</f>
        <v>N/A</v>
      </c>
      <c r="I35" s="22" t="str">
        <f>IF(INDEX('1'!L:L,MATCH(CheckList!$A35,'1'!$A:$A,0))=0, "N/A", "SIM")</f>
        <v>N/A</v>
      </c>
      <c r="J35" s="22" t="str">
        <f>IF(LEN(INDEX('1'!L:L,MATCH(CheckList!$A35,'1'!$A:$A,0)))=11, "NAO", IF(LEN(INDEX('1'!L:L,MATCH(CheckList!$A35,'1'!$A:$A,0)))=14,"SIM","N/A"))</f>
        <v>N/A</v>
      </c>
      <c r="K35" s="22" t="str">
        <f>IF(INDEX('1'!BE:BE,MATCH(CheckList!$A35,'1'!$A:$A,0))=0, "N/A", "SIM")</f>
        <v>N/A</v>
      </c>
    </row>
    <row r="36" spans="1:11" x14ac:dyDescent="0.35">
      <c r="A36" s="22">
        <f>'Dados - Cliente'!A36</f>
        <v>0</v>
      </c>
      <c r="B36" s="22" t="e">
        <f>INDEX('Dados - Cliente'!H:H,MATCH(CheckList!A36,'Dados - Cliente'!A:A,0))</f>
        <v>#N/A</v>
      </c>
      <c r="C36" s="22" t="str">
        <f>IF(INDEX('1'!B:B,MATCH(CheckList!$A36,'1'!$A:$A,0))=0, "N/A", "SIM")</f>
        <v>N/A</v>
      </c>
      <c r="D36" s="22">
        <f>INDEX('1'!Q:Q,MATCH(CheckList!$A36,'1'!$A:$A,0))</f>
        <v>0</v>
      </c>
      <c r="E36" s="22" t="str">
        <f>IF(D36="SIM",IF(MATCH(A36,'2'!$A:$A,0)="","NÃO","SIM"),"NAO")</f>
        <v>NAO</v>
      </c>
      <c r="F36" s="22" t="str">
        <f>IF(INDEX('1'!R:R,MATCH(CheckList!$A36,'1'!$A:$A,0))=0, "N/A", "SIM")</f>
        <v>N/A</v>
      </c>
      <c r="G36" s="22" t="str">
        <f>IF(INDEX('1'!AC:AC,MATCH(CheckList!$A36,'1'!$A:$A,0))=0, "N/A", "SIM")</f>
        <v>N/A</v>
      </c>
      <c r="H36" s="22" t="str">
        <f>IF(INDEX('1'!AF:AF,MATCH(CheckList!$A36,'1'!$A:$A,0))=0, "N/A", "SIM")</f>
        <v>N/A</v>
      </c>
      <c r="I36" s="22" t="str">
        <f>IF(INDEX('1'!L:L,MATCH(CheckList!$A36,'1'!$A:$A,0))=0, "N/A", "SIM")</f>
        <v>N/A</v>
      </c>
      <c r="J36" s="22" t="str">
        <f>IF(LEN(INDEX('1'!L:L,MATCH(CheckList!$A36,'1'!$A:$A,0)))=11, "NAO", IF(LEN(INDEX('1'!L:L,MATCH(CheckList!$A36,'1'!$A:$A,0)))=14,"SIM","N/A"))</f>
        <v>N/A</v>
      </c>
      <c r="K36" s="22" t="str">
        <f>IF(INDEX('1'!BE:BE,MATCH(CheckList!$A36,'1'!$A:$A,0))=0, "N/A", "SIM")</f>
        <v>N/A</v>
      </c>
    </row>
    <row r="37" spans="1:11" x14ac:dyDescent="0.35">
      <c r="A37" s="22">
        <f>'Dados - Cliente'!A37</f>
        <v>0</v>
      </c>
      <c r="B37" s="22" t="e">
        <f>INDEX('Dados - Cliente'!H:H,MATCH(CheckList!A37,'Dados - Cliente'!A:A,0))</f>
        <v>#N/A</v>
      </c>
      <c r="C37" s="22" t="str">
        <f>IF(INDEX('1'!B:B,MATCH(CheckList!$A37,'1'!$A:$A,0))=0, "N/A", "SIM")</f>
        <v>N/A</v>
      </c>
      <c r="D37" s="22">
        <f>INDEX('1'!Q:Q,MATCH(CheckList!$A37,'1'!$A:$A,0))</f>
        <v>0</v>
      </c>
      <c r="E37" s="22" t="str">
        <f>IF(D37="SIM",IF(MATCH(A37,'2'!$A:$A,0)="","NÃO","SIM"),"NAO")</f>
        <v>NAO</v>
      </c>
      <c r="F37" s="22" t="str">
        <f>IF(INDEX('1'!R:R,MATCH(CheckList!$A37,'1'!$A:$A,0))=0, "N/A", "SIM")</f>
        <v>N/A</v>
      </c>
      <c r="G37" s="22" t="str">
        <f>IF(INDEX('1'!AC:AC,MATCH(CheckList!$A37,'1'!$A:$A,0))=0, "N/A", "SIM")</f>
        <v>N/A</v>
      </c>
      <c r="H37" s="22" t="str">
        <f>IF(INDEX('1'!AF:AF,MATCH(CheckList!$A37,'1'!$A:$A,0))=0, "N/A", "SIM")</f>
        <v>N/A</v>
      </c>
      <c r="I37" s="22" t="str">
        <f>IF(INDEX('1'!L:L,MATCH(CheckList!$A37,'1'!$A:$A,0))=0, "N/A", "SIM")</f>
        <v>N/A</v>
      </c>
      <c r="J37" s="22" t="str">
        <f>IF(LEN(INDEX('1'!L:L,MATCH(CheckList!$A37,'1'!$A:$A,0)))=11, "NAO", IF(LEN(INDEX('1'!L:L,MATCH(CheckList!$A37,'1'!$A:$A,0)))=14,"SIM","N/A"))</f>
        <v>N/A</v>
      </c>
      <c r="K37" s="22" t="str">
        <f>IF(INDEX('1'!BE:BE,MATCH(CheckList!$A37,'1'!$A:$A,0))=0, "N/A", "SIM")</f>
        <v>N/A</v>
      </c>
    </row>
    <row r="38" spans="1:11" x14ac:dyDescent="0.35">
      <c r="A38" s="22">
        <f>'Dados - Cliente'!A38</f>
        <v>0</v>
      </c>
      <c r="B38" s="22" t="e">
        <f>INDEX('Dados - Cliente'!H:H,MATCH(CheckList!A38,'Dados - Cliente'!A:A,0))</f>
        <v>#N/A</v>
      </c>
      <c r="C38" s="22" t="str">
        <f>IF(INDEX('1'!B:B,MATCH(CheckList!$A38,'1'!$A:$A,0))=0, "N/A", "SIM")</f>
        <v>N/A</v>
      </c>
      <c r="D38" s="22">
        <f>INDEX('1'!Q:Q,MATCH(CheckList!$A38,'1'!$A:$A,0))</f>
        <v>0</v>
      </c>
      <c r="E38" s="22" t="str">
        <f>IF(D38="SIM",IF(MATCH(A38,'2'!$A:$A,0)="","NÃO","SIM"),"NAO")</f>
        <v>NAO</v>
      </c>
      <c r="F38" s="22" t="str">
        <f>IF(INDEX('1'!R:R,MATCH(CheckList!$A38,'1'!$A:$A,0))=0, "N/A", "SIM")</f>
        <v>N/A</v>
      </c>
      <c r="G38" s="22" t="str">
        <f>IF(INDEX('1'!AC:AC,MATCH(CheckList!$A38,'1'!$A:$A,0))=0, "N/A", "SIM")</f>
        <v>N/A</v>
      </c>
      <c r="H38" s="22" t="str">
        <f>IF(INDEX('1'!AF:AF,MATCH(CheckList!$A38,'1'!$A:$A,0))=0, "N/A", "SIM")</f>
        <v>N/A</v>
      </c>
      <c r="I38" s="22" t="str">
        <f>IF(INDEX('1'!L:L,MATCH(CheckList!$A38,'1'!$A:$A,0))=0, "N/A", "SIM")</f>
        <v>N/A</v>
      </c>
      <c r="J38" s="22" t="str">
        <f>IF(LEN(INDEX('1'!L:L,MATCH(CheckList!$A38,'1'!$A:$A,0)))=11, "NAO", IF(LEN(INDEX('1'!L:L,MATCH(CheckList!$A38,'1'!$A:$A,0)))=14,"SIM","N/A"))</f>
        <v>N/A</v>
      </c>
      <c r="K38" s="22" t="str">
        <f>IF(INDEX('1'!BE:BE,MATCH(CheckList!$A38,'1'!$A:$A,0))=0, "N/A", "SIM")</f>
        <v>N/A</v>
      </c>
    </row>
    <row r="39" spans="1:11" x14ac:dyDescent="0.35">
      <c r="A39" s="22">
        <f>'Dados - Cliente'!A39</f>
        <v>0</v>
      </c>
      <c r="B39" s="22" t="e">
        <f>INDEX('Dados - Cliente'!H:H,MATCH(CheckList!A39,'Dados - Cliente'!A:A,0))</f>
        <v>#N/A</v>
      </c>
      <c r="C39" s="22" t="str">
        <f>IF(INDEX('1'!B:B,MATCH(CheckList!$A39,'1'!$A:$A,0))=0, "N/A", "SIM")</f>
        <v>N/A</v>
      </c>
      <c r="D39" s="22">
        <f>INDEX('1'!Q:Q,MATCH(CheckList!$A39,'1'!$A:$A,0))</f>
        <v>0</v>
      </c>
      <c r="E39" s="22" t="str">
        <f>IF(D39="SIM",IF(MATCH(A39,'2'!$A:$A,0)="","NÃO","SIM"),"NAO")</f>
        <v>NAO</v>
      </c>
      <c r="F39" s="22" t="str">
        <f>IF(INDEX('1'!R:R,MATCH(CheckList!$A39,'1'!$A:$A,0))=0, "N/A", "SIM")</f>
        <v>N/A</v>
      </c>
      <c r="G39" s="22" t="str">
        <f>IF(INDEX('1'!AC:AC,MATCH(CheckList!$A39,'1'!$A:$A,0))=0, "N/A", "SIM")</f>
        <v>N/A</v>
      </c>
      <c r="H39" s="22" t="str">
        <f>IF(INDEX('1'!AF:AF,MATCH(CheckList!$A39,'1'!$A:$A,0))=0, "N/A", "SIM")</f>
        <v>N/A</v>
      </c>
      <c r="I39" s="22" t="str">
        <f>IF(INDEX('1'!L:L,MATCH(CheckList!$A39,'1'!$A:$A,0))=0, "N/A", "SIM")</f>
        <v>N/A</v>
      </c>
      <c r="J39" s="22" t="str">
        <f>IF(LEN(INDEX('1'!L:L,MATCH(CheckList!$A39,'1'!$A:$A,0)))=11, "NAO", IF(LEN(INDEX('1'!L:L,MATCH(CheckList!$A39,'1'!$A:$A,0)))=14,"SIM","N/A"))</f>
        <v>N/A</v>
      </c>
      <c r="K39" s="22" t="str">
        <f>IF(INDEX('1'!BE:BE,MATCH(CheckList!$A39,'1'!$A:$A,0))=0, "N/A", "SIM")</f>
        <v>N/A</v>
      </c>
    </row>
    <row r="40" spans="1:11" x14ac:dyDescent="0.35">
      <c r="A40" s="22">
        <f>'Dados - Cliente'!A40</f>
        <v>0</v>
      </c>
      <c r="B40" s="22" t="e">
        <f>INDEX('Dados - Cliente'!H:H,MATCH(CheckList!A40,'Dados - Cliente'!A:A,0))</f>
        <v>#N/A</v>
      </c>
      <c r="C40" s="22" t="str">
        <f>IF(INDEX('1'!B:B,MATCH(CheckList!$A40,'1'!$A:$A,0))=0, "N/A", "SIM")</f>
        <v>N/A</v>
      </c>
      <c r="D40" s="22">
        <f>INDEX('1'!Q:Q,MATCH(CheckList!$A40,'1'!$A:$A,0))</f>
        <v>0</v>
      </c>
      <c r="E40" s="22" t="str">
        <f>IF(D40="SIM",IF(MATCH(A40,'2'!$A:$A,0)="","NÃO","SIM"),"NAO")</f>
        <v>NAO</v>
      </c>
      <c r="F40" s="22" t="str">
        <f>IF(INDEX('1'!R:R,MATCH(CheckList!$A40,'1'!$A:$A,0))=0, "N/A", "SIM")</f>
        <v>N/A</v>
      </c>
      <c r="G40" s="22" t="str">
        <f>IF(INDEX('1'!AC:AC,MATCH(CheckList!$A40,'1'!$A:$A,0))=0, "N/A", "SIM")</f>
        <v>N/A</v>
      </c>
      <c r="H40" s="22" t="str">
        <f>IF(INDEX('1'!AF:AF,MATCH(CheckList!$A40,'1'!$A:$A,0))=0, "N/A", "SIM")</f>
        <v>N/A</v>
      </c>
      <c r="I40" s="22" t="str">
        <f>IF(INDEX('1'!L:L,MATCH(CheckList!$A40,'1'!$A:$A,0))=0, "N/A", "SIM")</f>
        <v>N/A</v>
      </c>
      <c r="J40" s="22" t="str">
        <f>IF(LEN(INDEX('1'!L:L,MATCH(CheckList!$A40,'1'!$A:$A,0)))=11, "NAO", IF(LEN(INDEX('1'!L:L,MATCH(CheckList!$A40,'1'!$A:$A,0)))=14,"SIM","N/A"))</f>
        <v>N/A</v>
      </c>
      <c r="K40" s="22" t="str">
        <f>IF(INDEX('1'!BE:BE,MATCH(CheckList!$A40,'1'!$A:$A,0))=0, "N/A", "SIM")</f>
        <v>N/A</v>
      </c>
    </row>
    <row r="41" spans="1:11" x14ac:dyDescent="0.35">
      <c r="A41" s="22">
        <f>'Dados - Cliente'!A41</f>
        <v>0</v>
      </c>
      <c r="B41" s="22" t="e">
        <f>INDEX('Dados - Cliente'!H:H,MATCH(CheckList!A41,'Dados - Cliente'!A:A,0))</f>
        <v>#N/A</v>
      </c>
      <c r="C41" s="22" t="str">
        <f>IF(INDEX('1'!B:B,MATCH(CheckList!$A41,'1'!$A:$A,0))=0, "N/A", "SIM")</f>
        <v>N/A</v>
      </c>
      <c r="D41" s="22">
        <f>INDEX('1'!Q:Q,MATCH(CheckList!$A41,'1'!$A:$A,0))</f>
        <v>0</v>
      </c>
      <c r="E41" s="22" t="str">
        <f>IF(D41="SIM",IF(MATCH(A41,'2'!$A:$A,0)="","NÃO","SIM"),"NAO")</f>
        <v>NAO</v>
      </c>
      <c r="F41" s="22" t="str">
        <f>IF(INDEX('1'!R:R,MATCH(CheckList!$A41,'1'!$A:$A,0))=0, "N/A", "SIM")</f>
        <v>N/A</v>
      </c>
      <c r="G41" s="22" t="str">
        <f>IF(INDEX('1'!AC:AC,MATCH(CheckList!$A41,'1'!$A:$A,0))=0, "N/A", "SIM")</f>
        <v>N/A</v>
      </c>
      <c r="H41" s="22" t="str">
        <f>IF(INDEX('1'!AF:AF,MATCH(CheckList!$A41,'1'!$A:$A,0))=0, "N/A", "SIM")</f>
        <v>N/A</v>
      </c>
      <c r="I41" s="22" t="str">
        <f>IF(INDEX('1'!L:L,MATCH(CheckList!$A41,'1'!$A:$A,0))=0, "N/A", "SIM")</f>
        <v>N/A</v>
      </c>
      <c r="J41" s="22" t="str">
        <f>IF(LEN(INDEX('1'!L:L,MATCH(CheckList!$A41,'1'!$A:$A,0)))=11, "NAO", IF(LEN(INDEX('1'!L:L,MATCH(CheckList!$A41,'1'!$A:$A,0)))=14,"SIM","N/A"))</f>
        <v>N/A</v>
      </c>
      <c r="K41" s="22" t="str">
        <f>IF(INDEX('1'!BE:BE,MATCH(CheckList!$A41,'1'!$A:$A,0))=0, "N/A", "SIM")</f>
        <v>N/A</v>
      </c>
    </row>
    <row r="42" spans="1:11" x14ac:dyDescent="0.35">
      <c r="A42" s="22">
        <f>'Dados - Cliente'!A42</f>
        <v>0</v>
      </c>
      <c r="B42" s="22" t="e">
        <f>INDEX('Dados - Cliente'!H:H,MATCH(CheckList!A42,'Dados - Cliente'!A:A,0))</f>
        <v>#N/A</v>
      </c>
      <c r="C42" s="22" t="str">
        <f>IF(INDEX('1'!B:B,MATCH(CheckList!$A42,'1'!$A:$A,0))=0, "N/A", "SIM")</f>
        <v>N/A</v>
      </c>
      <c r="D42" s="22">
        <f>INDEX('1'!Q:Q,MATCH(CheckList!$A42,'1'!$A:$A,0))</f>
        <v>0</v>
      </c>
      <c r="E42" s="22" t="str">
        <f>IF(D42="SIM",IF(MATCH(A42,'2'!$A:$A,0)="","NÃO","SIM"),"NAO")</f>
        <v>NAO</v>
      </c>
      <c r="F42" s="22" t="str">
        <f>IF(INDEX('1'!R:R,MATCH(CheckList!$A42,'1'!$A:$A,0))=0, "N/A", "SIM")</f>
        <v>N/A</v>
      </c>
      <c r="G42" s="22" t="str">
        <f>IF(INDEX('1'!AC:AC,MATCH(CheckList!$A42,'1'!$A:$A,0))=0, "N/A", "SIM")</f>
        <v>N/A</v>
      </c>
      <c r="H42" s="22" t="str">
        <f>IF(INDEX('1'!AF:AF,MATCH(CheckList!$A42,'1'!$A:$A,0))=0, "N/A", "SIM")</f>
        <v>N/A</v>
      </c>
      <c r="I42" s="22" t="str">
        <f>IF(INDEX('1'!L:L,MATCH(CheckList!$A42,'1'!$A:$A,0))=0, "N/A", "SIM")</f>
        <v>N/A</v>
      </c>
      <c r="J42" s="22" t="str">
        <f>IF(LEN(INDEX('1'!L:L,MATCH(CheckList!$A42,'1'!$A:$A,0)))=11, "NAO", IF(LEN(INDEX('1'!L:L,MATCH(CheckList!$A42,'1'!$A:$A,0)))=14,"SIM","N/A"))</f>
        <v>N/A</v>
      </c>
      <c r="K42" s="22" t="str">
        <f>IF(INDEX('1'!BE:BE,MATCH(CheckList!$A42,'1'!$A:$A,0))=0, "N/A", "SIM")</f>
        <v>N/A</v>
      </c>
    </row>
    <row r="43" spans="1:11" x14ac:dyDescent="0.35">
      <c r="A43" s="22">
        <f>'Dados - Cliente'!A43</f>
        <v>0</v>
      </c>
      <c r="B43" s="22" t="e">
        <f>INDEX('Dados - Cliente'!H:H,MATCH(CheckList!A43,'Dados - Cliente'!A:A,0))</f>
        <v>#N/A</v>
      </c>
      <c r="C43" s="22" t="str">
        <f>IF(INDEX('1'!B:B,MATCH(CheckList!$A43,'1'!$A:$A,0))=0, "N/A", "SIM")</f>
        <v>N/A</v>
      </c>
      <c r="D43" s="22">
        <f>INDEX('1'!Q:Q,MATCH(CheckList!$A43,'1'!$A:$A,0))</f>
        <v>0</v>
      </c>
      <c r="E43" s="22" t="str">
        <f>IF(D43="SIM",IF(MATCH(A43,'2'!$A:$A,0)="","NÃO","SIM"),"NAO")</f>
        <v>NAO</v>
      </c>
      <c r="F43" s="22" t="str">
        <f>IF(INDEX('1'!R:R,MATCH(CheckList!$A43,'1'!$A:$A,0))=0, "N/A", "SIM")</f>
        <v>N/A</v>
      </c>
      <c r="G43" s="22" t="str">
        <f>IF(INDEX('1'!AC:AC,MATCH(CheckList!$A43,'1'!$A:$A,0))=0, "N/A", "SIM")</f>
        <v>N/A</v>
      </c>
      <c r="H43" s="22" t="str">
        <f>IF(INDEX('1'!AF:AF,MATCH(CheckList!$A43,'1'!$A:$A,0))=0, "N/A", "SIM")</f>
        <v>N/A</v>
      </c>
      <c r="I43" s="22" t="str">
        <f>IF(INDEX('1'!L:L,MATCH(CheckList!$A43,'1'!$A:$A,0))=0, "N/A", "SIM")</f>
        <v>N/A</v>
      </c>
      <c r="J43" s="22" t="str">
        <f>IF(LEN(INDEX('1'!L:L,MATCH(CheckList!$A43,'1'!$A:$A,0)))=11, "NAO", IF(LEN(INDEX('1'!L:L,MATCH(CheckList!$A43,'1'!$A:$A,0)))=14,"SIM","N/A"))</f>
        <v>N/A</v>
      </c>
      <c r="K43" s="22" t="str">
        <f>IF(INDEX('1'!BE:BE,MATCH(CheckList!$A43,'1'!$A:$A,0))=0, "N/A", "SIM")</f>
        <v>N/A</v>
      </c>
    </row>
    <row r="44" spans="1:11" x14ac:dyDescent="0.35">
      <c r="A44" s="22">
        <f>'Dados - Cliente'!A44</f>
        <v>0</v>
      </c>
      <c r="B44" s="22" t="e">
        <f>INDEX('Dados - Cliente'!H:H,MATCH(CheckList!A44,'Dados - Cliente'!A:A,0))</f>
        <v>#N/A</v>
      </c>
      <c r="C44" s="22" t="str">
        <f>IF(INDEX('1'!B:B,MATCH(CheckList!$A44,'1'!$A:$A,0))=0, "N/A", "SIM")</f>
        <v>N/A</v>
      </c>
      <c r="D44" s="22">
        <f>INDEX('1'!Q:Q,MATCH(CheckList!$A44,'1'!$A:$A,0))</f>
        <v>0</v>
      </c>
      <c r="E44" s="22" t="str">
        <f>IF(D44="SIM",IF(MATCH(A44,'2'!$A:$A,0)="","NÃO","SIM"),"NAO")</f>
        <v>NAO</v>
      </c>
      <c r="F44" s="22" t="str">
        <f>IF(INDEX('1'!R:R,MATCH(CheckList!$A44,'1'!$A:$A,0))=0, "N/A", "SIM")</f>
        <v>N/A</v>
      </c>
      <c r="G44" s="22" t="str">
        <f>IF(INDEX('1'!AC:AC,MATCH(CheckList!$A44,'1'!$A:$A,0))=0, "N/A", "SIM")</f>
        <v>N/A</v>
      </c>
      <c r="H44" s="22" t="str">
        <f>IF(INDEX('1'!AF:AF,MATCH(CheckList!$A44,'1'!$A:$A,0))=0, "N/A", "SIM")</f>
        <v>N/A</v>
      </c>
      <c r="I44" s="22" t="str">
        <f>IF(INDEX('1'!L:L,MATCH(CheckList!$A44,'1'!$A:$A,0))=0, "N/A", "SIM")</f>
        <v>N/A</v>
      </c>
      <c r="J44" s="22" t="str">
        <f>IF(LEN(INDEX('1'!L:L,MATCH(CheckList!$A44,'1'!$A:$A,0)))=11, "NAO", IF(LEN(INDEX('1'!L:L,MATCH(CheckList!$A44,'1'!$A:$A,0)))=14,"SIM","N/A"))</f>
        <v>N/A</v>
      </c>
      <c r="K44" s="22" t="str">
        <f>IF(INDEX('1'!BE:BE,MATCH(CheckList!$A44,'1'!$A:$A,0))=0, "N/A", "SIM")</f>
        <v>N/A</v>
      </c>
    </row>
    <row r="45" spans="1:11" x14ac:dyDescent="0.35">
      <c r="A45" s="22">
        <f>'Dados - Cliente'!A45</f>
        <v>0</v>
      </c>
      <c r="B45" s="22" t="e">
        <f>INDEX('Dados - Cliente'!H:H,MATCH(CheckList!A45,'Dados - Cliente'!A:A,0))</f>
        <v>#N/A</v>
      </c>
      <c r="C45" s="22" t="str">
        <f>IF(INDEX('1'!B:B,MATCH(CheckList!$A45,'1'!$A:$A,0))=0, "N/A", "SIM")</f>
        <v>N/A</v>
      </c>
      <c r="D45" s="22">
        <f>INDEX('1'!Q:Q,MATCH(CheckList!$A45,'1'!$A:$A,0))</f>
        <v>0</v>
      </c>
      <c r="E45" s="22" t="str">
        <f>IF(D45="SIM",IF(MATCH(A45,'2'!$A:$A,0)="","NÃO","SIM"),"NAO")</f>
        <v>NAO</v>
      </c>
      <c r="F45" s="22" t="str">
        <f>IF(INDEX('1'!R:R,MATCH(CheckList!$A45,'1'!$A:$A,0))=0, "N/A", "SIM")</f>
        <v>N/A</v>
      </c>
      <c r="G45" s="22" t="str">
        <f>IF(INDEX('1'!AC:AC,MATCH(CheckList!$A45,'1'!$A:$A,0))=0, "N/A", "SIM")</f>
        <v>N/A</v>
      </c>
      <c r="H45" s="22" t="str">
        <f>IF(INDEX('1'!AF:AF,MATCH(CheckList!$A45,'1'!$A:$A,0))=0, "N/A", "SIM")</f>
        <v>N/A</v>
      </c>
      <c r="I45" s="22" t="str">
        <f>IF(INDEX('1'!L:L,MATCH(CheckList!$A45,'1'!$A:$A,0))=0, "N/A", "SIM")</f>
        <v>N/A</v>
      </c>
      <c r="J45" s="22" t="str">
        <f>IF(LEN(INDEX('1'!L:L,MATCH(CheckList!$A45,'1'!$A:$A,0)))=11, "NAO", IF(LEN(INDEX('1'!L:L,MATCH(CheckList!$A45,'1'!$A:$A,0)))=14,"SIM","N/A"))</f>
        <v>N/A</v>
      </c>
      <c r="K45" s="22" t="str">
        <f>IF(INDEX('1'!BE:BE,MATCH(CheckList!$A45,'1'!$A:$A,0))=0, "N/A", "SIM")</f>
        <v>N/A</v>
      </c>
    </row>
    <row r="46" spans="1:11" x14ac:dyDescent="0.35">
      <c r="A46" s="22">
        <f>'Dados - Cliente'!A46</f>
        <v>0</v>
      </c>
      <c r="B46" s="22" t="e">
        <f>INDEX('Dados - Cliente'!H:H,MATCH(CheckList!A46,'Dados - Cliente'!A:A,0))</f>
        <v>#N/A</v>
      </c>
      <c r="C46" s="22" t="str">
        <f>IF(INDEX('1'!B:B,MATCH(CheckList!$A46,'1'!$A:$A,0))=0, "N/A", "SIM")</f>
        <v>N/A</v>
      </c>
      <c r="D46" s="22">
        <f>INDEX('1'!Q:Q,MATCH(CheckList!$A46,'1'!$A:$A,0))</f>
        <v>0</v>
      </c>
      <c r="E46" s="22" t="str">
        <f>IF(D46="SIM",IF(MATCH(A46,'2'!$A:$A,0)="","NÃO","SIM"),"NAO")</f>
        <v>NAO</v>
      </c>
      <c r="F46" s="22" t="str">
        <f>IF(INDEX('1'!R:R,MATCH(CheckList!$A46,'1'!$A:$A,0))=0, "N/A", "SIM")</f>
        <v>N/A</v>
      </c>
      <c r="G46" s="22" t="str">
        <f>IF(INDEX('1'!AC:AC,MATCH(CheckList!$A46,'1'!$A:$A,0))=0, "N/A", "SIM")</f>
        <v>N/A</v>
      </c>
      <c r="H46" s="22" t="str">
        <f>IF(INDEX('1'!AF:AF,MATCH(CheckList!$A46,'1'!$A:$A,0))=0, "N/A", "SIM")</f>
        <v>N/A</v>
      </c>
      <c r="I46" s="22" t="str">
        <f>IF(INDEX('1'!L:L,MATCH(CheckList!$A46,'1'!$A:$A,0))=0, "N/A", "SIM")</f>
        <v>N/A</v>
      </c>
      <c r="J46" s="22" t="str">
        <f>IF(LEN(INDEX('1'!L:L,MATCH(CheckList!$A46,'1'!$A:$A,0)))=11, "NAO", IF(LEN(INDEX('1'!L:L,MATCH(CheckList!$A46,'1'!$A:$A,0)))=14,"SIM","N/A"))</f>
        <v>N/A</v>
      </c>
      <c r="K46" s="22" t="str">
        <f>IF(INDEX('1'!BE:BE,MATCH(CheckList!$A46,'1'!$A:$A,0))=0, "N/A", "SIM")</f>
        <v>N/A</v>
      </c>
    </row>
    <row r="47" spans="1:11" x14ac:dyDescent="0.35">
      <c r="A47" s="22">
        <f>'Dados - Cliente'!A47</f>
        <v>0</v>
      </c>
      <c r="B47" s="22" t="e">
        <f>INDEX('Dados - Cliente'!H:H,MATCH(CheckList!A47,'Dados - Cliente'!A:A,0))</f>
        <v>#N/A</v>
      </c>
      <c r="C47" s="22" t="str">
        <f>IF(INDEX('1'!B:B,MATCH(CheckList!$A47,'1'!$A:$A,0))=0, "N/A", "SIM")</f>
        <v>N/A</v>
      </c>
      <c r="D47" s="22">
        <f>INDEX('1'!Q:Q,MATCH(CheckList!$A47,'1'!$A:$A,0))</f>
        <v>0</v>
      </c>
      <c r="E47" s="22" t="str">
        <f>IF(D47="SIM",IF(MATCH(A47,'2'!$A:$A,0)="","NÃO","SIM"),"NAO")</f>
        <v>NAO</v>
      </c>
      <c r="F47" s="22" t="str">
        <f>IF(INDEX('1'!R:R,MATCH(CheckList!$A47,'1'!$A:$A,0))=0, "N/A", "SIM")</f>
        <v>N/A</v>
      </c>
      <c r="G47" s="22" t="str">
        <f>IF(INDEX('1'!AC:AC,MATCH(CheckList!$A47,'1'!$A:$A,0))=0, "N/A", "SIM")</f>
        <v>N/A</v>
      </c>
      <c r="H47" s="22" t="str">
        <f>IF(INDEX('1'!AF:AF,MATCH(CheckList!$A47,'1'!$A:$A,0))=0, "N/A", "SIM")</f>
        <v>N/A</v>
      </c>
      <c r="I47" s="22" t="str">
        <f>IF(INDEX('1'!L:L,MATCH(CheckList!$A47,'1'!$A:$A,0))=0, "N/A", "SIM")</f>
        <v>N/A</v>
      </c>
      <c r="J47" s="22" t="str">
        <f>IF(LEN(INDEX('1'!L:L,MATCH(CheckList!$A47,'1'!$A:$A,0)))=11, "NAO", IF(LEN(INDEX('1'!L:L,MATCH(CheckList!$A47,'1'!$A:$A,0)))=14,"SIM","N/A"))</f>
        <v>N/A</v>
      </c>
      <c r="K47" s="22" t="str">
        <f>IF(INDEX('1'!BE:BE,MATCH(CheckList!$A47,'1'!$A:$A,0))=0, "N/A", "SIM")</f>
        <v>N/A</v>
      </c>
    </row>
    <row r="48" spans="1:11" x14ac:dyDescent="0.35">
      <c r="A48" s="22">
        <f>'Dados - Cliente'!A48</f>
        <v>0</v>
      </c>
      <c r="B48" s="22" t="e">
        <f>INDEX('Dados - Cliente'!H:H,MATCH(CheckList!A48,'Dados - Cliente'!A:A,0))</f>
        <v>#N/A</v>
      </c>
      <c r="C48" s="22" t="str">
        <f>IF(INDEX('1'!B:B,MATCH(CheckList!$A48,'1'!$A:$A,0))=0, "N/A", "SIM")</f>
        <v>N/A</v>
      </c>
      <c r="D48" s="22">
        <f>INDEX('1'!Q:Q,MATCH(CheckList!$A48,'1'!$A:$A,0))</f>
        <v>0</v>
      </c>
      <c r="E48" s="22" t="str">
        <f>IF(D48="SIM",IF(MATCH(A48,'2'!$A:$A,0)="","NÃO","SIM"),"NAO")</f>
        <v>NAO</v>
      </c>
      <c r="F48" s="22" t="str">
        <f>IF(INDEX('1'!R:R,MATCH(CheckList!$A48,'1'!$A:$A,0))=0, "N/A", "SIM")</f>
        <v>N/A</v>
      </c>
      <c r="G48" s="22" t="str">
        <f>IF(INDEX('1'!AC:AC,MATCH(CheckList!$A48,'1'!$A:$A,0))=0, "N/A", "SIM")</f>
        <v>N/A</v>
      </c>
      <c r="H48" s="22" t="str">
        <f>IF(INDEX('1'!AF:AF,MATCH(CheckList!$A48,'1'!$A:$A,0))=0, "N/A", "SIM")</f>
        <v>N/A</v>
      </c>
      <c r="I48" s="22" t="str">
        <f>IF(INDEX('1'!L:L,MATCH(CheckList!$A48,'1'!$A:$A,0))=0, "N/A", "SIM")</f>
        <v>N/A</v>
      </c>
      <c r="J48" s="22" t="str">
        <f>IF(LEN(INDEX('1'!L:L,MATCH(CheckList!$A48,'1'!$A:$A,0)))=11, "NAO", IF(LEN(INDEX('1'!L:L,MATCH(CheckList!$A48,'1'!$A:$A,0)))=14,"SIM","N/A"))</f>
        <v>N/A</v>
      </c>
      <c r="K48" s="22" t="str">
        <f>IF(INDEX('1'!BE:BE,MATCH(CheckList!$A48,'1'!$A:$A,0))=0, "N/A", "SIM")</f>
        <v>N/A</v>
      </c>
    </row>
    <row r="49" spans="1:11" x14ac:dyDescent="0.35">
      <c r="A49" s="22">
        <f>'Dados - Cliente'!A49</f>
        <v>0</v>
      </c>
      <c r="B49" s="22" t="e">
        <f>INDEX('Dados - Cliente'!H:H,MATCH(CheckList!A49,'Dados - Cliente'!A:A,0))</f>
        <v>#N/A</v>
      </c>
      <c r="C49" s="22" t="str">
        <f>IF(INDEX('1'!B:B,MATCH(CheckList!$A49,'1'!$A:$A,0))=0, "N/A", "SIM")</f>
        <v>N/A</v>
      </c>
      <c r="D49" s="22">
        <f>INDEX('1'!Q:Q,MATCH(CheckList!$A49,'1'!$A:$A,0))</f>
        <v>0</v>
      </c>
      <c r="E49" s="22" t="str">
        <f>IF(D49="SIM",IF(MATCH(A49,'2'!$A:$A,0)="","NÃO","SIM"),"NAO")</f>
        <v>NAO</v>
      </c>
      <c r="F49" s="22" t="str">
        <f>IF(INDEX('1'!R:R,MATCH(CheckList!$A49,'1'!$A:$A,0))=0, "N/A", "SIM")</f>
        <v>N/A</v>
      </c>
      <c r="G49" s="22" t="str">
        <f>IF(INDEX('1'!AC:AC,MATCH(CheckList!$A49,'1'!$A:$A,0))=0, "N/A", "SIM")</f>
        <v>N/A</v>
      </c>
      <c r="H49" s="22" t="str">
        <f>IF(INDEX('1'!AF:AF,MATCH(CheckList!$A49,'1'!$A:$A,0))=0, "N/A", "SIM")</f>
        <v>N/A</v>
      </c>
      <c r="I49" s="22" t="str">
        <f>IF(INDEX('1'!L:L,MATCH(CheckList!$A49,'1'!$A:$A,0))=0, "N/A", "SIM")</f>
        <v>N/A</v>
      </c>
      <c r="J49" s="22" t="str">
        <f>IF(LEN(INDEX('1'!L:L,MATCH(CheckList!$A49,'1'!$A:$A,0)))=11, "NAO", IF(LEN(INDEX('1'!L:L,MATCH(CheckList!$A49,'1'!$A:$A,0)))=14,"SIM","N/A"))</f>
        <v>N/A</v>
      </c>
      <c r="K49" s="22" t="str">
        <f>IF(INDEX('1'!BE:BE,MATCH(CheckList!$A49,'1'!$A:$A,0))=0, "N/A", "SIM")</f>
        <v>N/A</v>
      </c>
    </row>
    <row r="50" spans="1:11" x14ac:dyDescent="0.35">
      <c r="A50" s="22">
        <f>'Dados - Cliente'!A50</f>
        <v>0</v>
      </c>
      <c r="B50" s="22" t="e">
        <f>INDEX('Dados - Cliente'!H:H,MATCH(CheckList!A50,'Dados - Cliente'!A:A,0))</f>
        <v>#N/A</v>
      </c>
      <c r="C50" s="22" t="str">
        <f>IF(INDEX('1'!B:B,MATCH(CheckList!$A50,'1'!$A:$A,0))=0, "N/A", "SIM")</f>
        <v>N/A</v>
      </c>
      <c r="D50" s="22">
        <f>INDEX('1'!Q:Q,MATCH(CheckList!$A50,'1'!$A:$A,0))</f>
        <v>0</v>
      </c>
      <c r="E50" s="22" t="str">
        <f>IF(D50="SIM",IF(MATCH(A50,'2'!$A:$A,0)="","NÃO","SIM"),"NAO")</f>
        <v>NAO</v>
      </c>
      <c r="F50" s="22" t="str">
        <f>IF(INDEX('1'!R:R,MATCH(CheckList!$A50,'1'!$A:$A,0))=0, "N/A", "SIM")</f>
        <v>N/A</v>
      </c>
      <c r="G50" s="22" t="str">
        <f>IF(INDEX('1'!AC:AC,MATCH(CheckList!$A50,'1'!$A:$A,0))=0, "N/A", "SIM")</f>
        <v>N/A</v>
      </c>
      <c r="H50" s="22" t="str">
        <f>IF(INDEX('1'!AF:AF,MATCH(CheckList!$A50,'1'!$A:$A,0))=0, "N/A", "SIM")</f>
        <v>N/A</v>
      </c>
      <c r="I50" s="22" t="str">
        <f>IF(INDEX('1'!L:L,MATCH(CheckList!$A50,'1'!$A:$A,0))=0, "N/A", "SIM")</f>
        <v>N/A</v>
      </c>
      <c r="J50" s="22" t="str">
        <f>IF(LEN(INDEX('1'!L:L,MATCH(CheckList!$A50,'1'!$A:$A,0)))=11, "NAO", IF(LEN(INDEX('1'!L:L,MATCH(CheckList!$A50,'1'!$A:$A,0)))=14,"SIM","N/A"))</f>
        <v>N/A</v>
      </c>
      <c r="K50" s="22" t="str">
        <f>IF(INDEX('1'!BE:BE,MATCH(CheckList!$A50,'1'!$A:$A,0))=0, "N/A", "SIM")</f>
        <v>N/A</v>
      </c>
    </row>
    <row r="51" spans="1:11" x14ac:dyDescent="0.35">
      <c r="A51" s="22">
        <f>'Dados - Cliente'!A51</f>
        <v>0</v>
      </c>
      <c r="B51" s="22" t="e">
        <f>INDEX('Dados - Cliente'!H:H,MATCH(CheckList!A51,'Dados - Cliente'!A:A,0))</f>
        <v>#N/A</v>
      </c>
      <c r="C51" s="22" t="str">
        <f>IF(INDEX('1'!B:B,MATCH(CheckList!$A51,'1'!$A:$A,0))=0, "N/A", "SIM")</f>
        <v>N/A</v>
      </c>
      <c r="D51" s="22">
        <f>INDEX('1'!Q:Q,MATCH(CheckList!$A51,'1'!$A:$A,0))</f>
        <v>0</v>
      </c>
      <c r="E51" s="22" t="str">
        <f>IF(D51="SIM",IF(MATCH(A51,'2'!$A:$A,0)="","NÃO","SIM"),"NAO")</f>
        <v>NAO</v>
      </c>
      <c r="F51" s="22" t="str">
        <f>IF(INDEX('1'!R:R,MATCH(CheckList!$A51,'1'!$A:$A,0))=0, "N/A", "SIM")</f>
        <v>N/A</v>
      </c>
      <c r="G51" s="22" t="str">
        <f>IF(INDEX('1'!AC:AC,MATCH(CheckList!$A51,'1'!$A:$A,0))=0, "N/A", "SIM")</f>
        <v>N/A</v>
      </c>
      <c r="H51" s="22" t="str">
        <f>IF(INDEX('1'!AF:AF,MATCH(CheckList!$A51,'1'!$A:$A,0))=0, "N/A", "SIM")</f>
        <v>N/A</v>
      </c>
      <c r="I51" s="22" t="str">
        <f>IF(INDEX('1'!L:L,MATCH(CheckList!$A51,'1'!$A:$A,0))=0, "N/A", "SIM")</f>
        <v>N/A</v>
      </c>
      <c r="J51" s="22" t="str">
        <f>IF(LEN(INDEX('1'!L:L,MATCH(CheckList!$A51,'1'!$A:$A,0)))=11, "NAO", IF(LEN(INDEX('1'!L:L,MATCH(CheckList!$A51,'1'!$A:$A,0)))=14,"SIM","N/A"))</f>
        <v>N/A</v>
      </c>
      <c r="K51" s="22" t="str">
        <f>IF(INDEX('1'!BE:BE,MATCH(CheckList!$A51,'1'!$A:$A,0))=0, "N/A", "SIM")</f>
        <v>N/A</v>
      </c>
    </row>
    <row r="52" spans="1:11" x14ac:dyDescent="0.35">
      <c r="A52" s="22">
        <f>'Dados - Cliente'!A52</f>
        <v>0</v>
      </c>
      <c r="B52" s="22" t="e">
        <f>INDEX('Dados - Cliente'!H:H,MATCH(CheckList!A52,'Dados - Cliente'!A:A,0))</f>
        <v>#N/A</v>
      </c>
      <c r="C52" s="22" t="str">
        <f>IF(INDEX('1'!B:B,MATCH(CheckList!$A52,'1'!$A:$A,0))=0, "N/A", "SIM")</f>
        <v>N/A</v>
      </c>
      <c r="D52" s="22">
        <f>INDEX('1'!Q:Q,MATCH(CheckList!$A52,'1'!$A:$A,0))</f>
        <v>0</v>
      </c>
      <c r="E52" s="22" t="str">
        <f>IF(D52="SIM",IF(MATCH(A52,'2'!$A:$A,0)="","NÃO","SIM"),"NAO")</f>
        <v>NAO</v>
      </c>
      <c r="F52" s="22" t="str">
        <f>IF(INDEX('1'!R:R,MATCH(CheckList!$A52,'1'!$A:$A,0))=0, "N/A", "SIM")</f>
        <v>N/A</v>
      </c>
      <c r="G52" s="22" t="str">
        <f>IF(INDEX('1'!AC:AC,MATCH(CheckList!$A52,'1'!$A:$A,0))=0, "N/A", "SIM")</f>
        <v>N/A</v>
      </c>
      <c r="H52" s="22" t="str">
        <f>IF(INDEX('1'!AF:AF,MATCH(CheckList!$A52,'1'!$A:$A,0))=0, "N/A", "SIM")</f>
        <v>N/A</v>
      </c>
      <c r="I52" s="22" t="str">
        <f>IF(INDEX('1'!L:L,MATCH(CheckList!$A52,'1'!$A:$A,0))=0, "N/A", "SIM")</f>
        <v>N/A</v>
      </c>
      <c r="J52" s="22" t="str">
        <f>IF(LEN(INDEX('1'!L:L,MATCH(CheckList!$A52,'1'!$A:$A,0)))=11, "NAO", IF(LEN(INDEX('1'!L:L,MATCH(CheckList!$A52,'1'!$A:$A,0)))=14,"SIM","N/A"))</f>
        <v>N/A</v>
      </c>
      <c r="K52" s="22" t="str">
        <f>IF(INDEX('1'!BE:BE,MATCH(CheckList!$A52,'1'!$A:$A,0))=0, "N/A", "SIM")</f>
        <v>N/A</v>
      </c>
    </row>
    <row r="53" spans="1:11" x14ac:dyDescent="0.35">
      <c r="A53" s="22">
        <f>'Dados - Cliente'!A53</f>
        <v>0</v>
      </c>
      <c r="B53" s="22" t="e">
        <f>INDEX('Dados - Cliente'!H:H,MATCH(CheckList!A53,'Dados - Cliente'!A:A,0))</f>
        <v>#N/A</v>
      </c>
      <c r="C53" s="22" t="str">
        <f>IF(INDEX('1'!B:B,MATCH(CheckList!$A53,'1'!$A:$A,0))=0, "N/A", "SIM")</f>
        <v>N/A</v>
      </c>
      <c r="D53" s="22">
        <f>INDEX('1'!Q:Q,MATCH(CheckList!$A53,'1'!$A:$A,0))</f>
        <v>0</v>
      </c>
      <c r="E53" s="22" t="str">
        <f>IF(D53="SIM",IF(MATCH(A53,'2'!$A:$A,0)="","NÃO","SIM"),"NAO")</f>
        <v>NAO</v>
      </c>
      <c r="F53" s="22" t="str">
        <f>IF(INDEX('1'!R:R,MATCH(CheckList!$A53,'1'!$A:$A,0))=0, "N/A", "SIM")</f>
        <v>N/A</v>
      </c>
      <c r="G53" s="22" t="str">
        <f>IF(INDEX('1'!AC:AC,MATCH(CheckList!$A53,'1'!$A:$A,0))=0, "N/A", "SIM")</f>
        <v>N/A</v>
      </c>
      <c r="H53" s="22" t="str">
        <f>IF(INDEX('1'!AF:AF,MATCH(CheckList!$A53,'1'!$A:$A,0))=0, "N/A", "SIM")</f>
        <v>N/A</v>
      </c>
      <c r="I53" s="22" t="str">
        <f>IF(INDEX('1'!L:L,MATCH(CheckList!$A53,'1'!$A:$A,0))=0, "N/A", "SIM")</f>
        <v>N/A</v>
      </c>
      <c r="J53" s="22" t="str">
        <f>IF(LEN(INDEX('1'!L:L,MATCH(CheckList!$A53,'1'!$A:$A,0)))=11, "NAO", IF(LEN(INDEX('1'!L:L,MATCH(CheckList!$A53,'1'!$A:$A,0)))=14,"SIM","N/A"))</f>
        <v>N/A</v>
      </c>
      <c r="K53" s="22" t="str">
        <f>IF(INDEX('1'!BE:BE,MATCH(CheckList!$A53,'1'!$A:$A,0))=0, "N/A", "SIM")</f>
        <v>N/A</v>
      </c>
    </row>
    <row r="54" spans="1:11" x14ac:dyDescent="0.35">
      <c r="A54" s="22">
        <f>'Dados - Cliente'!A54</f>
        <v>0</v>
      </c>
      <c r="B54" s="22" t="e">
        <f>INDEX('Dados - Cliente'!H:H,MATCH(CheckList!A54,'Dados - Cliente'!A:A,0))</f>
        <v>#N/A</v>
      </c>
      <c r="C54" s="22" t="str">
        <f>IF(INDEX('1'!B:B,MATCH(CheckList!$A54,'1'!$A:$A,0))=0, "N/A", "SIM")</f>
        <v>N/A</v>
      </c>
      <c r="D54" s="22">
        <f>INDEX('1'!Q:Q,MATCH(CheckList!$A54,'1'!$A:$A,0))</f>
        <v>0</v>
      </c>
      <c r="E54" s="22" t="str">
        <f>IF(D54="SIM",IF(MATCH(A54,'2'!$A:$A,0)="","NÃO","SIM"),"NAO")</f>
        <v>NAO</v>
      </c>
      <c r="F54" s="22" t="str">
        <f>IF(INDEX('1'!R:R,MATCH(CheckList!$A54,'1'!$A:$A,0))=0, "N/A", "SIM")</f>
        <v>N/A</v>
      </c>
      <c r="G54" s="22" t="str">
        <f>IF(INDEX('1'!AC:AC,MATCH(CheckList!$A54,'1'!$A:$A,0))=0, "N/A", "SIM")</f>
        <v>N/A</v>
      </c>
      <c r="H54" s="22" t="str">
        <f>IF(INDEX('1'!AF:AF,MATCH(CheckList!$A54,'1'!$A:$A,0))=0, "N/A", "SIM")</f>
        <v>N/A</v>
      </c>
      <c r="I54" s="22" t="str">
        <f>IF(INDEX('1'!L:L,MATCH(CheckList!$A54,'1'!$A:$A,0))=0, "N/A", "SIM")</f>
        <v>N/A</v>
      </c>
      <c r="J54" s="22" t="str">
        <f>IF(LEN(INDEX('1'!L:L,MATCH(CheckList!$A54,'1'!$A:$A,0)))=11, "NAO", IF(LEN(INDEX('1'!L:L,MATCH(CheckList!$A54,'1'!$A:$A,0)))=14,"SIM","N/A"))</f>
        <v>N/A</v>
      </c>
      <c r="K54" s="22" t="str">
        <f>IF(INDEX('1'!BE:BE,MATCH(CheckList!$A54,'1'!$A:$A,0))=0, "N/A", "SIM")</f>
        <v>N/A</v>
      </c>
    </row>
    <row r="55" spans="1:11" x14ac:dyDescent="0.35">
      <c r="A55" s="22">
        <f>'Dados - Cliente'!A55</f>
        <v>0</v>
      </c>
      <c r="B55" s="22" t="e">
        <f>INDEX('Dados - Cliente'!H:H,MATCH(CheckList!A55,'Dados - Cliente'!A:A,0))</f>
        <v>#N/A</v>
      </c>
      <c r="C55" s="22" t="str">
        <f>IF(INDEX('1'!B:B,MATCH(CheckList!$A55,'1'!$A:$A,0))=0, "N/A", "SIM")</f>
        <v>N/A</v>
      </c>
      <c r="D55" s="22">
        <f>INDEX('1'!Q:Q,MATCH(CheckList!$A55,'1'!$A:$A,0))</f>
        <v>0</v>
      </c>
      <c r="E55" s="22" t="str">
        <f>IF(D55="SIM",IF(MATCH(A55,'2'!$A:$A,0)="","NÃO","SIM"),"NAO")</f>
        <v>NAO</v>
      </c>
      <c r="F55" s="22" t="str">
        <f>IF(INDEX('1'!R:R,MATCH(CheckList!$A55,'1'!$A:$A,0))=0, "N/A", "SIM")</f>
        <v>N/A</v>
      </c>
      <c r="G55" s="22" t="str">
        <f>IF(INDEX('1'!AC:AC,MATCH(CheckList!$A55,'1'!$A:$A,0))=0, "N/A", "SIM")</f>
        <v>N/A</v>
      </c>
      <c r="H55" s="22" t="str">
        <f>IF(INDEX('1'!AF:AF,MATCH(CheckList!$A55,'1'!$A:$A,0))=0, "N/A", "SIM")</f>
        <v>N/A</v>
      </c>
      <c r="I55" s="22" t="str">
        <f>IF(INDEX('1'!L:L,MATCH(CheckList!$A55,'1'!$A:$A,0))=0, "N/A", "SIM")</f>
        <v>N/A</v>
      </c>
      <c r="J55" s="22" t="str">
        <f>IF(LEN(INDEX('1'!L:L,MATCH(CheckList!$A55,'1'!$A:$A,0)))=11, "NAO", IF(LEN(INDEX('1'!L:L,MATCH(CheckList!$A55,'1'!$A:$A,0)))=14,"SIM","N/A"))</f>
        <v>N/A</v>
      </c>
      <c r="K55" s="22" t="str">
        <f>IF(INDEX('1'!BE:BE,MATCH(CheckList!$A55,'1'!$A:$A,0))=0, "N/A", "SIM")</f>
        <v>N/A</v>
      </c>
    </row>
    <row r="56" spans="1:11" x14ac:dyDescent="0.35">
      <c r="A56" s="22">
        <f>'Dados - Cliente'!A56</f>
        <v>0</v>
      </c>
      <c r="B56" s="22" t="e">
        <f>INDEX('Dados - Cliente'!H:H,MATCH(CheckList!A56,'Dados - Cliente'!A:A,0))</f>
        <v>#N/A</v>
      </c>
      <c r="C56" s="22" t="str">
        <f>IF(INDEX('1'!B:B,MATCH(CheckList!$A56,'1'!$A:$A,0))=0, "N/A", "SIM")</f>
        <v>N/A</v>
      </c>
      <c r="D56" s="22">
        <f>INDEX('1'!Q:Q,MATCH(CheckList!$A56,'1'!$A:$A,0))</f>
        <v>0</v>
      </c>
      <c r="E56" s="22" t="str">
        <f>IF(D56="SIM",IF(MATCH(A56,'2'!$A:$A,0)="","NÃO","SIM"),"NAO")</f>
        <v>NAO</v>
      </c>
      <c r="F56" s="22" t="str">
        <f>IF(INDEX('1'!R:R,MATCH(CheckList!$A56,'1'!$A:$A,0))=0, "N/A", "SIM")</f>
        <v>N/A</v>
      </c>
      <c r="G56" s="22" t="str">
        <f>IF(INDEX('1'!AC:AC,MATCH(CheckList!$A56,'1'!$A:$A,0))=0, "N/A", "SIM")</f>
        <v>N/A</v>
      </c>
      <c r="H56" s="22" t="str">
        <f>IF(INDEX('1'!AF:AF,MATCH(CheckList!$A56,'1'!$A:$A,0))=0, "N/A", "SIM")</f>
        <v>N/A</v>
      </c>
      <c r="I56" s="22" t="str">
        <f>IF(INDEX('1'!L:L,MATCH(CheckList!$A56,'1'!$A:$A,0))=0, "N/A", "SIM")</f>
        <v>N/A</v>
      </c>
      <c r="J56" s="22" t="str">
        <f>IF(LEN(INDEX('1'!L:L,MATCH(CheckList!$A56,'1'!$A:$A,0)))=11, "NAO", IF(LEN(INDEX('1'!L:L,MATCH(CheckList!$A56,'1'!$A:$A,0)))=14,"SIM","N/A"))</f>
        <v>N/A</v>
      </c>
      <c r="K56" s="22" t="str">
        <f>IF(INDEX('1'!BE:BE,MATCH(CheckList!$A56,'1'!$A:$A,0))=0, "N/A", "SIM")</f>
        <v>N/A</v>
      </c>
    </row>
    <row r="57" spans="1:11" x14ac:dyDescent="0.35">
      <c r="A57" s="22">
        <f>'Dados - Cliente'!A57</f>
        <v>0</v>
      </c>
      <c r="B57" s="22" t="e">
        <f>INDEX('Dados - Cliente'!H:H,MATCH(CheckList!A57,'Dados - Cliente'!A:A,0))</f>
        <v>#N/A</v>
      </c>
      <c r="C57" s="22" t="str">
        <f>IF(INDEX('1'!B:B,MATCH(CheckList!$A57,'1'!$A:$A,0))=0, "N/A", "SIM")</f>
        <v>N/A</v>
      </c>
      <c r="D57" s="22">
        <f>INDEX('1'!Q:Q,MATCH(CheckList!$A57,'1'!$A:$A,0))</f>
        <v>0</v>
      </c>
      <c r="E57" s="22" t="str">
        <f>IF(D57="SIM",IF(MATCH(A57,'2'!$A:$A,0)="","NÃO","SIM"),"NAO")</f>
        <v>NAO</v>
      </c>
      <c r="F57" s="22" t="str">
        <f>IF(INDEX('1'!R:R,MATCH(CheckList!$A57,'1'!$A:$A,0))=0, "N/A", "SIM")</f>
        <v>N/A</v>
      </c>
      <c r="G57" s="22" t="str">
        <f>IF(INDEX('1'!AC:AC,MATCH(CheckList!$A57,'1'!$A:$A,0))=0, "N/A", "SIM")</f>
        <v>N/A</v>
      </c>
      <c r="H57" s="22" t="str">
        <f>IF(INDEX('1'!AF:AF,MATCH(CheckList!$A57,'1'!$A:$A,0))=0, "N/A", "SIM")</f>
        <v>N/A</v>
      </c>
      <c r="I57" s="22" t="str">
        <f>IF(INDEX('1'!L:L,MATCH(CheckList!$A57,'1'!$A:$A,0))=0, "N/A", "SIM")</f>
        <v>N/A</v>
      </c>
      <c r="J57" s="22" t="str">
        <f>IF(LEN(INDEX('1'!L:L,MATCH(CheckList!$A57,'1'!$A:$A,0)))=11, "NAO", IF(LEN(INDEX('1'!L:L,MATCH(CheckList!$A57,'1'!$A:$A,0)))=14,"SIM","N/A"))</f>
        <v>N/A</v>
      </c>
      <c r="K57" s="22" t="str">
        <f>IF(INDEX('1'!BE:BE,MATCH(CheckList!$A57,'1'!$A:$A,0))=0, "N/A", "SIM")</f>
        <v>N/A</v>
      </c>
    </row>
    <row r="58" spans="1:11" x14ac:dyDescent="0.35">
      <c r="A58" s="22">
        <f>'Dados - Cliente'!A58</f>
        <v>0</v>
      </c>
      <c r="B58" s="22" t="e">
        <f>INDEX('Dados - Cliente'!H:H,MATCH(CheckList!A58,'Dados - Cliente'!A:A,0))</f>
        <v>#N/A</v>
      </c>
      <c r="C58" s="22" t="str">
        <f>IF(INDEX('1'!B:B,MATCH(CheckList!$A58,'1'!$A:$A,0))=0, "N/A", "SIM")</f>
        <v>N/A</v>
      </c>
      <c r="D58" s="22">
        <f>INDEX('1'!Q:Q,MATCH(CheckList!$A58,'1'!$A:$A,0))</f>
        <v>0</v>
      </c>
      <c r="E58" s="22" t="str">
        <f>IF(D58="SIM",IF(MATCH(A58,'2'!$A:$A,0)="","NÃO","SIM"),"NAO")</f>
        <v>NAO</v>
      </c>
      <c r="F58" s="22" t="str">
        <f>IF(INDEX('1'!R:R,MATCH(CheckList!$A58,'1'!$A:$A,0))=0, "N/A", "SIM")</f>
        <v>N/A</v>
      </c>
      <c r="G58" s="22" t="str">
        <f>IF(INDEX('1'!AC:AC,MATCH(CheckList!$A58,'1'!$A:$A,0))=0, "N/A", "SIM")</f>
        <v>N/A</v>
      </c>
      <c r="H58" s="22" t="str">
        <f>IF(INDEX('1'!AF:AF,MATCH(CheckList!$A58,'1'!$A:$A,0))=0, "N/A", "SIM")</f>
        <v>N/A</v>
      </c>
      <c r="I58" s="22" t="str">
        <f>IF(INDEX('1'!L:L,MATCH(CheckList!$A58,'1'!$A:$A,0))=0, "N/A", "SIM")</f>
        <v>N/A</v>
      </c>
      <c r="J58" s="22" t="str">
        <f>IF(LEN(INDEX('1'!L:L,MATCH(CheckList!$A58,'1'!$A:$A,0)))=11, "NAO", IF(LEN(INDEX('1'!L:L,MATCH(CheckList!$A58,'1'!$A:$A,0)))=14,"SIM","N/A"))</f>
        <v>N/A</v>
      </c>
      <c r="K58" s="22" t="str">
        <f>IF(INDEX('1'!BE:BE,MATCH(CheckList!$A58,'1'!$A:$A,0))=0, "N/A", "SIM")</f>
        <v>N/A</v>
      </c>
    </row>
    <row r="59" spans="1:11" x14ac:dyDescent="0.35">
      <c r="A59" s="22">
        <f>'Dados - Cliente'!A59</f>
        <v>0</v>
      </c>
      <c r="B59" s="22" t="e">
        <f>INDEX('Dados - Cliente'!H:H,MATCH(CheckList!A59,'Dados - Cliente'!A:A,0))</f>
        <v>#N/A</v>
      </c>
      <c r="C59" s="22" t="str">
        <f>IF(INDEX('1'!B:B,MATCH(CheckList!$A59,'1'!$A:$A,0))=0, "N/A", "SIM")</f>
        <v>N/A</v>
      </c>
      <c r="D59" s="22">
        <f>INDEX('1'!Q:Q,MATCH(CheckList!$A59,'1'!$A:$A,0))</f>
        <v>0</v>
      </c>
      <c r="E59" s="22" t="str">
        <f>IF(D59="SIM",IF(MATCH(A59,'2'!$A:$A,0)="","NÃO","SIM"),"NAO")</f>
        <v>NAO</v>
      </c>
      <c r="F59" s="22" t="str">
        <f>IF(INDEX('1'!R:R,MATCH(CheckList!$A59,'1'!$A:$A,0))=0, "N/A", "SIM")</f>
        <v>N/A</v>
      </c>
      <c r="G59" s="22" t="str">
        <f>IF(INDEX('1'!AC:AC,MATCH(CheckList!$A59,'1'!$A:$A,0))=0, "N/A", "SIM")</f>
        <v>N/A</v>
      </c>
      <c r="H59" s="22" t="str">
        <f>IF(INDEX('1'!AF:AF,MATCH(CheckList!$A59,'1'!$A:$A,0))=0, "N/A", "SIM")</f>
        <v>N/A</v>
      </c>
      <c r="I59" s="22" t="str">
        <f>IF(INDEX('1'!L:L,MATCH(CheckList!$A59,'1'!$A:$A,0))=0, "N/A", "SIM")</f>
        <v>N/A</v>
      </c>
      <c r="J59" s="22" t="str">
        <f>IF(LEN(INDEX('1'!L:L,MATCH(CheckList!$A59,'1'!$A:$A,0)))=11, "NAO", IF(LEN(INDEX('1'!L:L,MATCH(CheckList!$A59,'1'!$A:$A,0)))=14,"SIM","N/A"))</f>
        <v>N/A</v>
      </c>
      <c r="K59" s="22" t="str">
        <f>IF(INDEX('1'!BE:BE,MATCH(CheckList!$A59,'1'!$A:$A,0))=0, "N/A", "SIM")</f>
        <v>N/A</v>
      </c>
    </row>
    <row r="60" spans="1:11" x14ac:dyDescent="0.35">
      <c r="A60" s="22">
        <f>'Dados - Cliente'!A60</f>
        <v>0</v>
      </c>
      <c r="B60" s="22" t="e">
        <f>INDEX('Dados - Cliente'!H:H,MATCH(CheckList!A60,'Dados - Cliente'!A:A,0))</f>
        <v>#N/A</v>
      </c>
      <c r="C60" s="22" t="str">
        <f>IF(INDEX('1'!B:B,MATCH(CheckList!$A60,'1'!$A:$A,0))=0, "N/A", "SIM")</f>
        <v>N/A</v>
      </c>
      <c r="D60" s="22">
        <f>INDEX('1'!Q:Q,MATCH(CheckList!$A60,'1'!$A:$A,0))</f>
        <v>0</v>
      </c>
      <c r="E60" s="22" t="str">
        <f>IF(D60="SIM",IF(MATCH(A60,'2'!$A:$A,0)="","NÃO","SIM"),"NAO")</f>
        <v>NAO</v>
      </c>
      <c r="F60" s="22" t="str">
        <f>IF(INDEX('1'!R:R,MATCH(CheckList!$A60,'1'!$A:$A,0))=0, "N/A", "SIM")</f>
        <v>N/A</v>
      </c>
      <c r="G60" s="22" t="str">
        <f>IF(INDEX('1'!AC:AC,MATCH(CheckList!$A60,'1'!$A:$A,0))=0, "N/A", "SIM")</f>
        <v>N/A</v>
      </c>
      <c r="H60" s="22" t="str">
        <f>IF(INDEX('1'!AF:AF,MATCH(CheckList!$A60,'1'!$A:$A,0))=0, "N/A", "SIM")</f>
        <v>N/A</v>
      </c>
      <c r="I60" s="22" t="str">
        <f>IF(INDEX('1'!L:L,MATCH(CheckList!$A60,'1'!$A:$A,0))=0, "N/A", "SIM")</f>
        <v>N/A</v>
      </c>
      <c r="J60" s="22" t="str">
        <f>IF(LEN(INDEX('1'!L:L,MATCH(CheckList!$A60,'1'!$A:$A,0)))=11, "NAO", IF(LEN(INDEX('1'!L:L,MATCH(CheckList!$A60,'1'!$A:$A,0)))=14,"SIM","N/A"))</f>
        <v>N/A</v>
      </c>
      <c r="K60" s="22" t="str">
        <f>IF(INDEX('1'!BE:BE,MATCH(CheckList!$A60,'1'!$A:$A,0))=0, "N/A", "SIM")</f>
        <v>N/A</v>
      </c>
    </row>
    <row r="61" spans="1:11" x14ac:dyDescent="0.35">
      <c r="A61" s="22">
        <f>'Dados - Cliente'!A61</f>
        <v>0</v>
      </c>
      <c r="B61" s="22" t="e">
        <f>INDEX('Dados - Cliente'!H:H,MATCH(CheckList!A61,'Dados - Cliente'!A:A,0))</f>
        <v>#N/A</v>
      </c>
      <c r="C61" s="22" t="str">
        <f>IF(INDEX('1'!B:B,MATCH(CheckList!$A61,'1'!$A:$A,0))=0, "N/A", "SIM")</f>
        <v>N/A</v>
      </c>
      <c r="D61" s="22">
        <f>INDEX('1'!Q:Q,MATCH(CheckList!$A61,'1'!$A:$A,0))</f>
        <v>0</v>
      </c>
      <c r="E61" s="22" t="str">
        <f>IF(D61="SIM",IF(MATCH(A61,'2'!$A:$A,0)="","NÃO","SIM"),"NAO")</f>
        <v>NAO</v>
      </c>
      <c r="F61" s="22" t="str">
        <f>IF(INDEX('1'!R:R,MATCH(CheckList!$A61,'1'!$A:$A,0))=0, "N/A", "SIM")</f>
        <v>N/A</v>
      </c>
      <c r="G61" s="22" t="str">
        <f>IF(INDEX('1'!AC:AC,MATCH(CheckList!$A61,'1'!$A:$A,0))=0, "N/A", "SIM")</f>
        <v>N/A</v>
      </c>
      <c r="H61" s="22" t="str">
        <f>IF(INDEX('1'!AF:AF,MATCH(CheckList!$A61,'1'!$A:$A,0))=0, "N/A", "SIM")</f>
        <v>N/A</v>
      </c>
      <c r="I61" s="22" t="str">
        <f>IF(INDEX('1'!L:L,MATCH(CheckList!$A61,'1'!$A:$A,0))=0, "N/A", "SIM")</f>
        <v>N/A</v>
      </c>
      <c r="J61" s="22" t="str">
        <f>IF(LEN(INDEX('1'!L:L,MATCH(CheckList!$A61,'1'!$A:$A,0)))=11, "NAO", IF(LEN(INDEX('1'!L:L,MATCH(CheckList!$A61,'1'!$A:$A,0)))=14,"SIM","N/A"))</f>
        <v>N/A</v>
      </c>
      <c r="K61" s="22" t="str">
        <f>IF(INDEX('1'!BE:BE,MATCH(CheckList!$A61,'1'!$A:$A,0))=0, "N/A", "SIM")</f>
        <v>N/A</v>
      </c>
    </row>
    <row r="62" spans="1:11" x14ac:dyDescent="0.35">
      <c r="A62" s="22">
        <f>'Dados - Cliente'!A62</f>
        <v>0</v>
      </c>
      <c r="B62" s="22" t="e">
        <f>INDEX('Dados - Cliente'!H:H,MATCH(CheckList!A62,'Dados - Cliente'!A:A,0))</f>
        <v>#N/A</v>
      </c>
      <c r="C62" s="22" t="str">
        <f>IF(INDEX('1'!B:B,MATCH(CheckList!$A62,'1'!$A:$A,0))=0, "N/A", "SIM")</f>
        <v>N/A</v>
      </c>
      <c r="D62" s="22">
        <f>INDEX('1'!Q:Q,MATCH(CheckList!$A62,'1'!$A:$A,0))</f>
        <v>0</v>
      </c>
      <c r="E62" s="22" t="str">
        <f>IF(D62="SIM",IF(MATCH(A62,'2'!$A:$A,0)="","NÃO","SIM"),"NAO")</f>
        <v>NAO</v>
      </c>
      <c r="F62" s="22" t="str">
        <f>IF(INDEX('1'!R:R,MATCH(CheckList!$A62,'1'!$A:$A,0))=0, "N/A", "SIM")</f>
        <v>N/A</v>
      </c>
      <c r="G62" s="22" t="str">
        <f>IF(INDEX('1'!AC:AC,MATCH(CheckList!$A62,'1'!$A:$A,0))=0, "N/A", "SIM")</f>
        <v>N/A</v>
      </c>
      <c r="H62" s="22" t="str">
        <f>IF(INDEX('1'!AF:AF,MATCH(CheckList!$A62,'1'!$A:$A,0))=0, "N/A", "SIM")</f>
        <v>N/A</v>
      </c>
      <c r="I62" s="22" t="str">
        <f>IF(INDEX('1'!L:L,MATCH(CheckList!$A62,'1'!$A:$A,0))=0, "N/A", "SIM")</f>
        <v>N/A</v>
      </c>
      <c r="J62" s="22" t="str">
        <f>IF(LEN(INDEX('1'!L:L,MATCH(CheckList!$A62,'1'!$A:$A,0)))=11, "NAO", IF(LEN(INDEX('1'!L:L,MATCH(CheckList!$A62,'1'!$A:$A,0)))=14,"SIM","N/A"))</f>
        <v>N/A</v>
      </c>
      <c r="K62" s="22" t="str">
        <f>IF(INDEX('1'!BE:BE,MATCH(CheckList!$A62,'1'!$A:$A,0))=0, "N/A", "SIM")</f>
        <v>N/A</v>
      </c>
    </row>
    <row r="63" spans="1:11" x14ac:dyDescent="0.35">
      <c r="A63" s="22">
        <f>'Dados - Cliente'!A63</f>
        <v>0</v>
      </c>
      <c r="B63" s="22" t="e">
        <f>INDEX('Dados - Cliente'!H:H,MATCH(CheckList!A63,'Dados - Cliente'!A:A,0))</f>
        <v>#N/A</v>
      </c>
      <c r="C63" s="22" t="str">
        <f>IF(INDEX('1'!B:B,MATCH(CheckList!$A63,'1'!$A:$A,0))=0, "N/A", "SIM")</f>
        <v>N/A</v>
      </c>
      <c r="D63" s="22">
        <f>INDEX('1'!Q:Q,MATCH(CheckList!$A63,'1'!$A:$A,0))</f>
        <v>0</v>
      </c>
      <c r="E63" s="22" t="str">
        <f>IF(D63="SIM",IF(MATCH(A63,'2'!$A:$A,0)="","NÃO","SIM"),"NAO")</f>
        <v>NAO</v>
      </c>
      <c r="F63" s="22" t="str">
        <f>IF(INDEX('1'!R:R,MATCH(CheckList!$A63,'1'!$A:$A,0))=0, "N/A", "SIM")</f>
        <v>N/A</v>
      </c>
      <c r="G63" s="22" t="str">
        <f>IF(INDEX('1'!AC:AC,MATCH(CheckList!$A63,'1'!$A:$A,0))=0, "N/A", "SIM")</f>
        <v>N/A</v>
      </c>
      <c r="H63" s="22" t="str">
        <f>IF(INDEX('1'!AF:AF,MATCH(CheckList!$A63,'1'!$A:$A,0))=0, "N/A", "SIM")</f>
        <v>N/A</v>
      </c>
      <c r="I63" s="22" t="str">
        <f>IF(INDEX('1'!L:L,MATCH(CheckList!$A63,'1'!$A:$A,0))=0, "N/A", "SIM")</f>
        <v>N/A</v>
      </c>
      <c r="J63" s="22" t="str">
        <f>IF(LEN(INDEX('1'!L:L,MATCH(CheckList!$A63,'1'!$A:$A,0)))=11, "NAO", IF(LEN(INDEX('1'!L:L,MATCH(CheckList!$A63,'1'!$A:$A,0)))=14,"SIM","N/A"))</f>
        <v>N/A</v>
      </c>
      <c r="K63" s="22" t="str">
        <f>IF(INDEX('1'!BE:BE,MATCH(CheckList!$A63,'1'!$A:$A,0))=0, "N/A", "SIM")</f>
        <v>N/A</v>
      </c>
    </row>
    <row r="64" spans="1:11" x14ac:dyDescent="0.35">
      <c r="A64" s="22">
        <f>'Dados - Cliente'!A64</f>
        <v>0</v>
      </c>
      <c r="B64" s="22" t="e">
        <f>INDEX('Dados - Cliente'!H:H,MATCH(CheckList!A64,'Dados - Cliente'!A:A,0))</f>
        <v>#N/A</v>
      </c>
      <c r="C64" s="22" t="str">
        <f>IF(INDEX('1'!B:B,MATCH(CheckList!$A64,'1'!$A:$A,0))=0, "N/A", "SIM")</f>
        <v>N/A</v>
      </c>
      <c r="D64" s="22">
        <f>INDEX('1'!Q:Q,MATCH(CheckList!$A64,'1'!$A:$A,0))</f>
        <v>0</v>
      </c>
      <c r="E64" s="22" t="str">
        <f>IF(D64="SIM",IF(MATCH(A64,'2'!$A:$A,0)="","NÃO","SIM"),"NAO")</f>
        <v>NAO</v>
      </c>
      <c r="F64" s="22" t="str">
        <f>IF(INDEX('1'!R:R,MATCH(CheckList!$A64,'1'!$A:$A,0))=0, "N/A", "SIM")</f>
        <v>N/A</v>
      </c>
      <c r="G64" s="22" t="str">
        <f>IF(INDEX('1'!AC:AC,MATCH(CheckList!$A64,'1'!$A:$A,0))=0, "N/A", "SIM")</f>
        <v>N/A</v>
      </c>
      <c r="H64" s="22" t="str">
        <f>IF(INDEX('1'!AF:AF,MATCH(CheckList!$A64,'1'!$A:$A,0))=0, "N/A", "SIM")</f>
        <v>N/A</v>
      </c>
      <c r="I64" s="22" t="str">
        <f>IF(INDEX('1'!L:L,MATCH(CheckList!$A64,'1'!$A:$A,0))=0, "N/A", "SIM")</f>
        <v>N/A</v>
      </c>
      <c r="J64" s="22" t="str">
        <f>IF(LEN(INDEX('1'!L:L,MATCH(CheckList!$A64,'1'!$A:$A,0)))=11, "NAO", IF(LEN(INDEX('1'!L:L,MATCH(CheckList!$A64,'1'!$A:$A,0)))=14,"SIM","N/A"))</f>
        <v>N/A</v>
      </c>
      <c r="K64" s="22" t="str">
        <f>IF(INDEX('1'!BE:BE,MATCH(CheckList!$A64,'1'!$A:$A,0))=0, "N/A", "SIM")</f>
        <v>N/A</v>
      </c>
    </row>
    <row r="65" spans="1:11" x14ac:dyDescent="0.35">
      <c r="A65" s="22">
        <f>'Dados - Cliente'!A65</f>
        <v>0</v>
      </c>
      <c r="B65" s="22" t="e">
        <f>INDEX('Dados - Cliente'!H:H,MATCH(CheckList!A65,'Dados - Cliente'!A:A,0))</f>
        <v>#N/A</v>
      </c>
      <c r="C65" s="22" t="str">
        <f>IF(INDEX('1'!B:B,MATCH(CheckList!$A65,'1'!$A:$A,0))=0, "N/A", "SIM")</f>
        <v>N/A</v>
      </c>
      <c r="D65" s="22">
        <f>INDEX('1'!Q:Q,MATCH(CheckList!$A65,'1'!$A:$A,0))</f>
        <v>0</v>
      </c>
      <c r="E65" s="22" t="str">
        <f>IF(D65="SIM",IF(MATCH(A65,'2'!$A:$A,0)="","NÃO","SIM"),"NAO")</f>
        <v>NAO</v>
      </c>
      <c r="F65" s="22" t="str">
        <f>IF(INDEX('1'!R:R,MATCH(CheckList!$A65,'1'!$A:$A,0))=0, "N/A", "SIM")</f>
        <v>N/A</v>
      </c>
      <c r="G65" s="22" t="str">
        <f>IF(INDEX('1'!AC:AC,MATCH(CheckList!$A65,'1'!$A:$A,0))=0, "N/A", "SIM")</f>
        <v>N/A</v>
      </c>
      <c r="H65" s="22" t="str">
        <f>IF(INDEX('1'!AF:AF,MATCH(CheckList!$A65,'1'!$A:$A,0))=0, "N/A", "SIM")</f>
        <v>N/A</v>
      </c>
      <c r="I65" s="22" t="str">
        <f>IF(INDEX('1'!L:L,MATCH(CheckList!$A65,'1'!$A:$A,0))=0, "N/A", "SIM")</f>
        <v>N/A</v>
      </c>
      <c r="J65" s="22" t="str">
        <f>IF(LEN(INDEX('1'!L:L,MATCH(CheckList!$A65,'1'!$A:$A,0)))=11, "NAO", IF(LEN(INDEX('1'!L:L,MATCH(CheckList!$A65,'1'!$A:$A,0)))=14,"SIM","N/A"))</f>
        <v>N/A</v>
      </c>
      <c r="K65" s="22" t="str">
        <f>IF(INDEX('1'!BE:BE,MATCH(CheckList!$A65,'1'!$A:$A,0))=0, "N/A", "SIM")</f>
        <v>N/A</v>
      </c>
    </row>
    <row r="66" spans="1:11" x14ac:dyDescent="0.35">
      <c r="A66" s="22">
        <f>'Dados - Cliente'!A66</f>
        <v>0</v>
      </c>
      <c r="B66" s="22" t="e">
        <f>INDEX('Dados - Cliente'!H:H,MATCH(CheckList!A66,'Dados - Cliente'!A:A,0))</f>
        <v>#N/A</v>
      </c>
      <c r="C66" s="22" t="str">
        <f>IF(INDEX('1'!B:B,MATCH(CheckList!$A66,'1'!$A:$A,0))=0, "N/A", "SIM")</f>
        <v>N/A</v>
      </c>
      <c r="D66" s="22">
        <f>INDEX('1'!Q:Q,MATCH(CheckList!$A66,'1'!$A:$A,0))</f>
        <v>0</v>
      </c>
      <c r="E66" s="22" t="str">
        <f>IF(D66="SIM",IF(MATCH(A66,'2'!$A:$A,0)="","NÃO","SIM"),"NAO")</f>
        <v>NAO</v>
      </c>
      <c r="F66" s="22" t="str">
        <f>IF(INDEX('1'!R:R,MATCH(CheckList!$A66,'1'!$A:$A,0))=0, "N/A", "SIM")</f>
        <v>N/A</v>
      </c>
      <c r="G66" s="22" t="str">
        <f>IF(INDEX('1'!AC:AC,MATCH(CheckList!$A66,'1'!$A:$A,0))=0, "N/A", "SIM")</f>
        <v>N/A</v>
      </c>
      <c r="H66" s="22" t="str">
        <f>IF(INDEX('1'!AF:AF,MATCH(CheckList!$A66,'1'!$A:$A,0))=0, "N/A", "SIM")</f>
        <v>N/A</v>
      </c>
      <c r="I66" s="22" t="str">
        <f>IF(INDEX('1'!L:L,MATCH(CheckList!$A66,'1'!$A:$A,0))=0, "N/A", "SIM")</f>
        <v>N/A</v>
      </c>
      <c r="J66" s="22" t="str">
        <f>IF(LEN(INDEX('1'!L:L,MATCH(CheckList!$A66,'1'!$A:$A,0)))=11, "NAO", IF(LEN(INDEX('1'!L:L,MATCH(CheckList!$A66,'1'!$A:$A,0)))=14,"SIM","N/A"))</f>
        <v>N/A</v>
      </c>
      <c r="K66" s="22" t="str">
        <f>IF(INDEX('1'!BE:BE,MATCH(CheckList!$A66,'1'!$A:$A,0))=0, "N/A", "SIM")</f>
        <v>N/A</v>
      </c>
    </row>
    <row r="67" spans="1:11" x14ac:dyDescent="0.35">
      <c r="A67" s="22">
        <f>'Dados - Cliente'!A67</f>
        <v>0</v>
      </c>
      <c r="B67" s="22" t="e">
        <f>INDEX('Dados - Cliente'!H:H,MATCH(CheckList!A67,'Dados - Cliente'!A:A,0))</f>
        <v>#N/A</v>
      </c>
      <c r="C67" s="22" t="str">
        <f>IF(INDEX('1'!B:B,MATCH(CheckList!$A67,'1'!$A:$A,0))=0, "N/A", "SIM")</f>
        <v>N/A</v>
      </c>
      <c r="D67" s="22">
        <f>INDEX('1'!Q:Q,MATCH(CheckList!$A67,'1'!$A:$A,0))</f>
        <v>0</v>
      </c>
      <c r="E67" s="22" t="str">
        <f>IF(D67="SIM",IF(MATCH(A67,'2'!$A:$A,0)="","NÃO","SIM"),"NAO")</f>
        <v>NAO</v>
      </c>
      <c r="F67" s="22" t="str">
        <f>IF(INDEX('1'!R:R,MATCH(CheckList!$A67,'1'!$A:$A,0))=0, "N/A", "SIM")</f>
        <v>N/A</v>
      </c>
      <c r="G67" s="22" t="str">
        <f>IF(INDEX('1'!AC:AC,MATCH(CheckList!$A67,'1'!$A:$A,0))=0, "N/A", "SIM")</f>
        <v>N/A</v>
      </c>
      <c r="H67" s="22" t="str">
        <f>IF(INDEX('1'!AF:AF,MATCH(CheckList!$A67,'1'!$A:$A,0))=0, "N/A", "SIM")</f>
        <v>N/A</v>
      </c>
      <c r="I67" s="22" t="str">
        <f>IF(INDEX('1'!L:L,MATCH(CheckList!$A67,'1'!$A:$A,0))=0, "N/A", "SIM")</f>
        <v>N/A</v>
      </c>
      <c r="J67" s="22" t="str">
        <f>IF(LEN(INDEX('1'!L:L,MATCH(CheckList!$A67,'1'!$A:$A,0)))=11, "NAO", IF(LEN(INDEX('1'!L:L,MATCH(CheckList!$A67,'1'!$A:$A,0)))=14,"SIM","N/A"))</f>
        <v>N/A</v>
      </c>
      <c r="K67" s="22" t="str">
        <f>IF(INDEX('1'!BE:BE,MATCH(CheckList!$A67,'1'!$A:$A,0))=0, "N/A", "SIM")</f>
        <v>N/A</v>
      </c>
    </row>
    <row r="68" spans="1:11" x14ac:dyDescent="0.35">
      <c r="A68" s="22">
        <f>'Dados - Cliente'!A68</f>
        <v>0</v>
      </c>
      <c r="B68" s="22" t="e">
        <f>INDEX('Dados - Cliente'!H:H,MATCH(CheckList!A68,'Dados - Cliente'!A:A,0))</f>
        <v>#N/A</v>
      </c>
      <c r="C68" s="22" t="str">
        <f>IF(INDEX('1'!B:B,MATCH(CheckList!$A68,'1'!$A:$A,0))=0, "N/A", "SIM")</f>
        <v>N/A</v>
      </c>
      <c r="D68" s="22">
        <f>INDEX('1'!Q:Q,MATCH(CheckList!$A68,'1'!$A:$A,0))</f>
        <v>0</v>
      </c>
      <c r="E68" s="22" t="str">
        <f>IF(D68="SIM",IF(MATCH(A68,'2'!$A:$A,0)="","NÃO","SIM"),"NAO")</f>
        <v>NAO</v>
      </c>
      <c r="F68" s="22" t="str">
        <f>IF(INDEX('1'!R:R,MATCH(CheckList!$A68,'1'!$A:$A,0))=0, "N/A", "SIM")</f>
        <v>N/A</v>
      </c>
      <c r="G68" s="22" t="str">
        <f>IF(INDEX('1'!AC:AC,MATCH(CheckList!$A68,'1'!$A:$A,0))=0, "N/A", "SIM")</f>
        <v>N/A</v>
      </c>
      <c r="H68" s="22" t="str">
        <f>IF(INDEX('1'!AF:AF,MATCH(CheckList!$A68,'1'!$A:$A,0))=0, "N/A", "SIM")</f>
        <v>N/A</v>
      </c>
      <c r="I68" s="22" t="str">
        <f>IF(INDEX('1'!L:L,MATCH(CheckList!$A68,'1'!$A:$A,0))=0, "N/A", "SIM")</f>
        <v>N/A</v>
      </c>
      <c r="J68" s="22" t="str">
        <f>IF(LEN(INDEX('1'!L:L,MATCH(CheckList!$A68,'1'!$A:$A,0)))=11, "NAO", IF(LEN(INDEX('1'!L:L,MATCH(CheckList!$A68,'1'!$A:$A,0)))=14,"SIM","N/A"))</f>
        <v>N/A</v>
      </c>
      <c r="K68" s="22" t="str">
        <f>IF(INDEX('1'!BE:BE,MATCH(CheckList!$A68,'1'!$A:$A,0))=0, "N/A", "SIM")</f>
        <v>N/A</v>
      </c>
    </row>
    <row r="69" spans="1:11" x14ac:dyDescent="0.35">
      <c r="A69" s="22">
        <f>'Dados - Cliente'!A69</f>
        <v>0</v>
      </c>
      <c r="B69" s="22" t="e">
        <f>INDEX('Dados - Cliente'!H:H,MATCH(CheckList!A69,'Dados - Cliente'!A:A,0))</f>
        <v>#N/A</v>
      </c>
      <c r="C69" s="22" t="str">
        <f>IF(INDEX('1'!B:B,MATCH(CheckList!$A69,'1'!$A:$A,0))=0, "N/A", "SIM")</f>
        <v>N/A</v>
      </c>
      <c r="D69" s="22">
        <f>INDEX('1'!Q:Q,MATCH(CheckList!$A69,'1'!$A:$A,0))</f>
        <v>0</v>
      </c>
      <c r="E69" s="22" t="str">
        <f>IF(D69="SIM",IF(MATCH(A69,'2'!$A:$A,0)="","NÃO","SIM"),"NAO")</f>
        <v>NAO</v>
      </c>
      <c r="F69" s="22" t="str">
        <f>IF(INDEX('1'!R:R,MATCH(CheckList!$A69,'1'!$A:$A,0))=0, "N/A", "SIM")</f>
        <v>N/A</v>
      </c>
      <c r="G69" s="22" t="str">
        <f>IF(INDEX('1'!AC:AC,MATCH(CheckList!$A69,'1'!$A:$A,0))=0, "N/A", "SIM")</f>
        <v>N/A</v>
      </c>
      <c r="H69" s="22" t="str">
        <f>IF(INDEX('1'!AF:AF,MATCH(CheckList!$A69,'1'!$A:$A,0))=0, "N/A", "SIM")</f>
        <v>N/A</v>
      </c>
      <c r="I69" s="22" t="str">
        <f>IF(INDEX('1'!L:L,MATCH(CheckList!$A69,'1'!$A:$A,0))=0, "N/A", "SIM")</f>
        <v>N/A</v>
      </c>
      <c r="J69" s="22" t="str">
        <f>IF(LEN(INDEX('1'!L:L,MATCH(CheckList!$A69,'1'!$A:$A,0)))=11, "NAO", IF(LEN(INDEX('1'!L:L,MATCH(CheckList!$A69,'1'!$A:$A,0)))=14,"SIM","N/A"))</f>
        <v>N/A</v>
      </c>
      <c r="K69" s="22" t="str">
        <f>IF(INDEX('1'!BE:BE,MATCH(CheckList!$A69,'1'!$A:$A,0))=0, "N/A", "SIM")</f>
        <v>N/A</v>
      </c>
    </row>
    <row r="70" spans="1:11" x14ac:dyDescent="0.35">
      <c r="A70" s="22">
        <f>'Dados - Cliente'!A70</f>
        <v>0</v>
      </c>
      <c r="B70" s="22" t="e">
        <f>INDEX('Dados - Cliente'!H:H,MATCH(CheckList!A70,'Dados - Cliente'!A:A,0))</f>
        <v>#N/A</v>
      </c>
      <c r="C70" s="22" t="str">
        <f>IF(INDEX('1'!B:B,MATCH(CheckList!$A70,'1'!$A:$A,0))=0, "N/A", "SIM")</f>
        <v>N/A</v>
      </c>
      <c r="D70" s="22">
        <f>INDEX('1'!Q:Q,MATCH(CheckList!$A70,'1'!$A:$A,0))</f>
        <v>0</v>
      </c>
      <c r="E70" s="22" t="str">
        <f>IF(D70="SIM",IF(MATCH(A70,'2'!$A:$A,0)="","NÃO","SIM"),"NAO")</f>
        <v>NAO</v>
      </c>
      <c r="F70" s="22" t="str">
        <f>IF(INDEX('1'!R:R,MATCH(CheckList!$A70,'1'!$A:$A,0))=0, "N/A", "SIM")</f>
        <v>N/A</v>
      </c>
      <c r="G70" s="22" t="str">
        <f>IF(INDEX('1'!AC:AC,MATCH(CheckList!$A70,'1'!$A:$A,0))=0, "N/A", "SIM")</f>
        <v>N/A</v>
      </c>
      <c r="H70" s="22" t="str">
        <f>IF(INDEX('1'!AF:AF,MATCH(CheckList!$A70,'1'!$A:$A,0))=0, "N/A", "SIM")</f>
        <v>N/A</v>
      </c>
      <c r="I70" s="22" t="str">
        <f>IF(INDEX('1'!L:L,MATCH(CheckList!$A70,'1'!$A:$A,0))=0, "N/A", "SIM")</f>
        <v>N/A</v>
      </c>
      <c r="J70" s="22" t="str">
        <f>IF(LEN(INDEX('1'!L:L,MATCH(CheckList!$A70,'1'!$A:$A,0)))=11, "NAO", IF(LEN(INDEX('1'!L:L,MATCH(CheckList!$A70,'1'!$A:$A,0)))=14,"SIM","N/A"))</f>
        <v>N/A</v>
      </c>
      <c r="K70" s="22" t="str">
        <f>IF(INDEX('1'!BE:BE,MATCH(CheckList!$A70,'1'!$A:$A,0))=0, "N/A", "SIM")</f>
        <v>N/A</v>
      </c>
    </row>
    <row r="71" spans="1:11" x14ac:dyDescent="0.35">
      <c r="A71" s="22">
        <f>'Dados - Cliente'!A71</f>
        <v>0</v>
      </c>
      <c r="B71" s="22" t="e">
        <f>INDEX('Dados - Cliente'!H:H,MATCH(CheckList!A71,'Dados - Cliente'!A:A,0))</f>
        <v>#N/A</v>
      </c>
      <c r="C71" s="22" t="str">
        <f>IF(INDEX('1'!B:B,MATCH(CheckList!$A71,'1'!$A:$A,0))=0, "N/A", "SIM")</f>
        <v>N/A</v>
      </c>
      <c r="D71" s="22">
        <f>INDEX('1'!Q:Q,MATCH(CheckList!$A71,'1'!$A:$A,0))</f>
        <v>0</v>
      </c>
      <c r="E71" s="22" t="str">
        <f>IF(D71="SIM",IF(MATCH(A71,'2'!$A:$A,0)="","NÃO","SIM"),"NAO")</f>
        <v>NAO</v>
      </c>
      <c r="F71" s="22" t="str">
        <f>IF(INDEX('1'!R:R,MATCH(CheckList!$A71,'1'!$A:$A,0))=0, "N/A", "SIM")</f>
        <v>N/A</v>
      </c>
      <c r="G71" s="22" t="str">
        <f>IF(INDEX('1'!AC:AC,MATCH(CheckList!$A71,'1'!$A:$A,0))=0, "N/A", "SIM")</f>
        <v>N/A</v>
      </c>
      <c r="H71" s="22" t="str">
        <f>IF(INDEX('1'!AF:AF,MATCH(CheckList!$A71,'1'!$A:$A,0))=0, "N/A", "SIM")</f>
        <v>N/A</v>
      </c>
      <c r="I71" s="22" t="str">
        <f>IF(INDEX('1'!L:L,MATCH(CheckList!$A71,'1'!$A:$A,0))=0, "N/A", "SIM")</f>
        <v>N/A</v>
      </c>
      <c r="J71" s="22" t="str">
        <f>IF(LEN(INDEX('1'!L:L,MATCH(CheckList!$A71,'1'!$A:$A,0)))=11, "NAO", IF(LEN(INDEX('1'!L:L,MATCH(CheckList!$A71,'1'!$A:$A,0)))=14,"SIM","N/A"))</f>
        <v>N/A</v>
      </c>
      <c r="K71" s="22" t="str">
        <f>IF(INDEX('1'!BE:BE,MATCH(CheckList!$A71,'1'!$A:$A,0))=0, "N/A", "SIM")</f>
        <v>N/A</v>
      </c>
    </row>
    <row r="72" spans="1:11" x14ac:dyDescent="0.35">
      <c r="A72" s="22">
        <f>'Dados - Cliente'!A72</f>
        <v>0</v>
      </c>
      <c r="B72" s="22" t="e">
        <f>INDEX('Dados - Cliente'!H:H,MATCH(CheckList!A72,'Dados - Cliente'!A:A,0))</f>
        <v>#N/A</v>
      </c>
      <c r="C72" s="22" t="str">
        <f>IF(INDEX('1'!B:B,MATCH(CheckList!$A72,'1'!$A:$A,0))=0, "N/A", "SIM")</f>
        <v>N/A</v>
      </c>
      <c r="D72" s="22">
        <f>INDEX('1'!Q:Q,MATCH(CheckList!$A72,'1'!$A:$A,0))</f>
        <v>0</v>
      </c>
      <c r="E72" s="22" t="str">
        <f>IF(D72="SIM",IF(MATCH(A72,'2'!$A:$A,0)="","NÃO","SIM"),"NAO")</f>
        <v>NAO</v>
      </c>
      <c r="F72" s="22" t="str">
        <f>IF(INDEX('1'!R:R,MATCH(CheckList!$A72,'1'!$A:$A,0))=0, "N/A", "SIM")</f>
        <v>N/A</v>
      </c>
      <c r="G72" s="22" t="str">
        <f>IF(INDEX('1'!AC:AC,MATCH(CheckList!$A72,'1'!$A:$A,0))=0, "N/A", "SIM")</f>
        <v>N/A</v>
      </c>
      <c r="H72" s="22" t="str">
        <f>IF(INDEX('1'!AF:AF,MATCH(CheckList!$A72,'1'!$A:$A,0))=0, "N/A", "SIM")</f>
        <v>N/A</v>
      </c>
      <c r="I72" s="22" t="str">
        <f>IF(INDEX('1'!L:L,MATCH(CheckList!$A72,'1'!$A:$A,0))=0, "N/A", "SIM")</f>
        <v>N/A</v>
      </c>
      <c r="J72" s="22" t="str">
        <f>IF(LEN(INDEX('1'!L:L,MATCH(CheckList!$A72,'1'!$A:$A,0)))=11, "NAO", IF(LEN(INDEX('1'!L:L,MATCH(CheckList!$A72,'1'!$A:$A,0)))=14,"SIM","N/A"))</f>
        <v>N/A</v>
      </c>
      <c r="K72" s="22" t="str">
        <f>IF(INDEX('1'!BE:BE,MATCH(CheckList!$A72,'1'!$A:$A,0))=0, "N/A", "SIM")</f>
        <v>N/A</v>
      </c>
    </row>
    <row r="73" spans="1:11" x14ac:dyDescent="0.35">
      <c r="A73" s="22">
        <f>'Dados - Cliente'!A73</f>
        <v>0</v>
      </c>
      <c r="B73" s="22" t="e">
        <f>INDEX('Dados - Cliente'!H:H,MATCH(CheckList!A73,'Dados - Cliente'!A:A,0))</f>
        <v>#N/A</v>
      </c>
      <c r="C73" s="22" t="str">
        <f>IF(INDEX('1'!B:B,MATCH(CheckList!$A73,'1'!$A:$A,0))=0, "N/A", "SIM")</f>
        <v>N/A</v>
      </c>
      <c r="D73" s="22">
        <f>INDEX('1'!Q:Q,MATCH(CheckList!$A73,'1'!$A:$A,0))</f>
        <v>0</v>
      </c>
      <c r="E73" s="22" t="str">
        <f>IF(D73="SIM",IF(MATCH(A73,'2'!$A:$A,0)="","NÃO","SIM"),"NAO")</f>
        <v>NAO</v>
      </c>
      <c r="F73" s="22" t="str">
        <f>IF(INDEX('1'!R:R,MATCH(CheckList!$A73,'1'!$A:$A,0))=0, "N/A", "SIM")</f>
        <v>N/A</v>
      </c>
      <c r="G73" s="22" t="str">
        <f>IF(INDEX('1'!AC:AC,MATCH(CheckList!$A73,'1'!$A:$A,0))=0, "N/A", "SIM")</f>
        <v>N/A</v>
      </c>
      <c r="H73" s="22" t="str">
        <f>IF(INDEX('1'!AF:AF,MATCH(CheckList!$A73,'1'!$A:$A,0))=0, "N/A", "SIM")</f>
        <v>N/A</v>
      </c>
      <c r="I73" s="22" t="str">
        <f>IF(INDEX('1'!L:L,MATCH(CheckList!$A73,'1'!$A:$A,0))=0, "N/A", "SIM")</f>
        <v>N/A</v>
      </c>
      <c r="J73" s="22" t="str">
        <f>IF(LEN(INDEX('1'!L:L,MATCH(CheckList!$A73,'1'!$A:$A,0)))=11, "NAO", IF(LEN(INDEX('1'!L:L,MATCH(CheckList!$A73,'1'!$A:$A,0)))=14,"SIM","N/A"))</f>
        <v>N/A</v>
      </c>
      <c r="K73" s="22" t="str">
        <f>IF(INDEX('1'!BE:BE,MATCH(CheckList!$A73,'1'!$A:$A,0))=0, "N/A", "SIM")</f>
        <v>N/A</v>
      </c>
    </row>
    <row r="74" spans="1:11" x14ac:dyDescent="0.35">
      <c r="A74" s="22">
        <f>'Dados - Cliente'!A74</f>
        <v>0</v>
      </c>
      <c r="B74" s="22" t="e">
        <f>INDEX('Dados - Cliente'!H:H,MATCH(CheckList!A74,'Dados - Cliente'!A:A,0))</f>
        <v>#N/A</v>
      </c>
      <c r="C74" s="22" t="str">
        <f>IF(INDEX('1'!B:B,MATCH(CheckList!$A74,'1'!$A:$A,0))=0, "N/A", "SIM")</f>
        <v>N/A</v>
      </c>
      <c r="D74" s="22">
        <f>INDEX('1'!Q:Q,MATCH(CheckList!$A74,'1'!$A:$A,0))</f>
        <v>0</v>
      </c>
      <c r="E74" s="22" t="str">
        <f>IF(D74="SIM",IF(MATCH(A74,'2'!$A:$A,0)="","NÃO","SIM"),"NAO")</f>
        <v>NAO</v>
      </c>
      <c r="F74" s="22" t="str">
        <f>IF(INDEX('1'!R:R,MATCH(CheckList!$A74,'1'!$A:$A,0))=0, "N/A", "SIM")</f>
        <v>N/A</v>
      </c>
      <c r="G74" s="22" t="str">
        <f>IF(INDEX('1'!AC:AC,MATCH(CheckList!$A74,'1'!$A:$A,0))=0, "N/A", "SIM")</f>
        <v>N/A</v>
      </c>
      <c r="H74" s="22" t="str">
        <f>IF(INDEX('1'!AF:AF,MATCH(CheckList!$A74,'1'!$A:$A,0))=0, "N/A", "SIM")</f>
        <v>N/A</v>
      </c>
      <c r="I74" s="22" t="str">
        <f>IF(INDEX('1'!L:L,MATCH(CheckList!$A74,'1'!$A:$A,0))=0, "N/A", "SIM")</f>
        <v>N/A</v>
      </c>
      <c r="J74" s="22" t="str">
        <f>IF(LEN(INDEX('1'!L:L,MATCH(CheckList!$A74,'1'!$A:$A,0)))=11, "NAO", IF(LEN(INDEX('1'!L:L,MATCH(CheckList!$A74,'1'!$A:$A,0)))=14,"SIM","N/A"))</f>
        <v>N/A</v>
      </c>
      <c r="K74" s="22" t="str">
        <f>IF(INDEX('1'!BE:BE,MATCH(CheckList!$A74,'1'!$A:$A,0))=0, "N/A", "SIM")</f>
        <v>N/A</v>
      </c>
    </row>
    <row r="75" spans="1:11" x14ac:dyDescent="0.35">
      <c r="A75" s="22">
        <f>'Dados - Cliente'!A75</f>
        <v>0</v>
      </c>
      <c r="B75" s="22" t="e">
        <f>INDEX('Dados - Cliente'!H:H,MATCH(CheckList!A75,'Dados - Cliente'!A:A,0))</f>
        <v>#N/A</v>
      </c>
      <c r="C75" s="22" t="str">
        <f>IF(INDEX('1'!B:B,MATCH(CheckList!$A75,'1'!$A:$A,0))=0, "N/A", "SIM")</f>
        <v>N/A</v>
      </c>
      <c r="D75" s="22">
        <f>INDEX('1'!Q:Q,MATCH(CheckList!$A75,'1'!$A:$A,0))</f>
        <v>0</v>
      </c>
      <c r="E75" s="22" t="str">
        <f>IF(D75="SIM",IF(MATCH(A75,'2'!$A:$A,0)="","NÃO","SIM"),"NAO")</f>
        <v>NAO</v>
      </c>
      <c r="F75" s="22" t="str">
        <f>IF(INDEX('1'!R:R,MATCH(CheckList!$A75,'1'!$A:$A,0))=0, "N/A", "SIM")</f>
        <v>N/A</v>
      </c>
      <c r="G75" s="22" t="str">
        <f>IF(INDEX('1'!AC:AC,MATCH(CheckList!$A75,'1'!$A:$A,0))=0, "N/A", "SIM")</f>
        <v>N/A</v>
      </c>
      <c r="H75" s="22" t="str">
        <f>IF(INDEX('1'!AF:AF,MATCH(CheckList!$A75,'1'!$A:$A,0))=0, "N/A", "SIM")</f>
        <v>N/A</v>
      </c>
      <c r="I75" s="22" t="str">
        <f>IF(INDEX('1'!L:L,MATCH(CheckList!$A75,'1'!$A:$A,0))=0, "N/A", "SIM")</f>
        <v>N/A</v>
      </c>
      <c r="J75" s="22" t="str">
        <f>IF(LEN(INDEX('1'!L:L,MATCH(CheckList!$A75,'1'!$A:$A,0)))=11, "NAO", IF(LEN(INDEX('1'!L:L,MATCH(CheckList!$A75,'1'!$A:$A,0)))=14,"SIM","N/A"))</f>
        <v>N/A</v>
      </c>
      <c r="K75" s="22" t="str">
        <f>IF(INDEX('1'!BE:BE,MATCH(CheckList!$A75,'1'!$A:$A,0))=0, "N/A", "SIM")</f>
        <v>N/A</v>
      </c>
    </row>
    <row r="76" spans="1:11" x14ac:dyDescent="0.35">
      <c r="A76" s="22">
        <f>'Dados - Cliente'!A76</f>
        <v>0</v>
      </c>
      <c r="B76" s="22" t="e">
        <f>INDEX('Dados - Cliente'!H:H,MATCH(CheckList!A76,'Dados - Cliente'!A:A,0))</f>
        <v>#N/A</v>
      </c>
      <c r="C76" s="22" t="str">
        <f>IF(INDEX('1'!B:B,MATCH(CheckList!$A76,'1'!$A:$A,0))=0, "N/A", "SIM")</f>
        <v>N/A</v>
      </c>
      <c r="D76" s="22">
        <f>INDEX('1'!Q:Q,MATCH(CheckList!$A76,'1'!$A:$A,0))</f>
        <v>0</v>
      </c>
      <c r="E76" s="22" t="str">
        <f>IF(D76="SIM",IF(MATCH(A76,'2'!$A:$A,0)="","NÃO","SIM"),"NAO")</f>
        <v>NAO</v>
      </c>
      <c r="F76" s="22" t="str">
        <f>IF(INDEX('1'!R:R,MATCH(CheckList!$A76,'1'!$A:$A,0))=0, "N/A", "SIM")</f>
        <v>N/A</v>
      </c>
      <c r="G76" s="22" t="str">
        <f>IF(INDEX('1'!AC:AC,MATCH(CheckList!$A76,'1'!$A:$A,0))=0, "N/A", "SIM")</f>
        <v>N/A</v>
      </c>
      <c r="H76" s="22" t="str">
        <f>IF(INDEX('1'!AF:AF,MATCH(CheckList!$A76,'1'!$A:$A,0))=0, "N/A", "SIM")</f>
        <v>N/A</v>
      </c>
      <c r="I76" s="22" t="str">
        <f>IF(INDEX('1'!L:L,MATCH(CheckList!$A76,'1'!$A:$A,0))=0, "N/A", "SIM")</f>
        <v>N/A</v>
      </c>
      <c r="J76" s="22" t="str">
        <f>IF(LEN(INDEX('1'!L:L,MATCH(CheckList!$A76,'1'!$A:$A,0)))=11, "NAO", IF(LEN(INDEX('1'!L:L,MATCH(CheckList!$A76,'1'!$A:$A,0)))=14,"SIM","N/A"))</f>
        <v>N/A</v>
      </c>
      <c r="K76" s="22" t="str">
        <f>IF(INDEX('1'!BE:BE,MATCH(CheckList!$A76,'1'!$A:$A,0))=0, "N/A", "SIM")</f>
        <v>N/A</v>
      </c>
    </row>
    <row r="77" spans="1:11" x14ac:dyDescent="0.35">
      <c r="A77" s="22">
        <f>'Dados - Cliente'!A77</f>
        <v>0</v>
      </c>
      <c r="B77" s="22" t="e">
        <f>INDEX('Dados - Cliente'!H:H,MATCH(CheckList!A77,'Dados - Cliente'!A:A,0))</f>
        <v>#N/A</v>
      </c>
      <c r="C77" s="22" t="str">
        <f>IF(INDEX('1'!B:B,MATCH(CheckList!$A77,'1'!$A:$A,0))=0, "N/A", "SIM")</f>
        <v>N/A</v>
      </c>
      <c r="D77" s="22">
        <f>INDEX('1'!Q:Q,MATCH(CheckList!$A77,'1'!$A:$A,0))</f>
        <v>0</v>
      </c>
      <c r="E77" s="22" t="str">
        <f>IF(D77="SIM",IF(MATCH(A77,'2'!$A:$A,0)="","NÃO","SIM"),"NAO")</f>
        <v>NAO</v>
      </c>
      <c r="F77" s="22" t="str">
        <f>IF(INDEX('1'!R:R,MATCH(CheckList!$A77,'1'!$A:$A,0))=0, "N/A", "SIM")</f>
        <v>N/A</v>
      </c>
      <c r="G77" s="22" t="str">
        <f>IF(INDEX('1'!AC:AC,MATCH(CheckList!$A77,'1'!$A:$A,0))=0, "N/A", "SIM")</f>
        <v>N/A</v>
      </c>
      <c r="H77" s="22" t="str">
        <f>IF(INDEX('1'!AF:AF,MATCH(CheckList!$A77,'1'!$A:$A,0))=0, "N/A", "SIM")</f>
        <v>N/A</v>
      </c>
      <c r="I77" s="22" t="str">
        <f>IF(INDEX('1'!L:L,MATCH(CheckList!$A77,'1'!$A:$A,0))=0, "N/A", "SIM")</f>
        <v>N/A</v>
      </c>
      <c r="J77" s="22" t="str">
        <f>IF(LEN(INDEX('1'!L:L,MATCH(CheckList!$A77,'1'!$A:$A,0)))=11, "NAO", IF(LEN(INDEX('1'!L:L,MATCH(CheckList!$A77,'1'!$A:$A,0)))=14,"SIM","N/A"))</f>
        <v>N/A</v>
      </c>
      <c r="K77" s="22" t="str">
        <f>IF(INDEX('1'!BE:BE,MATCH(CheckList!$A77,'1'!$A:$A,0))=0, "N/A", "SIM")</f>
        <v>N/A</v>
      </c>
    </row>
    <row r="78" spans="1:11" x14ac:dyDescent="0.35">
      <c r="A78" s="22">
        <f>'Dados - Cliente'!A78</f>
        <v>0</v>
      </c>
      <c r="B78" s="22" t="e">
        <f>INDEX('Dados - Cliente'!H:H,MATCH(CheckList!A78,'Dados - Cliente'!A:A,0))</f>
        <v>#N/A</v>
      </c>
      <c r="C78" s="22" t="str">
        <f>IF(INDEX('1'!B:B,MATCH(CheckList!$A78,'1'!$A:$A,0))=0, "N/A", "SIM")</f>
        <v>N/A</v>
      </c>
      <c r="D78" s="22">
        <f>INDEX('1'!Q:Q,MATCH(CheckList!$A78,'1'!$A:$A,0))</f>
        <v>0</v>
      </c>
      <c r="E78" s="22" t="str">
        <f>IF(D78="SIM",IF(MATCH(A78,'2'!$A:$A,0)="","NÃO","SIM"),"NAO")</f>
        <v>NAO</v>
      </c>
      <c r="F78" s="22" t="str">
        <f>IF(INDEX('1'!R:R,MATCH(CheckList!$A78,'1'!$A:$A,0))=0, "N/A", "SIM")</f>
        <v>N/A</v>
      </c>
      <c r="G78" s="22" t="str">
        <f>IF(INDEX('1'!AC:AC,MATCH(CheckList!$A78,'1'!$A:$A,0))=0, "N/A", "SIM")</f>
        <v>N/A</v>
      </c>
      <c r="H78" s="22" t="str">
        <f>IF(INDEX('1'!AF:AF,MATCH(CheckList!$A78,'1'!$A:$A,0))=0, "N/A", "SIM")</f>
        <v>N/A</v>
      </c>
      <c r="I78" s="22" t="str">
        <f>IF(INDEX('1'!L:L,MATCH(CheckList!$A78,'1'!$A:$A,0))=0, "N/A", "SIM")</f>
        <v>N/A</v>
      </c>
      <c r="J78" s="22" t="str">
        <f>IF(LEN(INDEX('1'!L:L,MATCH(CheckList!$A78,'1'!$A:$A,0)))=11, "NAO", IF(LEN(INDEX('1'!L:L,MATCH(CheckList!$A78,'1'!$A:$A,0)))=14,"SIM","N/A"))</f>
        <v>N/A</v>
      </c>
      <c r="K78" s="22" t="str">
        <f>IF(INDEX('1'!BE:BE,MATCH(CheckList!$A78,'1'!$A:$A,0))=0, "N/A", "SIM")</f>
        <v>N/A</v>
      </c>
    </row>
    <row r="79" spans="1:11" x14ac:dyDescent="0.35">
      <c r="A79" s="22">
        <f>'Dados - Cliente'!A79</f>
        <v>0</v>
      </c>
      <c r="B79" s="22" t="e">
        <f>INDEX('Dados - Cliente'!H:H,MATCH(CheckList!A79,'Dados - Cliente'!A:A,0))</f>
        <v>#N/A</v>
      </c>
      <c r="C79" s="22" t="str">
        <f>IF(INDEX('1'!B:B,MATCH(CheckList!$A79,'1'!$A:$A,0))=0, "N/A", "SIM")</f>
        <v>N/A</v>
      </c>
      <c r="D79" s="22">
        <f>INDEX('1'!Q:Q,MATCH(CheckList!$A79,'1'!$A:$A,0))</f>
        <v>0</v>
      </c>
      <c r="E79" s="22" t="str">
        <f>IF(D79="SIM",IF(MATCH(A79,'2'!$A:$A,0)="","NÃO","SIM"),"NAO")</f>
        <v>NAO</v>
      </c>
      <c r="F79" s="22" t="str">
        <f>IF(INDEX('1'!R:R,MATCH(CheckList!$A79,'1'!$A:$A,0))=0, "N/A", "SIM")</f>
        <v>N/A</v>
      </c>
      <c r="G79" s="22" t="str">
        <f>IF(INDEX('1'!AC:AC,MATCH(CheckList!$A79,'1'!$A:$A,0))=0, "N/A", "SIM")</f>
        <v>N/A</v>
      </c>
      <c r="H79" s="22" t="str">
        <f>IF(INDEX('1'!AF:AF,MATCH(CheckList!$A79,'1'!$A:$A,0))=0, "N/A", "SIM")</f>
        <v>N/A</v>
      </c>
      <c r="I79" s="22" t="str">
        <f>IF(INDEX('1'!L:L,MATCH(CheckList!$A79,'1'!$A:$A,0))=0, "N/A", "SIM")</f>
        <v>N/A</v>
      </c>
      <c r="J79" s="22" t="str">
        <f>IF(LEN(INDEX('1'!L:L,MATCH(CheckList!$A79,'1'!$A:$A,0)))=11, "NAO", IF(LEN(INDEX('1'!L:L,MATCH(CheckList!$A79,'1'!$A:$A,0)))=14,"SIM","N/A"))</f>
        <v>N/A</v>
      </c>
      <c r="K79" s="22" t="str">
        <f>IF(INDEX('1'!BE:BE,MATCH(CheckList!$A79,'1'!$A:$A,0))=0, "N/A", "SIM")</f>
        <v>N/A</v>
      </c>
    </row>
    <row r="80" spans="1:11" x14ac:dyDescent="0.35">
      <c r="A80" s="22">
        <f>'Dados - Cliente'!A80</f>
        <v>0</v>
      </c>
      <c r="B80" s="22" t="e">
        <f>INDEX('Dados - Cliente'!H:H,MATCH(CheckList!A80,'Dados - Cliente'!A:A,0))</f>
        <v>#N/A</v>
      </c>
      <c r="C80" s="22" t="str">
        <f>IF(INDEX('1'!B:B,MATCH(CheckList!$A80,'1'!$A:$A,0))=0, "N/A", "SIM")</f>
        <v>N/A</v>
      </c>
      <c r="D80" s="22">
        <f>INDEX('1'!Q:Q,MATCH(CheckList!$A80,'1'!$A:$A,0))</f>
        <v>0</v>
      </c>
      <c r="E80" s="22" t="str">
        <f>IF(D80="SIM",IF(MATCH(A80,'2'!$A:$A,0)="","NÃO","SIM"),"NAO")</f>
        <v>NAO</v>
      </c>
      <c r="F80" s="22" t="str">
        <f>IF(INDEX('1'!R:R,MATCH(CheckList!$A80,'1'!$A:$A,0))=0, "N/A", "SIM")</f>
        <v>N/A</v>
      </c>
      <c r="G80" s="22" t="str">
        <f>IF(INDEX('1'!AC:AC,MATCH(CheckList!$A80,'1'!$A:$A,0))=0, "N/A", "SIM")</f>
        <v>N/A</v>
      </c>
      <c r="H80" s="22" t="str">
        <f>IF(INDEX('1'!AF:AF,MATCH(CheckList!$A80,'1'!$A:$A,0))=0, "N/A", "SIM")</f>
        <v>N/A</v>
      </c>
      <c r="I80" s="22" t="str">
        <f>IF(INDEX('1'!L:L,MATCH(CheckList!$A80,'1'!$A:$A,0))=0, "N/A", "SIM")</f>
        <v>N/A</v>
      </c>
      <c r="J80" s="22" t="str">
        <f>IF(LEN(INDEX('1'!L:L,MATCH(CheckList!$A80,'1'!$A:$A,0)))=11, "NAO", IF(LEN(INDEX('1'!L:L,MATCH(CheckList!$A80,'1'!$A:$A,0)))=14,"SIM","N/A"))</f>
        <v>N/A</v>
      </c>
      <c r="K80" s="22" t="str">
        <f>IF(INDEX('1'!BE:BE,MATCH(CheckList!$A80,'1'!$A:$A,0))=0, "N/A", "SIM")</f>
        <v>N/A</v>
      </c>
    </row>
    <row r="81" spans="1:11" x14ac:dyDescent="0.35">
      <c r="A81" s="22">
        <f>'Dados - Cliente'!A81</f>
        <v>0</v>
      </c>
      <c r="B81" s="22" t="e">
        <f>INDEX('Dados - Cliente'!H:H,MATCH(CheckList!A81,'Dados - Cliente'!A:A,0))</f>
        <v>#N/A</v>
      </c>
      <c r="C81" s="22" t="str">
        <f>IF(INDEX('1'!B:B,MATCH(CheckList!$A81,'1'!$A:$A,0))=0, "N/A", "SIM")</f>
        <v>N/A</v>
      </c>
      <c r="D81" s="22">
        <f>INDEX('1'!Q:Q,MATCH(CheckList!$A81,'1'!$A:$A,0))</f>
        <v>0</v>
      </c>
      <c r="E81" s="22" t="str">
        <f>IF(D81="SIM",IF(MATCH(A81,'2'!$A:$A,0)="","NÃO","SIM"),"NAO")</f>
        <v>NAO</v>
      </c>
      <c r="F81" s="22" t="str">
        <f>IF(INDEX('1'!R:R,MATCH(CheckList!$A81,'1'!$A:$A,0))=0, "N/A", "SIM")</f>
        <v>N/A</v>
      </c>
      <c r="G81" s="22" t="str">
        <f>IF(INDEX('1'!AC:AC,MATCH(CheckList!$A81,'1'!$A:$A,0))=0, "N/A", "SIM")</f>
        <v>N/A</v>
      </c>
      <c r="H81" s="22" t="str">
        <f>IF(INDEX('1'!AF:AF,MATCH(CheckList!$A81,'1'!$A:$A,0))=0, "N/A", "SIM")</f>
        <v>N/A</v>
      </c>
      <c r="I81" s="22" t="str">
        <f>IF(INDEX('1'!L:L,MATCH(CheckList!$A81,'1'!$A:$A,0))=0, "N/A", "SIM")</f>
        <v>N/A</v>
      </c>
      <c r="J81" s="22" t="str">
        <f>IF(LEN(INDEX('1'!L:L,MATCH(CheckList!$A81,'1'!$A:$A,0)))=11, "NAO", IF(LEN(INDEX('1'!L:L,MATCH(CheckList!$A81,'1'!$A:$A,0)))=14,"SIM","N/A"))</f>
        <v>N/A</v>
      </c>
      <c r="K81" s="22" t="str">
        <f>IF(INDEX('1'!BE:BE,MATCH(CheckList!$A81,'1'!$A:$A,0))=0, "N/A", "SIM")</f>
        <v>N/A</v>
      </c>
    </row>
    <row r="82" spans="1:11" x14ac:dyDescent="0.35">
      <c r="A82" s="22">
        <f>'Dados - Cliente'!A82</f>
        <v>0</v>
      </c>
      <c r="B82" s="22" t="e">
        <f>INDEX('Dados - Cliente'!H:H,MATCH(CheckList!A82,'Dados - Cliente'!A:A,0))</f>
        <v>#N/A</v>
      </c>
      <c r="C82" s="22" t="str">
        <f>IF(INDEX('1'!B:B,MATCH(CheckList!$A82,'1'!$A:$A,0))=0, "N/A", "SIM")</f>
        <v>N/A</v>
      </c>
      <c r="D82" s="22">
        <f>INDEX('1'!Q:Q,MATCH(CheckList!$A82,'1'!$A:$A,0))</f>
        <v>0</v>
      </c>
      <c r="E82" s="22" t="str">
        <f>IF(D82="SIM",IF(MATCH(A82,'2'!$A:$A,0)="","NÃO","SIM"),"NAO")</f>
        <v>NAO</v>
      </c>
      <c r="F82" s="22" t="str">
        <f>IF(INDEX('1'!R:R,MATCH(CheckList!$A82,'1'!$A:$A,0))=0, "N/A", "SIM")</f>
        <v>N/A</v>
      </c>
      <c r="G82" s="22" t="str">
        <f>IF(INDEX('1'!AC:AC,MATCH(CheckList!$A82,'1'!$A:$A,0))=0, "N/A", "SIM")</f>
        <v>N/A</v>
      </c>
      <c r="H82" s="22" t="str">
        <f>IF(INDEX('1'!AF:AF,MATCH(CheckList!$A82,'1'!$A:$A,0))=0, "N/A", "SIM")</f>
        <v>N/A</v>
      </c>
      <c r="I82" s="22" t="str">
        <f>IF(INDEX('1'!L:L,MATCH(CheckList!$A82,'1'!$A:$A,0))=0, "N/A", "SIM")</f>
        <v>N/A</v>
      </c>
      <c r="J82" s="22" t="str">
        <f>IF(LEN(INDEX('1'!L:L,MATCH(CheckList!$A82,'1'!$A:$A,0)))=11, "NAO", IF(LEN(INDEX('1'!L:L,MATCH(CheckList!$A82,'1'!$A:$A,0)))=14,"SIM","N/A"))</f>
        <v>N/A</v>
      </c>
      <c r="K82" s="22" t="str">
        <f>IF(INDEX('1'!BE:BE,MATCH(CheckList!$A82,'1'!$A:$A,0))=0, "N/A", "SIM")</f>
        <v>N/A</v>
      </c>
    </row>
    <row r="83" spans="1:11" x14ac:dyDescent="0.35">
      <c r="A83" s="22">
        <f>'Dados - Cliente'!A83</f>
        <v>0</v>
      </c>
      <c r="B83" s="22" t="e">
        <f>INDEX('Dados - Cliente'!H:H,MATCH(CheckList!A83,'Dados - Cliente'!A:A,0))</f>
        <v>#N/A</v>
      </c>
      <c r="C83" s="22" t="str">
        <f>IF(INDEX('1'!B:B,MATCH(CheckList!$A83,'1'!$A:$A,0))=0, "N/A", "SIM")</f>
        <v>N/A</v>
      </c>
      <c r="D83" s="22">
        <f>INDEX('1'!Q:Q,MATCH(CheckList!$A83,'1'!$A:$A,0))</f>
        <v>0</v>
      </c>
      <c r="E83" s="22" t="str">
        <f>IF(D83="SIM",IF(MATCH(A83,'2'!$A:$A,0)="","NÃO","SIM"),"NAO")</f>
        <v>NAO</v>
      </c>
      <c r="F83" s="22" t="str">
        <f>IF(INDEX('1'!R:R,MATCH(CheckList!$A83,'1'!$A:$A,0))=0, "N/A", "SIM")</f>
        <v>N/A</v>
      </c>
      <c r="G83" s="22" t="str">
        <f>IF(INDEX('1'!AC:AC,MATCH(CheckList!$A83,'1'!$A:$A,0))=0, "N/A", "SIM")</f>
        <v>N/A</v>
      </c>
      <c r="H83" s="22" t="str">
        <f>IF(INDEX('1'!AF:AF,MATCH(CheckList!$A83,'1'!$A:$A,0))=0, "N/A", "SIM")</f>
        <v>N/A</v>
      </c>
      <c r="I83" s="22" t="str">
        <f>IF(INDEX('1'!L:L,MATCH(CheckList!$A83,'1'!$A:$A,0))=0, "N/A", "SIM")</f>
        <v>N/A</v>
      </c>
      <c r="J83" s="22" t="str">
        <f>IF(LEN(INDEX('1'!L:L,MATCH(CheckList!$A83,'1'!$A:$A,0)))=11, "NAO", IF(LEN(INDEX('1'!L:L,MATCH(CheckList!$A83,'1'!$A:$A,0)))=14,"SIM","N/A"))</f>
        <v>N/A</v>
      </c>
      <c r="K83" s="22" t="str">
        <f>IF(INDEX('1'!BE:BE,MATCH(CheckList!$A83,'1'!$A:$A,0))=0, "N/A", "SIM")</f>
        <v>N/A</v>
      </c>
    </row>
    <row r="84" spans="1:11" x14ac:dyDescent="0.35">
      <c r="A84" s="22">
        <f>'Dados - Cliente'!A84</f>
        <v>0</v>
      </c>
      <c r="B84" s="22" t="e">
        <f>INDEX('Dados - Cliente'!H:H,MATCH(CheckList!A84,'Dados - Cliente'!A:A,0))</f>
        <v>#N/A</v>
      </c>
      <c r="C84" s="22" t="str">
        <f>IF(INDEX('1'!B:B,MATCH(CheckList!$A84,'1'!$A:$A,0))=0, "N/A", "SIM")</f>
        <v>N/A</v>
      </c>
      <c r="D84" s="22">
        <f>INDEX('1'!Q:Q,MATCH(CheckList!$A84,'1'!$A:$A,0))</f>
        <v>0</v>
      </c>
      <c r="E84" s="22" t="str">
        <f>IF(D84="SIM",IF(MATCH(A84,'2'!$A:$A,0)="","NÃO","SIM"),"NAO")</f>
        <v>NAO</v>
      </c>
      <c r="F84" s="22" t="str">
        <f>IF(INDEX('1'!R:R,MATCH(CheckList!$A84,'1'!$A:$A,0))=0, "N/A", "SIM")</f>
        <v>N/A</v>
      </c>
      <c r="G84" s="22" t="str">
        <f>IF(INDEX('1'!AC:AC,MATCH(CheckList!$A84,'1'!$A:$A,0))=0, "N/A", "SIM")</f>
        <v>N/A</v>
      </c>
      <c r="H84" s="22" t="str">
        <f>IF(INDEX('1'!AF:AF,MATCH(CheckList!$A84,'1'!$A:$A,0))=0, "N/A", "SIM")</f>
        <v>N/A</v>
      </c>
      <c r="I84" s="22" t="str">
        <f>IF(INDEX('1'!L:L,MATCH(CheckList!$A84,'1'!$A:$A,0))=0, "N/A", "SIM")</f>
        <v>N/A</v>
      </c>
      <c r="J84" s="22" t="str">
        <f>IF(LEN(INDEX('1'!L:L,MATCH(CheckList!$A84,'1'!$A:$A,0)))=11, "NAO", IF(LEN(INDEX('1'!L:L,MATCH(CheckList!$A84,'1'!$A:$A,0)))=14,"SIM","N/A"))</f>
        <v>N/A</v>
      </c>
      <c r="K84" s="22" t="str">
        <f>IF(INDEX('1'!BE:BE,MATCH(CheckList!$A84,'1'!$A:$A,0))=0, "N/A", "SIM")</f>
        <v>N/A</v>
      </c>
    </row>
    <row r="85" spans="1:11" x14ac:dyDescent="0.35">
      <c r="A85" s="22">
        <f>'Dados - Cliente'!A85</f>
        <v>0</v>
      </c>
      <c r="B85" s="22" t="e">
        <f>INDEX('Dados - Cliente'!H:H,MATCH(CheckList!A85,'Dados - Cliente'!A:A,0))</f>
        <v>#N/A</v>
      </c>
      <c r="C85" s="22" t="str">
        <f>IF(INDEX('1'!B:B,MATCH(CheckList!$A85,'1'!$A:$A,0))=0, "N/A", "SIM")</f>
        <v>N/A</v>
      </c>
      <c r="D85" s="22">
        <f>INDEX('1'!Q:Q,MATCH(CheckList!$A85,'1'!$A:$A,0))</f>
        <v>0</v>
      </c>
      <c r="E85" s="22" t="str">
        <f>IF(D85="SIM",IF(MATCH(A85,'2'!$A:$A,0)="","NÃO","SIM"),"NAO")</f>
        <v>NAO</v>
      </c>
      <c r="F85" s="22" t="str">
        <f>IF(INDEX('1'!R:R,MATCH(CheckList!$A85,'1'!$A:$A,0))=0, "N/A", "SIM")</f>
        <v>N/A</v>
      </c>
      <c r="G85" s="22" t="str">
        <f>IF(INDEX('1'!AC:AC,MATCH(CheckList!$A85,'1'!$A:$A,0))=0, "N/A", "SIM")</f>
        <v>N/A</v>
      </c>
      <c r="H85" s="22" t="str">
        <f>IF(INDEX('1'!AF:AF,MATCH(CheckList!$A85,'1'!$A:$A,0))=0, "N/A", "SIM")</f>
        <v>N/A</v>
      </c>
      <c r="I85" s="22" t="str">
        <f>IF(INDEX('1'!L:L,MATCH(CheckList!$A85,'1'!$A:$A,0))=0, "N/A", "SIM")</f>
        <v>N/A</v>
      </c>
      <c r="J85" s="22" t="str">
        <f>IF(LEN(INDEX('1'!L:L,MATCH(CheckList!$A85,'1'!$A:$A,0)))=11, "NAO", IF(LEN(INDEX('1'!L:L,MATCH(CheckList!$A85,'1'!$A:$A,0)))=14,"SIM","N/A"))</f>
        <v>N/A</v>
      </c>
      <c r="K85" s="22" t="str">
        <f>IF(INDEX('1'!BE:BE,MATCH(CheckList!$A85,'1'!$A:$A,0))=0, "N/A", "SIM")</f>
        <v>N/A</v>
      </c>
    </row>
    <row r="86" spans="1:11" x14ac:dyDescent="0.35">
      <c r="A86" s="22">
        <f>'Dados - Cliente'!A86</f>
        <v>0</v>
      </c>
      <c r="B86" s="22" t="e">
        <f>INDEX('Dados - Cliente'!H:H,MATCH(CheckList!A86,'Dados - Cliente'!A:A,0))</f>
        <v>#N/A</v>
      </c>
      <c r="C86" s="22" t="str">
        <f>IF(INDEX('1'!B:B,MATCH(CheckList!$A86,'1'!$A:$A,0))=0, "N/A", "SIM")</f>
        <v>N/A</v>
      </c>
      <c r="D86" s="22">
        <f>INDEX('1'!Q:Q,MATCH(CheckList!$A86,'1'!$A:$A,0))</f>
        <v>0</v>
      </c>
      <c r="E86" s="22" t="str">
        <f>IF(D86="SIM",IF(MATCH(A86,'2'!$A:$A,0)="","NÃO","SIM"),"NAO")</f>
        <v>NAO</v>
      </c>
      <c r="F86" s="22" t="str">
        <f>IF(INDEX('1'!R:R,MATCH(CheckList!$A86,'1'!$A:$A,0))=0, "N/A", "SIM")</f>
        <v>N/A</v>
      </c>
      <c r="G86" s="22" t="str">
        <f>IF(INDEX('1'!AC:AC,MATCH(CheckList!$A86,'1'!$A:$A,0))=0, "N/A", "SIM")</f>
        <v>N/A</v>
      </c>
      <c r="H86" s="22" t="str">
        <f>IF(INDEX('1'!AF:AF,MATCH(CheckList!$A86,'1'!$A:$A,0))=0, "N/A", "SIM")</f>
        <v>N/A</v>
      </c>
      <c r="I86" s="22" t="str">
        <f>IF(INDEX('1'!L:L,MATCH(CheckList!$A86,'1'!$A:$A,0))=0, "N/A", "SIM")</f>
        <v>N/A</v>
      </c>
      <c r="J86" s="22" t="str">
        <f>IF(LEN(INDEX('1'!L:L,MATCH(CheckList!$A86,'1'!$A:$A,0)))=11, "NAO", IF(LEN(INDEX('1'!L:L,MATCH(CheckList!$A86,'1'!$A:$A,0)))=14,"SIM","N/A"))</f>
        <v>N/A</v>
      </c>
      <c r="K86" s="22" t="str">
        <f>IF(INDEX('1'!BE:BE,MATCH(CheckList!$A86,'1'!$A:$A,0))=0, "N/A", "SIM")</f>
        <v>N/A</v>
      </c>
    </row>
    <row r="87" spans="1:11" x14ac:dyDescent="0.35">
      <c r="A87" s="22">
        <f>'Dados - Cliente'!A87</f>
        <v>0</v>
      </c>
      <c r="B87" s="22" t="e">
        <f>INDEX('Dados - Cliente'!H:H,MATCH(CheckList!A87,'Dados - Cliente'!A:A,0))</f>
        <v>#N/A</v>
      </c>
      <c r="C87" s="22" t="str">
        <f>IF(INDEX('1'!B:B,MATCH(CheckList!$A87,'1'!$A:$A,0))=0, "N/A", "SIM")</f>
        <v>N/A</v>
      </c>
      <c r="D87" s="22">
        <f>INDEX('1'!Q:Q,MATCH(CheckList!$A87,'1'!$A:$A,0))</f>
        <v>0</v>
      </c>
      <c r="E87" s="22" t="str">
        <f>IF(D87="SIM",IF(MATCH(A87,'2'!$A:$A,0)="","NÃO","SIM"),"NAO")</f>
        <v>NAO</v>
      </c>
      <c r="F87" s="22" t="str">
        <f>IF(INDEX('1'!R:R,MATCH(CheckList!$A87,'1'!$A:$A,0))=0, "N/A", "SIM")</f>
        <v>N/A</v>
      </c>
      <c r="G87" s="22" t="str">
        <f>IF(INDEX('1'!AC:AC,MATCH(CheckList!$A87,'1'!$A:$A,0))=0, "N/A", "SIM")</f>
        <v>N/A</v>
      </c>
      <c r="H87" s="22" t="str">
        <f>IF(INDEX('1'!AF:AF,MATCH(CheckList!$A87,'1'!$A:$A,0))=0, "N/A", "SIM")</f>
        <v>N/A</v>
      </c>
      <c r="I87" s="22" t="str">
        <f>IF(INDEX('1'!L:L,MATCH(CheckList!$A87,'1'!$A:$A,0))=0, "N/A", "SIM")</f>
        <v>N/A</v>
      </c>
      <c r="J87" s="22" t="str">
        <f>IF(LEN(INDEX('1'!L:L,MATCH(CheckList!$A87,'1'!$A:$A,0)))=11, "NAO", IF(LEN(INDEX('1'!L:L,MATCH(CheckList!$A87,'1'!$A:$A,0)))=14,"SIM","N/A"))</f>
        <v>N/A</v>
      </c>
      <c r="K87" s="22" t="str">
        <f>IF(INDEX('1'!BE:BE,MATCH(CheckList!$A87,'1'!$A:$A,0))=0, "N/A", "SIM")</f>
        <v>N/A</v>
      </c>
    </row>
    <row r="88" spans="1:11" x14ac:dyDescent="0.35">
      <c r="A88" s="22">
        <f>'Dados - Cliente'!A88</f>
        <v>0</v>
      </c>
      <c r="B88" s="22" t="e">
        <f>INDEX('Dados - Cliente'!H:H,MATCH(CheckList!A88,'Dados - Cliente'!A:A,0))</f>
        <v>#N/A</v>
      </c>
      <c r="C88" s="22" t="str">
        <f>IF(INDEX('1'!B:B,MATCH(CheckList!$A88,'1'!$A:$A,0))=0, "N/A", "SIM")</f>
        <v>N/A</v>
      </c>
      <c r="D88" s="22">
        <f>INDEX('1'!Q:Q,MATCH(CheckList!$A88,'1'!$A:$A,0))</f>
        <v>0</v>
      </c>
      <c r="E88" s="22" t="str">
        <f>IF(D88="SIM",IF(MATCH(A88,'2'!$A:$A,0)="","NÃO","SIM"),"NAO")</f>
        <v>NAO</v>
      </c>
      <c r="F88" s="22" t="str">
        <f>IF(INDEX('1'!R:R,MATCH(CheckList!$A88,'1'!$A:$A,0))=0, "N/A", "SIM")</f>
        <v>N/A</v>
      </c>
      <c r="G88" s="22" t="str">
        <f>IF(INDEX('1'!AC:AC,MATCH(CheckList!$A88,'1'!$A:$A,0))=0, "N/A", "SIM")</f>
        <v>N/A</v>
      </c>
      <c r="H88" s="22" t="str">
        <f>IF(INDEX('1'!AF:AF,MATCH(CheckList!$A88,'1'!$A:$A,0))=0, "N/A", "SIM")</f>
        <v>N/A</v>
      </c>
      <c r="I88" s="22" t="str">
        <f>IF(INDEX('1'!L:L,MATCH(CheckList!$A88,'1'!$A:$A,0))=0, "N/A", "SIM")</f>
        <v>N/A</v>
      </c>
      <c r="J88" s="22" t="str">
        <f>IF(LEN(INDEX('1'!L:L,MATCH(CheckList!$A88,'1'!$A:$A,0)))=11, "NAO", IF(LEN(INDEX('1'!L:L,MATCH(CheckList!$A88,'1'!$A:$A,0)))=14,"SIM","N/A"))</f>
        <v>N/A</v>
      </c>
      <c r="K88" s="22" t="str">
        <f>IF(INDEX('1'!BE:BE,MATCH(CheckList!$A88,'1'!$A:$A,0))=0, "N/A", "SIM")</f>
        <v>N/A</v>
      </c>
    </row>
    <row r="89" spans="1:11" x14ac:dyDescent="0.35">
      <c r="A89" s="22">
        <f>'Dados - Cliente'!A89</f>
        <v>0</v>
      </c>
      <c r="B89" s="22" t="e">
        <f>INDEX('Dados - Cliente'!H:H,MATCH(CheckList!A89,'Dados - Cliente'!A:A,0))</f>
        <v>#N/A</v>
      </c>
      <c r="C89" s="22" t="str">
        <f>IF(INDEX('1'!B:B,MATCH(CheckList!$A89,'1'!$A:$A,0))=0, "N/A", "SIM")</f>
        <v>N/A</v>
      </c>
      <c r="D89" s="22">
        <f>INDEX('1'!Q:Q,MATCH(CheckList!$A89,'1'!$A:$A,0))</f>
        <v>0</v>
      </c>
      <c r="E89" s="22" t="str">
        <f>IF(D89="SIM",IF(MATCH(A89,'2'!$A:$A,0)="","NÃO","SIM"),"NAO")</f>
        <v>NAO</v>
      </c>
      <c r="F89" s="22" t="str">
        <f>IF(INDEX('1'!R:R,MATCH(CheckList!$A89,'1'!$A:$A,0))=0, "N/A", "SIM")</f>
        <v>N/A</v>
      </c>
      <c r="G89" s="22" t="str">
        <f>IF(INDEX('1'!AC:AC,MATCH(CheckList!$A89,'1'!$A:$A,0))=0, "N/A", "SIM")</f>
        <v>N/A</v>
      </c>
      <c r="H89" s="22" t="str">
        <f>IF(INDEX('1'!AF:AF,MATCH(CheckList!$A89,'1'!$A:$A,0))=0, "N/A", "SIM")</f>
        <v>N/A</v>
      </c>
      <c r="I89" s="22" t="str">
        <f>IF(INDEX('1'!L:L,MATCH(CheckList!$A89,'1'!$A:$A,0))=0, "N/A", "SIM")</f>
        <v>N/A</v>
      </c>
      <c r="J89" s="22" t="str">
        <f>IF(LEN(INDEX('1'!L:L,MATCH(CheckList!$A89,'1'!$A:$A,0)))=11, "NAO", IF(LEN(INDEX('1'!L:L,MATCH(CheckList!$A89,'1'!$A:$A,0)))=14,"SIM","N/A"))</f>
        <v>N/A</v>
      </c>
      <c r="K89" s="22" t="str">
        <f>IF(INDEX('1'!BE:BE,MATCH(CheckList!$A89,'1'!$A:$A,0))=0, "N/A", "SIM")</f>
        <v>N/A</v>
      </c>
    </row>
    <row r="90" spans="1:11" x14ac:dyDescent="0.35">
      <c r="A90" s="22">
        <f>'Dados - Cliente'!A90</f>
        <v>0</v>
      </c>
      <c r="B90" s="22" t="e">
        <f>INDEX('Dados - Cliente'!H:H,MATCH(CheckList!A90,'Dados - Cliente'!A:A,0))</f>
        <v>#N/A</v>
      </c>
      <c r="C90" s="22" t="str">
        <f>IF(INDEX('1'!B:B,MATCH(CheckList!$A90,'1'!$A:$A,0))=0, "N/A", "SIM")</f>
        <v>N/A</v>
      </c>
      <c r="D90" s="22">
        <f>INDEX('1'!Q:Q,MATCH(CheckList!$A90,'1'!$A:$A,0))</f>
        <v>0</v>
      </c>
      <c r="E90" s="22" t="str">
        <f>IF(D90="SIM",IF(MATCH(A90,'2'!$A:$A,0)="","NÃO","SIM"),"NAO")</f>
        <v>NAO</v>
      </c>
      <c r="F90" s="22" t="str">
        <f>IF(INDEX('1'!R:R,MATCH(CheckList!$A90,'1'!$A:$A,0))=0, "N/A", "SIM")</f>
        <v>N/A</v>
      </c>
      <c r="G90" s="22" t="str">
        <f>IF(INDEX('1'!AC:AC,MATCH(CheckList!$A90,'1'!$A:$A,0))=0, "N/A", "SIM")</f>
        <v>N/A</v>
      </c>
      <c r="H90" s="22" t="str">
        <f>IF(INDEX('1'!AF:AF,MATCH(CheckList!$A90,'1'!$A:$A,0))=0, "N/A", "SIM")</f>
        <v>N/A</v>
      </c>
      <c r="I90" s="22" t="str">
        <f>IF(INDEX('1'!L:L,MATCH(CheckList!$A90,'1'!$A:$A,0))=0, "N/A", "SIM")</f>
        <v>N/A</v>
      </c>
      <c r="J90" s="22" t="str">
        <f>IF(LEN(INDEX('1'!L:L,MATCH(CheckList!$A90,'1'!$A:$A,0)))=11, "NAO", IF(LEN(INDEX('1'!L:L,MATCH(CheckList!$A90,'1'!$A:$A,0)))=14,"SIM","N/A"))</f>
        <v>N/A</v>
      </c>
      <c r="K90" s="22" t="str">
        <f>IF(INDEX('1'!BE:BE,MATCH(CheckList!$A90,'1'!$A:$A,0))=0, "N/A", "SIM")</f>
        <v>N/A</v>
      </c>
    </row>
    <row r="91" spans="1:11" x14ac:dyDescent="0.35">
      <c r="A91" s="22">
        <f>'Dados - Cliente'!A91</f>
        <v>0</v>
      </c>
      <c r="B91" s="22" t="e">
        <f>INDEX('Dados - Cliente'!H:H,MATCH(CheckList!A91,'Dados - Cliente'!A:A,0))</f>
        <v>#N/A</v>
      </c>
      <c r="C91" s="22" t="str">
        <f>IF(INDEX('1'!B:B,MATCH(CheckList!$A91,'1'!$A:$A,0))=0, "N/A", "SIM")</f>
        <v>N/A</v>
      </c>
      <c r="D91" s="22">
        <f>INDEX('1'!Q:Q,MATCH(CheckList!$A91,'1'!$A:$A,0))</f>
        <v>0</v>
      </c>
      <c r="E91" s="22" t="str">
        <f>IF(D91="SIM",IF(MATCH(A91,'2'!$A:$A,0)="","NÃO","SIM"),"NAO")</f>
        <v>NAO</v>
      </c>
      <c r="F91" s="22" t="str">
        <f>IF(INDEX('1'!R:R,MATCH(CheckList!$A91,'1'!$A:$A,0))=0, "N/A", "SIM")</f>
        <v>N/A</v>
      </c>
      <c r="G91" s="22" t="str">
        <f>IF(INDEX('1'!AC:AC,MATCH(CheckList!$A91,'1'!$A:$A,0))=0, "N/A", "SIM")</f>
        <v>N/A</v>
      </c>
      <c r="H91" s="22" t="str">
        <f>IF(INDEX('1'!AF:AF,MATCH(CheckList!$A91,'1'!$A:$A,0))=0, "N/A", "SIM")</f>
        <v>N/A</v>
      </c>
      <c r="I91" s="22" t="str">
        <f>IF(INDEX('1'!L:L,MATCH(CheckList!$A91,'1'!$A:$A,0))=0, "N/A", "SIM")</f>
        <v>N/A</v>
      </c>
      <c r="J91" s="22" t="str">
        <f>IF(LEN(INDEX('1'!L:L,MATCH(CheckList!$A91,'1'!$A:$A,0)))=11, "NAO", IF(LEN(INDEX('1'!L:L,MATCH(CheckList!$A91,'1'!$A:$A,0)))=14,"SIM","N/A"))</f>
        <v>N/A</v>
      </c>
      <c r="K91" s="22" t="str">
        <f>IF(INDEX('1'!BE:BE,MATCH(CheckList!$A91,'1'!$A:$A,0))=0, "N/A", "SIM")</f>
        <v>N/A</v>
      </c>
    </row>
    <row r="92" spans="1:11" x14ac:dyDescent="0.35">
      <c r="A92" s="22">
        <f>'Dados - Cliente'!A92</f>
        <v>0</v>
      </c>
      <c r="B92" s="22" t="e">
        <f>INDEX('Dados - Cliente'!H:H,MATCH(CheckList!A92,'Dados - Cliente'!A:A,0))</f>
        <v>#N/A</v>
      </c>
      <c r="C92" s="22" t="str">
        <f>IF(INDEX('1'!B:B,MATCH(CheckList!$A92,'1'!$A:$A,0))=0, "N/A", "SIM")</f>
        <v>N/A</v>
      </c>
      <c r="D92" s="22">
        <f>INDEX('1'!Q:Q,MATCH(CheckList!$A92,'1'!$A:$A,0))</f>
        <v>0</v>
      </c>
      <c r="E92" s="22" t="str">
        <f>IF(D92="SIM",IF(MATCH(A92,'2'!$A:$A,0)="","NÃO","SIM"),"NAO")</f>
        <v>NAO</v>
      </c>
      <c r="F92" s="22" t="str">
        <f>IF(INDEX('1'!R:R,MATCH(CheckList!$A92,'1'!$A:$A,0))=0, "N/A", "SIM")</f>
        <v>N/A</v>
      </c>
      <c r="G92" s="22" t="str">
        <f>IF(INDEX('1'!AC:AC,MATCH(CheckList!$A92,'1'!$A:$A,0))=0, "N/A", "SIM")</f>
        <v>N/A</v>
      </c>
      <c r="H92" s="22" t="str">
        <f>IF(INDEX('1'!AF:AF,MATCH(CheckList!$A92,'1'!$A:$A,0))=0, "N/A", "SIM")</f>
        <v>N/A</v>
      </c>
      <c r="I92" s="22" t="str">
        <f>IF(INDEX('1'!L:L,MATCH(CheckList!$A92,'1'!$A:$A,0))=0, "N/A", "SIM")</f>
        <v>N/A</v>
      </c>
      <c r="J92" s="22" t="str">
        <f>IF(LEN(INDEX('1'!L:L,MATCH(CheckList!$A92,'1'!$A:$A,0)))=11, "NAO", IF(LEN(INDEX('1'!L:L,MATCH(CheckList!$A92,'1'!$A:$A,0)))=14,"SIM","N/A"))</f>
        <v>N/A</v>
      </c>
      <c r="K92" s="22" t="str">
        <f>IF(INDEX('1'!BE:BE,MATCH(CheckList!$A92,'1'!$A:$A,0))=0, "N/A", "SIM")</f>
        <v>N/A</v>
      </c>
    </row>
    <row r="93" spans="1:11" x14ac:dyDescent="0.35">
      <c r="A93" s="22">
        <f>'Dados - Cliente'!A93</f>
        <v>0</v>
      </c>
      <c r="B93" s="22" t="e">
        <f>INDEX('Dados - Cliente'!H:H,MATCH(CheckList!A93,'Dados - Cliente'!A:A,0))</f>
        <v>#N/A</v>
      </c>
      <c r="C93" s="22" t="str">
        <f>IF(INDEX('1'!B:B,MATCH(CheckList!$A93,'1'!$A:$A,0))=0, "N/A", "SIM")</f>
        <v>N/A</v>
      </c>
      <c r="D93" s="22">
        <f>INDEX('1'!Q:Q,MATCH(CheckList!$A93,'1'!$A:$A,0))</f>
        <v>0</v>
      </c>
      <c r="E93" s="22" t="str">
        <f>IF(D93="SIM",IF(MATCH(A93,'2'!$A:$A,0)="","NÃO","SIM"),"NAO")</f>
        <v>NAO</v>
      </c>
      <c r="F93" s="22" t="str">
        <f>IF(INDEX('1'!R:R,MATCH(CheckList!$A93,'1'!$A:$A,0))=0, "N/A", "SIM")</f>
        <v>N/A</v>
      </c>
      <c r="G93" s="22" t="str">
        <f>IF(INDEX('1'!AC:AC,MATCH(CheckList!$A93,'1'!$A:$A,0))=0, "N/A", "SIM")</f>
        <v>N/A</v>
      </c>
      <c r="H93" s="22" t="str">
        <f>IF(INDEX('1'!AF:AF,MATCH(CheckList!$A93,'1'!$A:$A,0))=0, "N/A", "SIM")</f>
        <v>N/A</v>
      </c>
      <c r="I93" s="22" t="str">
        <f>IF(INDEX('1'!L:L,MATCH(CheckList!$A93,'1'!$A:$A,0))=0, "N/A", "SIM")</f>
        <v>N/A</v>
      </c>
      <c r="J93" s="22" t="str">
        <f>IF(LEN(INDEX('1'!L:L,MATCH(CheckList!$A93,'1'!$A:$A,0)))=11, "NAO", IF(LEN(INDEX('1'!L:L,MATCH(CheckList!$A93,'1'!$A:$A,0)))=14,"SIM","N/A"))</f>
        <v>N/A</v>
      </c>
      <c r="K93" s="22" t="str">
        <f>IF(INDEX('1'!BE:BE,MATCH(CheckList!$A93,'1'!$A:$A,0))=0, "N/A", "SIM")</f>
        <v>N/A</v>
      </c>
    </row>
    <row r="94" spans="1:11" x14ac:dyDescent="0.35">
      <c r="A94" s="22">
        <f>'Dados - Cliente'!A94</f>
        <v>0</v>
      </c>
      <c r="B94" s="22" t="e">
        <f>INDEX('Dados - Cliente'!H:H,MATCH(CheckList!A94,'Dados - Cliente'!A:A,0))</f>
        <v>#N/A</v>
      </c>
      <c r="C94" s="22" t="str">
        <f>IF(INDEX('1'!B:B,MATCH(CheckList!$A94,'1'!$A:$A,0))=0, "N/A", "SIM")</f>
        <v>N/A</v>
      </c>
      <c r="D94" s="22">
        <f>INDEX('1'!Q:Q,MATCH(CheckList!$A94,'1'!$A:$A,0))</f>
        <v>0</v>
      </c>
      <c r="E94" s="22" t="str">
        <f>IF(D94="SIM",IF(MATCH(A94,'2'!$A:$A,0)="","NÃO","SIM"),"NAO")</f>
        <v>NAO</v>
      </c>
      <c r="F94" s="22" t="str">
        <f>IF(INDEX('1'!R:R,MATCH(CheckList!$A94,'1'!$A:$A,0))=0, "N/A", "SIM")</f>
        <v>N/A</v>
      </c>
      <c r="G94" s="22" t="str">
        <f>IF(INDEX('1'!AC:AC,MATCH(CheckList!$A94,'1'!$A:$A,0))=0, "N/A", "SIM")</f>
        <v>N/A</v>
      </c>
      <c r="H94" s="22" t="str">
        <f>IF(INDEX('1'!AF:AF,MATCH(CheckList!$A94,'1'!$A:$A,0))=0, "N/A", "SIM")</f>
        <v>N/A</v>
      </c>
      <c r="I94" s="22" t="str">
        <f>IF(INDEX('1'!L:L,MATCH(CheckList!$A94,'1'!$A:$A,0))=0, "N/A", "SIM")</f>
        <v>N/A</v>
      </c>
      <c r="J94" s="22" t="str">
        <f>IF(LEN(INDEX('1'!L:L,MATCH(CheckList!$A94,'1'!$A:$A,0)))=11, "NAO", IF(LEN(INDEX('1'!L:L,MATCH(CheckList!$A94,'1'!$A:$A,0)))=14,"SIM","N/A"))</f>
        <v>N/A</v>
      </c>
      <c r="K94" s="22" t="str">
        <f>IF(INDEX('1'!BE:BE,MATCH(CheckList!$A94,'1'!$A:$A,0))=0, "N/A", "SIM")</f>
        <v>N/A</v>
      </c>
    </row>
    <row r="95" spans="1:11" x14ac:dyDescent="0.35">
      <c r="A95" s="22">
        <f>'Dados - Cliente'!A95</f>
        <v>0</v>
      </c>
      <c r="B95" s="22" t="e">
        <f>INDEX('Dados - Cliente'!H:H,MATCH(CheckList!A95,'Dados - Cliente'!A:A,0))</f>
        <v>#N/A</v>
      </c>
      <c r="C95" s="22" t="str">
        <f>IF(INDEX('1'!B:B,MATCH(CheckList!$A95,'1'!$A:$A,0))=0, "N/A", "SIM")</f>
        <v>N/A</v>
      </c>
      <c r="D95" s="22">
        <f>INDEX('1'!Q:Q,MATCH(CheckList!$A95,'1'!$A:$A,0))</f>
        <v>0</v>
      </c>
      <c r="E95" s="22" t="str">
        <f>IF(D95="SIM",IF(MATCH(A95,'2'!$A:$A,0)="","NÃO","SIM"),"NAO")</f>
        <v>NAO</v>
      </c>
      <c r="F95" s="22" t="str">
        <f>IF(INDEX('1'!R:R,MATCH(CheckList!$A95,'1'!$A:$A,0))=0, "N/A", "SIM")</f>
        <v>N/A</v>
      </c>
      <c r="G95" s="22" t="str">
        <f>IF(INDEX('1'!AC:AC,MATCH(CheckList!$A95,'1'!$A:$A,0))=0, "N/A", "SIM")</f>
        <v>N/A</v>
      </c>
      <c r="H95" s="22" t="str">
        <f>IF(INDEX('1'!AF:AF,MATCH(CheckList!$A95,'1'!$A:$A,0))=0, "N/A", "SIM")</f>
        <v>N/A</v>
      </c>
      <c r="I95" s="22" t="str">
        <f>IF(INDEX('1'!L:L,MATCH(CheckList!$A95,'1'!$A:$A,0))=0, "N/A", "SIM")</f>
        <v>N/A</v>
      </c>
      <c r="J95" s="22" t="str">
        <f>IF(LEN(INDEX('1'!L:L,MATCH(CheckList!$A95,'1'!$A:$A,0)))=11, "NAO", IF(LEN(INDEX('1'!L:L,MATCH(CheckList!$A95,'1'!$A:$A,0)))=14,"SIM","N/A"))</f>
        <v>N/A</v>
      </c>
      <c r="K95" s="22" t="str">
        <f>IF(INDEX('1'!BE:BE,MATCH(CheckList!$A95,'1'!$A:$A,0))=0, "N/A", "SIM")</f>
        <v>N/A</v>
      </c>
    </row>
    <row r="96" spans="1:11" x14ac:dyDescent="0.35">
      <c r="A96" s="22">
        <f>'Dados - Cliente'!A96</f>
        <v>0</v>
      </c>
      <c r="B96" s="22" t="e">
        <f>INDEX('Dados - Cliente'!H:H,MATCH(CheckList!A96,'Dados - Cliente'!A:A,0))</f>
        <v>#N/A</v>
      </c>
      <c r="C96" s="22" t="str">
        <f>IF(INDEX('1'!B:B,MATCH(CheckList!$A96,'1'!$A:$A,0))=0, "N/A", "SIM")</f>
        <v>N/A</v>
      </c>
      <c r="D96" s="22">
        <f>INDEX('1'!Q:Q,MATCH(CheckList!$A96,'1'!$A:$A,0))</f>
        <v>0</v>
      </c>
      <c r="E96" s="22" t="str">
        <f>IF(D96="SIM",IF(MATCH(A96,'2'!$A:$A,0)="","NÃO","SIM"),"NAO")</f>
        <v>NAO</v>
      </c>
      <c r="F96" s="22" t="str">
        <f>IF(INDEX('1'!R:R,MATCH(CheckList!$A96,'1'!$A:$A,0))=0, "N/A", "SIM")</f>
        <v>N/A</v>
      </c>
      <c r="G96" s="22" t="str">
        <f>IF(INDEX('1'!AC:AC,MATCH(CheckList!$A96,'1'!$A:$A,0))=0, "N/A", "SIM")</f>
        <v>N/A</v>
      </c>
      <c r="H96" s="22" t="str">
        <f>IF(INDEX('1'!AF:AF,MATCH(CheckList!$A96,'1'!$A:$A,0))=0, "N/A", "SIM")</f>
        <v>N/A</v>
      </c>
      <c r="I96" s="22" t="str">
        <f>IF(INDEX('1'!L:L,MATCH(CheckList!$A96,'1'!$A:$A,0))=0, "N/A", "SIM")</f>
        <v>N/A</v>
      </c>
      <c r="J96" s="22" t="str">
        <f>IF(LEN(INDEX('1'!L:L,MATCH(CheckList!$A96,'1'!$A:$A,0)))=11, "NAO", IF(LEN(INDEX('1'!L:L,MATCH(CheckList!$A96,'1'!$A:$A,0)))=14,"SIM","N/A"))</f>
        <v>N/A</v>
      </c>
      <c r="K96" s="22" t="str">
        <f>IF(INDEX('1'!BE:BE,MATCH(CheckList!$A96,'1'!$A:$A,0))=0, "N/A", "SIM")</f>
        <v>N/A</v>
      </c>
    </row>
    <row r="97" spans="1:11" x14ac:dyDescent="0.35">
      <c r="A97" s="22">
        <f>'Dados - Cliente'!A97</f>
        <v>0</v>
      </c>
      <c r="B97" s="22" t="e">
        <f>INDEX('Dados - Cliente'!H:H,MATCH(CheckList!A97,'Dados - Cliente'!A:A,0))</f>
        <v>#N/A</v>
      </c>
      <c r="C97" s="22" t="str">
        <f>IF(INDEX('1'!B:B,MATCH(CheckList!$A97,'1'!$A:$A,0))=0, "N/A", "SIM")</f>
        <v>N/A</v>
      </c>
      <c r="D97" s="22">
        <f>INDEX('1'!Q:Q,MATCH(CheckList!$A97,'1'!$A:$A,0))</f>
        <v>0</v>
      </c>
      <c r="E97" s="22" t="str">
        <f>IF(D97="SIM",IF(MATCH(A97,'2'!$A:$A,0)="","NÃO","SIM"),"NAO")</f>
        <v>NAO</v>
      </c>
      <c r="F97" s="22" t="str">
        <f>IF(INDEX('1'!R:R,MATCH(CheckList!$A97,'1'!$A:$A,0))=0, "N/A", "SIM")</f>
        <v>N/A</v>
      </c>
      <c r="G97" s="22" t="str">
        <f>IF(INDEX('1'!AC:AC,MATCH(CheckList!$A97,'1'!$A:$A,0))=0, "N/A", "SIM")</f>
        <v>N/A</v>
      </c>
      <c r="H97" s="22" t="str">
        <f>IF(INDEX('1'!AF:AF,MATCH(CheckList!$A97,'1'!$A:$A,0))=0, "N/A", "SIM")</f>
        <v>N/A</v>
      </c>
      <c r="I97" s="22" t="str">
        <f>IF(INDEX('1'!L:L,MATCH(CheckList!$A97,'1'!$A:$A,0))=0, "N/A", "SIM")</f>
        <v>N/A</v>
      </c>
      <c r="J97" s="22" t="str">
        <f>IF(LEN(INDEX('1'!L:L,MATCH(CheckList!$A97,'1'!$A:$A,0)))=11, "NAO", IF(LEN(INDEX('1'!L:L,MATCH(CheckList!$A97,'1'!$A:$A,0)))=14,"SIM","N/A"))</f>
        <v>N/A</v>
      </c>
      <c r="K97" s="22" t="str">
        <f>IF(INDEX('1'!BE:BE,MATCH(CheckList!$A97,'1'!$A:$A,0))=0, "N/A", "SIM")</f>
        <v>N/A</v>
      </c>
    </row>
    <row r="98" spans="1:11" x14ac:dyDescent="0.35">
      <c r="A98" s="22">
        <f>'Dados - Cliente'!A98</f>
        <v>0</v>
      </c>
      <c r="B98" s="22" t="e">
        <f>INDEX('Dados - Cliente'!H:H,MATCH(CheckList!A98,'Dados - Cliente'!A:A,0))</f>
        <v>#N/A</v>
      </c>
      <c r="C98" s="22" t="str">
        <f>IF(INDEX('1'!B:B,MATCH(CheckList!$A98,'1'!$A:$A,0))=0, "N/A", "SIM")</f>
        <v>N/A</v>
      </c>
      <c r="D98" s="22">
        <f>INDEX('1'!Q:Q,MATCH(CheckList!$A98,'1'!$A:$A,0))</f>
        <v>0</v>
      </c>
      <c r="E98" s="22" t="str">
        <f>IF(D98="SIM",IF(MATCH(A98,'2'!$A:$A,0)="","NÃO","SIM"),"NAO")</f>
        <v>NAO</v>
      </c>
      <c r="F98" s="22" t="str">
        <f>IF(INDEX('1'!R:R,MATCH(CheckList!$A98,'1'!$A:$A,0))=0, "N/A", "SIM")</f>
        <v>N/A</v>
      </c>
      <c r="G98" s="22" t="str">
        <f>IF(INDEX('1'!AC:AC,MATCH(CheckList!$A98,'1'!$A:$A,0))=0, "N/A", "SIM")</f>
        <v>N/A</v>
      </c>
      <c r="H98" s="22" t="str">
        <f>IF(INDEX('1'!AF:AF,MATCH(CheckList!$A98,'1'!$A:$A,0))=0, "N/A", "SIM")</f>
        <v>N/A</v>
      </c>
      <c r="I98" s="22" t="str">
        <f>IF(INDEX('1'!L:L,MATCH(CheckList!$A98,'1'!$A:$A,0))=0, "N/A", "SIM")</f>
        <v>N/A</v>
      </c>
      <c r="J98" s="22" t="str">
        <f>IF(LEN(INDEX('1'!L:L,MATCH(CheckList!$A98,'1'!$A:$A,0)))=11, "NAO", IF(LEN(INDEX('1'!L:L,MATCH(CheckList!$A98,'1'!$A:$A,0)))=14,"SIM","N/A"))</f>
        <v>N/A</v>
      </c>
      <c r="K98" s="22" t="str">
        <f>IF(INDEX('1'!BE:BE,MATCH(CheckList!$A98,'1'!$A:$A,0))=0, "N/A", "SIM")</f>
        <v>N/A</v>
      </c>
    </row>
    <row r="99" spans="1:11" x14ac:dyDescent="0.35">
      <c r="A99" s="22">
        <f>'Dados - Cliente'!A99</f>
        <v>0</v>
      </c>
      <c r="B99" s="22" t="e">
        <f>INDEX('Dados - Cliente'!H:H,MATCH(CheckList!A99,'Dados - Cliente'!A:A,0))</f>
        <v>#N/A</v>
      </c>
      <c r="C99" s="22" t="str">
        <f>IF(INDEX('1'!B:B,MATCH(CheckList!$A99,'1'!$A:$A,0))=0, "N/A", "SIM")</f>
        <v>N/A</v>
      </c>
      <c r="D99" s="22">
        <f>INDEX('1'!Q:Q,MATCH(CheckList!$A99,'1'!$A:$A,0))</f>
        <v>0</v>
      </c>
      <c r="E99" s="22" t="str">
        <f>IF(D99="SIM",IF(MATCH(A99,'2'!$A:$A,0)="","NÃO","SIM"),"NAO")</f>
        <v>NAO</v>
      </c>
      <c r="F99" s="22" t="str">
        <f>IF(INDEX('1'!R:R,MATCH(CheckList!$A99,'1'!$A:$A,0))=0, "N/A", "SIM")</f>
        <v>N/A</v>
      </c>
      <c r="G99" s="22" t="str">
        <f>IF(INDEX('1'!AC:AC,MATCH(CheckList!$A99,'1'!$A:$A,0))=0, "N/A", "SIM")</f>
        <v>N/A</v>
      </c>
      <c r="H99" s="22" t="str">
        <f>IF(INDEX('1'!AF:AF,MATCH(CheckList!$A99,'1'!$A:$A,0))=0, "N/A", "SIM")</f>
        <v>N/A</v>
      </c>
      <c r="I99" s="22" t="str">
        <f>IF(INDEX('1'!L:L,MATCH(CheckList!$A99,'1'!$A:$A,0))=0, "N/A", "SIM")</f>
        <v>N/A</v>
      </c>
      <c r="J99" s="22" t="str">
        <f>IF(LEN(INDEX('1'!L:L,MATCH(CheckList!$A99,'1'!$A:$A,0)))=11, "NAO", IF(LEN(INDEX('1'!L:L,MATCH(CheckList!$A99,'1'!$A:$A,0)))=14,"SIM","N/A"))</f>
        <v>N/A</v>
      </c>
      <c r="K99" s="22" t="str">
        <f>IF(INDEX('1'!BE:BE,MATCH(CheckList!$A99,'1'!$A:$A,0))=0, "N/A", "SIM")</f>
        <v>N/A</v>
      </c>
    </row>
    <row r="100" spans="1:11" x14ac:dyDescent="0.35">
      <c r="A100" s="22">
        <f>'Dados - Cliente'!A100</f>
        <v>0</v>
      </c>
      <c r="B100" s="22" t="e">
        <f>INDEX('Dados - Cliente'!H:H,MATCH(CheckList!A100,'Dados - Cliente'!A:A,0))</f>
        <v>#N/A</v>
      </c>
      <c r="C100" s="22" t="str">
        <f>IF(INDEX('1'!B:B,MATCH(CheckList!$A100,'1'!$A:$A,0))=0, "N/A", "SIM")</f>
        <v>N/A</v>
      </c>
      <c r="D100" s="22">
        <f>INDEX('1'!Q:Q,MATCH(CheckList!$A100,'1'!$A:$A,0))</f>
        <v>0</v>
      </c>
      <c r="E100" s="22" t="str">
        <f>IF(D100="SIM",IF(MATCH(A100,'2'!$A:$A,0)="","NÃO","SIM"),"NAO")</f>
        <v>NAO</v>
      </c>
      <c r="F100" s="22" t="str">
        <f>IF(INDEX('1'!R:R,MATCH(CheckList!$A100,'1'!$A:$A,0))=0, "N/A", "SIM")</f>
        <v>N/A</v>
      </c>
      <c r="G100" s="22" t="str">
        <f>IF(INDEX('1'!AC:AC,MATCH(CheckList!$A100,'1'!$A:$A,0))=0, "N/A", "SIM")</f>
        <v>N/A</v>
      </c>
      <c r="H100" s="22" t="str">
        <f>IF(INDEX('1'!AF:AF,MATCH(CheckList!$A100,'1'!$A:$A,0))=0, "N/A", "SIM")</f>
        <v>N/A</v>
      </c>
      <c r="I100" s="22" t="str">
        <f>IF(INDEX('1'!L:L,MATCH(CheckList!$A100,'1'!$A:$A,0))=0, "N/A", "SIM")</f>
        <v>N/A</v>
      </c>
      <c r="J100" s="22" t="str">
        <f>IF(LEN(INDEX('1'!L:L,MATCH(CheckList!$A100,'1'!$A:$A,0)))=11, "NAO", IF(LEN(INDEX('1'!L:L,MATCH(CheckList!$A100,'1'!$A:$A,0)))=14,"SIM","N/A"))</f>
        <v>N/A</v>
      </c>
      <c r="K100" s="22" t="str">
        <f>IF(INDEX('1'!BE:BE,MATCH(CheckList!$A100,'1'!$A:$A,0))=0, "N/A", "SIM")</f>
        <v>N/A</v>
      </c>
    </row>
    <row r="101" spans="1:11" x14ac:dyDescent="0.35">
      <c r="A101" s="22">
        <f>'Dados - Cliente'!A101</f>
        <v>0</v>
      </c>
      <c r="B101" s="22" t="e">
        <f>INDEX('Dados - Cliente'!H:H,MATCH(CheckList!A101,'Dados - Cliente'!A:A,0))</f>
        <v>#N/A</v>
      </c>
      <c r="C101" s="22" t="str">
        <f>IF(INDEX('1'!B:B,MATCH(CheckList!$A101,'1'!$A:$A,0))=0, "N/A", "SIM")</f>
        <v>N/A</v>
      </c>
      <c r="D101" s="22">
        <f>INDEX('1'!Q:Q,MATCH(CheckList!$A101,'1'!$A:$A,0))</f>
        <v>0</v>
      </c>
      <c r="E101" s="22" t="str">
        <f>IF(D101="SIM",IF(MATCH(A101,'2'!$A:$A,0)="","NÃO","SIM"),"NAO")</f>
        <v>NAO</v>
      </c>
      <c r="F101" s="22" t="str">
        <f>IF(INDEX('1'!R:R,MATCH(CheckList!$A101,'1'!$A:$A,0))=0, "N/A", "SIM")</f>
        <v>N/A</v>
      </c>
      <c r="G101" s="22" t="str">
        <f>IF(INDEX('1'!AC:AC,MATCH(CheckList!$A101,'1'!$A:$A,0))=0, "N/A", "SIM")</f>
        <v>N/A</v>
      </c>
      <c r="H101" s="22" t="str">
        <f>IF(INDEX('1'!AF:AF,MATCH(CheckList!$A101,'1'!$A:$A,0))=0, "N/A", "SIM")</f>
        <v>N/A</v>
      </c>
      <c r="I101" s="22" t="str">
        <f>IF(INDEX('1'!L:L,MATCH(CheckList!$A101,'1'!$A:$A,0))=0, "N/A", "SIM")</f>
        <v>N/A</v>
      </c>
      <c r="J101" s="22" t="str">
        <f>IF(LEN(INDEX('1'!L:L,MATCH(CheckList!$A101,'1'!$A:$A,0)))=11, "NAO", IF(LEN(INDEX('1'!L:L,MATCH(CheckList!$A101,'1'!$A:$A,0)))=14,"SIM","N/A"))</f>
        <v>N/A</v>
      </c>
      <c r="K101" s="22" t="str">
        <f>IF(INDEX('1'!BE:BE,MATCH(CheckList!$A101,'1'!$A:$A,0))=0, "N/A", "SIM")</f>
        <v>N/A</v>
      </c>
    </row>
    <row r="102" spans="1:11" x14ac:dyDescent="0.35">
      <c r="A102" s="22">
        <f>'Dados - Cliente'!A102</f>
        <v>0</v>
      </c>
      <c r="B102" s="22" t="e">
        <f>INDEX('Dados - Cliente'!H:H,MATCH(CheckList!A102,'Dados - Cliente'!A:A,0))</f>
        <v>#N/A</v>
      </c>
      <c r="C102" s="22" t="str">
        <f>IF(INDEX('1'!B:B,MATCH(CheckList!$A102,'1'!$A:$A,0))=0, "N/A", "SIM")</f>
        <v>N/A</v>
      </c>
      <c r="D102" s="22">
        <f>INDEX('1'!Q:Q,MATCH(CheckList!$A102,'1'!$A:$A,0))</f>
        <v>0</v>
      </c>
      <c r="E102" s="22" t="str">
        <f>IF(D102="SIM",IF(MATCH(A102,'2'!$A:$A,0)="","NÃO","SIM"),"NAO")</f>
        <v>NAO</v>
      </c>
      <c r="F102" s="22" t="str">
        <f>IF(INDEX('1'!R:R,MATCH(CheckList!$A102,'1'!$A:$A,0))=0, "N/A", "SIM")</f>
        <v>N/A</v>
      </c>
      <c r="G102" s="22" t="str">
        <f>IF(INDEX('1'!AC:AC,MATCH(CheckList!$A102,'1'!$A:$A,0))=0, "N/A", "SIM")</f>
        <v>N/A</v>
      </c>
      <c r="H102" s="22" t="str">
        <f>IF(INDEX('1'!AF:AF,MATCH(CheckList!$A102,'1'!$A:$A,0))=0, "N/A", "SIM")</f>
        <v>N/A</v>
      </c>
      <c r="I102" s="22" t="str">
        <f>IF(INDEX('1'!L:L,MATCH(CheckList!$A102,'1'!$A:$A,0))=0, "N/A", "SIM")</f>
        <v>N/A</v>
      </c>
      <c r="J102" s="22" t="str">
        <f>IF(LEN(INDEX('1'!L:L,MATCH(CheckList!$A102,'1'!$A:$A,0)))=11, "NAO", IF(LEN(INDEX('1'!L:L,MATCH(CheckList!$A102,'1'!$A:$A,0)))=14,"SIM","N/A"))</f>
        <v>N/A</v>
      </c>
      <c r="K102" s="22" t="str">
        <f>IF(INDEX('1'!BE:BE,MATCH(CheckList!$A102,'1'!$A:$A,0))=0, "N/A", "SIM")</f>
        <v>N/A</v>
      </c>
    </row>
    <row r="103" spans="1:11" x14ac:dyDescent="0.35">
      <c r="A103" s="22">
        <f>'Dados - Cliente'!A103</f>
        <v>0</v>
      </c>
      <c r="B103" s="22" t="e">
        <f>INDEX('Dados - Cliente'!H:H,MATCH(CheckList!A103,'Dados - Cliente'!A:A,0))</f>
        <v>#N/A</v>
      </c>
      <c r="C103" s="22" t="str">
        <f>IF(INDEX('1'!B:B,MATCH(CheckList!$A103,'1'!$A:$A,0))=0, "N/A", "SIM")</f>
        <v>N/A</v>
      </c>
      <c r="D103" s="22">
        <f>INDEX('1'!Q:Q,MATCH(CheckList!$A103,'1'!$A:$A,0))</f>
        <v>0</v>
      </c>
      <c r="E103" s="22" t="str">
        <f>IF(D103="SIM",IF(MATCH(A103,'2'!$A:$A,0)="","NÃO","SIM"),"NAO")</f>
        <v>NAO</v>
      </c>
      <c r="F103" s="22" t="str">
        <f>IF(INDEX('1'!R:R,MATCH(CheckList!$A103,'1'!$A:$A,0))=0, "N/A", "SIM")</f>
        <v>N/A</v>
      </c>
      <c r="G103" s="22" t="str">
        <f>IF(INDEX('1'!AC:AC,MATCH(CheckList!$A103,'1'!$A:$A,0))=0, "N/A", "SIM")</f>
        <v>N/A</v>
      </c>
      <c r="H103" s="22" t="str">
        <f>IF(INDEX('1'!AF:AF,MATCH(CheckList!$A103,'1'!$A:$A,0))=0, "N/A", "SIM")</f>
        <v>N/A</v>
      </c>
      <c r="I103" s="22" t="str">
        <f>IF(INDEX('1'!L:L,MATCH(CheckList!$A103,'1'!$A:$A,0))=0, "N/A", "SIM")</f>
        <v>N/A</v>
      </c>
      <c r="J103" s="22" t="str">
        <f>IF(LEN(INDEX('1'!L:L,MATCH(CheckList!$A103,'1'!$A:$A,0)))=11, "NAO", IF(LEN(INDEX('1'!L:L,MATCH(CheckList!$A103,'1'!$A:$A,0)))=14,"SIM","N/A"))</f>
        <v>N/A</v>
      </c>
      <c r="K103" s="22" t="str">
        <f>IF(INDEX('1'!BE:BE,MATCH(CheckList!$A103,'1'!$A:$A,0))=0, "N/A", "SIM")</f>
        <v>N/A</v>
      </c>
    </row>
    <row r="104" spans="1:11" x14ac:dyDescent="0.35">
      <c r="A104" s="22">
        <f>'Dados - Cliente'!A104</f>
        <v>0</v>
      </c>
      <c r="B104" s="22" t="e">
        <f>INDEX('Dados - Cliente'!H:H,MATCH(CheckList!A104,'Dados - Cliente'!A:A,0))</f>
        <v>#N/A</v>
      </c>
      <c r="C104" s="22" t="str">
        <f>IF(INDEX('1'!B:B,MATCH(CheckList!$A104,'1'!$A:$A,0))=0, "N/A", "SIM")</f>
        <v>N/A</v>
      </c>
      <c r="D104" s="22">
        <f>INDEX('1'!Q:Q,MATCH(CheckList!$A104,'1'!$A:$A,0))</f>
        <v>0</v>
      </c>
      <c r="E104" s="22" t="str">
        <f>IF(D104="SIM",IF(MATCH(A104,'2'!$A:$A,0)="","NÃO","SIM"),"NAO")</f>
        <v>NAO</v>
      </c>
      <c r="F104" s="22" t="str">
        <f>IF(INDEX('1'!R:R,MATCH(CheckList!$A104,'1'!$A:$A,0))=0, "N/A", "SIM")</f>
        <v>N/A</v>
      </c>
      <c r="G104" s="22" t="str">
        <f>IF(INDEX('1'!AC:AC,MATCH(CheckList!$A104,'1'!$A:$A,0))=0, "N/A", "SIM")</f>
        <v>N/A</v>
      </c>
      <c r="H104" s="22" t="str">
        <f>IF(INDEX('1'!AF:AF,MATCH(CheckList!$A104,'1'!$A:$A,0))=0, "N/A", "SIM")</f>
        <v>N/A</v>
      </c>
      <c r="I104" s="22" t="str">
        <f>IF(INDEX('1'!L:L,MATCH(CheckList!$A104,'1'!$A:$A,0))=0, "N/A", "SIM")</f>
        <v>N/A</v>
      </c>
      <c r="J104" s="22" t="str">
        <f>IF(LEN(INDEX('1'!L:L,MATCH(CheckList!$A104,'1'!$A:$A,0)))=11, "NAO", IF(LEN(INDEX('1'!L:L,MATCH(CheckList!$A104,'1'!$A:$A,0)))=14,"SIM","N/A"))</f>
        <v>N/A</v>
      </c>
      <c r="K104" s="22" t="str">
        <f>IF(INDEX('1'!BE:BE,MATCH(CheckList!$A104,'1'!$A:$A,0))=0, "N/A", "SIM")</f>
        <v>N/A</v>
      </c>
    </row>
    <row r="105" spans="1:11" x14ac:dyDescent="0.35">
      <c r="A105" s="22">
        <f>'Dados - Cliente'!A105</f>
        <v>0</v>
      </c>
      <c r="B105" s="22" t="e">
        <f>INDEX('Dados - Cliente'!H:H,MATCH(CheckList!A105,'Dados - Cliente'!A:A,0))</f>
        <v>#N/A</v>
      </c>
      <c r="C105" s="22" t="str">
        <f>IF(INDEX('1'!B:B,MATCH(CheckList!$A105,'1'!$A:$A,0))=0, "N/A", "SIM")</f>
        <v>N/A</v>
      </c>
      <c r="D105" s="22">
        <f>INDEX('1'!Q:Q,MATCH(CheckList!$A105,'1'!$A:$A,0))</f>
        <v>0</v>
      </c>
      <c r="E105" s="22" t="str">
        <f>IF(D105="SIM",IF(MATCH(A105,'2'!$A:$A,0)="","NÃO","SIM"),"NAO")</f>
        <v>NAO</v>
      </c>
      <c r="F105" s="22" t="str">
        <f>IF(INDEX('1'!R:R,MATCH(CheckList!$A105,'1'!$A:$A,0))=0, "N/A", "SIM")</f>
        <v>N/A</v>
      </c>
      <c r="G105" s="22" t="str">
        <f>IF(INDEX('1'!AC:AC,MATCH(CheckList!$A105,'1'!$A:$A,0))=0, "N/A", "SIM")</f>
        <v>N/A</v>
      </c>
      <c r="H105" s="22" t="str">
        <f>IF(INDEX('1'!AF:AF,MATCH(CheckList!$A105,'1'!$A:$A,0))=0, "N/A", "SIM")</f>
        <v>N/A</v>
      </c>
      <c r="I105" s="22" t="str">
        <f>IF(INDEX('1'!L:L,MATCH(CheckList!$A105,'1'!$A:$A,0))=0, "N/A", "SIM")</f>
        <v>N/A</v>
      </c>
      <c r="J105" s="22" t="str">
        <f>IF(LEN(INDEX('1'!L:L,MATCH(CheckList!$A105,'1'!$A:$A,0)))=11, "NAO", IF(LEN(INDEX('1'!L:L,MATCH(CheckList!$A105,'1'!$A:$A,0)))=14,"SIM","N/A"))</f>
        <v>N/A</v>
      </c>
      <c r="K105" s="22" t="str">
        <f>IF(INDEX('1'!BE:BE,MATCH(CheckList!$A105,'1'!$A:$A,0))=0, "N/A", "SIM")</f>
        <v>N/A</v>
      </c>
    </row>
    <row r="106" spans="1:11" x14ac:dyDescent="0.35">
      <c r="A106" s="22">
        <f>'Dados - Cliente'!A106</f>
        <v>0</v>
      </c>
      <c r="B106" s="22" t="e">
        <f>INDEX('Dados - Cliente'!H:H,MATCH(CheckList!A106,'Dados - Cliente'!A:A,0))</f>
        <v>#N/A</v>
      </c>
      <c r="C106" s="22" t="str">
        <f>IF(INDEX('1'!B:B,MATCH(CheckList!$A106,'1'!$A:$A,0))=0, "N/A", "SIM")</f>
        <v>N/A</v>
      </c>
      <c r="D106" s="22">
        <f>INDEX('1'!Q:Q,MATCH(CheckList!$A106,'1'!$A:$A,0))</f>
        <v>0</v>
      </c>
      <c r="E106" s="22" t="str">
        <f>IF(D106="SIM",IF(MATCH(A106,'2'!$A:$A,0)="","NÃO","SIM"),"NAO")</f>
        <v>NAO</v>
      </c>
      <c r="F106" s="22" t="str">
        <f>IF(INDEX('1'!R:R,MATCH(CheckList!$A106,'1'!$A:$A,0))=0, "N/A", "SIM")</f>
        <v>N/A</v>
      </c>
      <c r="G106" s="22" t="str">
        <f>IF(INDEX('1'!AC:AC,MATCH(CheckList!$A106,'1'!$A:$A,0))=0, "N/A", "SIM")</f>
        <v>N/A</v>
      </c>
      <c r="H106" s="22" t="str">
        <f>IF(INDEX('1'!AF:AF,MATCH(CheckList!$A106,'1'!$A:$A,0))=0, "N/A", "SIM")</f>
        <v>N/A</v>
      </c>
      <c r="I106" s="22" t="str">
        <f>IF(INDEX('1'!L:L,MATCH(CheckList!$A106,'1'!$A:$A,0))=0, "N/A", "SIM")</f>
        <v>N/A</v>
      </c>
      <c r="J106" s="22" t="str">
        <f>IF(LEN(INDEX('1'!L:L,MATCH(CheckList!$A106,'1'!$A:$A,0)))=11, "NAO", IF(LEN(INDEX('1'!L:L,MATCH(CheckList!$A106,'1'!$A:$A,0)))=14,"SIM","N/A"))</f>
        <v>N/A</v>
      </c>
      <c r="K106" s="22" t="str">
        <f>IF(INDEX('1'!BE:BE,MATCH(CheckList!$A106,'1'!$A:$A,0))=0, "N/A", "SIM")</f>
        <v>N/A</v>
      </c>
    </row>
    <row r="107" spans="1:11" x14ac:dyDescent="0.35">
      <c r="A107" s="22">
        <f>'Dados - Cliente'!A107</f>
        <v>0</v>
      </c>
      <c r="B107" s="22" t="e">
        <f>INDEX('Dados - Cliente'!H:H,MATCH(CheckList!A107,'Dados - Cliente'!A:A,0))</f>
        <v>#N/A</v>
      </c>
      <c r="C107" s="22" t="str">
        <f>IF(INDEX('1'!B:B,MATCH(CheckList!$A107,'1'!$A:$A,0))=0, "N/A", "SIM")</f>
        <v>N/A</v>
      </c>
      <c r="D107" s="22">
        <f>INDEX('1'!Q:Q,MATCH(CheckList!$A107,'1'!$A:$A,0))</f>
        <v>0</v>
      </c>
      <c r="E107" s="22" t="str">
        <f>IF(D107="SIM",IF(MATCH(A107,'2'!$A:$A,0)="","NÃO","SIM"),"NAO")</f>
        <v>NAO</v>
      </c>
      <c r="F107" s="22" t="str">
        <f>IF(INDEX('1'!R:R,MATCH(CheckList!$A107,'1'!$A:$A,0))=0, "N/A", "SIM")</f>
        <v>N/A</v>
      </c>
      <c r="G107" s="22" t="str">
        <f>IF(INDEX('1'!AC:AC,MATCH(CheckList!$A107,'1'!$A:$A,0))=0, "N/A", "SIM")</f>
        <v>N/A</v>
      </c>
      <c r="H107" s="22" t="str">
        <f>IF(INDEX('1'!AF:AF,MATCH(CheckList!$A107,'1'!$A:$A,0))=0, "N/A", "SIM")</f>
        <v>N/A</v>
      </c>
      <c r="I107" s="22" t="str">
        <f>IF(INDEX('1'!L:L,MATCH(CheckList!$A107,'1'!$A:$A,0))=0, "N/A", "SIM")</f>
        <v>N/A</v>
      </c>
      <c r="J107" s="22" t="str">
        <f>IF(LEN(INDEX('1'!L:L,MATCH(CheckList!$A107,'1'!$A:$A,0)))=11, "NAO", IF(LEN(INDEX('1'!L:L,MATCH(CheckList!$A107,'1'!$A:$A,0)))=14,"SIM","N/A"))</f>
        <v>N/A</v>
      </c>
      <c r="K107" s="22" t="str">
        <f>IF(INDEX('1'!BE:BE,MATCH(CheckList!$A107,'1'!$A:$A,0))=0, "N/A", "SIM")</f>
        <v>N/A</v>
      </c>
    </row>
    <row r="108" spans="1:11" x14ac:dyDescent="0.35">
      <c r="A108" s="22">
        <f>'Dados - Cliente'!A108</f>
        <v>0</v>
      </c>
      <c r="B108" s="22" t="e">
        <f>INDEX('Dados - Cliente'!H:H,MATCH(CheckList!A108,'Dados - Cliente'!A:A,0))</f>
        <v>#N/A</v>
      </c>
      <c r="C108" s="22" t="str">
        <f>IF(INDEX('1'!B:B,MATCH(CheckList!$A108,'1'!$A:$A,0))=0, "N/A", "SIM")</f>
        <v>N/A</v>
      </c>
      <c r="D108" s="22">
        <f>INDEX('1'!Q:Q,MATCH(CheckList!$A108,'1'!$A:$A,0))</f>
        <v>0</v>
      </c>
      <c r="E108" s="22" t="str">
        <f>IF(D108="SIM",IF(MATCH(A108,'2'!$A:$A,0)="","NÃO","SIM"),"NAO")</f>
        <v>NAO</v>
      </c>
      <c r="F108" s="22" t="str">
        <f>IF(INDEX('1'!R:R,MATCH(CheckList!$A108,'1'!$A:$A,0))=0, "N/A", "SIM")</f>
        <v>N/A</v>
      </c>
      <c r="G108" s="22" t="str">
        <f>IF(INDEX('1'!AC:AC,MATCH(CheckList!$A108,'1'!$A:$A,0))=0, "N/A", "SIM")</f>
        <v>N/A</v>
      </c>
      <c r="H108" s="22" t="str">
        <f>IF(INDEX('1'!AF:AF,MATCH(CheckList!$A108,'1'!$A:$A,0))=0, "N/A", "SIM")</f>
        <v>N/A</v>
      </c>
      <c r="I108" s="22" t="str">
        <f>IF(INDEX('1'!L:L,MATCH(CheckList!$A108,'1'!$A:$A,0))=0, "N/A", "SIM")</f>
        <v>N/A</v>
      </c>
      <c r="J108" s="22" t="str">
        <f>IF(LEN(INDEX('1'!L:L,MATCH(CheckList!$A108,'1'!$A:$A,0)))=11, "NAO", IF(LEN(INDEX('1'!L:L,MATCH(CheckList!$A108,'1'!$A:$A,0)))=14,"SIM","N/A"))</f>
        <v>N/A</v>
      </c>
      <c r="K108" s="22" t="str">
        <f>IF(INDEX('1'!BE:BE,MATCH(CheckList!$A108,'1'!$A:$A,0))=0, "N/A", "SIM")</f>
        <v>N/A</v>
      </c>
    </row>
    <row r="109" spans="1:11" x14ac:dyDescent="0.35">
      <c r="A109" s="22">
        <f>'Dados - Cliente'!A109</f>
        <v>0</v>
      </c>
      <c r="B109" s="22" t="e">
        <f>INDEX('Dados - Cliente'!H:H,MATCH(CheckList!A109,'Dados - Cliente'!A:A,0))</f>
        <v>#N/A</v>
      </c>
      <c r="C109" s="22" t="str">
        <f>IF(INDEX('1'!B:B,MATCH(CheckList!$A109,'1'!$A:$A,0))=0, "N/A", "SIM")</f>
        <v>N/A</v>
      </c>
      <c r="D109" s="22">
        <f>INDEX('1'!Q:Q,MATCH(CheckList!$A109,'1'!$A:$A,0))</f>
        <v>0</v>
      </c>
      <c r="E109" s="22" t="str">
        <f>IF(D109="SIM",IF(MATCH(A109,'2'!$A:$A,0)="","NÃO","SIM"),"NAO")</f>
        <v>NAO</v>
      </c>
      <c r="F109" s="22" t="str">
        <f>IF(INDEX('1'!R:R,MATCH(CheckList!$A109,'1'!$A:$A,0))=0, "N/A", "SIM")</f>
        <v>N/A</v>
      </c>
      <c r="G109" s="22" t="str">
        <f>IF(INDEX('1'!AC:AC,MATCH(CheckList!$A109,'1'!$A:$A,0))=0, "N/A", "SIM")</f>
        <v>N/A</v>
      </c>
      <c r="H109" s="22" t="str">
        <f>IF(INDEX('1'!AF:AF,MATCH(CheckList!$A109,'1'!$A:$A,0))=0, "N/A", "SIM")</f>
        <v>N/A</v>
      </c>
      <c r="I109" s="22" t="str">
        <f>IF(INDEX('1'!L:L,MATCH(CheckList!$A109,'1'!$A:$A,0))=0, "N/A", "SIM")</f>
        <v>N/A</v>
      </c>
      <c r="J109" s="22" t="str">
        <f>IF(LEN(INDEX('1'!L:L,MATCH(CheckList!$A109,'1'!$A:$A,0)))=11, "NAO", IF(LEN(INDEX('1'!L:L,MATCH(CheckList!$A109,'1'!$A:$A,0)))=14,"SIM","N/A"))</f>
        <v>N/A</v>
      </c>
      <c r="K109" s="22" t="str">
        <f>IF(INDEX('1'!BE:BE,MATCH(CheckList!$A109,'1'!$A:$A,0))=0, "N/A", "SIM")</f>
        <v>N/A</v>
      </c>
    </row>
    <row r="110" spans="1:11" x14ac:dyDescent="0.35">
      <c r="A110" s="22">
        <f>'Dados - Cliente'!A110</f>
        <v>0</v>
      </c>
      <c r="B110" s="22" t="e">
        <f>INDEX('Dados - Cliente'!H:H,MATCH(CheckList!A110,'Dados - Cliente'!A:A,0))</f>
        <v>#N/A</v>
      </c>
      <c r="C110" s="22" t="str">
        <f>IF(INDEX('1'!B:B,MATCH(CheckList!$A110,'1'!$A:$A,0))=0, "N/A", "SIM")</f>
        <v>N/A</v>
      </c>
      <c r="D110" s="22">
        <f>INDEX('1'!Q:Q,MATCH(CheckList!$A110,'1'!$A:$A,0))</f>
        <v>0</v>
      </c>
      <c r="E110" s="22" t="str">
        <f>IF(D110="SIM",IF(MATCH(A110,'2'!$A:$A,0)="","NÃO","SIM"),"NAO")</f>
        <v>NAO</v>
      </c>
      <c r="F110" s="22" t="str">
        <f>IF(INDEX('1'!R:R,MATCH(CheckList!$A110,'1'!$A:$A,0))=0, "N/A", "SIM")</f>
        <v>N/A</v>
      </c>
      <c r="G110" s="22" t="str">
        <f>IF(INDEX('1'!AC:AC,MATCH(CheckList!$A110,'1'!$A:$A,0))=0, "N/A", "SIM")</f>
        <v>N/A</v>
      </c>
      <c r="H110" s="22" t="str">
        <f>IF(INDEX('1'!AF:AF,MATCH(CheckList!$A110,'1'!$A:$A,0))=0, "N/A", "SIM")</f>
        <v>N/A</v>
      </c>
      <c r="I110" s="22" t="str">
        <f>IF(INDEX('1'!L:L,MATCH(CheckList!$A110,'1'!$A:$A,0))=0, "N/A", "SIM")</f>
        <v>N/A</v>
      </c>
      <c r="J110" s="22" t="str">
        <f>IF(LEN(INDEX('1'!L:L,MATCH(CheckList!$A110,'1'!$A:$A,0)))=11, "NAO", IF(LEN(INDEX('1'!L:L,MATCH(CheckList!$A110,'1'!$A:$A,0)))=14,"SIM","N/A"))</f>
        <v>N/A</v>
      </c>
      <c r="K110" s="22" t="str">
        <f>IF(INDEX('1'!BE:BE,MATCH(CheckList!$A110,'1'!$A:$A,0))=0, "N/A", "SIM")</f>
        <v>N/A</v>
      </c>
    </row>
    <row r="111" spans="1:11" x14ac:dyDescent="0.35">
      <c r="A111" s="22">
        <f>'Dados - Cliente'!A111</f>
        <v>0</v>
      </c>
      <c r="B111" s="22" t="e">
        <f>INDEX('Dados - Cliente'!H:H,MATCH(CheckList!A111,'Dados - Cliente'!A:A,0))</f>
        <v>#N/A</v>
      </c>
      <c r="C111" s="22" t="str">
        <f>IF(INDEX('1'!B:B,MATCH(CheckList!$A111,'1'!$A:$A,0))=0, "N/A", "SIM")</f>
        <v>N/A</v>
      </c>
      <c r="D111" s="22">
        <f>INDEX('1'!Q:Q,MATCH(CheckList!$A111,'1'!$A:$A,0))</f>
        <v>0</v>
      </c>
      <c r="E111" s="22" t="str">
        <f>IF(D111="SIM",IF(MATCH(A111,'2'!$A:$A,0)="","NÃO","SIM"),"NAO")</f>
        <v>NAO</v>
      </c>
      <c r="F111" s="22" t="str">
        <f>IF(INDEX('1'!R:R,MATCH(CheckList!$A111,'1'!$A:$A,0))=0, "N/A", "SIM")</f>
        <v>N/A</v>
      </c>
      <c r="G111" s="22" t="str">
        <f>IF(INDEX('1'!AC:AC,MATCH(CheckList!$A111,'1'!$A:$A,0))=0, "N/A", "SIM")</f>
        <v>N/A</v>
      </c>
      <c r="H111" s="22" t="str">
        <f>IF(INDEX('1'!AF:AF,MATCH(CheckList!$A111,'1'!$A:$A,0))=0, "N/A", "SIM")</f>
        <v>N/A</v>
      </c>
      <c r="I111" s="22" t="str">
        <f>IF(INDEX('1'!L:L,MATCH(CheckList!$A111,'1'!$A:$A,0))=0, "N/A", "SIM")</f>
        <v>N/A</v>
      </c>
      <c r="J111" s="22" t="str">
        <f>IF(LEN(INDEX('1'!L:L,MATCH(CheckList!$A111,'1'!$A:$A,0)))=11, "NAO", IF(LEN(INDEX('1'!L:L,MATCH(CheckList!$A111,'1'!$A:$A,0)))=14,"SIM","N/A"))</f>
        <v>N/A</v>
      </c>
      <c r="K111" s="22" t="str">
        <f>IF(INDEX('1'!BE:BE,MATCH(CheckList!$A111,'1'!$A:$A,0))=0, "N/A", "SIM")</f>
        <v>N/A</v>
      </c>
    </row>
    <row r="112" spans="1:11" x14ac:dyDescent="0.35">
      <c r="A112" s="22">
        <f>'Dados - Cliente'!A112</f>
        <v>0</v>
      </c>
      <c r="B112" s="22" t="e">
        <f>INDEX('Dados - Cliente'!H:H,MATCH(CheckList!A112,'Dados - Cliente'!A:A,0))</f>
        <v>#N/A</v>
      </c>
      <c r="C112" s="22" t="str">
        <f>IF(INDEX('1'!B:B,MATCH(CheckList!$A112,'1'!$A:$A,0))=0, "N/A", "SIM")</f>
        <v>N/A</v>
      </c>
      <c r="D112" s="22">
        <f>INDEX('1'!Q:Q,MATCH(CheckList!$A112,'1'!$A:$A,0))</f>
        <v>0</v>
      </c>
      <c r="E112" s="22" t="str">
        <f>IF(D112="SIM",IF(MATCH(A112,'2'!$A:$A,0)="","NÃO","SIM"),"NAO")</f>
        <v>NAO</v>
      </c>
      <c r="F112" s="22" t="str">
        <f>IF(INDEX('1'!R:R,MATCH(CheckList!$A112,'1'!$A:$A,0))=0, "N/A", "SIM")</f>
        <v>N/A</v>
      </c>
      <c r="G112" s="22" t="str">
        <f>IF(INDEX('1'!AC:AC,MATCH(CheckList!$A112,'1'!$A:$A,0))=0, "N/A", "SIM")</f>
        <v>N/A</v>
      </c>
      <c r="H112" s="22" t="str">
        <f>IF(INDEX('1'!AF:AF,MATCH(CheckList!$A112,'1'!$A:$A,0))=0, "N/A", "SIM")</f>
        <v>N/A</v>
      </c>
      <c r="I112" s="22" t="str">
        <f>IF(INDEX('1'!L:L,MATCH(CheckList!$A112,'1'!$A:$A,0))=0, "N/A", "SIM")</f>
        <v>N/A</v>
      </c>
      <c r="J112" s="22" t="str">
        <f>IF(LEN(INDEX('1'!L:L,MATCH(CheckList!$A112,'1'!$A:$A,0)))=11, "NAO", IF(LEN(INDEX('1'!L:L,MATCH(CheckList!$A112,'1'!$A:$A,0)))=14,"SIM","N/A"))</f>
        <v>N/A</v>
      </c>
      <c r="K112" s="22" t="str">
        <f>IF(INDEX('1'!BE:BE,MATCH(CheckList!$A112,'1'!$A:$A,0))=0, "N/A", "SIM")</f>
        <v>N/A</v>
      </c>
    </row>
    <row r="113" spans="1:11" x14ac:dyDescent="0.35">
      <c r="A113" s="22">
        <f>'Dados - Cliente'!A113</f>
        <v>0</v>
      </c>
      <c r="B113" s="22" t="e">
        <f>INDEX('Dados - Cliente'!H:H,MATCH(CheckList!A113,'Dados - Cliente'!A:A,0))</f>
        <v>#N/A</v>
      </c>
      <c r="C113" s="22" t="str">
        <f>IF(INDEX('1'!B:B,MATCH(CheckList!$A113,'1'!$A:$A,0))=0, "N/A", "SIM")</f>
        <v>N/A</v>
      </c>
      <c r="D113" s="22">
        <f>INDEX('1'!Q:Q,MATCH(CheckList!$A113,'1'!$A:$A,0))</f>
        <v>0</v>
      </c>
      <c r="E113" s="22" t="str">
        <f>IF(D113="SIM",IF(MATCH(A113,'2'!$A:$A,0)="","NÃO","SIM"),"NAO")</f>
        <v>NAO</v>
      </c>
      <c r="F113" s="22" t="str">
        <f>IF(INDEX('1'!R:R,MATCH(CheckList!$A113,'1'!$A:$A,0))=0, "N/A", "SIM")</f>
        <v>N/A</v>
      </c>
      <c r="G113" s="22" t="str">
        <f>IF(INDEX('1'!AC:AC,MATCH(CheckList!$A113,'1'!$A:$A,0))=0, "N/A", "SIM")</f>
        <v>N/A</v>
      </c>
      <c r="H113" s="22" t="str">
        <f>IF(INDEX('1'!AF:AF,MATCH(CheckList!$A113,'1'!$A:$A,0))=0, "N/A", "SIM")</f>
        <v>N/A</v>
      </c>
      <c r="I113" s="22" t="str">
        <f>IF(INDEX('1'!L:L,MATCH(CheckList!$A113,'1'!$A:$A,0))=0, "N/A", "SIM")</f>
        <v>N/A</v>
      </c>
      <c r="J113" s="22" t="str">
        <f>IF(LEN(INDEX('1'!L:L,MATCH(CheckList!$A113,'1'!$A:$A,0)))=11, "NAO", IF(LEN(INDEX('1'!L:L,MATCH(CheckList!$A113,'1'!$A:$A,0)))=14,"SIM","N/A"))</f>
        <v>N/A</v>
      </c>
      <c r="K113" s="22" t="str">
        <f>IF(INDEX('1'!BE:BE,MATCH(CheckList!$A113,'1'!$A:$A,0))=0, "N/A", "SIM")</f>
        <v>N/A</v>
      </c>
    </row>
    <row r="114" spans="1:11" x14ac:dyDescent="0.35">
      <c r="A114" s="22">
        <f>'Dados - Cliente'!A114</f>
        <v>0</v>
      </c>
      <c r="B114" s="22" t="e">
        <f>INDEX('Dados - Cliente'!H:H,MATCH(CheckList!A114,'Dados - Cliente'!A:A,0))</f>
        <v>#N/A</v>
      </c>
      <c r="C114" s="22" t="str">
        <f>IF(INDEX('1'!B:B,MATCH(CheckList!$A114,'1'!$A:$A,0))=0, "N/A", "SIM")</f>
        <v>N/A</v>
      </c>
      <c r="D114" s="22">
        <f>INDEX('1'!Q:Q,MATCH(CheckList!$A114,'1'!$A:$A,0))</f>
        <v>0</v>
      </c>
      <c r="E114" s="22" t="str">
        <f>IF(D114="SIM",IF(MATCH(A114,'2'!$A:$A,0)="","NÃO","SIM"),"NAO")</f>
        <v>NAO</v>
      </c>
      <c r="F114" s="22" t="str">
        <f>IF(INDEX('1'!R:R,MATCH(CheckList!$A114,'1'!$A:$A,0))=0, "N/A", "SIM")</f>
        <v>N/A</v>
      </c>
      <c r="G114" s="22" t="str">
        <f>IF(INDEX('1'!AC:AC,MATCH(CheckList!$A114,'1'!$A:$A,0))=0, "N/A", "SIM")</f>
        <v>N/A</v>
      </c>
      <c r="H114" s="22" t="str">
        <f>IF(INDEX('1'!AF:AF,MATCH(CheckList!$A114,'1'!$A:$A,0))=0, "N/A", "SIM")</f>
        <v>N/A</v>
      </c>
      <c r="I114" s="22" t="str">
        <f>IF(INDEX('1'!L:L,MATCH(CheckList!$A114,'1'!$A:$A,0))=0, "N/A", "SIM")</f>
        <v>N/A</v>
      </c>
      <c r="J114" s="22" t="str">
        <f>IF(LEN(INDEX('1'!L:L,MATCH(CheckList!$A114,'1'!$A:$A,0)))=11, "NAO", IF(LEN(INDEX('1'!L:L,MATCH(CheckList!$A114,'1'!$A:$A,0)))=14,"SIM","N/A"))</f>
        <v>N/A</v>
      </c>
      <c r="K114" s="22" t="str">
        <f>IF(INDEX('1'!BE:BE,MATCH(CheckList!$A114,'1'!$A:$A,0))=0, "N/A", "SIM")</f>
        <v>N/A</v>
      </c>
    </row>
    <row r="115" spans="1:11" x14ac:dyDescent="0.35">
      <c r="A115" s="22">
        <f>'Dados - Cliente'!A115</f>
        <v>0</v>
      </c>
      <c r="B115" s="22" t="e">
        <f>INDEX('Dados - Cliente'!H:H,MATCH(CheckList!A115,'Dados - Cliente'!A:A,0))</f>
        <v>#N/A</v>
      </c>
      <c r="C115" s="22" t="str">
        <f>IF(INDEX('1'!B:B,MATCH(CheckList!$A115,'1'!$A:$A,0))=0, "N/A", "SIM")</f>
        <v>N/A</v>
      </c>
      <c r="D115" s="22">
        <f>INDEX('1'!Q:Q,MATCH(CheckList!$A115,'1'!$A:$A,0))</f>
        <v>0</v>
      </c>
      <c r="E115" s="22" t="str">
        <f>IF(D115="SIM",IF(MATCH(A115,'2'!$A:$A,0)="","NÃO","SIM"),"NAO")</f>
        <v>NAO</v>
      </c>
      <c r="F115" s="22" t="str">
        <f>IF(INDEX('1'!R:R,MATCH(CheckList!$A115,'1'!$A:$A,0))=0, "N/A", "SIM")</f>
        <v>N/A</v>
      </c>
      <c r="G115" s="22" t="str">
        <f>IF(INDEX('1'!AC:AC,MATCH(CheckList!$A115,'1'!$A:$A,0))=0, "N/A", "SIM")</f>
        <v>N/A</v>
      </c>
      <c r="H115" s="22" t="str">
        <f>IF(INDEX('1'!AF:AF,MATCH(CheckList!$A115,'1'!$A:$A,0))=0, "N/A", "SIM")</f>
        <v>N/A</v>
      </c>
      <c r="I115" s="22" t="str">
        <f>IF(INDEX('1'!L:L,MATCH(CheckList!$A115,'1'!$A:$A,0))=0, "N/A", "SIM")</f>
        <v>N/A</v>
      </c>
      <c r="J115" s="22" t="str">
        <f>IF(LEN(INDEX('1'!L:L,MATCH(CheckList!$A115,'1'!$A:$A,0)))=11, "NAO", IF(LEN(INDEX('1'!L:L,MATCH(CheckList!$A115,'1'!$A:$A,0)))=14,"SIM","N/A"))</f>
        <v>N/A</v>
      </c>
      <c r="K115" s="22" t="str">
        <f>IF(INDEX('1'!BE:BE,MATCH(CheckList!$A115,'1'!$A:$A,0))=0, "N/A", "SIM")</f>
        <v>N/A</v>
      </c>
    </row>
    <row r="116" spans="1:11" x14ac:dyDescent="0.35">
      <c r="A116" s="22">
        <f>'Dados - Cliente'!A116</f>
        <v>0</v>
      </c>
      <c r="B116" s="22" t="e">
        <f>INDEX('Dados - Cliente'!H:H,MATCH(CheckList!A116,'Dados - Cliente'!A:A,0))</f>
        <v>#N/A</v>
      </c>
      <c r="C116" s="22" t="str">
        <f>IF(INDEX('1'!B:B,MATCH(CheckList!$A116,'1'!$A:$A,0))=0, "N/A", "SIM")</f>
        <v>N/A</v>
      </c>
      <c r="D116" s="22">
        <f>INDEX('1'!Q:Q,MATCH(CheckList!$A116,'1'!$A:$A,0))</f>
        <v>0</v>
      </c>
      <c r="E116" s="22" t="str">
        <f>IF(D116="SIM",IF(MATCH(A116,'2'!$A:$A,0)="","NÃO","SIM"),"NAO")</f>
        <v>NAO</v>
      </c>
      <c r="F116" s="22" t="str">
        <f>IF(INDEX('1'!R:R,MATCH(CheckList!$A116,'1'!$A:$A,0))=0, "N/A", "SIM")</f>
        <v>N/A</v>
      </c>
      <c r="G116" s="22" t="str">
        <f>IF(INDEX('1'!AC:AC,MATCH(CheckList!$A116,'1'!$A:$A,0))=0, "N/A", "SIM")</f>
        <v>N/A</v>
      </c>
      <c r="H116" s="22" t="str">
        <f>IF(INDEX('1'!AF:AF,MATCH(CheckList!$A116,'1'!$A:$A,0))=0, "N/A", "SIM")</f>
        <v>N/A</v>
      </c>
      <c r="I116" s="22" t="str">
        <f>IF(INDEX('1'!L:L,MATCH(CheckList!$A116,'1'!$A:$A,0))=0, "N/A", "SIM")</f>
        <v>N/A</v>
      </c>
      <c r="J116" s="22" t="str">
        <f>IF(LEN(INDEX('1'!L:L,MATCH(CheckList!$A116,'1'!$A:$A,0)))=11, "NAO", IF(LEN(INDEX('1'!L:L,MATCH(CheckList!$A116,'1'!$A:$A,0)))=14,"SIM","N/A"))</f>
        <v>N/A</v>
      </c>
      <c r="K116" s="22" t="str">
        <f>IF(INDEX('1'!BE:BE,MATCH(CheckList!$A116,'1'!$A:$A,0))=0, "N/A", "SIM")</f>
        <v>N/A</v>
      </c>
    </row>
    <row r="117" spans="1:11" x14ac:dyDescent="0.35">
      <c r="A117" s="22">
        <f>'Dados - Cliente'!A117</f>
        <v>0</v>
      </c>
      <c r="B117" s="22" t="e">
        <f>INDEX('Dados - Cliente'!H:H,MATCH(CheckList!A117,'Dados - Cliente'!A:A,0))</f>
        <v>#N/A</v>
      </c>
      <c r="C117" s="22" t="str">
        <f>IF(INDEX('1'!B:B,MATCH(CheckList!$A117,'1'!$A:$A,0))=0, "N/A", "SIM")</f>
        <v>N/A</v>
      </c>
      <c r="D117" s="22">
        <f>INDEX('1'!Q:Q,MATCH(CheckList!$A117,'1'!$A:$A,0))</f>
        <v>0</v>
      </c>
      <c r="E117" s="22" t="str">
        <f>IF(D117="SIM",IF(MATCH(A117,'2'!$A:$A,0)="","NÃO","SIM"),"NAO")</f>
        <v>NAO</v>
      </c>
      <c r="F117" s="22" t="str">
        <f>IF(INDEX('1'!R:R,MATCH(CheckList!$A117,'1'!$A:$A,0))=0, "N/A", "SIM")</f>
        <v>N/A</v>
      </c>
      <c r="G117" s="22" t="str">
        <f>IF(INDEX('1'!AC:AC,MATCH(CheckList!$A117,'1'!$A:$A,0))=0, "N/A", "SIM")</f>
        <v>N/A</v>
      </c>
      <c r="H117" s="22" t="str">
        <f>IF(INDEX('1'!AF:AF,MATCH(CheckList!$A117,'1'!$A:$A,0))=0, "N/A", "SIM")</f>
        <v>N/A</v>
      </c>
      <c r="I117" s="22" t="str">
        <f>IF(INDEX('1'!L:L,MATCH(CheckList!$A117,'1'!$A:$A,0))=0, "N/A", "SIM")</f>
        <v>N/A</v>
      </c>
      <c r="J117" s="22" t="str">
        <f>IF(LEN(INDEX('1'!L:L,MATCH(CheckList!$A117,'1'!$A:$A,0)))=11, "NAO", IF(LEN(INDEX('1'!L:L,MATCH(CheckList!$A117,'1'!$A:$A,0)))=14,"SIM","N/A"))</f>
        <v>N/A</v>
      </c>
      <c r="K117" s="22" t="str">
        <f>IF(INDEX('1'!BE:BE,MATCH(CheckList!$A117,'1'!$A:$A,0))=0, "N/A", "SIM")</f>
        <v>N/A</v>
      </c>
    </row>
    <row r="118" spans="1:11" x14ac:dyDescent="0.35">
      <c r="A118" s="22">
        <f>'Dados - Cliente'!A118</f>
        <v>0</v>
      </c>
      <c r="B118" s="22" t="e">
        <f>INDEX('Dados - Cliente'!H:H,MATCH(CheckList!A118,'Dados - Cliente'!A:A,0))</f>
        <v>#N/A</v>
      </c>
      <c r="C118" s="22" t="str">
        <f>IF(INDEX('1'!B:B,MATCH(CheckList!$A118,'1'!$A:$A,0))=0, "N/A", "SIM")</f>
        <v>N/A</v>
      </c>
      <c r="D118" s="22">
        <f>INDEX('1'!Q:Q,MATCH(CheckList!$A118,'1'!$A:$A,0))</f>
        <v>0</v>
      </c>
      <c r="E118" s="22" t="str">
        <f>IF(D118="SIM",IF(MATCH(A118,'2'!$A:$A,0)="","NÃO","SIM"),"NAO")</f>
        <v>NAO</v>
      </c>
      <c r="F118" s="22" t="str">
        <f>IF(INDEX('1'!R:R,MATCH(CheckList!$A118,'1'!$A:$A,0))=0, "N/A", "SIM")</f>
        <v>N/A</v>
      </c>
      <c r="G118" s="22" t="str">
        <f>IF(INDEX('1'!AC:AC,MATCH(CheckList!$A118,'1'!$A:$A,0))=0, "N/A", "SIM")</f>
        <v>N/A</v>
      </c>
      <c r="H118" s="22" t="str">
        <f>IF(INDEX('1'!AF:AF,MATCH(CheckList!$A118,'1'!$A:$A,0))=0, "N/A", "SIM")</f>
        <v>N/A</v>
      </c>
      <c r="I118" s="22" t="str">
        <f>IF(INDEX('1'!L:L,MATCH(CheckList!$A118,'1'!$A:$A,0))=0, "N/A", "SIM")</f>
        <v>N/A</v>
      </c>
      <c r="J118" s="22" t="str">
        <f>IF(LEN(INDEX('1'!L:L,MATCH(CheckList!$A118,'1'!$A:$A,0)))=11, "NAO", IF(LEN(INDEX('1'!L:L,MATCH(CheckList!$A118,'1'!$A:$A,0)))=14,"SIM","N/A"))</f>
        <v>N/A</v>
      </c>
      <c r="K118" s="22" t="str">
        <f>IF(INDEX('1'!BE:BE,MATCH(CheckList!$A118,'1'!$A:$A,0))=0, "N/A", "SIM")</f>
        <v>N/A</v>
      </c>
    </row>
    <row r="119" spans="1:11" x14ac:dyDescent="0.35">
      <c r="A119" s="22">
        <f>'Dados - Cliente'!A119</f>
        <v>0</v>
      </c>
      <c r="B119" s="22" t="e">
        <f>INDEX('Dados - Cliente'!H:H,MATCH(CheckList!A119,'Dados - Cliente'!A:A,0))</f>
        <v>#N/A</v>
      </c>
      <c r="C119" s="22" t="str">
        <f>IF(INDEX('1'!B:B,MATCH(CheckList!$A119,'1'!$A:$A,0))=0, "N/A", "SIM")</f>
        <v>N/A</v>
      </c>
      <c r="D119" s="22">
        <f>INDEX('1'!Q:Q,MATCH(CheckList!$A119,'1'!$A:$A,0))</f>
        <v>0</v>
      </c>
      <c r="E119" s="22" t="str">
        <f>IF(D119="SIM",IF(MATCH(A119,'2'!$A:$A,0)="","NÃO","SIM"),"NAO")</f>
        <v>NAO</v>
      </c>
      <c r="F119" s="22" t="str">
        <f>IF(INDEX('1'!R:R,MATCH(CheckList!$A119,'1'!$A:$A,0))=0, "N/A", "SIM")</f>
        <v>N/A</v>
      </c>
      <c r="G119" s="22" t="str">
        <f>IF(INDEX('1'!AC:AC,MATCH(CheckList!$A119,'1'!$A:$A,0))=0, "N/A", "SIM")</f>
        <v>N/A</v>
      </c>
      <c r="H119" s="22" t="str">
        <f>IF(INDEX('1'!AF:AF,MATCH(CheckList!$A119,'1'!$A:$A,0))=0, "N/A", "SIM")</f>
        <v>N/A</v>
      </c>
      <c r="I119" s="22" t="str">
        <f>IF(INDEX('1'!L:L,MATCH(CheckList!$A119,'1'!$A:$A,0))=0, "N/A", "SIM")</f>
        <v>N/A</v>
      </c>
      <c r="J119" s="22" t="str">
        <f>IF(LEN(INDEX('1'!L:L,MATCH(CheckList!$A119,'1'!$A:$A,0)))=11, "NAO", IF(LEN(INDEX('1'!L:L,MATCH(CheckList!$A119,'1'!$A:$A,0)))=14,"SIM","N/A"))</f>
        <v>N/A</v>
      </c>
      <c r="K119" s="22" t="str">
        <f>IF(INDEX('1'!BE:BE,MATCH(CheckList!$A119,'1'!$A:$A,0))=0, "N/A", "SIM")</f>
        <v>N/A</v>
      </c>
    </row>
    <row r="120" spans="1:11" x14ac:dyDescent="0.35">
      <c r="A120" s="22">
        <f>'Dados - Cliente'!A120</f>
        <v>0</v>
      </c>
      <c r="B120" s="22" t="e">
        <f>INDEX('Dados - Cliente'!H:H,MATCH(CheckList!A120,'Dados - Cliente'!A:A,0))</f>
        <v>#N/A</v>
      </c>
      <c r="C120" s="22" t="str">
        <f>IF(INDEX('1'!B:B,MATCH(CheckList!$A120,'1'!$A:$A,0))=0, "N/A", "SIM")</f>
        <v>N/A</v>
      </c>
      <c r="D120" s="22">
        <f>INDEX('1'!Q:Q,MATCH(CheckList!$A120,'1'!$A:$A,0))</f>
        <v>0</v>
      </c>
      <c r="E120" s="22" t="str">
        <f>IF(D120="SIM",IF(MATCH(A120,'2'!$A:$A,0)="","NÃO","SIM"),"NAO")</f>
        <v>NAO</v>
      </c>
      <c r="F120" s="22" t="str">
        <f>IF(INDEX('1'!R:R,MATCH(CheckList!$A120,'1'!$A:$A,0))=0, "N/A", "SIM")</f>
        <v>N/A</v>
      </c>
      <c r="G120" s="22" t="str">
        <f>IF(INDEX('1'!AC:AC,MATCH(CheckList!$A120,'1'!$A:$A,0))=0, "N/A", "SIM")</f>
        <v>N/A</v>
      </c>
      <c r="H120" s="22" t="str">
        <f>IF(INDEX('1'!AF:AF,MATCH(CheckList!$A120,'1'!$A:$A,0))=0, "N/A", "SIM")</f>
        <v>N/A</v>
      </c>
      <c r="I120" s="22" t="str">
        <f>IF(INDEX('1'!L:L,MATCH(CheckList!$A120,'1'!$A:$A,0))=0, "N/A", "SIM")</f>
        <v>N/A</v>
      </c>
      <c r="J120" s="22" t="str">
        <f>IF(LEN(INDEX('1'!L:L,MATCH(CheckList!$A120,'1'!$A:$A,0)))=11, "NAO", IF(LEN(INDEX('1'!L:L,MATCH(CheckList!$A120,'1'!$A:$A,0)))=14,"SIM","N/A"))</f>
        <v>N/A</v>
      </c>
      <c r="K120" s="22" t="str">
        <f>IF(INDEX('1'!BE:BE,MATCH(CheckList!$A120,'1'!$A:$A,0))=0, "N/A", "SIM")</f>
        <v>N/A</v>
      </c>
    </row>
    <row r="121" spans="1:11" x14ac:dyDescent="0.35">
      <c r="A121" s="22">
        <f>'Dados - Cliente'!A121</f>
        <v>0</v>
      </c>
      <c r="B121" s="22" t="e">
        <f>INDEX('Dados - Cliente'!H:H,MATCH(CheckList!A121,'Dados - Cliente'!A:A,0))</f>
        <v>#N/A</v>
      </c>
      <c r="C121" s="22" t="str">
        <f>IF(INDEX('1'!B:B,MATCH(CheckList!$A121,'1'!$A:$A,0))=0, "N/A", "SIM")</f>
        <v>N/A</v>
      </c>
      <c r="D121" s="22">
        <f>INDEX('1'!Q:Q,MATCH(CheckList!$A121,'1'!$A:$A,0))</f>
        <v>0</v>
      </c>
      <c r="E121" s="22" t="str">
        <f>IF(D121="SIM",IF(MATCH(A121,'2'!$A:$A,0)="","NÃO","SIM"),"NAO")</f>
        <v>NAO</v>
      </c>
      <c r="F121" s="22" t="str">
        <f>IF(INDEX('1'!R:R,MATCH(CheckList!$A121,'1'!$A:$A,0))=0, "N/A", "SIM")</f>
        <v>N/A</v>
      </c>
      <c r="G121" s="22" t="str">
        <f>IF(INDEX('1'!AC:AC,MATCH(CheckList!$A121,'1'!$A:$A,0))=0, "N/A", "SIM")</f>
        <v>N/A</v>
      </c>
      <c r="H121" s="22" t="str">
        <f>IF(INDEX('1'!AF:AF,MATCH(CheckList!$A121,'1'!$A:$A,0))=0, "N/A", "SIM")</f>
        <v>N/A</v>
      </c>
      <c r="I121" s="22" t="str">
        <f>IF(INDEX('1'!L:L,MATCH(CheckList!$A121,'1'!$A:$A,0))=0, "N/A", "SIM")</f>
        <v>N/A</v>
      </c>
      <c r="J121" s="22" t="str">
        <f>IF(LEN(INDEX('1'!L:L,MATCH(CheckList!$A121,'1'!$A:$A,0)))=11, "NAO", IF(LEN(INDEX('1'!L:L,MATCH(CheckList!$A121,'1'!$A:$A,0)))=14,"SIM","N/A"))</f>
        <v>N/A</v>
      </c>
      <c r="K121" s="22" t="str">
        <f>IF(INDEX('1'!BE:BE,MATCH(CheckList!$A121,'1'!$A:$A,0))=0, "N/A", "SIM")</f>
        <v>N/A</v>
      </c>
    </row>
    <row r="122" spans="1:11" x14ac:dyDescent="0.35">
      <c r="A122" s="22">
        <f>'Dados - Cliente'!A122</f>
        <v>0</v>
      </c>
      <c r="B122" s="22" t="e">
        <f>INDEX('Dados - Cliente'!H:H,MATCH(CheckList!A122,'Dados - Cliente'!A:A,0))</f>
        <v>#N/A</v>
      </c>
      <c r="C122" s="22" t="str">
        <f>IF(INDEX('1'!B:B,MATCH(CheckList!$A122,'1'!$A:$A,0))=0, "N/A", "SIM")</f>
        <v>N/A</v>
      </c>
      <c r="D122" s="22">
        <f>INDEX('1'!Q:Q,MATCH(CheckList!$A122,'1'!$A:$A,0))</f>
        <v>0</v>
      </c>
      <c r="E122" s="22" t="str">
        <f>IF(D122="SIM",IF(MATCH(A122,'2'!$A:$A,0)="","NÃO","SIM"),"NAO")</f>
        <v>NAO</v>
      </c>
      <c r="F122" s="22" t="str">
        <f>IF(INDEX('1'!R:R,MATCH(CheckList!$A122,'1'!$A:$A,0))=0, "N/A", "SIM")</f>
        <v>N/A</v>
      </c>
      <c r="G122" s="22" t="str">
        <f>IF(INDEX('1'!AC:AC,MATCH(CheckList!$A122,'1'!$A:$A,0))=0, "N/A", "SIM")</f>
        <v>N/A</v>
      </c>
      <c r="H122" s="22" t="str">
        <f>IF(INDEX('1'!AF:AF,MATCH(CheckList!$A122,'1'!$A:$A,0))=0, "N/A", "SIM")</f>
        <v>N/A</v>
      </c>
      <c r="I122" s="22" t="str">
        <f>IF(INDEX('1'!L:L,MATCH(CheckList!$A122,'1'!$A:$A,0))=0, "N/A", "SIM")</f>
        <v>N/A</v>
      </c>
      <c r="J122" s="22" t="str">
        <f>IF(LEN(INDEX('1'!L:L,MATCH(CheckList!$A122,'1'!$A:$A,0)))=11, "NAO", IF(LEN(INDEX('1'!L:L,MATCH(CheckList!$A122,'1'!$A:$A,0)))=14,"SIM","N/A"))</f>
        <v>N/A</v>
      </c>
      <c r="K122" s="22" t="str">
        <f>IF(INDEX('1'!BE:BE,MATCH(CheckList!$A122,'1'!$A:$A,0))=0, "N/A", "SIM")</f>
        <v>N/A</v>
      </c>
    </row>
    <row r="123" spans="1:11" x14ac:dyDescent="0.35">
      <c r="A123" s="22">
        <f>'Dados - Cliente'!A123</f>
        <v>0</v>
      </c>
      <c r="B123" s="22" t="e">
        <f>INDEX('Dados - Cliente'!H:H,MATCH(CheckList!A123,'Dados - Cliente'!A:A,0))</f>
        <v>#N/A</v>
      </c>
      <c r="C123" s="22" t="str">
        <f>IF(INDEX('1'!B:B,MATCH(CheckList!$A123,'1'!$A:$A,0))=0, "N/A", "SIM")</f>
        <v>N/A</v>
      </c>
      <c r="D123" s="22">
        <f>INDEX('1'!Q:Q,MATCH(CheckList!$A123,'1'!$A:$A,0))</f>
        <v>0</v>
      </c>
      <c r="E123" s="22" t="str">
        <f>IF(D123="SIM",IF(MATCH(A123,'2'!$A:$A,0)="","NÃO","SIM"),"NAO")</f>
        <v>NAO</v>
      </c>
      <c r="F123" s="22" t="str">
        <f>IF(INDEX('1'!R:R,MATCH(CheckList!$A123,'1'!$A:$A,0))=0, "N/A", "SIM")</f>
        <v>N/A</v>
      </c>
      <c r="G123" s="22" t="str">
        <f>IF(INDEX('1'!AC:AC,MATCH(CheckList!$A123,'1'!$A:$A,0))=0, "N/A", "SIM")</f>
        <v>N/A</v>
      </c>
      <c r="H123" s="22" t="str">
        <f>IF(INDEX('1'!AF:AF,MATCH(CheckList!$A123,'1'!$A:$A,0))=0, "N/A", "SIM")</f>
        <v>N/A</v>
      </c>
      <c r="I123" s="22" t="str">
        <f>IF(INDEX('1'!L:L,MATCH(CheckList!$A123,'1'!$A:$A,0))=0, "N/A", "SIM")</f>
        <v>N/A</v>
      </c>
      <c r="J123" s="22" t="str">
        <f>IF(LEN(INDEX('1'!L:L,MATCH(CheckList!$A123,'1'!$A:$A,0)))=11, "NAO", IF(LEN(INDEX('1'!L:L,MATCH(CheckList!$A123,'1'!$A:$A,0)))=14,"SIM","N/A"))</f>
        <v>N/A</v>
      </c>
      <c r="K123" s="22" t="str">
        <f>IF(INDEX('1'!BE:BE,MATCH(CheckList!$A123,'1'!$A:$A,0))=0, "N/A", "SIM")</f>
        <v>N/A</v>
      </c>
    </row>
    <row r="124" spans="1:11" x14ac:dyDescent="0.35">
      <c r="A124" s="22">
        <f>'Dados - Cliente'!A124</f>
        <v>0</v>
      </c>
      <c r="B124" s="22" t="e">
        <f>INDEX('Dados - Cliente'!H:H,MATCH(CheckList!A124,'Dados - Cliente'!A:A,0))</f>
        <v>#N/A</v>
      </c>
      <c r="C124" s="22" t="str">
        <f>IF(INDEX('1'!B:B,MATCH(CheckList!$A124,'1'!$A:$A,0))=0, "N/A", "SIM")</f>
        <v>N/A</v>
      </c>
      <c r="D124" s="22">
        <f>INDEX('1'!Q:Q,MATCH(CheckList!$A124,'1'!$A:$A,0))</f>
        <v>0</v>
      </c>
      <c r="E124" s="22" t="str">
        <f>IF(D124="SIM",IF(MATCH(A124,'2'!$A:$A,0)="","NÃO","SIM"),"NAO")</f>
        <v>NAO</v>
      </c>
      <c r="F124" s="22" t="str">
        <f>IF(INDEX('1'!R:R,MATCH(CheckList!$A124,'1'!$A:$A,0))=0, "N/A", "SIM")</f>
        <v>N/A</v>
      </c>
      <c r="G124" s="22" t="str">
        <f>IF(INDEX('1'!AC:AC,MATCH(CheckList!$A124,'1'!$A:$A,0))=0, "N/A", "SIM")</f>
        <v>N/A</v>
      </c>
      <c r="H124" s="22" t="str">
        <f>IF(INDEX('1'!AF:AF,MATCH(CheckList!$A124,'1'!$A:$A,0))=0, "N/A", "SIM")</f>
        <v>N/A</v>
      </c>
      <c r="I124" s="22" t="str">
        <f>IF(INDEX('1'!L:L,MATCH(CheckList!$A124,'1'!$A:$A,0))=0, "N/A", "SIM")</f>
        <v>N/A</v>
      </c>
      <c r="J124" s="22" t="str">
        <f>IF(LEN(INDEX('1'!L:L,MATCH(CheckList!$A124,'1'!$A:$A,0)))=11, "NAO", IF(LEN(INDEX('1'!L:L,MATCH(CheckList!$A124,'1'!$A:$A,0)))=14,"SIM","N/A"))</f>
        <v>N/A</v>
      </c>
      <c r="K124" s="22" t="str">
        <f>IF(INDEX('1'!BE:BE,MATCH(CheckList!$A124,'1'!$A:$A,0))=0, "N/A", "SIM")</f>
        <v>N/A</v>
      </c>
    </row>
    <row r="125" spans="1:11" x14ac:dyDescent="0.35">
      <c r="A125" s="22">
        <f>'Dados - Cliente'!A125</f>
        <v>0</v>
      </c>
      <c r="B125" s="22" t="e">
        <f>INDEX('Dados - Cliente'!H:H,MATCH(CheckList!A125,'Dados - Cliente'!A:A,0))</f>
        <v>#N/A</v>
      </c>
      <c r="C125" s="22" t="str">
        <f>IF(INDEX('1'!B:B,MATCH(CheckList!$A125,'1'!$A:$A,0))=0, "N/A", "SIM")</f>
        <v>N/A</v>
      </c>
      <c r="D125" s="22">
        <f>INDEX('1'!Q:Q,MATCH(CheckList!$A125,'1'!$A:$A,0))</f>
        <v>0</v>
      </c>
      <c r="E125" s="22" t="str">
        <f>IF(D125="SIM",IF(MATCH(A125,'2'!$A:$A,0)="","NÃO","SIM"),"NAO")</f>
        <v>NAO</v>
      </c>
      <c r="F125" s="22" t="str">
        <f>IF(INDEX('1'!R:R,MATCH(CheckList!$A125,'1'!$A:$A,0))=0, "N/A", "SIM")</f>
        <v>N/A</v>
      </c>
      <c r="G125" s="22" t="str">
        <f>IF(INDEX('1'!AC:AC,MATCH(CheckList!$A125,'1'!$A:$A,0))=0, "N/A", "SIM")</f>
        <v>N/A</v>
      </c>
      <c r="H125" s="22" t="str">
        <f>IF(INDEX('1'!AF:AF,MATCH(CheckList!$A125,'1'!$A:$A,0))=0, "N/A", "SIM")</f>
        <v>N/A</v>
      </c>
      <c r="I125" s="22" t="str">
        <f>IF(INDEX('1'!L:L,MATCH(CheckList!$A125,'1'!$A:$A,0))=0, "N/A", "SIM")</f>
        <v>N/A</v>
      </c>
      <c r="J125" s="22" t="str">
        <f>IF(LEN(INDEX('1'!L:L,MATCH(CheckList!$A125,'1'!$A:$A,0)))=11, "NAO", IF(LEN(INDEX('1'!L:L,MATCH(CheckList!$A125,'1'!$A:$A,0)))=14,"SIM","N/A"))</f>
        <v>N/A</v>
      </c>
      <c r="K125" s="22" t="str">
        <f>IF(INDEX('1'!BE:BE,MATCH(CheckList!$A125,'1'!$A:$A,0))=0, "N/A", "SIM")</f>
        <v>N/A</v>
      </c>
    </row>
    <row r="126" spans="1:11" x14ac:dyDescent="0.35">
      <c r="A126" s="22">
        <f>'Dados - Cliente'!A126</f>
        <v>0</v>
      </c>
      <c r="B126" s="22" t="e">
        <f>INDEX('Dados - Cliente'!H:H,MATCH(CheckList!A126,'Dados - Cliente'!A:A,0))</f>
        <v>#N/A</v>
      </c>
      <c r="C126" s="22" t="str">
        <f>IF(INDEX('1'!B:B,MATCH(CheckList!$A126,'1'!$A:$A,0))=0, "N/A", "SIM")</f>
        <v>N/A</v>
      </c>
      <c r="D126" s="22">
        <f>INDEX('1'!Q:Q,MATCH(CheckList!$A126,'1'!$A:$A,0))</f>
        <v>0</v>
      </c>
      <c r="E126" s="22" t="str">
        <f>IF(D126="SIM",IF(MATCH(A126,'2'!$A:$A,0)="","NÃO","SIM"),"NAO")</f>
        <v>NAO</v>
      </c>
      <c r="F126" s="22" t="str">
        <f>IF(INDEX('1'!R:R,MATCH(CheckList!$A126,'1'!$A:$A,0))=0, "N/A", "SIM")</f>
        <v>N/A</v>
      </c>
      <c r="G126" s="22" t="str">
        <f>IF(INDEX('1'!AC:AC,MATCH(CheckList!$A126,'1'!$A:$A,0))=0, "N/A", "SIM")</f>
        <v>N/A</v>
      </c>
      <c r="H126" s="22" t="str">
        <f>IF(INDEX('1'!AF:AF,MATCH(CheckList!$A126,'1'!$A:$A,0))=0, "N/A", "SIM")</f>
        <v>N/A</v>
      </c>
      <c r="I126" s="22" t="str">
        <f>IF(INDEX('1'!L:L,MATCH(CheckList!$A126,'1'!$A:$A,0))=0, "N/A", "SIM")</f>
        <v>N/A</v>
      </c>
      <c r="J126" s="22" t="str">
        <f>IF(LEN(INDEX('1'!L:L,MATCH(CheckList!$A126,'1'!$A:$A,0)))=11, "NAO", IF(LEN(INDEX('1'!L:L,MATCH(CheckList!$A126,'1'!$A:$A,0)))=14,"SIM","N/A"))</f>
        <v>N/A</v>
      </c>
      <c r="K126" s="22" t="str">
        <f>IF(INDEX('1'!BE:BE,MATCH(CheckList!$A126,'1'!$A:$A,0))=0, "N/A", "SIM")</f>
        <v>N/A</v>
      </c>
    </row>
    <row r="127" spans="1:11" x14ac:dyDescent="0.35">
      <c r="A127" s="22">
        <f>'Dados - Cliente'!A127</f>
        <v>0</v>
      </c>
      <c r="B127" s="22" t="e">
        <f>INDEX('Dados - Cliente'!H:H,MATCH(CheckList!A127,'Dados - Cliente'!A:A,0))</f>
        <v>#N/A</v>
      </c>
      <c r="C127" s="22" t="str">
        <f>IF(INDEX('1'!B:B,MATCH(CheckList!$A127,'1'!$A:$A,0))=0, "N/A", "SIM")</f>
        <v>N/A</v>
      </c>
      <c r="D127" s="22">
        <f>INDEX('1'!Q:Q,MATCH(CheckList!$A127,'1'!$A:$A,0))</f>
        <v>0</v>
      </c>
      <c r="E127" s="22" t="str">
        <f>IF(D127="SIM",IF(MATCH(A127,'2'!$A:$A,0)="","NÃO","SIM"),"NAO")</f>
        <v>NAO</v>
      </c>
      <c r="F127" s="22" t="str">
        <f>IF(INDEX('1'!R:R,MATCH(CheckList!$A127,'1'!$A:$A,0))=0, "N/A", "SIM")</f>
        <v>N/A</v>
      </c>
      <c r="G127" s="22" t="str">
        <f>IF(INDEX('1'!AC:AC,MATCH(CheckList!$A127,'1'!$A:$A,0))=0, "N/A", "SIM")</f>
        <v>N/A</v>
      </c>
      <c r="H127" s="22" t="str">
        <f>IF(INDEX('1'!AF:AF,MATCH(CheckList!$A127,'1'!$A:$A,0))=0, "N/A", "SIM")</f>
        <v>N/A</v>
      </c>
      <c r="I127" s="22" t="str">
        <f>IF(INDEX('1'!L:L,MATCH(CheckList!$A127,'1'!$A:$A,0))=0, "N/A", "SIM")</f>
        <v>N/A</v>
      </c>
      <c r="J127" s="22" t="str">
        <f>IF(LEN(INDEX('1'!L:L,MATCH(CheckList!$A127,'1'!$A:$A,0)))=11, "NAO", IF(LEN(INDEX('1'!L:L,MATCH(CheckList!$A127,'1'!$A:$A,0)))=14,"SIM","N/A"))</f>
        <v>N/A</v>
      </c>
      <c r="K127" s="22" t="str">
        <f>IF(INDEX('1'!BE:BE,MATCH(CheckList!$A127,'1'!$A:$A,0))=0, "N/A", "SIM")</f>
        <v>N/A</v>
      </c>
    </row>
    <row r="128" spans="1:11" x14ac:dyDescent="0.35">
      <c r="A128" s="22">
        <f>'Dados - Cliente'!A128</f>
        <v>0</v>
      </c>
      <c r="B128" s="22" t="e">
        <f>INDEX('Dados - Cliente'!H:H,MATCH(CheckList!A128,'Dados - Cliente'!A:A,0))</f>
        <v>#N/A</v>
      </c>
      <c r="C128" s="22" t="str">
        <f>IF(INDEX('1'!B:B,MATCH(CheckList!$A128,'1'!$A:$A,0))=0, "N/A", "SIM")</f>
        <v>N/A</v>
      </c>
      <c r="D128" s="22">
        <f>INDEX('1'!Q:Q,MATCH(CheckList!$A128,'1'!$A:$A,0))</f>
        <v>0</v>
      </c>
      <c r="E128" s="22" t="str">
        <f>IF(D128="SIM",IF(MATCH(A128,'2'!$A:$A,0)="","NÃO","SIM"),"NAO")</f>
        <v>NAO</v>
      </c>
      <c r="F128" s="22" t="str">
        <f>IF(INDEX('1'!R:R,MATCH(CheckList!$A128,'1'!$A:$A,0))=0, "N/A", "SIM")</f>
        <v>N/A</v>
      </c>
      <c r="G128" s="22" t="str">
        <f>IF(INDEX('1'!AC:AC,MATCH(CheckList!$A128,'1'!$A:$A,0))=0, "N/A", "SIM")</f>
        <v>N/A</v>
      </c>
      <c r="H128" s="22" t="str">
        <f>IF(INDEX('1'!AF:AF,MATCH(CheckList!$A128,'1'!$A:$A,0))=0, "N/A", "SIM")</f>
        <v>N/A</v>
      </c>
      <c r="I128" s="22" t="str">
        <f>IF(INDEX('1'!L:L,MATCH(CheckList!$A128,'1'!$A:$A,0))=0, "N/A", "SIM")</f>
        <v>N/A</v>
      </c>
      <c r="J128" s="22" t="str">
        <f>IF(LEN(INDEX('1'!L:L,MATCH(CheckList!$A128,'1'!$A:$A,0)))=11, "NAO", IF(LEN(INDEX('1'!L:L,MATCH(CheckList!$A128,'1'!$A:$A,0)))=14,"SIM","N/A"))</f>
        <v>N/A</v>
      </c>
      <c r="K128" s="22" t="str">
        <f>IF(INDEX('1'!BE:BE,MATCH(CheckList!$A128,'1'!$A:$A,0))=0, "N/A", "SIM")</f>
        <v>N/A</v>
      </c>
    </row>
    <row r="129" spans="1:11" x14ac:dyDescent="0.35">
      <c r="A129" s="22">
        <f>'Dados - Cliente'!A129</f>
        <v>0</v>
      </c>
      <c r="B129" s="22" t="e">
        <f>INDEX('Dados - Cliente'!H:H,MATCH(CheckList!A129,'Dados - Cliente'!A:A,0))</f>
        <v>#N/A</v>
      </c>
      <c r="C129" s="22" t="str">
        <f>IF(INDEX('1'!B:B,MATCH(CheckList!$A129,'1'!$A:$A,0))=0, "N/A", "SIM")</f>
        <v>N/A</v>
      </c>
      <c r="D129" s="22">
        <f>INDEX('1'!Q:Q,MATCH(CheckList!$A129,'1'!$A:$A,0))</f>
        <v>0</v>
      </c>
      <c r="E129" s="22" t="str">
        <f>IF(D129="SIM",IF(MATCH(A129,'2'!$A:$A,0)="","NÃO","SIM"),"NAO")</f>
        <v>NAO</v>
      </c>
      <c r="F129" s="22" t="str">
        <f>IF(INDEX('1'!R:R,MATCH(CheckList!$A129,'1'!$A:$A,0))=0, "N/A", "SIM")</f>
        <v>N/A</v>
      </c>
      <c r="G129" s="22" t="str">
        <f>IF(INDEX('1'!AC:AC,MATCH(CheckList!$A129,'1'!$A:$A,0))=0, "N/A", "SIM")</f>
        <v>N/A</v>
      </c>
      <c r="H129" s="22" t="str">
        <f>IF(INDEX('1'!AF:AF,MATCH(CheckList!$A129,'1'!$A:$A,0))=0, "N/A", "SIM")</f>
        <v>N/A</v>
      </c>
      <c r="I129" s="22" t="str">
        <f>IF(INDEX('1'!L:L,MATCH(CheckList!$A129,'1'!$A:$A,0))=0, "N/A", "SIM")</f>
        <v>N/A</v>
      </c>
      <c r="J129" s="22" t="str">
        <f>IF(LEN(INDEX('1'!L:L,MATCH(CheckList!$A129,'1'!$A:$A,0)))=11, "NAO", IF(LEN(INDEX('1'!L:L,MATCH(CheckList!$A129,'1'!$A:$A,0)))=14,"SIM","N/A"))</f>
        <v>N/A</v>
      </c>
      <c r="K129" s="22" t="str">
        <f>IF(INDEX('1'!BE:BE,MATCH(CheckList!$A129,'1'!$A:$A,0))=0, "N/A", "SIM")</f>
        <v>N/A</v>
      </c>
    </row>
    <row r="130" spans="1:11" x14ac:dyDescent="0.35">
      <c r="A130" s="22">
        <f>'Dados - Cliente'!A130</f>
        <v>0</v>
      </c>
      <c r="B130" s="22" t="e">
        <f>INDEX('Dados - Cliente'!H:H,MATCH(CheckList!A130,'Dados - Cliente'!A:A,0))</f>
        <v>#N/A</v>
      </c>
      <c r="C130" s="22" t="str">
        <f>IF(INDEX('1'!B:B,MATCH(CheckList!$A130,'1'!$A:$A,0))=0, "N/A", "SIM")</f>
        <v>N/A</v>
      </c>
      <c r="D130" s="22">
        <f>INDEX('1'!Q:Q,MATCH(CheckList!$A130,'1'!$A:$A,0))</f>
        <v>0</v>
      </c>
      <c r="E130" s="22" t="str">
        <f>IF(D130="SIM",IF(MATCH(A130,'2'!$A:$A,0)="","NÃO","SIM"),"NAO")</f>
        <v>NAO</v>
      </c>
      <c r="F130" s="22" t="str">
        <f>IF(INDEX('1'!R:R,MATCH(CheckList!$A130,'1'!$A:$A,0))=0, "N/A", "SIM")</f>
        <v>N/A</v>
      </c>
      <c r="G130" s="22" t="str">
        <f>IF(INDEX('1'!AC:AC,MATCH(CheckList!$A130,'1'!$A:$A,0))=0, "N/A", "SIM")</f>
        <v>N/A</v>
      </c>
      <c r="H130" s="22" t="str">
        <f>IF(INDEX('1'!AF:AF,MATCH(CheckList!$A130,'1'!$A:$A,0))=0, "N/A", "SIM")</f>
        <v>N/A</v>
      </c>
      <c r="I130" s="22" t="str">
        <f>IF(INDEX('1'!L:L,MATCH(CheckList!$A130,'1'!$A:$A,0))=0, "N/A", "SIM")</f>
        <v>N/A</v>
      </c>
      <c r="J130" s="22" t="str">
        <f>IF(LEN(INDEX('1'!L:L,MATCH(CheckList!$A130,'1'!$A:$A,0)))=11, "NAO", IF(LEN(INDEX('1'!L:L,MATCH(CheckList!$A130,'1'!$A:$A,0)))=14,"SIM","N/A"))</f>
        <v>N/A</v>
      </c>
      <c r="K130" s="22" t="str">
        <f>IF(INDEX('1'!BE:BE,MATCH(CheckList!$A130,'1'!$A:$A,0))=0, "N/A", "SIM")</f>
        <v>N/A</v>
      </c>
    </row>
    <row r="131" spans="1:11" x14ac:dyDescent="0.35">
      <c r="A131" s="22">
        <f>'Dados - Cliente'!A131</f>
        <v>0</v>
      </c>
      <c r="B131" s="22" t="e">
        <f>INDEX('Dados - Cliente'!H:H,MATCH(CheckList!A131,'Dados - Cliente'!A:A,0))</f>
        <v>#N/A</v>
      </c>
      <c r="C131" s="22" t="str">
        <f>IF(INDEX('1'!B:B,MATCH(CheckList!$A131,'1'!$A:$A,0))=0, "N/A", "SIM")</f>
        <v>N/A</v>
      </c>
      <c r="D131" s="22">
        <f>INDEX('1'!Q:Q,MATCH(CheckList!$A131,'1'!$A:$A,0))</f>
        <v>0</v>
      </c>
      <c r="E131" s="22" t="str">
        <f>IF(D131="SIM",IF(MATCH(A131,'2'!$A:$A,0)="","NÃO","SIM"),"NAO")</f>
        <v>NAO</v>
      </c>
      <c r="F131" s="22" t="str">
        <f>IF(INDEX('1'!R:R,MATCH(CheckList!$A131,'1'!$A:$A,0))=0, "N/A", "SIM")</f>
        <v>N/A</v>
      </c>
      <c r="G131" s="22" t="str">
        <f>IF(INDEX('1'!AC:AC,MATCH(CheckList!$A131,'1'!$A:$A,0))=0, "N/A", "SIM")</f>
        <v>N/A</v>
      </c>
      <c r="H131" s="22" t="str">
        <f>IF(INDEX('1'!AF:AF,MATCH(CheckList!$A131,'1'!$A:$A,0))=0, "N/A", "SIM")</f>
        <v>N/A</v>
      </c>
      <c r="I131" s="22" t="str">
        <f>IF(INDEX('1'!L:L,MATCH(CheckList!$A131,'1'!$A:$A,0))=0, "N/A", "SIM")</f>
        <v>N/A</v>
      </c>
      <c r="J131" s="22" t="str">
        <f>IF(LEN(INDEX('1'!L:L,MATCH(CheckList!$A131,'1'!$A:$A,0)))=11, "NAO", IF(LEN(INDEX('1'!L:L,MATCH(CheckList!$A131,'1'!$A:$A,0)))=14,"SIM","N/A"))</f>
        <v>N/A</v>
      </c>
      <c r="K131" s="22" t="str">
        <f>IF(INDEX('1'!BE:BE,MATCH(CheckList!$A131,'1'!$A:$A,0))=0, "N/A", "SIM")</f>
        <v>N/A</v>
      </c>
    </row>
    <row r="132" spans="1:11" x14ac:dyDescent="0.35">
      <c r="A132" s="22">
        <f>'Dados - Cliente'!A132</f>
        <v>0</v>
      </c>
      <c r="B132" s="22" t="e">
        <f>INDEX('Dados - Cliente'!H:H,MATCH(CheckList!A132,'Dados - Cliente'!A:A,0))</f>
        <v>#N/A</v>
      </c>
      <c r="C132" s="22" t="str">
        <f>IF(INDEX('1'!B:B,MATCH(CheckList!$A132,'1'!$A:$A,0))=0, "N/A", "SIM")</f>
        <v>N/A</v>
      </c>
      <c r="D132" s="22">
        <f>INDEX('1'!Q:Q,MATCH(CheckList!$A132,'1'!$A:$A,0))</f>
        <v>0</v>
      </c>
      <c r="E132" s="22" t="str">
        <f>IF(D132="SIM",IF(MATCH(A132,'2'!$A:$A,0)="","NÃO","SIM"),"NAO")</f>
        <v>NAO</v>
      </c>
      <c r="F132" s="22" t="str">
        <f>IF(INDEX('1'!R:R,MATCH(CheckList!$A132,'1'!$A:$A,0))=0, "N/A", "SIM")</f>
        <v>N/A</v>
      </c>
      <c r="G132" s="22" t="str">
        <f>IF(INDEX('1'!AC:AC,MATCH(CheckList!$A132,'1'!$A:$A,0))=0, "N/A", "SIM")</f>
        <v>N/A</v>
      </c>
      <c r="H132" s="22" t="str">
        <f>IF(INDEX('1'!AF:AF,MATCH(CheckList!$A132,'1'!$A:$A,0))=0, "N/A", "SIM")</f>
        <v>N/A</v>
      </c>
      <c r="I132" s="22" t="str">
        <f>IF(INDEX('1'!L:L,MATCH(CheckList!$A132,'1'!$A:$A,0))=0, "N/A", "SIM")</f>
        <v>N/A</v>
      </c>
      <c r="J132" s="22" t="str">
        <f>IF(LEN(INDEX('1'!L:L,MATCH(CheckList!$A132,'1'!$A:$A,0)))=11, "NAO", IF(LEN(INDEX('1'!L:L,MATCH(CheckList!$A132,'1'!$A:$A,0)))=14,"SIM","N/A"))</f>
        <v>N/A</v>
      </c>
      <c r="K132" s="22" t="str">
        <f>IF(INDEX('1'!BE:BE,MATCH(CheckList!$A132,'1'!$A:$A,0))=0, "N/A", "SIM")</f>
        <v>N/A</v>
      </c>
    </row>
    <row r="133" spans="1:11" x14ac:dyDescent="0.35">
      <c r="A133" s="22">
        <f>'Dados - Cliente'!A133</f>
        <v>0</v>
      </c>
      <c r="B133" s="22" t="e">
        <f>INDEX('Dados - Cliente'!H:H,MATCH(CheckList!A133,'Dados - Cliente'!A:A,0))</f>
        <v>#N/A</v>
      </c>
      <c r="C133" s="22" t="str">
        <f>IF(INDEX('1'!B:B,MATCH(CheckList!$A133,'1'!$A:$A,0))=0, "N/A", "SIM")</f>
        <v>N/A</v>
      </c>
      <c r="D133" s="22">
        <f>INDEX('1'!Q:Q,MATCH(CheckList!$A133,'1'!$A:$A,0))</f>
        <v>0</v>
      </c>
      <c r="E133" s="22" t="str">
        <f>IF(D133="SIM",IF(MATCH(A133,'2'!$A:$A,0)="","NÃO","SIM"),"NAO")</f>
        <v>NAO</v>
      </c>
      <c r="F133" s="22" t="str">
        <f>IF(INDEX('1'!R:R,MATCH(CheckList!$A133,'1'!$A:$A,0))=0, "N/A", "SIM")</f>
        <v>N/A</v>
      </c>
      <c r="G133" s="22" t="str">
        <f>IF(INDEX('1'!AC:AC,MATCH(CheckList!$A133,'1'!$A:$A,0))=0, "N/A", "SIM")</f>
        <v>N/A</v>
      </c>
      <c r="H133" s="22" t="str">
        <f>IF(INDEX('1'!AF:AF,MATCH(CheckList!$A133,'1'!$A:$A,0))=0, "N/A", "SIM")</f>
        <v>N/A</v>
      </c>
      <c r="I133" s="22" t="str">
        <f>IF(INDEX('1'!L:L,MATCH(CheckList!$A133,'1'!$A:$A,0))=0, "N/A", "SIM")</f>
        <v>N/A</v>
      </c>
      <c r="J133" s="22" t="str">
        <f>IF(LEN(INDEX('1'!L:L,MATCH(CheckList!$A133,'1'!$A:$A,0)))=11, "NAO", IF(LEN(INDEX('1'!L:L,MATCH(CheckList!$A133,'1'!$A:$A,0)))=14,"SIM","N/A"))</f>
        <v>N/A</v>
      </c>
      <c r="K133" s="22" t="str">
        <f>IF(INDEX('1'!BE:BE,MATCH(CheckList!$A133,'1'!$A:$A,0))=0, "N/A", "SIM")</f>
        <v>N/A</v>
      </c>
    </row>
    <row r="134" spans="1:11" x14ac:dyDescent="0.35">
      <c r="A134" s="22">
        <f>'Dados - Cliente'!A134</f>
        <v>0</v>
      </c>
      <c r="B134" s="22" t="e">
        <f>INDEX('Dados - Cliente'!H:H,MATCH(CheckList!A134,'Dados - Cliente'!A:A,0))</f>
        <v>#N/A</v>
      </c>
      <c r="C134" s="22" t="str">
        <f>IF(INDEX('1'!B:B,MATCH(CheckList!$A134,'1'!$A:$A,0))=0, "N/A", "SIM")</f>
        <v>N/A</v>
      </c>
      <c r="D134" s="22">
        <f>INDEX('1'!Q:Q,MATCH(CheckList!$A134,'1'!$A:$A,0))</f>
        <v>0</v>
      </c>
      <c r="E134" s="22" t="str">
        <f>IF(D134="SIM",IF(MATCH(A134,'2'!$A:$A,0)="","NÃO","SIM"),"NAO")</f>
        <v>NAO</v>
      </c>
      <c r="F134" s="22" t="str">
        <f>IF(INDEX('1'!R:R,MATCH(CheckList!$A134,'1'!$A:$A,0))=0, "N/A", "SIM")</f>
        <v>N/A</v>
      </c>
      <c r="G134" s="22" t="str">
        <f>IF(INDEX('1'!AC:AC,MATCH(CheckList!$A134,'1'!$A:$A,0))=0, "N/A", "SIM")</f>
        <v>N/A</v>
      </c>
      <c r="H134" s="22" t="str">
        <f>IF(INDEX('1'!AF:AF,MATCH(CheckList!$A134,'1'!$A:$A,0))=0, "N/A", "SIM")</f>
        <v>N/A</v>
      </c>
      <c r="I134" s="22" t="str">
        <f>IF(INDEX('1'!L:L,MATCH(CheckList!$A134,'1'!$A:$A,0))=0, "N/A", "SIM")</f>
        <v>N/A</v>
      </c>
      <c r="J134" s="22" t="str">
        <f>IF(LEN(INDEX('1'!L:L,MATCH(CheckList!$A134,'1'!$A:$A,0)))=11, "NAO", IF(LEN(INDEX('1'!L:L,MATCH(CheckList!$A134,'1'!$A:$A,0)))=14,"SIM","N/A"))</f>
        <v>N/A</v>
      </c>
      <c r="K134" s="22" t="str">
        <f>IF(INDEX('1'!BE:BE,MATCH(CheckList!$A134,'1'!$A:$A,0))=0, "N/A", "SIM")</f>
        <v>N/A</v>
      </c>
    </row>
    <row r="135" spans="1:11" x14ac:dyDescent="0.35">
      <c r="A135" s="22">
        <f>'Dados - Cliente'!A135</f>
        <v>0</v>
      </c>
      <c r="B135" s="22" t="e">
        <f>INDEX('Dados - Cliente'!H:H,MATCH(CheckList!A135,'Dados - Cliente'!A:A,0))</f>
        <v>#N/A</v>
      </c>
      <c r="C135" s="22" t="str">
        <f>IF(INDEX('1'!B:B,MATCH(CheckList!$A135,'1'!$A:$A,0))=0, "N/A", "SIM")</f>
        <v>N/A</v>
      </c>
      <c r="D135" s="22">
        <f>INDEX('1'!Q:Q,MATCH(CheckList!$A135,'1'!$A:$A,0))</f>
        <v>0</v>
      </c>
      <c r="E135" s="22" t="str">
        <f>IF(D135="SIM",IF(MATCH(A135,'2'!$A:$A,0)="","NÃO","SIM"),"NAO")</f>
        <v>NAO</v>
      </c>
      <c r="F135" s="22" t="str">
        <f>IF(INDEX('1'!R:R,MATCH(CheckList!$A135,'1'!$A:$A,0))=0, "N/A", "SIM")</f>
        <v>N/A</v>
      </c>
      <c r="G135" s="22" t="str">
        <f>IF(INDEX('1'!AC:AC,MATCH(CheckList!$A135,'1'!$A:$A,0))=0, "N/A", "SIM")</f>
        <v>N/A</v>
      </c>
      <c r="H135" s="22" t="str">
        <f>IF(INDEX('1'!AF:AF,MATCH(CheckList!$A135,'1'!$A:$A,0))=0, "N/A", "SIM")</f>
        <v>N/A</v>
      </c>
      <c r="I135" s="22" t="str">
        <f>IF(INDEX('1'!L:L,MATCH(CheckList!$A135,'1'!$A:$A,0))=0, "N/A", "SIM")</f>
        <v>N/A</v>
      </c>
      <c r="J135" s="22" t="str">
        <f>IF(LEN(INDEX('1'!L:L,MATCH(CheckList!$A135,'1'!$A:$A,0)))=11, "NAO", IF(LEN(INDEX('1'!L:L,MATCH(CheckList!$A135,'1'!$A:$A,0)))=14,"SIM","N/A"))</f>
        <v>N/A</v>
      </c>
      <c r="K135" s="22" t="str">
        <f>IF(INDEX('1'!BE:BE,MATCH(CheckList!$A135,'1'!$A:$A,0))=0, "N/A", "SIM")</f>
        <v>N/A</v>
      </c>
    </row>
    <row r="136" spans="1:11" x14ac:dyDescent="0.35">
      <c r="A136" s="22">
        <f>'Dados - Cliente'!A136</f>
        <v>0</v>
      </c>
      <c r="B136" s="22" t="e">
        <f>INDEX('Dados - Cliente'!H:H,MATCH(CheckList!A136,'Dados - Cliente'!A:A,0))</f>
        <v>#N/A</v>
      </c>
      <c r="C136" s="22" t="str">
        <f>IF(INDEX('1'!B:B,MATCH(CheckList!$A136,'1'!$A:$A,0))=0, "N/A", "SIM")</f>
        <v>N/A</v>
      </c>
      <c r="D136" s="22">
        <f>INDEX('1'!Q:Q,MATCH(CheckList!$A136,'1'!$A:$A,0))</f>
        <v>0</v>
      </c>
      <c r="E136" s="22" t="str">
        <f>IF(D136="SIM",IF(MATCH(A136,'2'!$A:$A,0)="","NÃO","SIM"),"NAO")</f>
        <v>NAO</v>
      </c>
      <c r="F136" s="22" t="str">
        <f>IF(INDEX('1'!R:R,MATCH(CheckList!$A136,'1'!$A:$A,0))=0, "N/A", "SIM")</f>
        <v>N/A</v>
      </c>
      <c r="G136" s="22" t="str">
        <f>IF(INDEX('1'!AC:AC,MATCH(CheckList!$A136,'1'!$A:$A,0))=0, "N/A", "SIM")</f>
        <v>N/A</v>
      </c>
      <c r="H136" s="22" t="str">
        <f>IF(INDEX('1'!AF:AF,MATCH(CheckList!$A136,'1'!$A:$A,0))=0, "N/A", "SIM")</f>
        <v>N/A</v>
      </c>
      <c r="I136" s="22" t="str">
        <f>IF(INDEX('1'!L:L,MATCH(CheckList!$A136,'1'!$A:$A,0))=0, "N/A", "SIM")</f>
        <v>N/A</v>
      </c>
      <c r="J136" s="22" t="str">
        <f>IF(LEN(INDEX('1'!L:L,MATCH(CheckList!$A136,'1'!$A:$A,0)))=11, "NAO", IF(LEN(INDEX('1'!L:L,MATCH(CheckList!$A136,'1'!$A:$A,0)))=14,"SIM","N/A"))</f>
        <v>N/A</v>
      </c>
      <c r="K136" s="22" t="str">
        <f>IF(INDEX('1'!BE:BE,MATCH(CheckList!$A136,'1'!$A:$A,0))=0, "N/A", "SIM")</f>
        <v>N/A</v>
      </c>
    </row>
    <row r="137" spans="1:11" x14ac:dyDescent="0.35">
      <c r="A137" s="22">
        <f>'Dados - Cliente'!A137</f>
        <v>0</v>
      </c>
      <c r="B137" s="22" t="e">
        <f>INDEX('Dados - Cliente'!H:H,MATCH(CheckList!A137,'Dados - Cliente'!A:A,0))</f>
        <v>#N/A</v>
      </c>
      <c r="C137" s="22" t="str">
        <f>IF(INDEX('1'!B:B,MATCH(CheckList!$A137,'1'!$A:$A,0))=0, "N/A", "SIM")</f>
        <v>N/A</v>
      </c>
      <c r="D137" s="22">
        <f>INDEX('1'!Q:Q,MATCH(CheckList!$A137,'1'!$A:$A,0))</f>
        <v>0</v>
      </c>
      <c r="E137" s="22" t="str">
        <f>IF(D137="SIM",IF(MATCH(A137,'2'!$A:$A,0)="","NÃO","SIM"),"NAO")</f>
        <v>NAO</v>
      </c>
      <c r="F137" s="22" t="str">
        <f>IF(INDEX('1'!R:R,MATCH(CheckList!$A137,'1'!$A:$A,0))=0, "N/A", "SIM")</f>
        <v>N/A</v>
      </c>
      <c r="G137" s="22" t="str">
        <f>IF(INDEX('1'!AC:AC,MATCH(CheckList!$A137,'1'!$A:$A,0))=0, "N/A", "SIM")</f>
        <v>N/A</v>
      </c>
      <c r="H137" s="22" t="str">
        <f>IF(INDEX('1'!AF:AF,MATCH(CheckList!$A137,'1'!$A:$A,0))=0, "N/A", "SIM")</f>
        <v>N/A</v>
      </c>
      <c r="I137" s="22" t="str">
        <f>IF(INDEX('1'!L:L,MATCH(CheckList!$A137,'1'!$A:$A,0))=0, "N/A", "SIM")</f>
        <v>N/A</v>
      </c>
      <c r="J137" s="22" t="str">
        <f>IF(LEN(INDEX('1'!L:L,MATCH(CheckList!$A137,'1'!$A:$A,0)))=11, "NAO", IF(LEN(INDEX('1'!L:L,MATCH(CheckList!$A137,'1'!$A:$A,0)))=14,"SIM","N/A"))</f>
        <v>N/A</v>
      </c>
      <c r="K137" s="22" t="str">
        <f>IF(INDEX('1'!BE:BE,MATCH(CheckList!$A137,'1'!$A:$A,0))=0, "N/A", "SIM")</f>
        <v>N/A</v>
      </c>
    </row>
    <row r="138" spans="1:11" x14ac:dyDescent="0.35">
      <c r="A138" s="22">
        <f>'Dados - Cliente'!A138</f>
        <v>0</v>
      </c>
      <c r="B138" s="22" t="e">
        <f>INDEX('Dados - Cliente'!H:H,MATCH(CheckList!A138,'Dados - Cliente'!A:A,0))</f>
        <v>#N/A</v>
      </c>
      <c r="C138" s="22" t="str">
        <f>IF(INDEX('1'!B:B,MATCH(CheckList!$A138,'1'!$A:$A,0))=0, "N/A", "SIM")</f>
        <v>N/A</v>
      </c>
      <c r="D138" s="22">
        <f>INDEX('1'!Q:Q,MATCH(CheckList!$A138,'1'!$A:$A,0))</f>
        <v>0</v>
      </c>
      <c r="E138" s="22" t="str">
        <f>IF(D138="SIM",IF(MATCH(A138,'2'!$A:$A,0)="","NÃO","SIM"),"NAO")</f>
        <v>NAO</v>
      </c>
      <c r="F138" s="22" t="str">
        <f>IF(INDEX('1'!R:R,MATCH(CheckList!$A138,'1'!$A:$A,0))=0, "N/A", "SIM")</f>
        <v>N/A</v>
      </c>
      <c r="G138" s="22" t="str">
        <f>IF(INDEX('1'!AC:AC,MATCH(CheckList!$A138,'1'!$A:$A,0))=0, "N/A", "SIM")</f>
        <v>N/A</v>
      </c>
      <c r="H138" s="22" t="str">
        <f>IF(INDEX('1'!AF:AF,MATCH(CheckList!$A138,'1'!$A:$A,0))=0, "N/A", "SIM")</f>
        <v>N/A</v>
      </c>
      <c r="I138" s="22" t="str">
        <f>IF(INDEX('1'!L:L,MATCH(CheckList!$A138,'1'!$A:$A,0))=0, "N/A", "SIM")</f>
        <v>N/A</v>
      </c>
      <c r="J138" s="22" t="str">
        <f>IF(LEN(INDEX('1'!L:L,MATCH(CheckList!$A138,'1'!$A:$A,0)))=11, "NAO", IF(LEN(INDEX('1'!L:L,MATCH(CheckList!$A138,'1'!$A:$A,0)))=14,"SIM","N/A"))</f>
        <v>N/A</v>
      </c>
      <c r="K138" s="22" t="str">
        <f>IF(INDEX('1'!BE:BE,MATCH(CheckList!$A138,'1'!$A:$A,0))=0, "N/A", "SIM")</f>
        <v>N/A</v>
      </c>
    </row>
    <row r="139" spans="1:11" x14ac:dyDescent="0.35">
      <c r="A139" s="22">
        <f>'Dados - Cliente'!A139</f>
        <v>0</v>
      </c>
      <c r="B139" s="22" t="e">
        <f>INDEX('Dados - Cliente'!H:H,MATCH(CheckList!A139,'Dados - Cliente'!A:A,0))</f>
        <v>#N/A</v>
      </c>
      <c r="C139" s="22" t="str">
        <f>IF(INDEX('1'!B:B,MATCH(CheckList!$A139,'1'!$A:$A,0))=0, "N/A", "SIM")</f>
        <v>N/A</v>
      </c>
      <c r="D139" s="22">
        <f>INDEX('1'!Q:Q,MATCH(CheckList!$A139,'1'!$A:$A,0))</f>
        <v>0</v>
      </c>
      <c r="E139" s="22" t="str">
        <f>IF(D139="SIM",IF(MATCH(A139,'2'!$A:$A,0)="","NÃO","SIM"),"NAO")</f>
        <v>NAO</v>
      </c>
      <c r="F139" s="22" t="str">
        <f>IF(INDEX('1'!R:R,MATCH(CheckList!$A139,'1'!$A:$A,0))=0, "N/A", "SIM")</f>
        <v>N/A</v>
      </c>
      <c r="G139" s="22" t="str">
        <f>IF(INDEX('1'!AC:AC,MATCH(CheckList!$A139,'1'!$A:$A,0))=0, "N/A", "SIM")</f>
        <v>N/A</v>
      </c>
      <c r="H139" s="22" t="str">
        <f>IF(INDEX('1'!AF:AF,MATCH(CheckList!$A139,'1'!$A:$A,0))=0, "N/A", "SIM")</f>
        <v>N/A</v>
      </c>
      <c r="I139" s="22" t="str">
        <f>IF(INDEX('1'!L:L,MATCH(CheckList!$A139,'1'!$A:$A,0))=0, "N/A", "SIM")</f>
        <v>N/A</v>
      </c>
      <c r="J139" s="22" t="str">
        <f>IF(LEN(INDEX('1'!L:L,MATCH(CheckList!$A139,'1'!$A:$A,0)))=11, "NAO", IF(LEN(INDEX('1'!L:L,MATCH(CheckList!$A139,'1'!$A:$A,0)))=14,"SIM","N/A"))</f>
        <v>N/A</v>
      </c>
      <c r="K139" s="22" t="str">
        <f>IF(INDEX('1'!BE:BE,MATCH(CheckList!$A139,'1'!$A:$A,0))=0, "N/A", "SIM")</f>
        <v>N/A</v>
      </c>
    </row>
    <row r="140" spans="1:11" x14ac:dyDescent="0.35">
      <c r="A140" s="22">
        <f>'Dados - Cliente'!A140</f>
        <v>0</v>
      </c>
      <c r="B140" s="22" t="e">
        <f>INDEX('Dados - Cliente'!H:H,MATCH(CheckList!A140,'Dados - Cliente'!A:A,0))</f>
        <v>#N/A</v>
      </c>
      <c r="C140" s="22" t="str">
        <f>IF(INDEX('1'!B:B,MATCH(CheckList!$A140,'1'!$A:$A,0))=0, "N/A", "SIM")</f>
        <v>N/A</v>
      </c>
      <c r="D140" s="22">
        <f>INDEX('1'!Q:Q,MATCH(CheckList!$A140,'1'!$A:$A,0))</f>
        <v>0</v>
      </c>
      <c r="E140" s="22" t="str">
        <f>IF(D140="SIM",IF(MATCH(A140,'2'!$A:$A,0)="","NÃO","SIM"),"NAO")</f>
        <v>NAO</v>
      </c>
      <c r="F140" s="22" t="str">
        <f>IF(INDEX('1'!R:R,MATCH(CheckList!$A140,'1'!$A:$A,0))=0, "N/A", "SIM")</f>
        <v>N/A</v>
      </c>
      <c r="G140" s="22" t="str">
        <f>IF(INDEX('1'!AC:AC,MATCH(CheckList!$A140,'1'!$A:$A,0))=0, "N/A", "SIM")</f>
        <v>N/A</v>
      </c>
      <c r="H140" s="22" t="str">
        <f>IF(INDEX('1'!AF:AF,MATCH(CheckList!$A140,'1'!$A:$A,0))=0, "N/A", "SIM")</f>
        <v>N/A</v>
      </c>
      <c r="I140" s="22" t="str">
        <f>IF(INDEX('1'!L:L,MATCH(CheckList!$A140,'1'!$A:$A,0))=0, "N/A", "SIM")</f>
        <v>N/A</v>
      </c>
      <c r="J140" s="22" t="str">
        <f>IF(LEN(INDEX('1'!L:L,MATCH(CheckList!$A140,'1'!$A:$A,0)))=11, "NAO", IF(LEN(INDEX('1'!L:L,MATCH(CheckList!$A140,'1'!$A:$A,0)))=14,"SIM","N/A"))</f>
        <v>N/A</v>
      </c>
      <c r="K140" s="22" t="str">
        <f>IF(INDEX('1'!BE:BE,MATCH(CheckList!$A140,'1'!$A:$A,0))=0, "N/A", "SIM")</f>
        <v>N/A</v>
      </c>
    </row>
    <row r="141" spans="1:11" x14ac:dyDescent="0.35">
      <c r="A141" s="22">
        <f>'Dados - Cliente'!A141</f>
        <v>0</v>
      </c>
      <c r="B141" s="22" t="e">
        <f>INDEX('Dados - Cliente'!H:H,MATCH(CheckList!A141,'Dados - Cliente'!A:A,0))</f>
        <v>#N/A</v>
      </c>
      <c r="C141" s="22" t="str">
        <f>IF(INDEX('1'!B:B,MATCH(CheckList!$A141,'1'!$A:$A,0))=0, "N/A", "SIM")</f>
        <v>N/A</v>
      </c>
      <c r="D141" s="22">
        <f>INDEX('1'!Q:Q,MATCH(CheckList!$A141,'1'!$A:$A,0))</f>
        <v>0</v>
      </c>
      <c r="E141" s="22" t="str">
        <f>IF(D141="SIM",IF(MATCH(A141,'2'!$A:$A,0)="","NÃO","SIM"),"NAO")</f>
        <v>NAO</v>
      </c>
      <c r="F141" s="22" t="str">
        <f>IF(INDEX('1'!R:R,MATCH(CheckList!$A141,'1'!$A:$A,0))=0, "N/A", "SIM")</f>
        <v>N/A</v>
      </c>
      <c r="G141" s="22" t="str">
        <f>IF(INDEX('1'!AC:AC,MATCH(CheckList!$A141,'1'!$A:$A,0))=0, "N/A", "SIM")</f>
        <v>N/A</v>
      </c>
      <c r="H141" s="22" t="str">
        <f>IF(INDEX('1'!AF:AF,MATCH(CheckList!$A141,'1'!$A:$A,0))=0, "N/A", "SIM")</f>
        <v>N/A</v>
      </c>
      <c r="I141" s="22" t="str">
        <f>IF(INDEX('1'!L:L,MATCH(CheckList!$A141,'1'!$A:$A,0))=0, "N/A", "SIM")</f>
        <v>N/A</v>
      </c>
      <c r="J141" s="22" t="str">
        <f>IF(LEN(INDEX('1'!L:L,MATCH(CheckList!$A141,'1'!$A:$A,0)))=11, "NAO", IF(LEN(INDEX('1'!L:L,MATCH(CheckList!$A141,'1'!$A:$A,0)))=14,"SIM","N/A"))</f>
        <v>N/A</v>
      </c>
      <c r="K141" s="22" t="str">
        <f>IF(INDEX('1'!BE:BE,MATCH(CheckList!$A141,'1'!$A:$A,0))=0, "N/A", "SIM")</f>
        <v>N/A</v>
      </c>
    </row>
    <row r="142" spans="1:11" x14ac:dyDescent="0.35">
      <c r="A142" s="22">
        <f>'Dados - Cliente'!A142</f>
        <v>0</v>
      </c>
      <c r="B142" s="22" t="e">
        <f>INDEX('Dados - Cliente'!H:H,MATCH(CheckList!A142,'Dados - Cliente'!A:A,0))</f>
        <v>#N/A</v>
      </c>
      <c r="C142" s="22" t="str">
        <f>IF(INDEX('1'!B:B,MATCH(CheckList!$A142,'1'!$A:$A,0))=0, "N/A", "SIM")</f>
        <v>N/A</v>
      </c>
      <c r="D142" s="22">
        <f>INDEX('1'!Q:Q,MATCH(CheckList!$A142,'1'!$A:$A,0))</f>
        <v>0</v>
      </c>
      <c r="E142" s="22" t="str">
        <f>IF(D142="SIM",IF(MATCH(A142,'2'!$A:$A,0)="","NÃO","SIM"),"NAO")</f>
        <v>NAO</v>
      </c>
      <c r="F142" s="22" t="str">
        <f>IF(INDEX('1'!R:R,MATCH(CheckList!$A142,'1'!$A:$A,0))=0, "N/A", "SIM")</f>
        <v>N/A</v>
      </c>
      <c r="G142" s="22" t="str">
        <f>IF(INDEX('1'!AC:AC,MATCH(CheckList!$A142,'1'!$A:$A,0))=0, "N/A", "SIM")</f>
        <v>N/A</v>
      </c>
      <c r="H142" s="22" t="str">
        <f>IF(INDEX('1'!AF:AF,MATCH(CheckList!$A142,'1'!$A:$A,0))=0, "N/A", "SIM")</f>
        <v>N/A</v>
      </c>
      <c r="I142" s="22" t="str">
        <f>IF(INDEX('1'!L:L,MATCH(CheckList!$A142,'1'!$A:$A,0))=0, "N/A", "SIM")</f>
        <v>N/A</v>
      </c>
      <c r="J142" s="22" t="str">
        <f>IF(LEN(INDEX('1'!L:L,MATCH(CheckList!$A142,'1'!$A:$A,0)))=11, "NAO", IF(LEN(INDEX('1'!L:L,MATCH(CheckList!$A142,'1'!$A:$A,0)))=14,"SIM","N/A"))</f>
        <v>N/A</v>
      </c>
      <c r="K142" s="22" t="str">
        <f>IF(INDEX('1'!BE:BE,MATCH(CheckList!$A142,'1'!$A:$A,0))=0, "N/A", "SIM")</f>
        <v>N/A</v>
      </c>
    </row>
    <row r="143" spans="1:11" x14ac:dyDescent="0.35">
      <c r="A143" s="22">
        <f>'Dados - Cliente'!A143</f>
        <v>0</v>
      </c>
      <c r="B143" s="22" t="e">
        <f>INDEX('Dados - Cliente'!H:H,MATCH(CheckList!A143,'Dados - Cliente'!A:A,0))</f>
        <v>#N/A</v>
      </c>
      <c r="C143" s="22" t="str">
        <f>IF(INDEX('1'!B:B,MATCH(CheckList!$A143,'1'!$A:$A,0))=0, "N/A", "SIM")</f>
        <v>N/A</v>
      </c>
      <c r="D143" s="22">
        <f>INDEX('1'!Q:Q,MATCH(CheckList!$A143,'1'!$A:$A,0))</f>
        <v>0</v>
      </c>
      <c r="E143" s="22" t="str">
        <f>IF(D143="SIM",IF(MATCH(A143,'2'!$A:$A,0)="","NÃO","SIM"),"NAO")</f>
        <v>NAO</v>
      </c>
      <c r="F143" s="22" t="str">
        <f>IF(INDEX('1'!R:R,MATCH(CheckList!$A143,'1'!$A:$A,0))=0, "N/A", "SIM")</f>
        <v>N/A</v>
      </c>
      <c r="G143" s="22" t="str">
        <f>IF(INDEX('1'!AC:AC,MATCH(CheckList!$A143,'1'!$A:$A,0))=0, "N/A", "SIM")</f>
        <v>N/A</v>
      </c>
      <c r="H143" s="22" t="str">
        <f>IF(INDEX('1'!AF:AF,MATCH(CheckList!$A143,'1'!$A:$A,0))=0, "N/A", "SIM")</f>
        <v>N/A</v>
      </c>
      <c r="I143" s="22" t="str">
        <f>IF(INDEX('1'!L:L,MATCH(CheckList!$A143,'1'!$A:$A,0))=0, "N/A", "SIM")</f>
        <v>N/A</v>
      </c>
      <c r="J143" s="22" t="str">
        <f>IF(LEN(INDEX('1'!L:L,MATCH(CheckList!$A143,'1'!$A:$A,0)))=11, "NAO", IF(LEN(INDEX('1'!L:L,MATCH(CheckList!$A143,'1'!$A:$A,0)))=14,"SIM","N/A"))</f>
        <v>N/A</v>
      </c>
      <c r="K143" s="22" t="str">
        <f>IF(INDEX('1'!BE:BE,MATCH(CheckList!$A143,'1'!$A:$A,0))=0, "N/A", "SIM")</f>
        <v>N/A</v>
      </c>
    </row>
    <row r="144" spans="1:11" x14ac:dyDescent="0.35">
      <c r="A144" s="22">
        <f>'Dados - Cliente'!A144</f>
        <v>0</v>
      </c>
      <c r="B144" s="22" t="e">
        <f>INDEX('Dados - Cliente'!H:H,MATCH(CheckList!A144,'Dados - Cliente'!A:A,0))</f>
        <v>#N/A</v>
      </c>
      <c r="C144" s="22" t="str">
        <f>IF(INDEX('1'!B:B,MATCH(CheckList!$A144,'1'!$A:$A,0))=0, "N/A", "SIM")</f>
        <v>N/A</v>
      </c>
      <c r="D144" s="22">
        <f>INDEX('1'!Q:Q,MATCH(CheckList!$A144,'1'!$A:$A,0))</f>
        <v>0</v>
      </c>
      <c r="E144" s="22" t="str">
        <f>IF(D144="SIM",IF(MATCH(A144,'2'!$A:$A,0)="","NÃO","SIM"),"NAO")</f>
        <v>NAO</v>
      </c>
      <c r="F144" s="22" t="str">
        <f>IF(INDEX('1'!R:R,MATCH(CheckList!$A144,'1'!$A:$A,0))=0, "N/A", "SIM")</f>
        <v>N/A</v>
      </c>
      <c r="G144" s="22" t="str">
        <f>IF(INDEX('1'!AC:AC,MATCH(CheckList!$A144,'1'!$A:$A,0))=0, "N/A", "SIM")</f>
        <v>N/A</v>
      </c>
      <c r="H144" s="22" t="str">
        <f>IF(INDEX('1'!AF:AF,MATCH(CheckList!$A144,'1'!$A:$A,0))=0, "N/A", "SIM")</f>
        <v>N/A</v>
      </c>
      <c r="I144" s="22" t="str">
        <f>IF(INDEX('1'!L:L,MATCH(CheckList!$A144,'1'!$A:$A,0))=0, "N/A", "SIM")</f>
        <v>N/A</v>
      </c>
      <c r="J144" s="22" t="str">
        <f>IF(LEN(INDEX('1'!L:L,MATCH(CheckList!$A144,'1'!$A:$A,0)))=11, "NAO", IF(LEN(INDEX('1'!L:L,MATCH(CheckList!$A144,'1'!$A:$A,0)))=14,"SIM","N/A"))</f>
        <v>N/A</v>
      </c>
      <c r="K144" s="22" t="str">
        <f>IF(INDEX('1'!BE:BE,MATCH(CheckList!$A144,'1'!$A:$A,0))=0, "N/A", "SIM")</f>
        <v>N/A</v>
      </c>
    </row>
    <row r="145" spans="1:11" x14ac:dyDescent="0.35">
      <c r="A145" s="22">
        <f>'Dados - Cliente'!A145</f>
        <v>0</v>
      </c>
      <c r="B145" s="22" t="e">
        <f>INDEX('Dados - Cliente'!H:H,MATCH(CheckList!A145,'Dados - Cliente'!A:A,0))</f>
        <v>#N/A</v>
      </c>
      <c r="C145" s="22" t="str">
        <f>IF(INDEX('1'!B:B,MATCH(CheckList!$A145,'1'!$A:$A,0))=0, "N/A", "SIM")</f>
        <v>N/A</v>
      </c>
      <c r="D145" s="22">
        <f>INDEX('1'!Q:Q,MATCH(CheckList!$A145,'1'!$A:$A,0))</f>
        <v>0</v>
      </c>
      <c r="E145" s="22" t="str">
        <f>IF(D145="SIM",IF(MATCH(A145,'2'!$A:$A,0)="","NÃO","SIM"),"NAO")</f>
        <v>NAO</v>
      </c>
      <c r="F145" s="22" t="str">
        <f>IF(INDEX('1'!R:R,MATCH(CheckList!$A145,'1'!$A:$A,0))=0, "N/A", "SIM")</f>
        <v>N/A</v>
      </c>
      <c r="G145" s="22" t="str">
        <f>IF(INDEX('1'!AC:AC,MATCH(CheckList!$A145,'1'!$A:$A,0))=0, "N/A", "SIM")</f>
        <v>N/A</v>
      </c>
      <c r="H145" s="22" t="str">
        <f>IF(INDEX('1'!AF:AF,MATCH(CheckList!$A145,'1'!$A:$A,0))=0, "N/A", "SIM")</f>
        <v>N/A</v>
      </c>
      <c r="I145" s="22" t="str">
        <f>IF(INDEX('1'!L:L,MATCH(CheckList!$A145,'1'!$A:$A,0))=0, "N/A", "SIM")</f>
        <v>N/A</v>
      </c>
      <c r="J145" s="22" t="str">
        <f>IF(LEN(INDEX('1'!L:L,MATCH(CheckList!$A145,'1'!$A:$A,0)))=11, "NAO", IF(LEN(INDEX('1'!L:L,MATCH(CheckList!$A145,'1'!$A:$A,0)))=14,"SIM","N/A"))</f>
        <v>N/A</v>
      </c>
      <c r="K145" s="22" t="str">
        <f>IF(INDEX('1'!BE:BE,MATCH(CheckList!$A145,'1'!$A:$A,0))=0, "N/A", "SIM")</f>
        <v>N/A</v>
      </c>
    </row>
    <row r="146" spans="1:11" x14ac:dyDescent="0.35">
      <c r="A146" s="22">
        <f>'Dados - Cliente'!A146</f>
        <v>0</v>
      </c>
      <c r="B146" s="22" t="e">
        <f>INDEX('Dados - Cliente'!H:H,MATCH(CheckList!A146,'Dados - Cliente'!A:A,0))</f>
        <v>#N/A</v>
      </c>
      <c r="C146" s="22" t="str">
        <f>IF(INDEX('1'!B:B,MATCH(CheckList!$A146,'1'!$A:$A,0))=0, "N/A", "SIM")</f>
        <v>N/A</v>
      </c>
      <c r="D146" s="22">
        <f>INDEX('1'!Q:Q,MATCH(CheckList!$A146,'1'!$A:$A,0))</f>
        <v>0</v>
      </c>
      <c r="E146" s="22" t="str">
        <f>IF(D146="SIM",IF(MATCH(A146,'2'!$A:$A,0)="","NÃO","SIM"),"NAO")</f>
        <v>NAO</v>
      </c>
      <c r="F146" s="22" t="str">
        <f>IF(INDEX('1'!R:R,MATCH(CheckList!$A146,'1'!$A:$A,0))=0, "N/A", "SIM")</f>
        <v>N/A</v>
      </c>
      <c r="G146" s="22" t="str">
        <f>IF(INDEX('1'!AC:AC,MATCH(CheckList!$A146,'1'!$A:$A,0))=0, "N/A", "SIM")</f>
        <v>N/A</v>
      </c>
      <c r="H146" s="22" t="str">
        <f>IF(INDEX('1'!AF:AF,MATCH(CheckList!$A146,'1'!$A:$A,0))=0, "N/A", "SIM")</f>
        <v>N/A</v>
      </c>
      <c r="I146" s="22" t="str">
        <f>IF(INDEX('1'!L:L,MATCH(CheckList!$A146,'1'!$A:$A,0))=0, "N/A", "SIM")</f>
        <v>N/A</v>
      </c>
      <c r="J146" s="22" t="str">
        <f>IF(LEN(INDEX('1'!L:L,MATCH(CheckList!$A146,'1'!$A:$A,0)))=11, "NAO", IF(LEN(INDEX('1'!L:L,MATCH(CheckList!$A146,'1'!$A:$A,0)))=14,"SIM","N/A"))</f>
        <v>N/A</v>
      </c>
      <c r="K146" s="22" t="str">
        <f>IF(INDEX('1'!BE:BE,MATCH(CheckList!$A146,'1'!$A:$A,0))=0, "N/A", "SIM")</f>
        <v>N/A</v>
      </c>
    </row>
    <row r="147" spans="1:11" x14ac:dyDescent="0.35">
      <c r="A147" s="22">
        <f>'Dados - Cliente'!A147</f>
        <v>0</v>
      </c>
      <c r="B147" s="22" t="e">
        <f>INDEX('Dados - Cliente'!H:H,MATCH(CheckList!A147,'Dados - Cliente'!A:A,0))</f>
        <v>#N/A</v>
      </c>
      <c r="C147" s="22" t="str">
        <f>IF(INDEX('1'!B:B,MATCH(CheckList!$A147,'1'!$A:$A,0))=0, "N/A", "SIM")</f>
        <v>N/A</v>
      </c>
      <c r="D147" s="22">
        <f>INDEX('1'!Q:Q,MATCH(CheckList!$A147,'1'!$A:$A,0))</f>
        <v>0</v>
      </c>
      <c r="E147" s="22" t="str">
        <f>IF(D147="SIM",IF(MATCH(A147,'2'!$A:$A,0)="","NÃO","SIM"),"NAO")</f>
        <v>NAO</v>
      </c>
      <c r="F147" s="22" t="str">
        <f>IF(INDEX('1'!R:R,MATCH(CheckList!$A147,'1'!$A:$A,0))=0, "N/A", "SIM")</f>
        <v>N/A</v>
      </c>
      <c r="G147" s="22" t="str">
        <f>IF(INDEX('1'!AC:AC,MATCH(CheckList!$A147,'1'!$A:$A,0))=0, "N/A", "SIM")</f>
        <v>N/A</v>
      </c>
      <c r="H147" s="22" t="str">
        <f>IF(INDEX('1'!AF:AF,MATCH(CheckList!$A147,'1'!$A:$A,0))=0, "N/A", "SIM")</f>
        <v>N/A</v>
      </c>
      <c r="I147" s="22" t="str">
        <f>IF(INDEX('1'!L:L,MATCH(CheckList!$A147,'1'!$A:$A,0))=0, "N/A", "SIM")</f>
        <v>N/A</v>
      </c>
      <c r="J147" s="22" t="str">
        <f>IF(LEN(INDEX('1'!L:L,MATCH(CheckList!$A147,'1'!$A:$A,0)))=11, "NAO", IF(LEN(INDEX('1'!L:L,MATCH(CheckList!$A147,'1'!$A:$A,0)))=14,"SIM","N/A"))</f>
        <v>N/A</v>
      </c>
      <c r="K147" s="22" t="str">
        <f>IF(INDEX('1'!BE:BE,MATCH(CheckList!$A147,'1'!$A:$A,0))=0, "N/A", "SIM")</f>
        <v>N/A</v>
      </c>
    </row>
    <row r="148" spans="1:11" x14ac:dyDescent="0.35">
      <c r="A148" s="22">
        <f>'Dados - Cliente'!A148</f>
        <v>0</v>
      </c>
      <c r="B148" s="22" t="e">
        <f>INDEX('Dados - Cliente'!H:H,MATCH(CheckList!A148,'Dados - Cliente'!A:A,0))</f>
        <v>#N/A</v>
      </c>
      <c r="C148" s="22" t="str">
        <f>IF(INDEX('1'!B:B,MATCH(CheckList!$A148,'1'!$A:$A,0))=0, "N/A", "SIM")</f>
        <v>N/A</v>
      </c>
      <c r="D148" s="22">
        <f>INDEX('1'!Q:Q,MATCH(CheckList!$A148,'1'!$A:$A,0))</f>
        <v>0</v>
      </c>
      <c r="E148" s="22" t="str">
        <f>IF(D148="SIM",IF(MATCH(A148,'2'!$A:$A,0)="","NÃO","SIM"),"NAO")</f>
        <v>NAO</v>
      </c>
      <c r="F148" s="22" t="str">
        <f>IF(INDEX('1'!R:R,MATCH(CheckList!$A148,'1'!$A:$A,0))=0, "N/A", "SIM")</f>
        <v>N/A</v>
      </c>
      <c r="G148" s="22" t="str">
        <f>IF(INDEX('1'!AC:AC,MATCH(CheckList!$A148,'1'!$A:$A,0))=0, "N/A", "SIM")</f>
        <v>N/A</v>
      </c>
      <c r="H148" s="22" t="str">
        <f>IF(INDEX('1'!AF:AF,MATCH(CheckList!$A148,'1'!$A:$A,0))=0, "N/A", "SIM")</f>
        <v>N/A</v>
      </c>
      <c r="I148" s="22" t="str">
        <f>IF(INDEX('1'!L:L,MATCH(CheckList!$A148,'1'!$A:$A,0))=0, "N/A", "SIM")</f>
        <v>N/A</v>
      </c>
      <c r="J148" s="22" t="str">
        <f>IF(LEN(INDEX('1'!L:L,MATCH(CheckList!$A148,'1'!$A:$A,0)))=11, "NAO", IF(LEN(INDEX('1'!L:L,MATCH(CheckList!$A148,'1'!$A:$A,0)))=14,"SIM","N/A"))</f>
        <v>N/A</v>
      </c>
      <c r="K148" s="22" t="str">
        <f>IF(INDEX('1'!BE:BE,MATCH(CheckList!$A148,'1'!$A:$A,0))=0, "N/A", "SIM")</f>
        <v>N/A</v>
      </c>
    </row>
    <row r="149" spans="1:11" x14ac:dyDescent="0.35">
      <c r="A149" s="22">
        <f>'Dados - Cliente'!A149</f>
        <v>0</v>
      </c>
      <c r="B149" s="22" t="e">
        <f>INDEX('Dados - Cliente'!H:H,MATCH(CheckList!A149,'Dados - Cliente'!A:A,0))</f>
        <v>#N/A</v>
      </c>
      <c r="C149" s="22" t="str">
        <f>IF(INDEX('1'!B:B,MATCH(CheckList!$A149,'1'!$A:$A,0))=0, "N/A", "SIM")</f>
        <v>N/A</v>
      </c>
      <c r="D149" s="22">
        <f>INDEX('1'!Q:Q,MATCH(CheckList!$A149,'1'!$A:$A,0))</f>
        <v>0</v>
      </c>
      <c r="E149" s="22" t="str">
        <f>IF(D149="SIM",IF(MATCH(A149,'2'!$A:$A,0)="","NÃO","SIM"),"NAO")</f>
        <v>NAO</v>
      </c>
      <c r="F149" s="22" t="str">
        <f>IF(INDEX('1'!R:R,MATCH(CheckList!$A149,'1'!$A:$A,0))=0, "N/A", "SIM")</f>
        <v>N/A</v>
      </c>
      <c r="G149" s="22" t="str">
        <f>IF(INDEX('1'!AC:AC,MATCH(CheckList!$A149,'1'!$A:$A,0))=0, "N/A", "SIM")</f>
        <v>N/A</v>
      </c>
      <c r="H149" s="22" t="str">
        <f>IF(INDEX('1'!AF:AF,MATCH(CheckList!$A149,'1'!$A:$A,0))=0, "N/A", "SIM")</f>
        <v>N/A</v>
      </c>
      <c r="I149" s="22" t="str">
        <f>IF(INDEX('1'!L:L,MATCH(CheckList!$A149,'1'!$A:$A,0))=0, "N/A", "SIM")</f>
        <v>N/A</v>
      </c>
      <c r="J149" s="22" t="str">
        <f>IF(LEN(INDEX('1'!L:L,MATCH(CheckList!$A149,'1'!$A:$A,0)))=11, "NAO", IF(LEN(INDEX('1'!L:L,MATCH(CheckList!$A149,'1'!$A:$A,0)))=14,"SIM","N/A"))</f>
        <v>N/A</v>
      </c>
      <c r="K149" s="22" t="str">
        <f>IF(INDEX('1'!BE:BE,MATCH(CheckList!$A149,'1'!$A:$A,0))=0, "N/A", "SIM")</f>
        <v>N/A</v>
      </c>
    </row>
    <row r="150" spans="1:11" x14ac:dyDescent="0.35">
      <c r="A150" s="22">
        <f>'Dados - Cliente'!A150</f>
        <v>0</v>
      </c>
      <c r="B150" s="22" t="e">
        <f>INDEX('Dados - Cliente'!H:H,MATCH(CheckList!A150,'Dados - Cliente'!A:A,0))</f>
        <v>#N/A</v>
      </c>
      <c r="C150" s="22" t="str">
        <f>IF(INDEX('1'!B:B,MATCH(CheckList!$A150,'1'!$A:$A,0))=0, "N/A", "SIM")</f>
        <v>N/A</v>
      </c>
      <c r="D150" s="22">
        <f>INDEX('1'!Q:Q,MATCH(CheckList!$A150,'1'!$A:$A,0))</f>
        <v>0</v>
      </c>
      <c r="E150" s="22" t="str">
        <f>IF(D150="SIM",IF(MATCH(A150,'2'!$A:$A,0)="","NÃO","SIM"),"NAO")</f>
        <v>NAO</v>
      </c>
      <c r="F150" s="22" t="str">
        <f>IF(INDEX('1'!R:R,MATCH(CheckList!$A150,'1'!$A:$A,0))=0, "N/A", "SIM")</f>
        <v>N/A</v>
      </c>
      <c r="G150" s="22" t="str">
        <f>IF(INDEX('1'!AC:AC,MATCH(CheckList!$A150,'1'!$A:$A,0))=0, "N/A", "SIM")</f>
        <v>N/A</v>
      </c>
      <c r="H150" s="22" t="str">
        <f>IF(INDEX('1'!AF:AF,MATCH(CheckList!$A150,'1'!$A:$A,0))=0, "N/A", "SIM")</f>
        <v>N/A</v>
      </c>
      <c r="I150" s="22" t="str">
        <f>IF(INDEX('1'!L:L,MATCH(CheckList!$A150,'1'!$A:$A,0))=0, "N/A", "SIM")</f>
        <v>N/A</v>
      </c>
      <c r="J150" s="22" t="str">
        <f>IF(LEN(INDEX('1'!L:L,MATCH(CheckList!$A150,'1'!$A:$A,0)))=11, "NAO", IF(LEN(INDEX('1'!L:L,MATCH(CheckList!$A150,'1'!$A:$A,0)))=14,"SIM","N/A"))</f>
        <v>N/A</v>
      </c>
      <c r="K150" s="22" t="str">
        <f>IF(INDEX('1'!BE:BE,MATCH(CheckList!$A150,'1'!$A:$A,0))=0, "N/A", "SIM")</f>
        <v>N/A</v>
      </c>
    </row>
    <row r="151" spans="1:11" x14ac:dyDescent="0.35">
      <c r="A151" s="22">
        <f>'Dados - Cliente'!A151</f>
        <v>0</v>
      </c>
      <c r="B151" s="22" t="e">
        <f>INDEX('Dados - Cliente'!H:H,MATCH(CheckList!A151,'Dados - Cliente'!A:A,0))</f>
        <v>#N/A</v>
      </c>
      <c r="C151" s="22" t="str">
        <f>IF(INDEX('1'!B:B,MATCH(CheckList!$A151,'1'!$A:$A,0))=0, "N/A", "SIM")</f>
        <v>N/A</v>
      </c>
      <c r="D151" s="22">
        <f>INDEX('1'!Q:Q,MATCH(CheckList!$A151,'1'!$A:$A,0))</f>
        <v>0</v>
      </c>
      <c r="E151" s="22" t="str">
        <f>IF(D151="SIM",IF(MATCH(A151,'2'!$A:$A,0)="","NÃO","SIM"),"NAO")</f>
        <v>NAO</v>
      </c>
      <c r="F151" s="22" t="str">
        <f>IF(INDEX('1'!R:R,MATCH(CheckList!$A151,'1'!$A:$A,0))=0, "N/A", "SIM")</f>
        <v>N/A</v>
      </c>
      <c r="G151" s="22" t="str">
        <f>IF(INDEX('1'!AC:AC,MATCH(CheckList!$A151,'1'!$A:$A,0))=0, "N/A", "SIM")</f>
        <v>N/A</v>
      </c>
      <c r="H151" s="22" t="str">
        <f>IF(INDEX('1'!AF:AF,MATCH(CheckList!$A151,'1'!$A:$A,0))=0, "N/A", "SIM")</f>
        <v>N/A</v>
      </c>
      <c r="I151" s="22" t="str">
        <f>IF(INDEX('1'!L:L,MATCH(CheckList!$A151,'1'!$A:$A,0))=0, "N/A", "SIM")</f>
        <v>N/A</v>
      </c>
      <c r="J151" s="22" t="str">
        <f>IF(LEN(INDEX('1'!L:L,MATCH(CheckList!$A151,'1'!$A:$A,0)))=11, "NAO", IF(LEN(INDEX('1'!L:L,MATCH(CheckList!$A151,'1'!$A:$A,0)))=14,"SIM","N/A"))</f>
        <v>N/A</v>
      </c>
      <c r="K151" s="22" t="str">
        <f>IF(INDEX('1'!BE:BE,MATCH(CheckList!$A151,'1'!$A:$A,0))=0, "N/A", "SIM")</f>
        <v>N/A</v>
      </c>
    </row>
    <row r="152" spans="1:11" x14ac:dyDescent="0.35">
      <c r="A152" s="22">
        <f>'Dados - Cliente'!A152</f>
        <v>0</v>
      </c>
      <c r="B152" s="22" t="e">
        <f>INDEX('Dados - Cliente'!H:H,MATCH(CheckList!A152,'Dados - Cliente'!A:A,0))</f>
        <v>#N/A</v>
      </c>
      <c r="C152" s="22" t="str">
        <f>IF(INDEX('1'!B:B,MATCH(CheckList!$A152,'1'!$A:$A,0))=0, "N/A", "SIM")</f>
        <v>N/A</v>
      </c>
      <c r="D152" s="22">
        <f>INDEX('1'!Q:Q,MATCH(CheckList!$A152,'1'!$A:$A,0))</f>
        <v>0</v>
      </c>
      <c r="E152" s="22" t="str">
        <f>IF(D152="SIM",IF(MATCH(A152,'2'!$A:$A,0)="","NÃO","SIM"),"NAO")</f>
        <v>NAO</v>
      </c>
      <c r="F152" s="22" t="str">
        <f>IF(INDEX('1'!R:R,MATCH(CheckList!$A152,'1'!$A:$A,0))=0, "N/A", "SIM")</f>
        <v>N/A</v>
      </c>
      <c r="G152" s="22" t="str">
        <f>IF(INDEX('1'!AC:AC,MATCH(CheckList!$A152,'1'!$A:$A,0))=0, "N/A", "SIM")</f>
        <v>N/A</v>
      </c>
      <c r="H152" s="22" t="str">
        <f>IF(INDEX('1'!AF:AF,MATCH(CheckList!$A152,'1'!$A:$A,0))=0, "N/A", "SIM")</f>
        <v>N/A</v>
      </c>
      <c r="I152" s="22" t="str">
        <f>IF(INDEX('1'!L:L,MATCH(CheckList!$A152,'1'!$A:$A,0))=0, "N/A", "SIM")</f>
        <v>N/A</v>
      </c>
      <c r="J152" s="22" t="str">
        <f>IF(LEN(INDEX('1'!L:L,MATCH(CheckList!$A152,'1'!$A:$A,0)))=11, "NAO", IF(LEN(INDEX('1'!L:L,MATCH(CheckList!$A152,'1'!$A:$A,0)))=14,"SIM","N/A"))</f>
        <v>N/A</v>
      </c>
      <c r="K152" s="22" t="str">
        <f>IF(INDEX('1'!BE:BE,MATCH(CheckList!$A152,'1'!$A:$A,0))=0, "N/A", "SIM")</f>
        <v>N/A</v>
      </c>
    </row>
    <row r="153" spans="1:11" x14ac:dyDescent="0.35">
      <c r="A153" s="22">
        <f>'Dados - Cliente'!A153</f>
        <v>0</v>
      </c>
      <c r="B153" s="22" t="e">
        <f>INDEX('Dados - Cliente'!H:H,MATCH(CheckList!A153,'Dados - Cliente'!A:A,0))</f>
        <v>#N/A</v>
      </c>
      <c r="C153" s="22" t="str">
        <f>IF(INDEX('1'!B:B,MATCH(CheckList!$A153,'1'!$A:$A,0))=0, "N/A", "SIM")</f>
        <v>N/A</v>
      </c>
      <c r="D153" s="22">
        <f>INDEX('1'!Q:Q,MATCH(CheckList!$A153,'1'!$A:$A,0))</f>
        <v>0</v>
      </c>
      <c r="E153" s="22" t="str">
        <f>IF(D153="SIM",IF(MATCH(A153,'2'!$A:$A,0)="","NÃO","SIM"),"NAO")</f>
        <v>NAO</v>
      </c>
      <c r="F153" s="22" t="str">
        <f>IF(INDEX('1'!R:R,MATCH(CheckList!$A153,'1'!$A:$A,0))=0, "N/A", "SIM")</f>
        <v>N/A</v>
      </c>
      <c r="G153" s="22" t="str">
        <f>IF(INDEX('1'!AC:AC,MATCH(CheckList!$A153,'1'!$A:$A,0))=0, "N/A", "SIM")</f>
        <v>N/A</v>
      </c>
      <c r="H153" s="22" t="str">
        <f>IF(INDEX('1'!AF:AF,MATCH(CheckList!$A153,'1'!$A:$A,0))=0, "N/A", "SIM")</f>
        <v>N/A</v>
      </c>
      <c r="I153" s="22" t="str">
        <f>IF(INDEX('1'!L:L,MATCH(CheckList!$A153,'1'!$A:$A,0))=0, "N/A", "SIM")</f>
        <v>N/A</v>
      </c>
      <c r="J153" s="22" t="str">
        <f>IF(LEN(INDEX('1'!L:L,MATCH(CheckList!$A153,'1'!$A:$A,0)))=11, "NAO", IF(LEN(INDEX('1'!L:L,MATCH(CheckList!$A153,'1'!$A:$A,0)))=14,"SIM","N/A"))</f>
        <v>N/A</v>
      </c>
      <c r="K153" s="22" t="str">
        <f>IF(INDEX('1'!BE:BE,MATCH(CheckList!$A153,'1'!$A:$A,0))=0, "N/A", "SIM")</f>
        <v>N/A</v>
      </c>
    </row>
    <row r="154" spans="1:11" x14ac:dyDescent="0.35">
      <c r="A154" s="22">
        <f>'Dados - Cliente'!A154</f>
        <v>0</v>
      </c>
      <c r="B154" s="22" t="e">
        <f>INDEX('Dados - Cliente'!H:H,MATCH(CheckList!A154,'Dados - Cliente'!A:A,0))</f>
        <v>#N/A</v>
      </c>
      <c r="C154" s="22" t="str">
        <f>IF(INDEX('1'!B:B,MATCH(CheckList!$A154,'1'!$A:$A,0))=0, "N/A", "SIM")</f>
        <v>N/A</v>
      </c>
      <c r="D154" s="22">
        <f>INDEX('1'!Q:Q,MATCH(CheckList!$A154,'1'!$A:$A,0))</f>
        <v>0</v>
      </c>
      <c r="E154" s="22" t="str">
        <f>IF(D154="SIM",IF(MATCH(A154,'2'!$A:$A,0)="","NÃO","SIM"),"NAO")</f>
        <v>NAO</v>
      </c>
      <c r="F154" s="22" t="str">
        <f>IF(INDEX('1'!R:R,MATCH(CheckList!$A154,'1'!$A:$A,0))=0, "N/A", "SIM")</f>
        <v>N/A</v>
      </c>
      <c r="G154" s="22" t="str">
        <f>IF(INDEX('1'!AC:AC,MATCH(CheckList!$A154,'1'!$A:$A,0))=0, "N/A", "SIM")</f>
        <v>N/A</v>
      </c>
      <c r="H154" s="22" t="str">
        <f>IF(INDEX('1'!AF:AF,MATCH(CheckList!$A154,'1'!$A:$A,0))=0, "N/A", "SIM")</f>
        <v>N/A</v>
      </c>
      <c r="I154" s="22" t="str">
        <f>IF(INDEX('1'!L:L,MATCH(CheckList!$A154,'1'!$A:$A,0))=0, "N/A", "SIM")</f>
        <v>N/A</v>
      </c>
      <c r="J154" s="22" t="str">
        <f>IF(LEN(INDEX('1'!L:L,MATCH(CheckList!$A154,'1'!$A:$A,0)))=11, "NAO", IF(LEN(INDEX('1'!L:L,MATCH(CheckList!$A154,'1'!$A:$A,0)))=14,"SIM","N/A"))</f>
        <v>N/A</v>
      </c>
      <c r="K154" s="22" t="str">
        <f>IF(INDEX('1'!BE:BE,MATCH(CheckList!$A154,'1'!$A:$A,0))=0, "N/A", "SIM")</f>
        <v>N/A</v>
      </c>
    </row>
    <row r="155" spans="1:11" x14ac:dyDescent="0.35">
      <c r="A155" s="22">
        <f>'Dados - Cliente'!A155</f>
        <v>0</v>
      </c>
      <c r="B155" s="22" t="e">
        <f>INDEX('Dados - Cliente'!H:H,MATCH(CheckList!A155,'Dados - Cliente'!A:A,0))</f>
        <v>#N/A</v>
      </c>
      <c r="C155" s="22" t="str">
        <f>IF(INDEX('1'!B:B,MATCH(CheckList!$A155,'1'!$A:$A,0))=0, "N/A", "SIM")</f>
        <v>N/A</v>
      </c>
      <c r="D155" s="22">
        <f>INDEX('1'!Q:Q,MATCH(CheckList!$A155,'1'!$A:$A,0))</f>
        <v>0</v>
      </c>
      <c r="E155" s="22" t="str">
        <f>IF(D155="SIM",IF(MATCH(A155,'2'!$A:$A,0)="","NÃO","SIM"),"NAO")</f>
        <v>NAO</v>
      </c>
      <c r="F155" s="22" t="str">
        <f>IF(INDEX('1'!R:R,MATCH(CheckList!$A155,'1'!$A:$A,0))=0, "N/A", "SIM")</f>
        <v>N/A</v>
      </c>
      <c r="G155" s="22" t="str">
        <f>IF(INDEX('1'!AC:AC,MATCH(CheckList!$A155,'1'!$A:$A,0))=0, "N/A", "SIM")</f>
        <v>N/A</v>
      </c>
      <c r="H155" s="22" t="str">
        <f>IF(INDEX('1'!AF:AF,MATCH(CheckList!$A155,'1'!$A:$A,0))=0, "N/A", "SIM")</f>
        <v>N/A</v>
      </c>
      <c r="I155" s="22" t="str">
        <f>IF(INDEX('1'!L:L,MATCH(CheckList!$A155,'1'!$A:$A,0))=0, "N/A", "SIM")</f>
        <v>N/A</v>
      </c>
      <c r="J155" s="22" t="str">
        <f>IF(LEN(INDEX('1'!L:L,MATCH(CheckList!$A155,'1'!$A:$A,0)))=11, "NAO", IF(LEN(INDEX('1'!L:L,MATCH(CheckList!$A155,'1'!$A:$A,0)))=14,"SIM","N/A"))</f>
        <v>N/A</v>
      </c>
      <c r="K155" s="22" t="str">
        <f>IF(INDEX('1'!BE:BE,MATCH(CheckList!$A155,'1'!$A:$A,0))=0, "N/A", "SIM")</f>
        <v>N/A</v>
      </c>
    </row>
    <row r="156" spans="1:11" x14ac:dyDescent="0.35">
      <c r="A156" s="22">
        <f>'Dados - Cliente'!A156</f>
        <v>0</v>
      </c>
      <c r="B156" s="22" t="e">
        <f>INDEX('Dados - Cliente'!H:H,MATCH(CheckList!A156,'Dados - Cliente'!A:A,0))</f>
        <v>#N/A</v>
      </c>
      <c r="C156" s="22" t="str">
        <f>IF(INDEX('1'!B:B,MATCH(CheckList!$A156,'1'!$A:$A,0))=0, "N/A", "SIM")</f>
        <v>N/A</v>
      </c>
      <c r="D156" s="22">
        <f>INDEX('1'!Q:Q,MATCH(CheckList!$A156,'1'!$A:$A,0))</f>
        <v>0</v>
      </c>
      <c r="E156" s="22" t="str">
        <f>IF(D156="SIM",IF(MATCH(A156,'2'!$A:$A,0)="","NÃO","SIM"),"NAO")</f>
        <v>NAO</v>
      </c>
      <c r="F156" s="22" t="str">
        <f>IF(INDEX('1'!R:R,MATCH(CheckList!$A156,'1'!$A:$A,0))=0, "N/A", "SIM")</f>
        <v>N/A</v>
      </c>
      <c r="G156" s="22" t="str">
        <f>IF(INDEX('1'!AC:AC,MATCH(CheckList!$A156,'1'!$A:$A,0))=0, "N/A", "SIM")</f>
        <v>N/A</v>
      </c>
      <c r="H156" s="22" t="str">
        <f>IF(INDEX('1'!AF:AF,MATCH(CheckList!$A156,'1'!$A:$A,0))=0, "N/A", "SIM")</f>
        <v>N/A</v>
      </c>
      <c r="I156" s="22" t="str">
        <f>IF(INDEX('1'!L:L,MATCH(CheckList!$A156,'1'!$A:$A,0))=0, "N/A", "SIM")</f>
        <v>N/A</v>
      </c>
      <c r="J156" s="22" t="str">
        <f>IF(LEN(INDEX('1'!L:L,MATCH(CheckList!$A156,'1'!$A:$A,0)))=11, "NAO", IF(LEN(INDEX('1'!L:L,MATCH(CheckList!$A156,'1'!$A:$A,0)))=14,"SIM","N/A"))</f>
        <v>N/A</v>
      </c>
      <c r="K156" s="22" t="str">
        <f>IF(INDEX('1'!BE:BE,MATCH(CheckList!$A156,'1'!$A:$A,0))=0, "N/A", "SIM")</f>
        <v>N/A</v>
      </c>
    </row>
    <row r="157" spans="1:11" x14ac:dyDescent="0.35">
      <c r="A157" s="22">
        <f>'Dados - Cliente'!A157</f>
        <v>0</v>
      </c>
      <c r="B157" s="22" t="e">
        <f>INDEX('Dados - Cliente'!H:H,MATCH(CheckList!A157,'Dados - Cliente'!A:A,0))</f>
        <v>#N/A</v>
      </c>
      <c r="C157" s="22" t="str">
        <f>IF(INDEX('1'!B:B,MATCH(CheckList!$A157,'1'!$A:$A,0))=0, "N/A", "SIM")</f>
        <v>N/A</v>
      </c>
      <c r="D157" s="22">
        <f>INDEX('1'!Q:Q,MATCH(CheckList!$A157,'1'!$A:$A,0))</f>
        <v>0</v>
      </c>
      <c r="E157" s="22" t="str">
        <f>IF(D157="SIM",IF(MATCH(A157,'2'!$A:$A,0)="","NÃO","SIM"),"NAO")</f>
        <v>NAO</v>
      </c>
      <c r="F157" s="22" t="str">
        <f>IF(INDEX('1'!R:R,MATCH(CheckList!$A157,'1'!$A:$A,0))=0, "N/A", "SIM")</f>
        <v>N/A</v>
      </c>
      <c r="G157" s="22" t="str">
        <f>IF(INDEX('1'!AC:AC,MATCH(CheckList!$A157,'1'!$A:$A,0))=0, "N/A", "SIM")</f>
        <v>N/A</v>
      </c>
      <c r="H157" s="22" t="str">
        <f>IF(INDEX('1'!AF:AF,MATCH(CheckList!$A157,'1'!$A:$A,0))=0, "N/A", "SIM")</f>
        <v>N/A</v>
      </c>
      <c r="I157" s="22" t="str">
        <f>IF(INDEX('1'!L:L,MATCH(CheckList!$A157,'1'!$A:$A,0))=0, "N/A", "SIM")</f>
        <v>N/A</v>
      </c>
      <c r="J157" s="22" t="str">
        <f>IF(LEN(INDEX('1'!L:L,MATCH(CheckList!$A157,'1'!$A:$A,0)))=11, "NAO", IF(LEN(INDEX('1'!L:L,MATCH(CheckList!$A157,'1'!$A:$A,0)))=14,"SIM","N/A"))</f>
        <v>N/A</v>
      </c>
      <c r="K157" s="22" t="str">
        <f>IF(INDEX('1'!BE:BE,MATCH(CheckList!$A157,'1'!$A:$A,0))=0, "N/A", "SIM")</f>
        <v>N/A</v>
      </c>
    </row>
    <row r="158" spans="1:11" x14ac:dyDescent="0.35">
      <c r="A158" s="22">
        <f>'Dados - Cliente'!A158</f>
        <v>0</v>
      </c>
      <c r="B158" s="22" t="e">
        <f>INDEX('Dados - Cliente'!H:H,MATCH(CheckList!A158,'Dados - Cliente'!A:A,0))</f>
        <v>#N/A</v>
      </c>
      <c r="C158" s="22" t="str">
        <f>IF(INDEX('1'!B:B,MATCH(CheckList!$A158,'1'!$A:$A,0))=0, "N/A", "SIM")</f>
        <v>N/A</v>
      </c>
      <c r="D158" s="22">
        <f>INDEX('1'!Q:Q,MATCH(CheckList!$A158,'1'!$A:$A,0))</f>
        <v>0</v>
      </c>
      <c r="E158" s="22" t="str">
        <f>IF(D158="SIM",IF(MATCH(A158,'2'!$A:$A,0)="","NÃO","SIM"),"NAO")</f>
        <v>NAO</v>
      </c>
      <c r="F158" s="22" t="str">
        <f>IF(INDEX('1'!R:R,MATCH(CheckList!$A158,'1'!$A:$A,0))=0, "N/A", "SIM")</f>
        <v>N/A</v>
      </c>
      <c r="G158" s="22" t="str">
        <f>IF(INDEX('1'!AC:AC,MATCH(CheckList!$A158,'1'!$A:$A,0))=0, "N/A", "SIM")</f>
        <v>N/A</v>
      </c>
      <c r="H158" s="22" t="str">
        <f>IF(INDEX('1'!AF:AF,MATCH(CheckList!$A158,'1'!$A:$A,0))=0, "N/A", "SIM")</f>
        <v>N/A</v>
      </c>
      <c r="I158" s="22" t="str">
        <f>IF(INDEX('1'!L:L,MATCH(CheckList!$A158,'1'!$A:$A,0))=0, "N/A", "SIM")</f>
        <v>N/A</v>
      </c>
      <c r="J158" s="22" t="str">
        <f>IF(LEN(INDEX('1'!L:L,MATCH(CheckList!$A158,'1'!$A:$A,0)))=11, "NAO", IF(LEN(INDEX('1'!L:L,MATCH(CheckList!$A158,'1'!$A:$A,0)))=14,"SIM","N/A"))</f>
        <v>N/A</v>
      </c>
      <c r="K158" s="22" t="str">
        <f>IF(INDEX('1'!BE:BE,MATCH(CheckList!$A158,'1'!$A:$A,0))=0, "N/A", "SIM")</f>
        <v>N/A</v>
      </c>
    </row>
    <row r="159" spans="1:11" x14ac:dyDescent="0.35">
      <c r="A159" s="22">
        <f>'Dados - Cliente'!A159</f>
        <v>0</v>
      </c>
      <c r="B159" s="22" t="e">
        <f>INDEX('Dados - Cliente'!H:H,MATCH(CheckList!A159,'Dados - Cliente'!A:A,0))</f>
        <v>#N/A</v>
      </c>
      <c r="C159" s="22" t="str">
        <f>IF(INDEX('1'!B:B,MATCH(CheckList!$A159,'1'!$A:$A,0))=0, "N/A", "SIM")</f>
        <v>N/A</v>
      </c>
      <c r="D159" s="22">
        <f>INDEX('1'!Q:Q,MATCH(CheckList!$A159,'1'!$A:$A,0))</f>
        <v>0</v>
      </c>
      <c r="E159" s="22" t="str">
        <f>IF(D159="SIM",IF(MATCH(A159,'2'!$A:$A,0)="","NÃO","SIM"),"NAO")</f>
        <v>NAO</v>
      </c>
      <c r="F159" s="22" t="str">
        <f>IF(INDEX('1'!R:R,MATCH(CheckList!$A159,'1'!$A:$A,0))=0, "N/A", "SIM")</f>
        <v>N/A</v>
      </c>
      <c r="G159" s="22" t="str">
        <f>IF(INDEX('1'!AC:AC,MATCH(CheckList!$A159,'1'!$A:$A,0))=0, "N/A", "SIM")</f>
        <v>N/A</v>
      </c>
      <c r="H159" s="22" t="str">
        <f>IF(INDEX('1'!AF:AF,MATCH(CheckList!$A159,'1'!$A:$A,0))=0, "N/A", "SIM")</f>
        <v>N/A</v>
      </c>
      <c r="I159" s="22" t="str">
        <f>IF(INDEX('1'!L:L,MATCH(CheckList!$A159,'1'!$A:$A,0))=0, "N/A", "SIM")</f>
        <v>N/A</v>
      </c>
      <c r="J159" s="22" t="str">
        <f>IF(LEN(INDEX('1'!L:L,MATCH(CheckList!$A159,'1'!$A:$A,0)))=11, "NAO", IF(LEN(INDEX('1'!L:L,MATCH(CheckList!$A159,'1'!$A:$A,0)))=14,"SIM","N/A"))</f>
        <v>N/A</v>
      </c>
      <c r="K159" s="22" t="str">
        <f>IF(INDEX('1'!BE:BE,MATCH(CheckList!$A159,'1'!$A:$A,0))=0, "N/A", "SIM")</f>
        <v>N/A</v>
      </c>
    </row>
    <row r="160" spans="1:11" x14ac:dyDescent="0.35">
      <c r="A160" s="22">
        <f>'Dados - Cliente'!A160</f>
        <v>0</v>
      </c>
      <c r="B160" s="22" t="e">
        <f>INDEX('Dados - Cliente'!H:H,MATCH(CheckList!A160,'Dados - Cliente'!A:A,0))</f>
        <v>#N/A</v>
      </c>
      <c r="C160" s="22" t="str">
        <f>IF(INDEX('1'!B:B,MATCH(CheckList!$A160,'1'!$A:$A,0))=0, "N/A", "SIM")</f>
        <v>N/A</v>
      </c>
      <c r="D160" s="22">
        <f>INDEX('1'!Q:Q,MATCH(CheckList!$A160,'1'!$A:$A,0))</f>
        <v>0</v>
      </c>
      <c r="E160" s="22" t="str">
        <f>IF(D160="SIM",IF(MATCH(A160,'2'!$A:$A,0)="","NÃO","SIM"),"NAO")</f>
        <v>NAO</v>
      </c>
      <c r="F160" s="22" t="str">
        <f>IF(INDEX('1'!R:R,MATCH(CheckList!$A160,'1'!$A:$A,0))=0, "N/A", "SIM")</f>
        <v>N/A</v>
      </c>
      <c r="G160" s="22" t="str">
        <f>IF(INDEX('1'!AC:AC,MATCH(CheckList!$A160,'1'!$A:$A,0))=0, "N/A", "SIM")</f>
        <v>N/A</v>
      </c>
      <c r="H160" s="22" t="str">
        <f>IF(INDEX('1'!AF:AF,MATCH(CheckList!$A160,'1'!$A:$A,0))=0, "N/A", "SIM")</f>
        <v>N/A</v>
      </c>
      <c r="I160" s="22" t="str">
        <f>IF(INDEX('1'!L:L,MATCH(CheckList!$A160,'1'!$A:$A,0))=0, "N/A", "SIM")</f>
        <v>N/A</v>
      </c>
      <c r="J160" s="22" t="str">
        <f>IF(LEN(INDEX('1'!L:L,MATCH(CheckList!$A160,'1'!$A:$A,0)))=11, "NAO", IF(LEN(INDEX('1'!L:L,MATCH(CheckList!$A160,'1'!$A:$A,0)))=14,"SIM","N/A"))</f>
        <v>N/A</v>
      </c>
      <c r="K160" s="22" t="str">
        <f>IF(INDEX('1'!BE:BE,MATCH(CheckList!$A160,'1'!$A:$A,0))=0, "N/A", "SIM")</f>
        <v>N/A</v>
      </c>
    </row>
    <row r="161" spans="1:11" x14ac:dyDescent="0.35">
      <c r="A161" s="22">
        <f>'Dados - Cliente'!A161</f>
        <v>0</v>
      </c>
      <c r="B161" s="22" t="e">
        <f>INDEX('Dados - Cliente'!H:H,MATCH(CheckList!A161,'Dados - Cliente'!A:A,0))</f>
        <v>#N/A</v>
      </c>
      <c r="C161" s="22" t="str">
        <f>IF(INDEX('1'!B:B,MATCH(CheckList!$A161,'1'!$A:$A,0))=0, "N/A", "SIM")</f>
        <v>N/A</v>
      </c>
      <c r="D161" s="22">
        <f>INDEX('1'!Q:Q,MATCH(CheckList!$A161,'1'!$A:$A,0))</f>
        <v>0</v>
      </c>
      <c r="E161" s="22" t="str">
        <f>IF(D161="SIM",IF(MATCH(A161,'2'!$A:$A,0)="","NÃO","SIM"),"NAO")</f>
        <v>NAO</v>
      </c>
      <c r="F161" s="22" t="str">
        <f>IF(INDEX('1'!R:R,MATCH(CheckList!$A161,'1'!$A:$A,0))=0, "N/A", "SIM")</f>
        <v>N/A</v>
      </c>
      <c r="G161" s="22" t="str">
        <f>IF(INDEX('1'!AC:AC,MATCH(CheckList!$A161,'1'!$A:$A,0))=0, "N/A", "SIM")</f>
        <v>N/A</v>
      </c>
      <c r="H161" s="22" t="str">
        <f>IF(INDEX('1'!AF:AF,MATCH(CheckList!$A161,'1'!$A:$A,0))=0, "N/A", "SIM")</f>
        <v>N/A</v>
      </c>
      <c r="I161" s="22" t="str">
        <f>IF(INDEX('1'!L:L,MATCH(CheckList!$A161,'1'!$A:$A,0))=0, "N/A", "SIM")</f>
        <v>N/A</v>
      </c>
      <c r="J161" s="22" t="str">
        <f>IF(LEN(INDEX('1'!L:L,MATCH(CheckList!$A161,'1'!$A:$A,0)))=11, "NAO", IF(LEN(INDEX('1'!L:L,MATCH(CheckList!$A161,'1'!$A:$A,0)))=14,"SIM","N/A"))</f>
        <v>N/A</v>
      </c>
      <c r="K161" s="22" t="str">
        <f>IF(INDEX('1'!BE:BE,MATCH(CheckList!$A161,'1'!$A:$A,0))=0, "N/A", "SIM")</f>
        <v>N/A</v>
      </c>
    </row>
    <row r="162" spans="1:11" x14ac:dyDescent="0.35">
      <c r="A162" s="22">
        <f>'Dados - Cliente'!A162</f>
        <v>0</v>
      </c>
      <c r="B162" s="22" t="e">
        <f>INDEX('Dados - Cliente'!H:H,MATCH(CheckList!A162,'Dados - Cliente'!A:A,0))</f>
        <v>#N/A</v>
      </c>
      <c r="C162" s="22" t="str">
        <f>IF(INDEX('1'!B:B,MATCH(CheckList!$A162,'1'!$A:$A,0))=0, "N/A", "SIM")</f>
        <v>N/A</v>
      </c>
      <c r="D162" s="22">
        <f>INDEX('1'!Q:Q,MATCH(CheckList!$A162,'1'!$A:$A,0))</f>
        <v>0</v>
      </c>
      <c r="E162" s="22" t="str">
        <f>IF(D162="SIM",IF(MATCH(A162,'2'!$A:$A,0)="","NÃO","SIM"),"NAO")</f>
        <v>NAO</v>
      </c>
      <c r="F162" s="22" t="str">
        <f>IF(INDEX('1'!R:R,MATCH(CheckList!$A162,'1'!$A:$A,0))=0, "N/A", "SIM")</f>
        <v>N/A</v>
      </c>
      <c r="G162" s="22" t="str">
        <f>IF(INDEX('1'!AC:AC,MATCH(CheckList!$A162,'1'!$A:$A,0))=0, "N/A", "SIM")</f>
        <v>N/A</v>
      </c>
      <c r="H162" s="22" t="str">
        <f>IF(INDEX('1'!AF:AF,MATCH(CheckList!$A162,'1'!$A:$A,0))=0, "N/A", "SIM")</f>
        <v>N/A</v>
      </c>
      <c r="I162" s="22" t="str">
        <f>IF(INDEX('1'!L:L,MATCH(CheckList!$A162,'1'!$A:$A,0))=0, "N/A", "SIM")</f>
        <v>N/A</v>
      </c>
      <c r="J162" s="22" t="str">
        <f>IF(LEN(INDEX('1'!L:L,MATCH(CheckList!$A162,'1'!$A:$A,0)))=11, "NAO", IF(LEN(INDEX('1'!L:L,MATCH(CheckList!$A162,'1'!$A:$A,0)))=14,"SIM","N/A"))</f>
        <v>N/A</v>
      </c>
      <c r="K162" s="22" t="str">
        <f>IF(INDEX('1'!BE:BE,MATCH(CheckList!$A162,'1'!$A:$A,0))=0, "N/A", "SIM")</f>
        <v>N/A</v>
      </c>
    </row>
    <row r="163" spans="1:11" x14ac:dyDescent="0.35">
      <c r="A163" s="22">
        <f>'Dados - Cliente'!A163</f>
        <v>0</v>
      </c>
      <c r="B163" s="22" t="e">
        <f>INDEX('Dados - Cliente'!H:H,MATCH(CheckList!A163,'Dados - Cliente'!A:A,0))</f>
        <v>#N/A</v>
      </c>
      <c r="C163" s="22" t="str">
        <f>IF(INDEX('1'!B:B,MATCH(CheckList!$A163,'1'!$A:$A,0))=0, "N/A", "SIM")</f>
        <v>N/A</v>
      </c>
      <c r="D163" s="22">
        <f>INDEX('1'!Q:Q,MATCH(CheckList!$A163,'1'!$A:$A,0))</f>
        <v>0</v>
      </c>
      <c r="E163" s="22" t="str">
        <f>IF(D163="SIM",IF(MATCH(A163,'2'!$A:$A,0)="","NÃO","SIM"),"NAO")</f>
        <v>NAO</v>
      </c>
      <c r="F163" s="22" t="str">
        <f>IF(INDEX('1'!R:R,MATCH(CheckList!$A163,'1'!$A:$A,0))=0, "N/A", "SIM")</f>
        <v>N/A</v>
      </c>
      <c r="G163" s="22" t="str">
        <f>IF(INDEX('1'!AC:AC,MATCH(CheckList!$A163,'1'!$A:$A,0))=0, "N/A", "SIM")</f>
        <v>N/A</v>
      </c>
      <c r="H163" s="22" t="str">
        <f>IF(INDEX('1'!AF:AF,MATCH(CheckList!$A163,'1'!$A:$A,0))=0, "N/A", "SIM")</f>
        <v>N/A</v>
      </c>
      <c r="I163" s="22" t="str">
        <f>IF(INDEX('1'!L:L,MATCH(CheckList!$A163,'1'!$A:$A,0))=0, "N/A", "SIM")</f>
        <v>N/A</v>
      </c>
      <c r="J163" s="22" t="str">
        <f>IF(LEN(INDEX('1'!L:L,MATCH(CheckList!$A163,'1'!$A:$A,0)))=11, "NAO", IF(LEN(INDEX('1'!L:L,MATCH(CheckList!$A163,'1'!$A:$A,0)))=14,"SIM","N/A"))</f>
        <v>N/A</v>
      </c>
      <c r="K163" s="22" t="str">
        <f>IF(INDEX('1'!BE:BE,MATCH(CheckList!$A163,'1'!$A:$A,0))=0, "N/A", "SIM")</f>
        <v>N/A</v>
      </c>
    </row>
    <row r="164" spans="1:11" x14ac:dyDescent="0.35">
      <c r="A164" s="22">
        <f>'Dados - Cliente'!A164</f>
        <v>0</v>
      </c>
      <c r="B164" s="22" t="e">
        <f>INDEX('Dados - Cliente'!H:H,MATCH(CheckList!A164,'Dados - Cliente'!A:A,0))</f>
        <v>#N/A</v>
      </c>
      <c r="C164" s="22" t="str">
        <f>IF(INDEX('1'!B:B,MATCH(CheckList!$A164,'1'!$A:$A,0))=0, "N/A", "SIM")</f>
        <v>N/A</v>
      </c>
      <c r="D164" s="22">
        <f>INDEX('1'!Q:Q,MATCH(CheckList!$A164,'1'!$A:$A,0))</f>
        <v>0</v>
      </c>
      <c r="E164" s="22" t="str">
        <f>IF(D164="SIM",IF(MATCH(A164,'2'!$A:$A,0)="","NÃO","SIM"),"NAO")</f>
        <v>NAO</v>
      </c>
      <c r="F164" s="22" t="str">
        <f>IF(INDEX('1'!R:R,MATCH(CheckList!$A164,'1'!$A:$A,0))=0, "N/A", "SIM")</f>
        <v>N/A</v>
      </c>
      <c r="G164" s="22" t="str">
        <f>IF(INDEX('1'!AC:AC,MATCH(CheckList!$A164,'1'!$A:$A,0))=0, "N/A", "SIM")</f>
        <v>N/A</v>
      </c>
      <c r="H164" s="22" t="str">
        <f>IF(INDEX('1'!AF:AF,MATCH(CheckList!$A164,'1'!$A:$A,0))=0, "N/A", "SIM")</f>
        <v>N/A</v>
      </c>
      <c r="I164" s="22" t="str">
        <f>IF(INDEX('1'!L:L,MATCH(CheckList!$A164,'1'!$A:$A,0))=0, "N/A", "SIM")</f>
        <v>N/A</v>
      </c>
      <c r="J164" s="22" t="str">
        <f>IF(LEN(INDEX('1'!L:L,MATCH(CheckList!$A164,'1'!$A:$A,0)))=11, "NAO", IF(LEN(INDEX('1'!L:L,MATCH(CheckList!$A164,'1'!$A:$A,0)))=14,"SIM","N/A"))</f>
        <v>N/A</v>
      </c>
      <c r="K164" s="22" t="str">
        <f>IF(INDEX('1'!BE:BE,MATCH(CheckList!$A164,'1'!$A:$A,0))=0, "N/A", "SIM")</f>
        <v>N/A</v>
      </c>
    </row>
    <row r="165" spans="1:11" x14ac:dyDescent="0.35">
      <c r="A165" s="22">
        <f>'Dados - Cliente'!A165</f>
        <v>0</v>
      </c>
      <c r="B165" s="22" t="e">
        <f>INDEX('Dados - Cliente'!H:H,MATCH(CheckList!A165,'Dados - Cliente'!A:A,0))</f>
        <v>#N/A</v>
      </c>
      <c r="C165" s="22" t="str">
        <f>IF(INDEX('1'!B:B,MATCH(CheckList!$A165,'1'!$A:$A,0))=0, "N/A", "SIM")</f>
        <v>N/A</v>
      </c>
      <c r="D165" s="22">
        <f>INDEX('1'!Q:Q,MATCH(CheckList!$A165,'1'!$A:$A,0))</f>
        <v>0</v>
      </c>
      <c r="E165" s="22" t="str">
        <f>IF(D165="SIM",IF(MATCH(A165,'2'!$A:$A,0)="","NÃO","SIM"),"NAO")</f>
        <v>NAO</v>
      </c>
      <c r="F165" s="22" t="str">
        <f>IF(INDEX('1'!R:R,MATCH(CheckList!$A165,'1'!$A:$A,0))=0, "N/A", "SIM")</f>
        <v>N/A</v>
      </c>
      <c r="G165" s="22" t="str">
        <f>IF(INDEX('1'!AC:AC,MATCH(CheckList!$A165,'1'!$A:$A,0))=0, "N/A", "SIM")</f>
        <v>N/A</v>
      </c>
      <c r="H165" s="22" t="str">
        <f>IF(INDEX('1'!AF:AF,MATCH(CheckList!$A165,'1'!$A:$A,0))=0, "N/A", "SIM")</f>
        <v>N/A</v>
      </c>
      <c r="I165" s="22" t="str">
        <f>IF(INDEX('1'!L:L,MATCH(CheckList!$A165,'1'!$A:$A,0))=0, "N/A", "SIM")</f>
        <v>N/A</v>
      </c>
      <c r="J165" s="22" t="str">
        <f>IF(LEN(INDEX('1'!L:L,MATCH(CheckList!$A165,'1'!$A:$A,0)))=11, "NAO", IF(LEN(INDEX('1'!L:L,MATCH(CheckList!$A165,'1'!$A:$A,0)))=14,"SIM","N/A"))</f>
        <v>N/A</v>
      </c>
      <c r="K165" s="22" t="str">
        <f>IF(INDEX('1'!BE:BE,MATCH(CheckList!$A165,'1'!$A:$A,0))=0, "N/A", "SIM")</f>
        <v>N/A</v>
      </c>
    </row>
    <row r="166" spans="1:11" x14ac:dyDescent="0.35">
      <c r="A166" s="22">
        <f>'Dados - Cliente'!A166</f>
        <v>0</v>
      </c>
      <c r="B166" s="22" t="e">
        <f>INDEX('Dados - Cliente'!H:H,MATCH(CheckList!A166,'Dados - Cliente'!A:A,0))</f>
        <v>#N/A</v>
      </c>
      <c r="C166" s="22" t="str">
        <f>IF(INDEX('1'!B:B,MATCH(CheckList!$A166,'1'!$A:$A,0))=0, "N/A", "SIM")</f>
        <v>N/A</v>
      </c>
      <c r="D166" s="22">
        <f>INDEX('1'!Q:Q,MATCH(CheckList!$A166,'1'!$A:$A,0))</f>
        <v>0</v>
      </c>
      <c r="E166" s="22" t="str">
        <f>IF(D166="SIM",IF(MATCH(A166,'2'!$A:$A,0)="","NÃO","SIM"),"NAO")</f>
        <v>NAO</v>
      </c>
      <c r="F166" s="22" t="str">
        <f>IF(INDEX('1'!R:R,MATCH(CheckList!$A166,'1'!$A:$A,0))=0, "N/A", "SIM")</f>
        <v>N/A</v>
      </c>
      <c r="G166" s="22" t="str">
        <f>IF(INDEX('1'!AC:AC,MATCH(CheckList!$A166,'1'!$A:$A,0))=0, "N/A", "SIM")</f>
        <v>N/A</v>
      </c>
      <c r="H166" s="22" t="str">
        <f>IF(INDEX('1'!AF:AF,MATCH(CheckList!$A166,'1'!$A:$A,0))=0, "N/A", "SIM")</f>
        <v>N/A</v>
      </c>
      <c r="I166" s="22" t="str">
        <f>IF(INDEX('1'!L:L,MATCH(CheckList!$A166,'1'!$A:$A,0))=0, "N/A", "SIM")</f>
        <v>N/A</v>
      </c>
      <c r="J166" s="22" t="str">
        <f>IF(LEN(INDEX('1'!L:L,MATCH(CheckList!$A166,'1'!$A:$A,0)))=11, "NAO", IF(LEN(INDEX('1'!L:L,MATCH(CheckList!$A166,'1'!$A:$A,0)))=14,"SIM","N/A"))</f>
        <v>N/A</v>
      </c>
      <c r="K166" s="22" t="str">
        <f>IF(INDEX('1'!BE:BE,MATCH(CheckList!$A166,'1'!$A:$A,0))=0, "N/A", "SIM")</f>
        <v>N/A</v>
      </c>
    </row>
    <row r="167" spans="1:11" x14ac:dyDescent="0.35">
      <c r="A167" s="22">
        <f>'Dados - Cliente'!A167</f>
        <v>0</v>
      </c>
      <c r="B167" s="22" t="e">
        <f>INDEX('Dados - Cliente'!H:H,MATCH(CheckList!A167,'Dados - Cliente'!A:A,0))</f>
        <v>#N/A</v>
      </c>
      <c r="C167" s="22" t="str">
        <f>IF(INDEX('1'!B:B,MATCH(CheckList!$A167,'1'!$A:$A,0))=0, "N/A", "SIM")</f>
        <v>N/A</v>
      </c>
      <c r="D167" s="22">
        <f>INDEX('1'!Q:Q,MATCH(CheckList!$A167,'1'!$A:$A,0))</f>
        <v>0</v>
      </c>
      <c r="E167" s="22" t="str">
        <f>IF(D167="SIM",IF(MATCH(A167,'2'!$A:$A,0)="","NÃO","SIM"),"NAO")</f>
        <v>NAO</v>
      </c>
      <c r="F167" s="22" t="str">
        <f>IF(INDEX('1'!R:R,MATCH(CheckList!$A167,'1'!$A:$A,0))=0, "N/A", "SIM")</f>
        <v>N/A</v>
      </c>
      <c r="G167" s="22" t="str">
        <f>IF(INDEX('1'!AC:AC,MATCH(CheckList!$A167,'1'!$A:$A,0))=0, "N/A", "SIM")</f>
        <v>N/A</v>
      </c>
      <c r="H167" s="22" t="str">
        <f>IF(INDEX('1'!AF:AF,MATCH(CheckList!$A167,'1'!$A:$A,0))=0, "N/A", "SIM")</f>
        <v>N/A</v>
      </c>
      <c r="I167" s="22" t="str">
        <f>IF(INDEX('1'!L:L,MATCH(CheckList!$A167,'1'!$A:$A,0))=0, "N/A", "SIM")</f>
        <v>N/A</v>
      </c>
      <c r="J167" s="22" t="str">
        <f>IF(LEN(INDEX('1'!L:L,MATCH(CheckList!$A167,'1'!$A:$A,0)))=11, "NAO", IF(LEN(INDEX('1'!L:L,MATCH(CheckList!$A167,'1'!$A:$A,0)))=14,"SIM","N/A"))</f>
        <v>N/A</v>
      </c>
      <c r="K167" s="22" t="str">
        <f>IF(INDEX('1'!BE:BE,MATCH(CheckList!$A167,'1'!$A:$A,0))=0, "N/A", "SIM")</f>
        <v>N/A</v>
      </c>
    </row>
    <row r="168" spans="1:11" x14ac:dyDescent="0.35">
      <c r="A168" s="22">
        <f>'Dados - Cliente'!A168</f>
        <v>0</v>
      </c>
      <c r="B168" s="22" t="e">
        <f>INDEX('Dados - Cliente'!H:H,MATCH(CheckList!A168,'Dados - Cliente'!A:A,0))</f>
        <v>#N/A</v>
      </c>
      <c r="C168" s="22" t="str">
        <f>IF(INDEX('1'!B:B,MATCH(CheckList!$A168,'1'!$A:$A,0))=0, "N/A", "SIM")</f>
        <v>N/A</v>
      </c>
      <c r="D168" s="22">
        <f>INDEX('1'!Q:Q,MATCH(CheckList!$A168,'1'!$A:$A,0))</f>
        <v>0</v>
      </c>
      <c r="E168" s="22" t="str">
        <f>IF(D168="SIM",IF(MATCH(A168,'2'!$A:$A,0)="","NÃO","SIM"),"NAO")</f>
        <v>NAO</v>
      </c>
      <c r="F168" s="22" t="str">
        <f>IF(INDEX('1'!R:R,MATCH(CheckList!$A168,'1'!$A:$A,0))=0, "N/A", "SIM")</f>
        <v>N/A</v>
      </c>
      <c r="G168" s="22" t="str">
        <f>IF(INDEX('1'!AC:AC,MATCH(CheckList!$A168,'1'!$A:$A,0))=0, "N/A", "SIM")</f>
        <v>N/A</v>
      </c>
      <c r="H168" s="22" t="str">
        <f>IF(INDEX('1'!AF:AF,MATCH(CheckList!$A168,'1'!$A:$A,0))=0, "N/A", "SIM")</f>
        <v>N/A</v>
      </c>
      <c r="I168" s="22" t="str">
        <f>IF(INDEX('1'!L:L,MATCH(CheckList!$A168,'1'!$A:$A,0))=0, "N/A", "SIM")</f>
        <v>N/A</v>
      </c>
      <c r="J168" s="22" t="str">
        <f>IF(LEN(INDEX('1'!L:L,MATCH(CheckList!$A168,'1'!$A:$A,0)))=11, "NAO", IF(LEN(INDEX('1'!L:L,MATCH(CheckList!$A168,'1'!$A:$A,0)))=14,"SIM","N/A"))</f>
        <v>N/A</v>
      </c>
      <c r="K168" s="22" t="str">
        <f>IF(INDEX('1'!BE:BE,MATCH(CheckList!$A168,'1'!$A:$A,0))=0, "N/A", "SIM")</f>
        <v>N/A</v>
      </c>
    </row>
    <row r="169" spans="1:11" x14ac:dyDescent="0.35">
      <c r="A169" s="22">
        <f>'Dados - Cliente'!A169</f>
        <v>0</v>
      </c>
      <c r="B169" s="22" t="e">
        <f>INDEX('Dados - Cliente'!H:H,MATCH(CheckList!A169,'Dados - Cliente'!A:A,0))</f>
        <v>#N/A</v>
      </c>
      <c r="C169" s="22" t="str">
        <f>IF(INDEX('1'!B:B,MATCH(CheckList!$A169,'1'!$A:$A,0))=0, "N/A", "SIM")</f>
        <v>N/A</v>
      </c>
      <c r="D169" s="22">
        <f>INDEX('1'!Q:Q,MATCH(CheckList!$A169,'1'!$A:$A,0))</f>
        <v>0</v>
      </c>
      <c r="E169" s="22" t="str">
        <f>IF(D169="SIM",IF(MATCH(A169,'2'!$A:$A,0)="","NÃO","SIM"),"NAO")</f>
        <v>NAO</v>
      </c>
      <c r="F169" s="22" t="str">
        <f>IF(INDEX('1'!R:R,MATCH(CheckList!$A169,'1'!$A:$A,0))=0, "N/A", "SIM")</f>
        <v>N/A</v>
      </c>
      <c r="G169" s="22" t="str">
        <f>IF(INDEX('1'!AC:AC,MATCH(CheckList!$A169,'1'!$A:$A,0))=0, "N/A", "SIM")</f>
        <v>N/A</v>
      </c>
      <c r="H169" s="22" t="str">
        <f>IF(INDEX('1'!AF:AF,MATCH(CheckList!$A169,'1'!$A:$A,0))=0, "N/A", "SIM")</f>
        <v>N/A</v>
      </c>
      <c r="I169" s="22" t="str">
        <f>IF(INDEX('1'!L:L,MATCH(CheckList!$A169,'1'!$A:$A,0))=0, "N/A", "SIM")</f>
        <v>N/A</v>
      </c>
      <c r="J169" s="22" t="str">
        <f>IF(LEN(INDEX('1'!L:L,MATCH(CheckList!$A169,'1'!$A:$A,0)))=11, "NAO", IF(LEN(INDEX('1'!L:L,MATCH(CheckList!$A169,'1'!$A:$A,0)))=14,"SIM","N/A"))</f>
        <v>N/A</v>
      </c>
      <c r="K169" s="22" t="str">
        <f>IF(INDEX('1'!BE:BE,MATCH(CheckList!$A169,'1'!$A:$A,0))=0, "N/A", "SIM")</f>
        <v>N/A</v>
      </c>
    </row>
    <row r="170" spans="1:11" x14ac:dyDescent="0.35">
      <c r="A170" s="22">
        <f>'Dados - Cliente'!A170</f>
        <v>0</v>
      </c>
      <c r="B170" s="22" t="e">
        <f>INDEX('Dados - Cliente'!H:H,MATCH(CheckList!A170,'Dados - Cliente'!A:A,0))</f>
        <v>#N/A</v>
      </c>
      <c r="C170" s="22" t="str">
        <f>IF(INDEX('1'!B:B,MATCH(CheckList!$A170,'1'!$A:$A,0))=0, "N/A", "SIM")</f>
        <v>N/A</v>
      </c>
      <c r="D170" s="22">
        <f>INDEX('1'!Q:Q,MATCH(CheckList!$A170,'1'!$A:$A,0))</f>
        <v>0</v>
      </c>
      <c r="E170" s="22" t="str">
        <f>IF(D170="SIM",IF(MATCH(A170,'2'!$A:$A,0)="","NÃO","SIM"),"NAO")</f>
        <v>NAO</v>
      </c>
      <c r="F170" s="22" t="str">
        <f>IF(INDEX('1'!R:R,MATCH(CheckList!$A170,'1'!$A:$A,0))=0, "N/A", "SIM")</f>
        <v>N/A</v>
      </c>
      <c r="G170" s="22" t="str">
        <f>IF(INDEX('1'!AC:AC,MATCH(CheckList!$A170,'1'!$A:$A,0))=0, "N/A", "SIM")</f>
        <v>N/A</v>
      </c>
      <c r="H170" s="22" t="str">
        <f>IF(INDEX('1'!AF:AF,MATCH(CheckList!$A170,'1'!$A:$A,0))=0, "N/A", "SIM")</f>
        <v>N/A</v>
      </c>
      <c r="I170" s="22" t="str">
        <f>IF(INDEX('1'!L:L,MATCH(CheckList!$A170,'1'!$A:$A,0))=0, "N/A", "SIM")</f>
        <v>N/A</v>
      </c>
      <c r="J170" s="22" t="str">
        <f>IF(LEN(INDEX('1'!L:L,MATCH(CheckList!$A170,'1'!$A:$A,0)))=11, "NAO", IF(LEN(INDEX('1'!L:L,MATCH(CheckList!$A170,'1'!$A:$A,0)))=14,"SIM","N/A"))</f>
        <v>N/A</v>
      </c>
      <c r="K170" s="22" t="str">
        <f>IF(INDEX('1'!BE:BE,MATCH(CheckList!$A170,'1'!$A:$A,0))=0, "N/A", "SIM")</f>
        <v>N/A</v>
      </c>
    </row>
    <row r="171" spans="1:11" x14ac:dyDescent="0.35">
      <c r="A171" s="22">
        <f>'Dados - Cliente'!A171</f>
        <v>0</v>
      </c>
      <c r="B171" s="22" t="e">
        <f>INDEX('Dados - Cliente'!H:H,MATCH(CheckList!A171,'Dados - Cliente'!A:A,0))</f>
        <v>#N/A</v>
      </c>
      <c r="C171" s="22" t="str">
        <f>IF(INDEX('1'!B:B,MATCH(CheckList!$A171,'1'!$A:$A,0))=0, "N/A", "SIM")</f>
        <v>N/A</v>
      </c>
      <c r="D171" s="22">
        <f>INDEX('1'!Q:Q,MATCH(CheckList!$A171,'1'!$A:$A,0))</f>
        <v>0</v>
      </c>
      <c r="E171" s="22" t="str">
        <f>IF(D171="SIM",IF(MATCH(A171,'2'!$A:$A,0)="","NÃO","SIM"),"NAO")</f>
        <v>NAO</v>
      </c>
      <c r="F171" s="22" t="str">
        <f>IF(INDEX('1'!R:R,MATCH(CheckList!$A171,'1'!$A:$A,0))=0, "N/A", "SIM")</f>
        <v>N/A</v>
      </c>
      <c r="G171" s="22" t="str">
        <f>IF(INDEX('1'!AC:AC,MATCH(CheckList!$A171,'1'!$A:$A,0))=0, "N/A", "SIM")</f>
        <v>N/A</v>
      </c>
      <c r="H171" s="22" t="str">
        <f>IF(INDEX('1'!AF:AF,MATCH(CheckList!$A171,'1'!$A:$A,0))=0, "N/A", "SIM")</f>
        <v>N/A</v>
      </c>
      <c r="I171" s="22" t="str">
        <f>IF(INDEX('1'!L:L,MATCH(CheckList!$A171,'1'!$A:$A,0))=0, "N/A", "SIM")</f>
        <v>N/A</v>
      </c>
      <c r="J171" s="22" t="str">
        <f>IF(LEN(INDEX('1'!L:L,MATCH(CheckList!$A171,'1'!$A:$A,0)))=11, "NAO", IF(LEN(INDEX('1'!L:L,MATCH(CheckList!$A171,'1'!$A:$A,0)))=14,"SIM","N/A"))</f>
        <v>N/A</v>
      </c>
      <c r="K171" s="22" t="str">
        <f>IF(INDEX('1'!BE:BE,MATCH(CheckList!$A171,'1'!$A:$A,0))=0, "N/A", "SIM")</f>
        <v>N/A</v>
      </c>
    </row>
    <row r="172" spans="1:11" x14ac:dyDescent="0.35">
      <c r="A172" s="22">
        <f>'Dados - Cliente'!A172</f>
        <v>0</v>
      </c>
      <c r="B172" s="22" t="e">
        <f>INDEX('Dados - Cliente'!H:H,MATCH(CheckList!A172,'Dados - Cliente'!A:A,0))</f>
        <v>#N/A</v>
      </c>
      <c r="C172" s="22" t="str">
        <f>IF(INDEX('1'!B:B,MATCH(CheckList!$A172,'1'!$A:$A,0))=0, "N/A", "SIM")</f>
        <v>N/A</v>
      </c>
      <c r="D172" s="22">
        <f>INDEX('1'!Q:Q,MATCH(CheckList!$A172,'1'!$A:$A,0))</f>
        <v>0</v>
      </c>
      <c r="E172" s="22" t="str">
        <f>IF(D172="SIM",IF(MATCH(A172,'2'!$A:$A,0)="","NÃO","SIM"),"NAO")</f>
        <v>NAO</v>
      </c>
      <c r="F172" s="22" t="str">
        <f>IF(INDEX('1'!R:R,MATCH(CheckList!$A172,'1'!$A:$A,0))=0, "N/A", "SIM")</f>
        <v>N/A</v>
      </c>
      <c r="G172" s="22" t="str">
        <f>IF(INDEX('1'!AC:AC,MATCH(CheckList!$A172,'1'!$A:$A,0))=0, "N/A", "SIM")</f>
        <v>N/A</v>
      </c>
      <c r="H172" s="22" t="str">
        <f>IF(INDEX('1'!AF:AF,MATCH(CheckList!$A172,'1'!$A:$A,0))=0, "N/A", "SIM")</f>
        <v>N/A</v>
      </c>
      <c r="I172" s="22" t="str">
        <f>IF(INDEX('1'!L:L,MATCH(CheckList!$A172,'1'!$A:$A,0))=0, "N/A", "SIM")</f>
        <v>N/A</v>
      </c>
      <c r="J172" s="22" t="str">
        <f>IF(LEN(INDEX('1'!L:L,MATCH(CheckList!$A172,'1'!$A:$A,0)))=11, "NAO", IF(LEN(INDEX('1'!L:L,MATCH(CheckList!$A172,'1'!$A:$A,0)))=14,"SIM","N/A"))</f>
        <v>N/A</v>
      </c>
      <c r="K172" s="22" t="str">
        <f>IF(INDEX('1'!BE:BE,MATCH(CheckList!$A172,'1'!$A:$A,0))=0, "N/A", "SIM")</f>
        <v>N/A</v>
      </c>
    </row>
    <row r="173" spans="1:11" x14ac:dyDescent="0.35">
      <c r="A173" s="22">
        <f>'Dados - Cliente'!A173</f>
        <v>0</v>
      </c>
      <c r="B173" s="22" t="e">
        <f>INDEX('Dados - Cliente'!H:H,MATCH(CheckList!A173,'Dados - Cliente'!A:A,0))</f>
        <v>#N/A</v>
      </c>
      <c r="C173" s="22" t="str">
        <f>IF(INDEX('1'!B:B,MATCH(CheckList!$A173,'1'!$A:$A,0))=0, "N/A", "SIM")</f>
        <v>N/A</v>
      </c>
      <c r="D173" s="22">
        <f>INDEX('1'!Q:Q,MATCH(CheckList!$A173,'1'!$A:$A,0))</f>
        <v>0</v>
      </c>
      <c r="E173" s="22" t="str">
        <f>IF(D173="SIM",IF(MATCH(A173,'2'!$A:$A,0)="","NÃO","SIM"),"NAO")</f>
        <v>NAO</v>
      </c>
      <c r="F173" s="22" t="str">
        <f>IF(INDEX('1'!R:R,MATCH(CheckList!$A173,'1'!$A:$A,0))=0, "N/A", "SIM")</f>
        <v>N/A</v>
      </c>
      <c r="G173" s="22" t="str">
        <f>IF(INDEX('1'!AC:AC,MATCH(CheckList!$A173,'1'!$A:$A,0))=0, "N/A", "SIM")</f>
        <v>N/A</v>
      </c>
      <c r="H173" s="22" t="str">
        <f>IF(INDEX('1'!AF:AF,MATCH(CheckList!$A173,'1'!$A:$A,0))=0, "N/A", "SIM")</f>
        <v>N/A</v>
      </c>
      <c r="I173" s="22" t="str">
        <f>IF(INDEX('1'!L:L,MATCH(CheckList!$A173,'1'!$A:$A,0))=0, "N/A", "SIM")</f>
        <v>N/A</v>
      </c>
      <c r="J173" s="22" t="str">
        <f>IF(LEN(INDEX('1'!L:L,MATCH(CheckList!$A173,'1'!$A:$A,0)))=11, "NAO", IF(LEN(INDEX('1'!L:L,MATCH(CheckList!$A173,'1'!$A:$A,0)))=14,"SIM","N/A"))</f>
        <v>N/A</v>
      </c>
      <c r="K173" s="22" t="str">
        <f>IF(INDEX('1'!BE:BE,MATCH(CheckList!$A173,'1'!$A:$A,0))=0, "N/A", "SIM")</f>
        <v>N/A</v>
      </c>
    </row>
    <row r="174" spans="1:11" x14ac:dyDescent="0.35">
      <c r="A174" s="22">
        <f>'Dados - Cliente'!A174</f>
        <v>0</v>
      </c>
      <c r="B174" s="22" t="e">
        <f>INDEX('Dados - Cliente'!H:H,MATCH(CheckList!A174,'Dados - Cliente'!A:A,0))</f>
        <v>#N/A</v>
      </c>
      <c r="C174" s="22" t="str">
        <f>IF(INDEX('1'!B:B,MATCH(CheckList!$A174,'1'!$A:$A,0))=0, "N/A", "SIM")</f>
        <v>N/A</v>
      </c>
      <c r="D174" s="22">
        <f>INDEX('1'!Q:Q,MATCH(CheckList!$A174,'1'!$A:$A,0))</f>
        <v>0</v>
      </c>
      <c r="E174" s="22" t="str">
        <f>IF(D174="SIM",IF(MATCH(A174,'2'!$A:$A,0)="","NÃO","SIM"),"NAO")</f>
        <v>NAO</v>
      </c>
      <c r="F174" s="22" t="str">
        <f>IF(INDEX('1'!R:R,MATCH(CheckList!$A174,'1'!$A:$A,0))=0, "N/A", "SIM")</f>
        <v>N/A</v>
      </c>
      <c r="G174" s="22" t="str">
        <f>IF(INDEX('1'!AC:AC,MATCH(CheckList!$A174,'1'!$A:$A,0))=0, "N/A", "SIM")</f>
        <v>N/A</v>
      </c>
      <c r="H174" s="22" t="str">
        <f>IF(INDEX('1'!AF:AF,MATCH(CheckList!$A174,'1'!$A:$A,0))=0, "N/A", "SIM")</f>
        <v>N/A</v>
      </c>
      <c r="I174" s="22" t="str">
        <f>IF(INDEX('1'!L:L,MATCH(CheckList!$A174,'1'!$A:$A,0))=0, "N/A", "SIM")</f>
        <v>N/A</v>
      </c>
      <c r="J174" s="22" t="str">
        <f>IF(LEN(INDEX('1'!L:L,MATCH(CheckList!$A174,'1'!$A:$A,0)))=11, "NAO", IF(LEN(INDEX('1'!L:L,MATCH(CheckList!$A174,'1'!$A:$A,0)))=14,"SIM","N/A"))</f>
        <v>N/A</v>
      </c>
      <c r="K174" s="22" t="str">
        <f>IF(INDEX('1'!BE:BE,MATCH(CheckList!$A174,'1'!$A:$A,0))=0, "N/A", "SIM")</f>
        <v>N/A</v>
      </c>
    </row>
    <row r="175" spans="1:11" x14ac:dyDescent="0.35">
      <c r="A175" s="22">
        <f>'Dados - Cliente'!A175</f>
        <v>0</v>
      </c>
      <c r="B175" s="22" t="e">
        <f>INDEX('Dados - Cliente'!H:H,MATCH(CheckList!A175,'Dados - Cliente'!A:A,0))</f>
        <v>#N/A</v>
      </c>
      <c r="C175" s="22" t="str">
        <f>IF(INDEX('1'!B:B,MATCH(CheckList!$A175,'1'!$A:$A,0))=0, "N/A", "SIM")</f>
        <v>N/A</v>
      </c>
      <c r="D175" s="22">
        <f>INDEX('1'!Q:Q,MATCH(CheckList!$A175,'1'!$A:$A,0))</f>
        <v>0</v>
      </c>
      <c r="E175" s="22" t="str">
        <f>IF(D175="SIM",IF(MATCH(A175,'2'!$A:$A,0)="","NÃO","SIM"),"NAO")</f>
        <v>NAO</v>
      </c>
      <c r="F175" s="22" t="str">
        <f>IF(INDEX('1'!R:R,MATCH(CheckList!$A175,'1'!$A:$A,0))=0, "N/A", "SIM")</f>
        <v>N/A</v>
      </c>
      <c r="G175" s="22" t="str">
        <f>IF(INDEX('1'!AC:AC,MATCH(CheckList!$A175,'1'!$A:$A,0))=0, "N/A", "SIM")</f>
        <v>N/A</v>
      </c>
      <c r="H175" s="22" t="str">
        <f>IF(INDEX('1'!AF:AF,MATCH(CheckList!$A175,'1'!$A:$A,0))=0, "N/A", "SIM")</f>
        <v>N/A</v>
      </c>
      <c r="I175" s="22" t="str">
        <f>IF(INDEX('1'!L:L,MATCH(CheckList!$A175,'1'!$A:$A,0))=0, "N/A", "SIM")</f>
        <v>N/A</v>
      </c>
      <c r="J175" s="22" t="str">
        <f>IF(LEN(INDEX('1'!L:L,MATCH(CheckList!$A175,'1'!$A:$A,0)))=11, "NAO", IF(LEN(INDEX('1'!L:L,MATCH(CheckList!$A175,'1'!$A:$A,0)))=14,"SIM","N/A"))</f>
        <v>N/A</v>
      </c>
      <c r="K175" s="22" t="str">
        <f>IF(INDEX('1'!BE:BE,MATCH(CheckList!$A175,'1'!$A:$A,0))=0, "N/A", "SIM")</f>
        <v>N/A</v>
      </c>
    </row>
    <row r="176" spans="1:11" x14ac:dyDescent="0.35">
      <c r="A176" s="22">
        <f>'Dados - Cliente'!A176</f>
        <v>0</v>
      </c>
      <c r="B176" s="22" t="e">
        <f>INDEX('Dados - Cliente'!H:H,MATCH(CheckList!A176,'Dados - Cliente'!A:A,0))</f>
        <v>#N/A</v>
      </c>
      <c r="C176" s="22" t="str">
        <f>IF(INDEX('1'!B:B,MATCH(CheckList!$A176,'1'!$A:$A,0))=0, "N/A", "SIM")</f>
        <v>N/A</v>
      </c>
      <c r="D176" s="22">
        <f>INDEX('1'!Q:Q,MATCH(CheckList!$A176,'1'!$A:$A,0))</f>
        <v>0</v>
      </c>
      <c r="E176" s="22" t="str">
        <f>IF(D176="SIM",IF(MATCH(A176,'2'!$A:$A,0)="","NÃO","SIM"),"NAO")</f>
        <v>NAO</v>
      </c>
      <c r="F176" s="22" t="str">
        <f>IF(INDEX('1'!R:R,MATCH(CheckList!$A176,'1'!$A:$A,0))=0, "N/A", "SIM")</f>
        <v>N/A</v>
      </c>
      <c r="G176" s="22" t="str">
        <f>IF(INDEX('1'!AC:AC,MATCH(CheckList!$A176,'1'!$A:$A,0))=0, "N/A", "SIM")</f>
        <v>N/A</v>
      </c>
      <c r="H176" s="22" t="str">
        <f>IF(INDEX('1'!AF:AF,MATCH(CheckList!$A176,'1'!$A:$A,0))=0, "N/A", "SIM")</f>
        <v>N/A</v>
      </c>
      <c r="I176" s="22" t="str">
        <f>IF(INDEX('1'!L:L,MATCH(CheckList!$A176,'1'!$A:$A,0))=0, "N/A", "SIM")</f>
        <v>N/A</v>
      </c>
      <c r="J176" s="22" t="str">
        <f>IF(LEN(INDEX('1'!L:L,MATCH(CheckList!$A176,'1'!$A:$A,0)))=11, "NAO", IF(LEN(INDEX('1'!L:L,MATCH(CheckList!$A176,'1'!$A:$A,0)))=14,"SIM","N/A"))</f>
        <v>N/A</v>
      </c>
      <c r="K176" s="22" t="str">
        <f>IF(INDEX('1'!BE:BE,MATCH(CheckList!$A176,'1'!$A:$A,0))=0, "N/A", "SIM")</f>
        <v>N/A</v>
      </c>
    </row>
    <row r="177" spans="1:11" x14ac:dyDescent="0.35">
      <c r="A177" s="22">
        <f>'Dados - Cliente'!A177</f>
        <v>0</v>
      </c>
      <c r="B177" s="22" t="e">
        <f>INDEX('Dados - Cliente'!H:H,MATCH(CheckList!A177,'Dados - Cliente'!A:A,0))</f>
        <v>#N/A</v>
      </c>
      <c r="C177" s="22" t="str">
        <f>IF(INDEX('1'!B:B,MATCH(CheckList!$A177,'1'!$A:$A,0))=0, "N/A", "SIM")</f>
        <v>N/A</v>
      </c>
      <c r="D177" s="22">
        <f>INDEX('1'!Q:Q,MATCH(CheckList!$A177,'1'!$A:$A,0))</f>
        <v>0</v>
      </c>
      <c r="E177" s="22" t="str">
        <f>IF(D177="SIM",IF(MATCH(A177,'2'!$A:$A,0)="","NÃO","SIM"),"NAO")</f>
        <v>NAO</v>
      </c>
      <c r="F177" s="22" t="str">
        <f>IF(INDEX('1'!R:R,MATCH(CheckList!$A177,'1'!$A:$A,0))=0, "N/A", "SIM")</f>
        <v>N/A</v>
      </c>
      <c r="G177" s="22" t="str">
        <f>IF(INDEX('1'!AC:AC,MATCH(CheckList!$A177,'1'!$A:$A,0))=0, "N/A", "SIM")</f>
        <v>N/A</v>
      </c>
      <c r="H177" s="22" t="str">
        <f>IF(INDEX('1'!AF:AF,MATCH(CheckList!$A177,'1'!$A:$A,0))=0, "N/A", "SIM")</f>
        <v>N/A</v>
      </c>
      <c r="I177" s="22" t="str">
        <f>IF(INDEX('1'!L:L,MATCH(CheckList!$A177,'1'!$A:$A,0))=0, "N/A", "SIM")</f>
        <v>N/A</v>
      </c>
      <c r="J177" s="22" t="str">
        <f>IF(LEN(INDEX('1'!L:L,MATCH(CheckList!$A177,'1'!$A:$A,0)))=11, "NAO", IF(LEN(INDEX('1'!L:L,MATCH(CheckList!$A177,'1'!$A:$A,0)))=14,"SIM","N/A"))</f>
        <v>N/A</v>
      </c>
      <c r="K177" s="22" t="str">
        <f>IF(INDEX('1'!BE:BE,MATCH(CheckList!$A177,'1'!$A:$A,0))=0, "N/A", "SIM")</f>
        <v>N/A</v>
      </c>
    </row>
    <row r="178" spans="1:11" x14ac:dyDescent="0.35">
      <c r="A178" s="22">
        <f>'Dados - Cliente'!A178</f>
        <v>0</v>
      </c>
      <c r="B178" s="22" t="e">
        <f>INDEX('Dados - Cliente'!H:H,MATCH(CheckList!A178,'Dados - Cliente'!A:A,0))</f>
        <v>#N/A</v>
      </c>
      <c r="C178" s="22" t="str">
        <f>IF(INDEX('1'!B:B,MATCH(CheckList!$A178,'1'!$A:$A,0))=0, "N/A", "SIM")</f>
        <v>N/A</v>
      </c>
      <c r="D178" s="22">
        <f>INDEX('1'!Q:Q,MATCH(CheckList!$A178,'1'!$A:$A,0))</f>
        <v>0</v>
      </c>
      <c r="E178" s="22" t="str">
        <f>IF(D178="SIM",IF(MATCH(A178,'2'!$A:$A,0)="","NÃO","SIM"),"NAO")</f>
        <v>NAO</v>
      </c>
      <c r="F178" s="22" t="str">
        <f>IF(INDEX('1'!R:R,MATCH(CheckList!$A178,'1'!$A:$A,0))=0, "N/A", "SIM")</f>
        <v>N/A</v>
      </c>
      <c r="G178" s="22" t="str">
        <f>IF(INDEX('1'!AC:AC,MATCH(CheckList!$A178,'1'!$A:$A,0))=0, "N/A", "SIM")</f>
        <v>N/A</v>
      </c>
      <c r="H178" s="22" t="str">
        <f>IF(INDEX('1'!AF:AF,MATCH(CheckList!$A178,'1'!$A:$A,0))=0, "N/A", "SIM")</f>
        <v>N/A</v>
      </c>
      <c r="I178" s="22" t="str">
        <f>IF(INDEX('1'!L:L,MATCH(CheckList!$A178,'1'!$A:$A,0))=0, "N/A", "SIM")</f>
        <v>N/A</v>
      </c>
      <c r="J178" s="22" t="str">
        <f>IF(LEN(INDEX('1'!L:L,MATCH(CheckList!$A178,'1'!$A:$A,0)))=11, "NAO", IF(LEN(INDEX('1'!L:L,MATCH(CheckList!$A178,'1'!$A:$A,0)))=14,"SIM","N/A"))</f>
        <v>N/A</v>
      </c>
      <c r="K178" s="22" t="str">
        <f>IF(INDEX('1'!BE:BE,MATCH(CheckList!$A178,'1'!$A:$A,0))=0, "N/A", "SIM")</f>
        <v>N/A</v>
      </c>
    </row>
    <row r="179" spans="1:11" x14ac:dyDescent="0.35">
      <c r="A179" s="22">
        <f>'Dados - Cliente'!A179</f>
        <v>0</v>
      </c>
      <c r="B179" s="22" t="e">
        <f>INDEX('Dados - Cliente'!H:H,MATCH(CheckList!A179,'Dados - Cliente'!A:A,0))</f>
        <v>#N/A</v>
      </c>
      <c r="C179" s="22" t="str">
        <f>IF(INDEX('1'!B:B,MATCH(CheckList!$A179,'1'!$A:$A,0))=0, "N/A", "SIM")</f>
        <v>N/A</v>
      </c>
      <c r="D179" s="22">
        <f>INDEX('1'!Q:Q,MATCH(CheckList!$A179,'1'!$A:$A,0))</f>
        <v>0</v>
      </c>
      <c r="E179" s="22" t="str">
        <f>IF(D179="SIM",IF(MATCH(A179,'2'!$A:$A,0)="","NÃO","SIM"),"NAO")</f>
        <v>NAO</v>
      </c>
      <c r="F179" s="22" t="str">
        <f>IF(INDEX('1'!R:R,MATCH(CheckList!$A179,'1'!$A:$A,0))=0, "N/A", "SIM")</f>
        <v>N/A</v>
      </c>
      <c r="G179" s="22" t="str">
        <f>IF(INDEX('1'!AC:AC,MATCH(CheckList!$A179,'1'!$A:$A,0))=0, "N/A", "SIM")</f>
        <v>N/A</v>
      </c>
      <c r="H179" s="22" t="str">
        <f>IF(INDEX('1'!AF:AF,MATCH(CheckList!$A179,'1'!$A:$A,0))=0, "N/A", "SIM")</f>
        <v>N/A</v>
      </c>
      <c r="I179" s="22" t="str">
        <f>IF(INDEX('1'!L:L,MATCH(CheckList!$A179,'1'!$A:$A,0))=0, "N/A", "SIM")</f>
        <v>N/A</v>
      </c>
      <c r="J179" s="22" t="str">
        <f>IF(LEN(INDEX('1'!L:L,MATCH(CheckList!$A179,'1'!$A:$A,0)))=11, "NAO", IF(LEN(INDEX('1'!L:L,MATCH(CheckList!$A179,'1'!$A:$A,0)))=14,"SIM","N/A"))</f>
        <v>N/A</v>
      </c>
      <c r="K179" s="22" t="str">
        <f>IF(INDEX('1'!BE:BE,MATCH(CheckList!$A179,'1'!$A:$A,0))=0, "N/A", "SIM")</f>
        <v>N/A</v>
      </c>
    </row>
    <row r="180" spans="1:11" x14ac:dyDescent="0.35">
      <c r="A180" s="22">
        <f>'Dados - Cliente'!A180</f>
        <v>0</v>
      </c>
      <c r="B180" s="22" t="e">
        <f>INDEX('Dados - Cliente'!H:H,MATCH(CheckList!A180,'Dados - Cliente'!A:A,0))</f>
        <v>#N/A</v>
      </c>
      <c r="C180" s="22" t="str">
        <f>IF(INDEX('1'!B:B,MATCH(CheckList!$A180,'1'!$A:$A,0))=0, "N/A", "SIM")</f>
        <v>N/A</v>
      </c>
      <c r="D180" s="22">
        <f>INDEX('1'!Q:Q,MATCH(CheckList!$A180,'1'!$A:$A,0))</f>
        <v>0</v>
      </c>
      <c r="E180" s="22" t="str">
        <f>IF(D180="SIM",IF(MATCH(A180,'2'!$A:$A,0)="","NÃO","SIM"),"NAO")</f>
        <v>NAO</v>
      </c>
      <c r="F180" s="22" t="str">
        <f>IF(INDEX('1'!R:R,MATCH(CheckList!$A180,'1'!$A:$A,0))=0, "N/A", "SIM")</f>
        <v>N/A</v>
      </c>
      <c r="G180" s="22" t="str">
        <f>IF(INDEX('1'!AC:AC,MATCH(CheckList!$A180,'1'!$A:$A,0))=0, "N/A", "SIM")</f>
        <v>N/A</v>
      </c>
      <c r="H180" s="22" t="str">
        <f>IF(INDEX('1'!AF:AF,MATCH(CheckList!$A180,'1'!$A:$A,0))=0, "N/A", "SIM")</f>
        <v>N/A</v>
      </c>
      <c r="I180" s="22" t="str">
        <f>IF(INDEX('1'!L:L,MATCH(CheckList!$A180,'1'!$A:$A,0))=0, "N/A", "SIM")</f>
        <v>N/A</v>
      </c>
      <c r="J180" s="22" t="str">
        <f>IF(LEN(INDEX('1'!L:L,MATCH(CheckList!$A180,'1'!$A:$A,0)))=11, "NAO", IF(LEN(INDEX('1'!L:L,MATCH(CheckList!$A180,'1'!$A:$A,0)))=14,"SIM","N/A"))</f>
        <v>N/A</v>
      </c>
      <c r="K180" s="22" t="str">
        <f>IF(INDEX('1'!BE:BE,MATCH(CheckList!$A180,'1'!$A:$A,0))=0, "N/A", "SIM")</f>
        <v>N/A</v>
      </c>
    </row>
    <row r="181" spans="1:11" x14ac:dyDescent="0.35">
      <c r="A181" s="22">
        <f>'Dados - Cliente'!A181</f>
        <v>0</v>
      </c>
      <c r="B181" s="22" t="e">
        <f>INDEX('Dados - Cliente'!H:H,MATCH(CheckList!A181,'Dados - Cliente'!A:A,0))</f>
        <v>#N/A</v>
      </c>
      <c r="C181" s="22" t="str">
        <f>IF(INDEX('1'!B:B,MATCH(CheckList!$A181,'1'!$A:$A,0))=0, "N/A", "SIM")</f>
        <v>N/A</v>
      </c>
      <c r="D181" s="22">
        <f>INDEX('1'!Q:Q,MATCH(CheckList!$A181,'1'!$A:$A,0))</f>
        <v>0</v>
      </c>
      <c r="E181" s="22" t="str">
        <f>IF(D181="SIM",IF(MATCH(A181,'2'!$A:$A,0)="","NÃO","SIM"),"NAO")</f>
        <v>NAO</v>
      </c>
      <c r="F181" s="22" t="str">
        <f>IF(INDEX('1'!R:R,MATCH(CheckList!$A181,'1'!$A:$A,0))=0, "N/A", "SIM")</f>
        <v>N/A</v>
      </c>
      <c r="G181" s="22" t="str">
        <f>IF(INDEX('1'!AC:AC,MATCH(CheckList!$A181,'1'!$A:$A,0))=0, "N/A", "SIM")</f>
        <v>N/A</v>
      </c>
      <c r="H181" s="22" t="str">
        <f>IF(INDEX('1'!AF:AF,MATCH(CheckList!$A181,'1'!$A:$A,0))=0, "N/A", "SIM")</f>
        <v>N/A</v>
      </c>
      <c r="I181" s="22" t="str">
        <f>IF(INDEX('1'!L:L,MATCH(CheckList!$A181,'1'!$A:$A,0))=0, "N/A", "SIM")</f>
        <v>N/A</v>
      </c>
      <c r="J181" s="22" t="str">
        <f>IF(LEN(INDEX('1'!L:L,MATCH(CheckList!$A181,'1'!$A:$A,0)))=11, "NAO", IF(LEN(INDEX('1'!L:L,MATCH(CheckList!$A181,'1'!$A:$A,0)))=14,"SIM","N/A"))</f>
        <v>N/A</v>
      </c>
      <c r="K181" s="22" t="str">
        <f>IF(INDEX('1'!BE:BE,MATCH(CheckList!$A181,'1'!$A:$A,0))=0, "N/A", "SIM")</f>
        <v>N/A</v>
      </c>
    </row>
    <row r="182" spans="1:11" x14ac:dyDescent="0.35">
      <c r="A182" s="22">
        <f>'Dados - Cliente'!A182</f>
        <v>0</v>
      </c>
      <c r="B182" s="22" t="e">
        <f>INDEX('Dados - Cliente'!H:H,MATCH(CheckList!A182,'Dados - Cliente'!A:A,0))</f>
        <v>#N/A</v>
      </c>
      <c r="C182" s="22" t="str">
        <f>IF(INDEX('1'!B:B,MATCH(CheckList!$A182,'1'!$A:$A,0))=0, "N/A", "SIM")</f>
        <v>N/A</v>
      </c>
      <c r="D182" s="22">
        <f>INDEX('1'!Q:Q,MATCH(CheckList!$A182,'1'!$A:$A,0))</f>
        <v>0</v>
      </c>
      <c r="E182" s="22" t="str">
        <f>IF(D182="SIM",IF(MATCH(A182,'2'!$A:$A,0)="","NÃO","SIM"),"NAO")</f>
        <v>NAO</v>
      </c>
      <c r="F182" s="22" t="str">
        <f>IF(INDEX('1'!R:R,MATCH(CheckList!$A182,'1'!$A:$A,0))=0, "N/A", "SIM")</f>
        <v>N/A</v>
      </c>
      <c r="G182" s="22" t="str">
        <f>IF(INDEX('1'!AC:AC,MATCH(CheckList!$A182,'1'!$A:$A,0))=0, "N/A", "SIM")</f>
        <v>N/A</v>
      </c>
      <c r="H182" s="22" t="str">
        <f>IF(INDEX('1'!AF:AF,MATCH(CheckList!$A182,'1'!$A:$A,0))=0, "N/A", "SIM")</f>
        <v>N/A</v>
      </c>
      <c r="I182" s="22" t="str">
        <f>IF(INDEX('1'!L:L,MATCH(CheckList!$A182,'1'!$A:$A,0))=0, "N/A", "SIM")</f>
        <v>N/A</v>
      </c>
      <c r="J182" s="22" t="str">
        <f>IF(LEN(INDEX('1'!L:L,MATCH(CheckList!$A182,'1'!$A:$A,0)))=11, "NAO", IF(LEN(INDEX('1'!L:L,MATCH(CheckList!$A182,'1'!$A:$A,0)))=14,"SIM","N/A"))</f>
        <v>N/A</v>
      </c>
      <c r="K182" s="22" t="str">
        <f>IF(INDEX('1'!BE:BE,MATCH(CheckList!$A182,'1'!$A:$A,0))=0, "N/A", "SIM")</f>
        <v>N/A</v>
      </c>
    </row>
    <row r="183" spans="1:11" x14ac:dyDescent="0.35">
      <c r="A183" s="22">
        <f>'Dados - Cliente'!A183</f>
        <v>0</v>
      </c>
      <c r="B183" s="22" t="e">
        <f>INDEX('Dados - Cliente'!H:H,MATCH(CheckList!A183,'Dados - Cliente'!A:A,0))</f>
        <v>#N/A</v>
      </c>
      <c r="C183" s="22" t="str">
        <f>IF(INDEX('1'!B:B,MATCH(CheckList!$A183,'1'!$A:$A,0))=0, "N/A", "SIM")</f>
        <v>N/A</v>
      </c>
      <c r="D183" s="22">
        <f>INDEX('1'!Q:Q,MATCH(CheckList!$A183,'1'!$A:$A,0))</f>
        <v>0</v>
      </c>
      <c r="E183" s="22" t="str">
        <f>IF(D183="SIM",IF(MATCH(A183,'2'!$A:$A,0)="","NÃO","SIM"),"NAO")</f>
        <v>NAO</v>
      </c>
      <c r="F183" s="22" t="str">
        <f>IF(INDEX('1'!R:R,MATCH(CheckList!$A183,'1'!$A:$A,0))=0, "N/A", "SIM")</f>
        <v>N/A</v>
      </c>
      <c r="G183" s="22" t="str">
        <f>IF(INDEX('1'!AC:AC,MATCH(CheckList!$A183,'1'!$A:$A,0))=0, "N/A", "SIM")</f>
        <v>N/A</v>
      </c>
      <c r="H183" s="22" t="str">
        <f>IF(INDEX('1'!AF:AF,MATCH(CheckList!$A183,'1'!$A:$A,0))=0, "N/A", "SIM")</f>
        <v>N/A</v>
      </c>
      <c r="I183" s="22" t="str">
        <f>IF(INDEX('1'!L:L,MATCH(CheckList!$A183,'1'!$A:$A,0))=0, "N/A", "SIM")</f>
        <v>N/A</v>
      </c>
      <c r="J183" s="22" t="str">
        <f>IF(LEN(INDEX('1'!L:L,MATCH(CheckList!$A183,'1'!$A:$A,0)))=11, "NAO", IF(LEN(INDEX('1'!L:L,MATCH(CheckList!$A183,'1'!$A:$A,0)))=14,"SIM","N/A"))</f>
        <v>N/A</v>
      </c>
      <c r="K183" s="22" t="str">
        <f>IF(INDEX('1'!BE:BE,MATCH(CheckList!$A183,'1'!$A:$A,0))=0, "N/A", "SIM")</f>
        <v>N/A</v>
      </c>
    </row>
    <row r="184" spans="1:11" x14ac:dyDescent="0.35">
      <c r="A184" s="22">
        <f>'Dados - Cliente'!A184</f>
        <v>0</v>
      </c>
      <c r="B184" s="22" t="e">
        <f>INDEX('Dados - Cliente'!H:H,MATCH(CheckList!A184,'Dados - Cliente'!A:A,0))</f>
        <v>#N/A</v>
      </c>
      <c r="C184" s="22" t="str">
        <f>IF(INDEX('1'!B:B,MATCH(CheckList!$A184,'1'!$A:$A,0))=0, "N/A", "SIM")</f>
        <v>N/A</v>
      </c>
      <c r="D184" s="22">
        <f>INDEX('1'!Q:Q,MATCH(CheckList!$A184,'1'!$A:$A,0))</f>
        <v>0</v>
      </c>
      <c r="E184" s="22" t="str">
        <f>IF(D184="SIM",IF(MATCH(A184,'2'!$A:$A,0)="","NÃO","SIM"),"NAO")</f>
        <v>NAO</v>
      </c>
      <c r="F184" s="22" t="str">
        <f>IF(INDEX('1'!R:R,MATCH(CheckList!$A184,'1'!$A:$A,0))=0, "N/A", "SIM")</f>
        <v>N/A</v>
      </c>
      <c r="G184" s="22" t="str">
        <f>IF(INDEX('1'!AC:AC,MATCH(CheckList!$A184,'1'!$A:$A,0))=0, "N/A", "SIM")</f>
        <v>N/A</v>
      </c>
      <c r="H184" s="22" t="str">
        <f>IF(INDEX('1'!AF:AF,MATCH(CheckList!$A184,'1'!$A:$A,0))=0, "N/A", "SIM")</f>
        <v>N/A</v>
      </c>
      <c r="I184" s="22" t="str">
        <f>IF(INDEX('1'!L:L,MATCH(CheckList!$A184,'1'!$A:$A,0))=0, "N/A", "SIM")</f>
        <v>N/A</v>
      </c>
      <c r="J184" s="22" t="str">
        <f>IF(LEN(INDEX('1'!L:L,MATCH(CheckList!$A184,'1'!$A:$A,0)))=11, "NAO", IF(LEN(INDEX('1'!L:L,MATCH(CheckList!$A184,'1'!$A:$A,0)))=14,"SIM","N/A"))</f>
        <v>N/A</v>
      </c>
      <c r="K184" s="22" t="str">
        <f>IF(INDEX('1'!BE:BE,MATCH(CheckList!$A184,'1'!$A:$A,0))=0, "N/A", "SIM")</f>
        <v>N/A</v>
      </c>
    </row>
    <row r="185" spans="1:11" x14ac:dyDescent="0.35">
      <c r="A185" s="22">
        <f>'Dados - Cliente'!A185</f>
        <v>0</v>
      </c>
      <c r="B185" s="22" t="e">
        <f>INDEX('Dados - Cliente'!H:H,MATCH(CheckList!A185,'Dados - Cliente'!A:A,0))</f>
        <v>#N/A</v>
      </c>
      <c r="C185" s="22" t="str">
        <f>IF(INDEX('1'!B:B,MATCH(CheckList!$A185,'1'!$A:$A,0))=0, "N/A", "SIM")</f>
        <v>N/A</v>
      </c>
      <c r="D185" s="22">
        <f>INDEX('1'!Q:Q,MATCH(CheckList!$A185,'1'!$A:$A,0))</f>
        <v>0</v>
      </c>
      <c r="E185" s="22" t="str">
        <f>IF(D185="SIM",IF(MATCH(A185,'2'!$A:$A,0)="","NÃO","SIM"),"NAO")</f>
        <v>NAO</v>
      </c>
      <c r="F185" s="22" t="str">
        <f>IF(INDEX('1'!R:R,MATCH(CheckList!$A185,'1'!$A:$A,0))=0, "N/A", "SIM")</f>
        <v>N/A</v>
      </c>
      <c r="G185" s="22" t="str">
        <f>IF(INDEX('1'!AC:AC,MATCH(CheckList!$A185,'1'!$A:$A,0))=0, "N/A", "SIM")</f>
        <v>N/A</v>
      </c>
      <c r="H185" s="22" t="str">
        <f>IF(INDEX('1'!AF:AF,MATCH(CheckList!$A185,'1'!$A:$A,0))=0, "N/A", "SIM")</f>
        <v>N/A</v>
      </c>
      <c r="I185" s="22" t="str">
        <f>IF(INDEX('1'!L:L,MATCH(CheckList!$A185,'1'!$A:$A,0))=0, "N/A", "SIM")</f>
        <v>N/A</v>
      </c>
      <c r="J185" s="22" t="str">
        <f>IF(LEN(INDEX('1'!L:L,MATCH(CheckList!$A185,'1'!$A:$A,0)))=11, "NAO", IF(LEN(INDEX('1'!L:L,MATCH(CheckList!$A185,'1'!$A:$A,0)))=14,"SIM","N/A"))</f>
        <v>N/A</v>
      </c>
      <c r="K185" s="22" t="str">
        <f>IF(INDEX('1'!BE:BE,MATCH(CheckList!$A185,'1'!$A:$A,0))=0, "N/A", "SIM")</f>
        <v>N/A</v>
      </c>
    </row>
    <row r="186" spans="1:11" x14ac:dyDescent="0.35">
      <c r="A186" s="22">
        <f>'Dados - Cliente'!A186</f>
        <v>0</v>
      </c>
      <c r="B186" s="22" t="e">
        <f>INDEX('Dados - Cliente'!H:H,MATCH(CheckList!A186,'Dados - Cliente'!A:A,0))</f>
        <v>#N/A</v>
      </c>
      <c r="C186" s="22" t="str">
        <f>IF(INDEX('1'!B:B,MATCH(CheckList!$A186,'1'!$A:$A,0))=0, "N/A", "SIM")</f>
        <v>N/A</v>
      </c>
      <c r="D186" s="22">
        <f>INDEX('1'!Q:Q,MATCH(CheckList!$A186,'1'!$A:$A,0))</f>
        <v>0</v>
      </c>
      <c r="E186" s="22" t="str">
        <f>IF(D186="SIM",IF(MATCH(A186,'2'!$A:$A,0)="","NÃO","SIM"),"NAO")</f>
        <v>NAO</v>
      </c>
      <c r="F186" s="22" t="str">
        <f>IF(INDEX('1'!R:R,MATCH(CheckList!$A186,'1'!$A:$A,0))=0, "N/A", "SIM")</f>
        <v>N/A</v>
      </c>
      <c r="G186" s="22" t="str">
        <f>IF(INDEX('1'!AC:AC,MATCH(CheckList!$A186,'1'!$A:$A,0))=0, "N/A", "SIM")</f>
        <v>N/A</v>
      </c>
      <c r="H186" s="22" t="str">
        <f>IF(INDEX('1'!AF:AF,MATCH(CheckList!$A186,'1'!$A:$A,0))=0, "N/A", "SIM")</f>
        <v>N/A</v>
      </c>
      <c r="I186" s="22" t="str">
        <f>IF(INDEX('1'!L:L,MATCH(CheckList!$A186,'1'!$A:$A,0))=0, "N/A", "SIM")</f>
        <v>N/A</v>
      </c>
      <c r="J186" s="22" t="str">
        <f>IF(LEN(INDEX('1'!L:L,MATCH(CheckList!$A186,'1'!$A:$A,0)))=11, "NAO", IF(LEN(INDEX('1'!L:L,MATCH(CheckList!$A186,'1'!$A:$A,0)))=14,"SIM","N/A"))</f>
        <v>N/A</v>
      </c>
      <c r="K186" s="22" t="str">
        <f>IF(INDEX('1'!BE:BE,MATCH(CheckList!$A186,'1'!$A:$A,0))=0, "N/A", "SIM")</f>
        <v>N/A</v>
      </c>
    </row>
    <row r="187" spans="1:11" x14ac:dyDescent="0.35">
      <c r="A187" s="22">
        <f>'Dados - Cliente'!A187</f>
        <v>0</v>
      </c>
      <c r="B187" s="22" t="e">
        <f>INDEX('Dados - Cliente'!H:H,MATCH(CheckList!A187,'Dados - Cliente'!A:A,0))</f>
        <v>#N/A</v>
      </c>
      <c r="C187" s="22" t="str">
        <f>IF(INDEX('1'!B:B,MATCH(CheckList!$A187,'1'!$A:$A,0))=0, "N/A", "SIM")</f>
        <v>N/A</v>
      </c>
      <c r="D187" s="22">
        <f>INDEX('1'!Q:Q,MATCH(CheckList!$A187,'1'!$A:$A,0))</f>
        <v>0</v>
      </c>
      <c r="E187" s="22" t="str">
        <f>IF(D187="SIM",IF(MATCH(A187,'2'!$A:$A,0)="","NÃO","SIM"),"NAO")</f>
        <v>NAO</v>
      </c>
      <c r="F187" s="22" t="str">
        <f>IF(INDEX('1'!R:R,MATCH(CheckList!$A187,'1'!$A:$A,0))=0, "N/A", "SIM")</f>
        <v>N/A</v>
      </c>
      <c r="G187" s="22" t="str">
        <f>IF(INDEX('1'!AC:AC,MATCH(CheckList!$A187,'1'!$A:$A,0))=0, "N/A", "SIM")</f>
        <v>N/A</v>
      </c>
      <c r="H187" s="22" t="str">
        <f>IF(INDEX('1'!AF:AF,MATCH(CheckList!$A187,'1'!$A:$A,0))=0, "N/A", "SIM")</f>
        <v>N/A</v>
      </c>
      <c r="I187" s="22" t="str">
        <f>IF(INDEX('1'!L:L,MATCH(CheckList!$A187,'1'!$A:$A,0))=0, "N/A", "SIM")</f>
        <v>N/A</v>
      </c>
      <c r="J187" s="22" t="str">
        <f>IF(LEN(INDEX('1'!L:L,MATCH(CheckList!$A187,'1'!$A:$A,0)))=11, "NAO", IF(LEN(INDEX('1'!L:L,MATCH(CheckList!$A187,'1'!$A:$A,0)))=14,"SIM","N/A"))</f>
        <v>N/A</v>
      </c>
      <c r="K187" s="22" t="str">
        <f>IF(INDEX('1'!BE:BE,MATCH(CheckList!$A187,'1'!$A:$A,0))=0, "N/A", "SIM")</f>
        <v>N/A</v>
      </c>
    </row>
    <row r="188" spans="1:11" x14ac:dyDescent="0.35">
      <c r="A188" s="22">
        <f>'Dados - Cliente'!A188</f>
        <v>0</v>
      </c>
      <c r="B188" s="22" t="e">
        <f>INDEX('Dados - Cliente'!H:H,MATCH(CheckList!A188,'Dados - Cliente'!A:A,0))</f>
        <v>#N/A</v>
      </c>
      <c r="C188" s="22" t="str">
        <f>IF(INDEX('1'!B:B,MATCH(CheckList!$A188,'1'!$A:$A,0))=0, "N/A", "SIM")</f>
        <v>N/A</v>
      </c>
      <c r="D188" s="22">
        <f>INDEX('1'!Q:Q,MATCH(CheckList!$A188,'1'!$A:$A,0))</f>
        <v>0</v>
      </c>
      <c r="E188" s="22" t="str">
        <f>IF(D188="SIM",IF(MATCH(A188,'2'!$A:$A,0)="","NÃO","SIM"),"NAO")</f>
        <v>NAO</v>
      </c>
      <c r="F188" s="22" t="str">
        <f>IF(INDEX('1'!R:R,MATCH(CheckList!$A188,'1'!$A:$A,0))=0, "N/A", "SIM")</f>
        <v>N/A</v>
      </c>
      <c r="G188" s="22" t="str">
        <f>IF(INDEX('1'!AC:AC,MATCH(CheckList!$A188,'1'!$A:$A,0))=0, "N/A", "SIM")</f>
        <v>N/A</v>
      </c>
      <c r="H188" s="22" t="str">
        <f>IF(INDEX('1'!AF:AF,MATCH(CheckList!$A188,'1'!$A:$A,0))=0, "N/A", "SIM")</f>
        <v>N/A</v>
      </c>
      <c r="I188" s="22" t="str">
        <f>IF(INDEX('1'!L:L,MATCH(CheckList!$A188,'1'!$A:$A,0))=0, "N/A", "SIM")</f>
        <v>N/A</v>
      </c>
      <c r="J188" s="22" t="str">
        <f>IF(LEN(INDEX('1'!L:L,MATCH(CheckList!$A188,'1'!$A:$A,0)))=11, "NAO", IF(LEN(INDEX('1'!L:L,MATCH(CheckList!$A188,'1'!$A:$A,0)))=14,"SIM","N/A"))</f>
        <v>N/A</v>
      </c>
      <c r="K188" s="22" t="str">
        <f>IF(INDEX('1'!BE:BE,MATCH(CheckList!$A188,'1'!$A:$A,0))=0, "N/A", "SIM")</f>
        <v>N/A</v>
      </c>
    </row>
    <row r="189" spans="1:11" x14ac:dyDescent="0.35">
      <c r="A189" s="22">
        <f>'Dados - Cliente'!A189</f>
        <v>0</v>
      </c>
      <c r="B189" s="22" t="e">
        <f>INDEX('Dados - Cliente'!H:H,MATCH(CheckList!A189,'Dados - Cliente'!A:A,0))</f>
        <v>#N/A</v>
      </c>
      <c r="C189" s="22" t="str">
        <f>IF(INDEX('1'!B:B,MATCH(CheckList!$A189,'1'!$A:$A,0))=0, "N/A", "SIM")</f>
        <v>N/A</v>
      </c>
      <c r="D189" s="22">
        <f>INDEX('1'!Q:Q,MATCH(CheckList!$A189,'1'!$A:$A,0))</f>
        <v>0</v>
      </c>
      <c r="E189" s="22" t="str">
        <f>IF(D189="SIM",IF(MATCH(A189,'2'!$A:$A,0)="","NÃO","SIM"),"NAO")</f>
        <v>NAO</v>
      </c>
      <c r="F189" s="22" t="str">
        <f>IF(INDEX('1'!R:R,MATCH(CheckList!$A189,'1'!$A:$A,0))=0, "N/A", "SIM")</f>
        <v>N/A</v>
      </c>
      <c r="G189" s="22" t="str">
        <f>IF(INDEX('1'!AC:AC,MATCH(CheckList!$A189,'1'!$A:$A,0))=0, "N/A", "SIM")</f>
        <v>N/A</v>
      </c>
      <c r="H189" s="22" t="str">
        <f>IF(INDEX('1'!AF:AF,MATCH(CheckList!$A189,'1'!$A:$A,0))=0, "N/A", "SIM")</f>
        <v>N/A</v>
      </c>
      <c r="I189" s="22" t="str">
        <f>IF(INDEX('1'!L:L,MATCH(CheckList!$A189,'1'!$A:$A,0))=0, "N/A", "SIM")</f>
        <v>N/A</v>
      </c>
      <c r="J189" s="22" t="str">
        <f>IF(LEN(INDEX('1'!L:L,MATCH(CheckList!$A189,'1'!$A:$A,0)))=11, "NAO", IF(LEN(INDEX('1'!L:L,MATCH(CheckList!$A189,'1'!$A:$A,0)))=14,"SIM","N/A"))</f>
        <v>N/A</v>
      </c>
      <c r="K189" s="22" t="str">
        <f>IF(INDEX('1'!BE:BE,MATCH(CheckList!$A189,'1'!$A:$A,0))=0, "N/A", "SIM")</f>
        <v>N/A</v>
      </c>
    </row>
    <row r="190" spans="1:11" x14ac:dyDescent="0.35">
      <c r="A190" s="22">
        <f>'Dados - Cliente'!A190</f>
        <v>0</v>
      </c>
      <c r="B190" s="22" t="e">
        <f>INDEX('Dados - Cliente'!H:H,MATCH(CheckList!A190,'Dados - Cliente'!A:A,0))</f>
        <v>#N/A</v>
      </c>
      <c r="C190" s="22" t="str">
        <f>IF(INDEX('1'!B:B,MATCH(CheckList!$A190,'1'!$A:$A,0))=0, "N/A", "SIM")</f>
        <v>N/A</v>
      </c>
      <c r="D190" s="22">
        <f>INDEX('1'!Q:Q,MATCH(CheckList!$A190,'1'!$A:$A,0))</f>
        <v>0</v>
      </c>
      <c r="E190" s="22" t="str">
        <f>IF(D190="SIM",IF(MATCH(A190,'2'!$A:$A,0)="","NÃO","SIM"),"NAO")</f>
        <v>NAO</v>
      </c>
      <c r="F190" s="22" t="str">
        <f>IF(INDEX('1'!R:R,MATCH(CheckList!$A190,'1'!$A:$A,0))=0, "N/A", "SIM")</f>
        <v>N/A</v>
      </c>
      <c r="G190" s="22" t="str">
        <f>IF(INDEX('1'!AC:AC,MATCH(CheckList!$A190,'1'!$A:$A,0))=0, "N/A", "SIM")</f>
        <v>N/A</v>
      </c>
      <c r="H190" s="22" t="str">
        <f>IF(INDEX('1'!AF:AF,MATCH(CheckList!$A190,'1'!$A:$A,0))=0, "N/A", "SIM")</f>
        <v>N/A</v>
      </c>
      <c r="I190" s="22" t="str">
        <f>IF(INDEX('1'!L:L,MATCH(CheckList!$A190,'1'!$A:$A,0))=0, "N/A", "SIM")</f>
        <v>N/A</v>
      </c>
      <c r="J190" s="22" t="str">
        <f>IF(LEN(INDEX('1'!L:L,MATCH(CheckList!$A190,'1'!$A:$A,0)))=11, "NAO", IF(LEN(INDEX('1'!L:L,MATCH(CheckList!$A190,'1'!$A:$A,0)))=14,"SIM","N/A"))</f>
        <v>N/A</v>
      </c>
      <c r="K190" s="22" t="str">
        <f>IF(INDEX('1'!BE:BE,MATCH(CheckList!$A190,'1'!$A:$A,0))=0, "N/A", "SIM")</f>
        <v>N/A</v>
      </c>
    </row>
    <row r="191" spans="1:11" x14ac:dyDescent="0.35">
      <c r="A191" s="22">
        <f>'Dados - Cliente'!A191</f>
        <v>0</v>
      </c>
      <c r="B191" s="22" t="e">
        <f>INDEX('Dados - Cliente'!H:H,MATCH(CheckList!A191,'Dados - Cliente'!A:A,0))</f>
        <v>#N/A</v>
      </c>
      <c r="C191" s="22" t="str">
        <f>IF(INDEX('1'!B:B,MATCH(CheckList!$A191,'1'!$A:$A,0))=0, "N/A", "SIM")</f>
        <v>N/A</v>
      </c>
      <c r="D191" s="22">
        <f>INDEX('1'!Q:Q,MATCH(CheckList!$A191,'1'!$A:$A,0))</f>
        <v>0</v>
      </c>
      <c r="E191" s="22" t="str">
        <f>IF(D191="SIM",IF(MATCH(A191,'2'!$A:$A,0)="","NÃO","SIM"),"NAO")</f>
        <v>NAO</v>
      </c>
      <c r="F191" s="22" t="str">
        <f>IF(INDEX('1'!R:R,MATCH(CheckList!$A191,'1'!$A:$A,0))=0, "N/A", "SIM")</f>
        <v>N/A</v>
      </c>
      <c r="G191" s="22" t="str">
        <f>IF(INDEX('1'!AC:AC,MATCH(CheckList!$A191,'1'!$A:$A,0))=0, "N/A", "SIM")</f>
        <v>N/A</v>
      </c>
      <c r="H191" s="22" t="str">
        <f>IF(INDEX('1'!AF:AF,MATCH(CheckList!$A191,'1'!$A:$A,0))=0, "N/A", "SIM")</f>
        <v>N/A</v>
      </c>
      <c r="I191" s="22" t="str">
        <f>IF(INDEX('1'!L:L,MATCH(CheckList!$A191,'1'!$A:$A,0))=0, "N/A", "SIM")</f>
        <v>N/A</v>
      </c>
      <c r="J191" s="22" t="str">
        <f>IF(LEN(INDEX('1'!L:L,MATCH(CheckList!$A191,'1'!$A:$A,0)))=11, "NAO", IF(LEN(INDEX('1'!L:L,MATCH(CheckList!$A191,'1'!$A:$A,0)))=14,"SIM","N/A"))</f>
        <v>N/A</v>
      </c>
      <c r="K191" s="22" t="str">
        <f>IF(INDEX('1'!BE:BE,MATCH(CheckList!$A191,'1'!$A:$A,0))=0, "N/A", "SIM")</f>
        <v>N/A</v>
      </c>
    </row>
    <row r="192" spans="1:11" x14ac:dyDescent="0.35">
      <c r="A192" s="22">
        <f>'Dados - Cliente'!A192</f>
        <v>0</v>
      </c>
      <c r="B192" s="22" t="e">
        <f>INDEX('Dados - Cliente'!H:H,MATCH(CheckList!A192,'Dados - Cliente'!A:A,0))</f>
        <v>#N/A</v>
      </c>
      <c r="C192" s="22" t="str">
        <f>IF(INDEX('1'!B:B,MATCH(CheckList!$A192,'1'!$A:$A,0))=0, "N/A", "SIM")</f>
        <v>N/A</v>
      </c>
      <c r="D192" s="22">
        <f>INDEX('1'!Q:Q,MATCH(CheckList!$A192,'1'!$A:$A,0))</f>
        <v>0</v>
      </c>
      <c r="E192" s="22" t="str">
        <f>IF(D192="SIM",IF(MATCH(A192,'2'!$A:$A,0)="","NÃO","SIM"),"NAO")</f>
        <v>NAO</v>
      </c>
      <c r="F192" s="22" t="str">
        <f>IF(INDEX('1'!R:R,MATCH(CheckList!$A192,'1'!$A:$A,0))=0, "N/A", "SIM")</f>
        <v>N/A</v>
      </c>
      <c r="G192" s="22" t="str">
        <f>IF(INDEX('1'!AC:AC,MATCH(CheckList!$A192,'1'!$A:$A,0))=0, "N/A", "SIM")</f>
        <v>N/A</v>
      </c>
      <c r="H192" s="22" t="str">
        <f>IF(INDEX('1'!AF:AF,MATCH(CheckList!$A192,'1'!$A:$A,0))=0, "N/A", "SIM")</f>
        <v>N/A</v>
      </c>
      <c r="I192" s="22" t="str">
        <f>IF(INDEX('1'!L:L,MATCH(CheckList!$A192,'1'!$A:$A,0))=0, "N/A", "SIM")</f>
        <v>N/A</v>
      </c>
      <c r="J192" s="22" t="str">
        <f>IF(LEN(INDEX('1'!L:L,MATCH(CheckList!$A192,'1'!$A:$A,0)))=11, "NAO", IF(LEN(INDEX('1'!L:L,MATCH(CheckList!$A192,'1'!$A:$A,0)))=14,"SIM","N/A"))</f>
        <v>N/A</v>
      </c>
      <c r="K192" s="22" t="str">
        <f>IF(INDEX('1'!BE:BE,MATCH(CheckList!$A192,'1'!$A:$A,0))=0, "N/A", "SIM")</f>
        <v>N/A</v>
      </c>
    </row>
    <row r="193" spans="1:11" x14ac:dyDescent="0.35">
      <c r="A193" s="22">
        <f>'Dados - Cliente'!A193</f>
        <v>0</v>
      </c>
      <c r="B193" s="22" t="e">
        <f>INDEX('Dados - Cliente'!H:H,MATCH(CheckList!A193,'Dados - Cliente'!A:A,0))</f>
        <v>#N/A</v>
      </c>
      <c r="C193" s="22" t="str">
        <f>IF(INDEX('1'!B:B,MATCH(CheckList!$A193,'1'!$A:$A,0))=0, "N/A", "SIM")</f>
        <v>N/A</v>
      </c>
      <c r="D193" s="22">
        <f>INDEX('1'!Q:Q,MATCH(CheckList!$A193,'1'!$A:$A,0))</f>
        <v>0</v>
      </c>
      <c r="E193" s="22" t="str">
        <f>IF(D193="SIM",IF(MATCH(A193,'2'!$A:$A,0)="","NÃO","SIM"),"NAO")</f>
        <v>NAO</v>
      </c>
      <c r="F193" s="22" t="str">
        <f>IF(INDEX('1'!R:R,MATCH(CheckList!$A193,'1'!$A:$A,0))=0, "N/A", "SIM")</f>
        <v>N/A</v>
      </c>
      <c r="G193" s="22" t="str">
        <f>IF(INDEX('1'!AC:AC,MATCH(CheckList!$A193,'1'!$A:$A,0))=0, "N/A", "SIM")</f>
        <v>N/A</v>
      </c>
      <c r="H193" s="22" t="str">
        <f>IF(INDEX('1'!AF:AF,MATCH(CheckList!$A193,'1'!$A:$A,0))=0, "N/A", "SIM")</f>
        <v>N/A</v>
      </c>
      <c r="I193" s="22" t="str">
        <f>IF(INDEX('1'!L:L,MATCH(CheckList!$A193,'1'!$A:$A,0))=0, "N/A", "SIM")</f>
        <v>N/A</v>
      </c>
      <c r="J193" s="22" t="str">
        <f>IF(LEN(INDEX('1'!L:L,MATCH(CheckList!$A193,'1'!$A:$A,0)))=11, "NAO", IF(LEN(INDEX('1'!L:L,MATCH(CheckList!$A193,'1'!$A:$A,0)))=14,"SIM","N/A"))</f>
        <v>N/A</v>
      </c>
      <c r="K193" s="22" t="str">
        <f>IF(INDEX('1'!BE:BE,MATCH(CheckList!$A193,'1'!$A:$A,0))=0, "N/A", "SIM")</f>
        <v>N/A</v>
      </c>
    </row>
    <row r="194" spans="1:11" x14ac:dyDescent="0.35">
      <c r="A194" s="22">
        <f>'Dados - Cliente'!A194</f>
        <v>0</v>
      </c>
      <c r="B194" s="22" t="e">
        <f>INDEX('Dados - Cliente'!H:H,MATCH(CheckList!A194,'Dados - Cliente'!A:A,0))</f>
        <v>#N/A</v>
      </c>
      <c r="C194" s="22" t="str">
        <f>IF(INDEX('1'!B:B,MATCH(CheckList!$A194,'1'!$A:$A,0))=0, "N/A", "SIM")</f>
        <v>N/A</v>
      </c>
      <c r="D194" s="22">
        <f>INDEX('1'!Q:Q,MATCH(CheckList!$A194,'1'!$A:$A,0))</f>
        <v>0</v>
      </c>
      <c r="E194" s="22" t="str">
        <f>IF(D194="SIM",IF(MATCH(A194,'2'!$A:$A,0)="","NÃO","SIM"),"NAO")</f>
        <v>NAO</v>
      </c>
      <c r="F194" s="22" t="str">
        <f>IF(INDEX('1'!R:R,MATCH(CheckList!$A194,'1'!$A:$A,0))=0, "N/A", "SIM")</f>
        <v>N/A</v>
      </c>
      <c r="G194" s="22" t="str">
        <f>IF(INDEX('1'!AC:AC,MATCH(CheckList!$A194,'1'!$A:$A,0))=0, "N/A", "SIM")</f>
        <v>N/A</v>
      </c>
      <c r="H194" s="22" t="str">
        <f>IF(INDEX('1'!AF:AF,MATCH(CheckList!$A194,'1'!$A:$A,0))=0, "N/A", "SIM")</f>
        <v>N/A</v>
      </c>
      <c r="I194" s="22" t="str">
        <f>IF(INDEX('1'!L:L,MATCH(CheckList!$A194,'1'!$A:$A,0))=0, "N/A", "SIM")</f>
        <v>N/A</v>
      </c>
      <c r="J194" s="22" t="str">
        <f>IF(LEN(INDEX('1'!L:L,MATCH(CheckList!$A194,'1'!$A:$A,0)))=11, "NAO", IF(LEN(INDEX('1'!L:L,MATCH(CheckList!$A194,'1'!$A:$A,0)))=14,"SIM","N/A"))</f>
        <v>N/A</v>
      </c>
      <c r="K194" s="22" t="str">
        <f>IF(INDEX('1'!BE:BE,MATCH(CheckList!$A194,'1'!$A:$A,0))=0, "N/A", "SIM")</f>
        <v>N/A</v>
      </c>
    </row>
    <row r="195" spans="1:11" x14ac:dyDescent="0.35">
      <c r="A195" s="22">
        <f>'Dados - Cliente'!A195</f>
        <v>0</v>
      </c>
      <c r="B195" s="22" t="e">
        <f>INDEX('Dados - Cliente'!H:H,MATCH(CheckList!A195,'Dados - Cliente'!A:A,0))</f>
        <v>#N/A</v>
      </c>
      <c r="C195" s="22" t="str">
        <f>IF(INDEX('1'!B:B,MATCH(CheckList!$A195,'1'!$A:$A,0))=0, "N/A", "SIM")</f>
        <v>N/A</v>
      </c>
      <c r="D195" s="22">
        <f>INDEX('1'!Q:Q,MATCH(CheckList!$A195,'1'!$A:$A,0))</f>
        <v>0</v>
      </c>
      <c r="E195" s="22" t="str">
        <f>IF(D195="SIM",IF(MATCH(A195,'2'!$A:$A,0)="","NÃO","SIM"),"NAO")</f>
        <v>NAO</v>
      </c>
      <c r="F195" s="22" t="str">
        <f>IF(INDEX('1'!R:R,MATCH(CheckList!$A195,'1'!$A:$A,0))=0, "N/A", "SIM")</f>
        <v>N/A</v>
      </c>
      <c r="G195" s="22" t="str">
        <f>IF(INDEX('1'!AC:AC,MATCH(CheckList!$A195,'1'!$A:$A,0))=0, "N/A", "SIM")</f>
        <v>N/A</v>
      </c>
      <c r="H195" s="22" t="str">
        <f>IF(INDEX('1'!AF:AF,MATCH(CheckList!$A195,'1'!$A:$A,0))=0, "N/A", "SIM")</f>
        <v>N/A</v>
      </c>
      <c r="I195" s="22" t="str">
        <f>IF(INDEX('1'!L:L,MATCH(CheckList!$A195,'1'!$A:$A,0))=0, "N/A", "SIM")</f>
        <v>N/A</v>
      </c>
      <c r="J195" s="22" t="str">
        <f>IF(LEN(INDEX('1'!L:L,MATCH(CheckList!$A195,'1'!$A:$A,0)))=11, "NAO", IF(LEN(INDEX('1'!L:L,MATCH(CheckList!$A195,'1'!$A:$A,0)))=14,"SIM","N/A"))</f>
        <v>N/A</v>
      </c>
      <c r="K195" s="22" t="str">
        <f>IF(INDEX('1'!BE:BE,MATCH(CheckList!$A195,'1'!$A:$A,0))=0, "N/A", "SIM")</f>
        <v>N/A</v>
      </c>
    </row>
    <row r="196" spans="1:11" x14ac:dyDescent="0.35">
      <c r="A196" s="22">
        <f>'Dados - Cliente'!A196</f>
        <v>0</v>
      </c>
      <c r="B196" s="22" t="e">
        <f>INDEX('Dados - Cliente'!H:H,MATCH(CheckList!A196,'Dados - Cliente'!A:A,0))</f>
        <v>#N/A</v>
      </c>
      <c r="C196" s="22" t="str">
        <f>IF(INDEX('1'!B:B,MATCH(CheckList!$A196,'1'!$A:$A,0))=0, "N/A", "SIM")</f>
        <v>N/A</v>
      </c>
      <c r="D196" s="22">
        <f>INDEX('1'!Q:Q,MATCH(CheckList!$A196,'1'!$A:$A,0))</f>
        <v>0</v>
      </c>
      <c r="E196" s="22" t="str">
        <f>IF(D196="SIM",IF(MATCH(A196,'2'!$A:$A,0)="","NÃO","SIM"),"NAO")</f>
        <v>NAO</v>
      </c>
      <c r="F196" s="22" t="str">
        <f>IF(INDEX('1'!R:R,MATCH(CheckList!$A196,'1'!$A:$A,0))=0, "N/A", "SIM")</f>
        <v>N/A</v>
      </c>
      <c r="G196" s="22" t="str">
        <f>IF(INDEX('1'!AC:AC,MATCH(CheckList!$A196,'1'!$A:$A,0))=0, "N/A", "SIM")</f>
        <v>N/A</v>
      </c>
      <c r="H196" s="22" t="str">
        <f>IF(INDEX('1'!AF:AF,MATCH(CheckList!$A196,'1'!$A:$A,0))=0, "N/A", "SIM")</f>
        <v>N/A</v>
      </c>
      <c r="I196" s="22" t="str">
        <f>IF(INDEX('1'!L:L,MATCH(CheckList!$A196,'1'!$A:$A,0))=0, "N/A", "SIM")</f>
        <v>N/A</v>
      </c>
      <c r="J196" s="22" t="str">
        <f>IF(LEN(INDEX('1'!L:L,MATCH(CheckList!$A196,'1'!$A:$A,0)))=11, "NAO", IF(LEN(INDEX('1'!L:L,MATCH(CheckList!$A196,'1'!$A:$A,0)))=14,"SIM","N/A"))</f>
        <v>N/A</v>
      </c>
      <c r="K196" s="22" t="str">
        <f>IF(INDEX('1'!BE:BE,MATCH(CheckList!$A196,'1'!$A:$A,0))=0, "N/A", "SIM")</f>
        <v>N/A</v>
      </c>
    </row>
    <row r="197" spans="1:11" x14ac:dyDescent="0.35">
      <c r="A197" s="22">
        <f>'Dados - Cliente'!A197</f>
        <v>0</v>
      </c>
      <c r="B197" s="22" t="e">
        <f>INDEX('Dados - Cliente'!H:H,MATCH(CheckList!A197,'Dados - Cliente'!A:A,0))</f>
        <v>#N/A</v>
      </c>
      <c r="C197" s="22" t="str">
        <f>IF(INDEX('1'!B:B,MATCH(CheckList!$A197,'1'!$A:$A,0))=0, "N/A", "SIM")</f>
        <v>N/A</v>
      </c>
      <c r="D197" s="22">
        <f>INDEX('1'!Q:Q,MATCH(CheckList!$A197,'1'!$A:$A,0))</f>
        <v>0</v>
      </c>
      <c r="E197" s="22" t="str">
        <f>IF(D197="SIM",IF(MATCH(A197,'2'!$A:$A,0)="","NÃO","SIM"),"NAO")</f>
        <v>NAO</v>
      </c>
      <c r="F197" s="22" t="str">
        <f>IF(INDEX('1'!R:R,MATCH(CheckList!$A197,'1'!$A:$A,0))=0, "N/A", "SIM")</f>
        <v>N/A</v>
      </c>
      <c r="G197" s="22" t="str">
        <f>IF(INDEX('1'!AC:AC,MATCH(CheckList!$A197,'1'!$A:$A,0))=0, "N/A", "SIM")</f>
        <v>N/A</v>
      </c>
      <c r="H197" s="22" t="str">
        <f>IF(INDEX('1'!AF:AF,MATCH(CheckList!$A197,'1'!$A:$A,0))=0, "N/A", "SIM")</f>
        <v>N/A</v>
      </c>
      <c r="I197" s="22" t="str">
        <f>IF(INDEX('1'!L:L,MATCH(CheckList!$A197,'1'!$A:$A,0))=0, "N/A", "SIM")</f>
        <v>N/A</v>
      </c>
      <c r="J197" s="22" t="str">
        <f>IF(LEN(INDEX('1'!L:L,MATCH(CheckList!$A197,'1'!$A:$A,0)))=11, "NAO", IF(LEN(INDEX('1'!L:L,MATCH(CheckList!$A197,'1'!$A:$A,0)))=14,"SIM","N/A"))</f>
        <v>N/A</v>
      </c>
      <c r="K197" s="22" t="str">
        <f>IF(INDEX('1'!BE:BE,MATCH(CheckList!$A197,'1'!$A:$A,0))=0, "N/A", "SIM")</f>
        <v>N/A</v>
      </c>
    </row>
    <row r="198" spans="1:11" x14ac:dyDescent="0.35">
      <c r="A198" s="22">
        <f>'Dados - Cliente'!A198</f>
        <v>0</v>
      </c>
      <c r="B198" s="22" t="e">
        <f>INDEX('Dados - Cliente'!H:H,MATCH(CheckList!A198,'Dados - Cliente'!A:A,0))</f>
        <v>#N/A</v>
      </c>
      <c r="C198" s="22" t="str">
        <f>IF(INDEX('1'!B:B,MATCH(CheckList!$A198,'1'!$A:$A,0))=0, "N/A", "SIM")</f>
        <v>N/A</v>
      </c>
      <c r="D198" s="22">
        <f>INDEX('1'!Q:Q,MATCH(CheckList!$A198,'1'!$A:$A,0))</f>
        <v>0</v>
      </c>
      <c r="E198" s="22" t="str">
        <f>IF(D198="SIM",IF(MATCH(A198,'2'!$A:$A,0)="","NÃO","SIM"),"NAO")</f>
        <v>NAO</v>
      </c>
      <c r="F198" s="22" t="str">
        <f>IF(INDEX('1'!R:R,MATCH(CheckList!$A198,'1'!$A:$A,0))=0, "N/A", "SIM")</f>
        <v>N/A</v>
      </c>
      <c r="G198" s="22" t="str">
        <f>IF(INDEX('1'!AC:AC,MATCH(CheckList!$A198,'1'!$A:$A,0))=0, "N/A", "SIM")</f>
        <v>N/A</v>
      </c>
      <c r="H198" s="22" t="str">
        <f>IF(INDEX('1'!AF:AF,MATCH(CheckList!$A198,'1'!$A:$A,0))=0, "N/A", "SIM")</f>
        <v>N/A</v>
      </c>
      <c r="I198" s="22" t="str">
        <f>IF(INDEX('1'!L:L,MATCH(CheckList!$A198,'1'!$A:$A,0))=0, "N/A", "SIM")</f>
        <v>N/A</v>
      </c>
      <c r="J198" s="22" t="str">
        <f>IF(LEN(INDEX('1'!L:L,MATCH(CheckList!$A198,'1'!$A:$A,0)))=11, "NAO", IF(LEN(INDEX('1'!L:L,MATCH(CheckList!$A198,'1'!$A:$A,0)))=14,"SIM","N/A"))</f>
        <v>N/A</v>
      </c>
      <c r="K198" s="22" t="str">
        <f>IF(INDEX('1'!BE:BE,MATCH(CheckList!$A198,'1'!$A:$A,0))=0, "N/A", "SIM")</f>
        <v>N/A</v>
      </c>
    </row>
    <row r="199" spans="1:11" x14ac:dyDescent="0.35">
      <c r="A199" s="22">
        <f>'Dados - Cliente'!A199</f>
        <v>0</v>
      </c>
      <c r="B199" s="22" t="e">
        <f>INDEX('Dados - Cliente'!H:H,MATCH(CheckList!A199,'Dados - Cliente'!A:A,0))</f>
        <v>#N/A</v>
      </c>
      <c r="C199" s="22" t="str">
        <f>IF(INDEX('1'!B:B,MATCH(CheckList!$A199,'1'!$A:$A,0))=0, "N/A", "SIM")</f>
        <v>N/A</v>
      </c>
      <c r="D199" s="22">
        <f>INDEX('1'!Q:Q,MATCH(CheckList!$A199,'1'!$A:$A,0))</f>
        <v>0</v>
      </c>
      <c r="E199" s="22" t="str">
        <f>IF(D199="SIM",IF(MATCH(A199,'2'!$A:$A,0)="","NÃO","SIM"),"NAO")</f>
        <v>NAO</v>
      </c>
      <c r="F199" s="22" t="str">
        <f>IF(INDEX('1'!R:R,MATCH(CheckList!$A199,'1'!$A:$A,0))=0, "N/A", "SIM")</f>
        <v>N/A</v>
      </c>
      <c r="G199" s="22" t="str">
        <f>IF(INDEX('1'!AC:AC,MATCH(CheckList!$A199,'1'!$A:$A,0))=0, "N/A", "SIM")</f>
        <v>N/A</v>
      </c>
      <c r="H199" s="22" t="str">
        <f>IF(INDEX('1'!AF:AF,MATCH(CheckList!$A199,'1'!$A:$A,0))=0, "N/A", "SIM")</f>
        <v>N/A</v>
      </c>
      <c r="I199" s="22" t="str">
        <f>IF(INDEX('1'!L:L,MATCH(CheckList!$A199,'1'!$A:$A,0))=0, "N/A", "SIM")</f>
        <v>N/A</v>
      </c>
      <c r="J199" s="22" t="str">
        <f>IF(LEN(INDEX('1'!L:L,MATCH(CheckList!$A199,'1'!$A:$A,0)))=11, "NAO", IF(LEN(INDEX('1'!L:L,MATCH(CheckList!$A199,'1'!$A:$A,0)))=14,"SIM","N/A"))</f>
        <v>N/A</v>
      </c>
      <c r="K199" s="22" t="str">
        <f>IF(INDEX('1'!BE:BE,MATCH(CheckList!$A199,'1'!$A:$A,0))=0, "N/A", "SIM")</f>
        <v>N/A</v>
      </c>
    </row>
    <row r="200" spans="1:11" x14ac:dyDescent="0.35">
      <c r="A200" s="22">
        <f>'Dados - Cliente'!A200</f>
        <v>0</v>
      </c>
      <c r="B200" s="22" t="e">
        <f>INDEX('Dados - Cliente'!H:H,MATCH(CheckList!A200,'Dados - Cliente'!A:A,0))</f>
        <v>#N/A</v>
      </c>
      <c r="C200" s="22" t="str">
        <f>IF(INDEX('1'!B:B,MATCH(CheckList!$A200,'1'!$A:$A,0))=0, "N/A", "SIM")</f>
        <v>N/A</v>
      </c>
      <c r="D200" s="22">
        <f>INDEX('1'!Q:Q,MATCH(CheckList!$A200,'1'!$A:$A,0))</f>
        <v>0</v>
      </c>
      <c r="E200" s="22" t="str">
        <f>IF(D200="SIM",IF(MATCH(A200,'2'!$A:$A,0)="","NÃO","SIM"),"NAO")</f>
        <v>NAO</v>
      </c>
      <c r="F200" s="22" t="str">
        <f>IF(INDEX('1'!R:R,MATCH(CheckList!$A200,'1'!$A:$A,0))=0, "N/A", "SIM")</f>
        <v>N/A</v>
      </c>
      <c r="G200" s="22" t="str">
        <f>IF(INDEX('1'!AC:AC,MATCH(CheckList!$A200,'1'!$A:$A,0))=0, "N/A", "SIM")</f>
        <v>N/A</v>
      </c>
      <c r="H200" s="22" t="str">
        <f>IF(INDEX('1'!AF:AF,MATCH(CheckList!$A200,'1'!$A:$A,0))=0, "N/A", "SIM")</f>
        <v>N/A</v>
      </c>
      <c r="I200" s="22" t="str">
        <f>IF(INDEX('1'!L:L,MATCH(CheckList!$A200,'1'!$A:$A,0))=0, "N/A", "SIM")</f>
        <v>N/A</v>
      </c>
      <c r="J200" s="22" t="str">
        <f>IF(LEN(INDEX('1'!L:L,MATCH(CheckList!$A200,'1'!$A:$A,0)))=11, "NAO", IF(LEN(INDEX('1'!L:L,MATCH(CheckList!$A200,'1'!$A:$A,0)))=14,"SIM","N/A"))</f>
        <v>N/A</v>
      </c>
      <c r="K200" s="22" t="str">
        <f>IF(INDEX('1'!BE:BE,MATCH(CheckList!$A200,'1'!$A:$A,0))=0, "N/A", "SIM")</f>
        <v>N/A</v>
      </c>
    </row>
    <row r="201" spans="1:11" x14ac:dyDescent="0.35">
      <c r="A201" s="22">
        <f>'Dados - Cliente'!A201</f>
        <v>0</v>
      </c>
      <c r="B201" s="22" t="e">
        <f>INDEX('Dados - Cliente'!H:H,MATCH(CheckList!A201,'Dados - Cliente'!A:A,0))</f>
        <v>#N/A</v>
      </c>
      <c r="C201" s="22" t="str">
        <f>IF(INDEX('1'!B:B,MATCH(CheckList!$A201,'1'!$A:$A,0))=0, "N/A", "SIM")</f>
        <v>N/A</v>
      </c>
      <c r="D201" s="22">
        <f>INDEX('1'!Q:Q,MATCH(CheckList!$A201,'1'!$A:$A,0))</f>
        <v>0</v>
      </c>
      <c r="E201" s="22" t="str">
        <f>IF(D201="SIM",IF(MATCH(A201,'2'!$A:$A,0)="","NÃO","SIM"),"NAO")</f>
        <v>NAO</v>
      </c>
      <c r="F201" s="22" t="str">
        <f>IF(INDEX('1'!R:R,MATCH(CheckList!$A201,'1'!$A:$A,0))=0, "N/A", "SIM")</f>
        <v>N/A</v>
      </c>
      <c r="G201" s="22" t="str">
        <f>IF(INDEX('1'!AC:AC,MATCH(CheckList!$A201,'1'!$A:$A,0))=0, "N/A", "SIM")</f>
        <v>N/A</v>
      </c>
      <c r="H201" s="22" t="str">
        <f>IF(INDEX('1'!AF:AF,MATCH(CheckList!$A201,'1'!$A:$A,0))=0, "N/A", "SIM")</f>
        <v>N/A</v>
      </c>
      <c r="I201" s="22" t="str">
        <f>IF(INDEX('1'!L:L,MATCH(CheckList!$A201,'1'!$A:$A,0))=0, "N/A", "SIM")</f>
        <v>N/A</v>
      </c>
      <c r="J201" s="22" t="str">
        <f>IF(LEN(INDEX('1'!L:L,MATCH(CheckList!$A201,'1'!$A:$A,0)))=11, "NAO", IF(LEN(INDEX('1'!L:L,MATCH(CheckList!$A201,'1'!$A:$A,0)))=14,"SIM","N/A"))</f>
        <v>N/A</v>
      </c>
      <c r="K201" s="22" t="str">
        <f>IF(INDEX('1'!BE:BE,MATCH(CheckList!$A201,'1'!$A:$A,0))=0, "N/A", "SIM")</f>
        <v>N/A</v>
      </c>
    </row>
    <row r="202" spans="1:11" x14ac:dyDescent="0.35">
      <c r="A202" s="22">
        <f>'Dados - Cliente'!A202</f>
        <v>0</v>
      </c>
      <c r="B202" s="22" t="e">
        <f>INDEX('Dados - Cliente'!H:H,MATCH(CheckList!A202,'Dados - Cliente'!A:A,0))</f>
        <v>#N/A</v>
      </c>
      <c r="C202" s="22" t="str">
        <f>IF(INDEX('1'!B:B,MATCH(CheckList!$A202,'1'!$A:$A,0))=0, "N/A", "SIM")</f>
        <v>N/A</v>
      </c>
      <c r="D202" s="22">
        <f>INDEX('1'!Q:Q,MATCH(CheckList!$A202,'1'!$A:$A,0))</f>
        <v>0</v>
      </c>
      <c r="E202" s="22" t="str">
        <f>IF(D202="SIM",IF(MATCH(A202,'2'!$A:$A,0)="","NÃO","SIM"),"NAO")</f>
        <v>NAO</v>
      </c>
      <c r="F202" s="22" t="str">
        <f>IF(INDEX('1'!R:R,MATCH(CheckList!$A202,'1'!$A:$A,0))=0, "N/A", "SIM")</f>
        <v>N/A</v>
      </c>
      <c r="G202" s="22" t="str">
        <f>IF(INDEX('1'!AC:AC,MATCH(CheckList!$A202,'1'!$A:$A,0))=0, "N/A", "SIM")</f>
        <v>N/A</v>
      </c>
      <c r="H202" s="22" t="str">
        <f>IF(INDEX('1'!AF:AF,MATCH(CheckList!$A202,'1'!$A:$A,0))=0, "N/A", "SIM")</f>
        <v>N/A</v>
      </c>
      <c r="I202" s="22" t="str">
        <f>IF(INDEX('1'!L:L,MATCH(CheckList!$A202,'1'!$A:$A,0))=0, "N/A", "SIM")</f>
        <v>N/A</v>
      </c>
      <c r="J202" s="22" t="str">
        <f>IF(LEN(INDEX('1'!L:L,MATCH(CheckList!$A202,'1'!$A:$A,0)))=11, "NAO", IF(LEN(INDEX('1'!L:L,MATCH(CheckList!$A202,'1'!$A:$A,0)))=14,"SIM","N/A"))</f>
        <v>N/A</v>
      </c>
      <c r="K202" s="22" t="str">
        <f>IF(INDEX('1'!BE:BE,MATCH(CheckList!$A202,'1'!$A:$A,0))=0, "N/A", "SIM")</f>
        <v>N/A</v>
      </c>
    </row>
    <row r="203" spans="1:11" x14ac:dyDescent="0.35">
      <c r="A203" s="22">
        <f>'Dados - Cliente'!A203</f>
        <v>0</v>
      </c>
      <c r="B203" s="22" t="e">
        <f>INDEX('Dados - Cliente'!H:H,MATCH(CheckList!A203,'Dados - Cliente'!A:A,0))</f>
        <v>#N/A</v>
      </c>
      <c r="C203" s="22" t="str">
        <f>IF(INDEX('1'!B:B,MATCH(CheckList!$A203,'1'!$A:$A,0))=0, "N/A", "SIM")</f>
        <v>N/A</v>
      </c>
      <c r="D203" s="22">
        <f>INDEX('1'!Q:Q,MATCH(CheckList!$A203,'1'!$A:$A,0))</f>
        <v>0</v>
      </c>
      <c r="E203" s="22" t="str">
        <f>IF(D203="SIM",IF(MATCH(A203,'2'!$A:$A,0)="","NÃO","SIM"),"NAO")</f>
        <v>NAO</v>
      </c>
      <c r="F203" s="22" t="str">
        <f>IF(INDEX('1'!R:R,MATCH(CheckList!$A203,'1'!$A:$A,0))=0, "N/A", "SIM")</f>
        <v>N/A</v>
      </c>
      <c r="G203" s="22" t="str">
        <f>IF(INDEX('1'!AC:AC,MATCH(CheckList!$A203,'1'!$A:$A,0))=0, "N/A", "SIM")</f>
        <v>N/A</v>
      </c>
      <c r="H203" s="22" t="str">
        <f>IF(INDEX('1'!AF:AF,MATCH(CheckList!$A203,'1'!$A:$A,0))=0, "N/A", "SIM")</f>
        <v>N/A</v>
      </c>
      <c r="I203" s="22" t="str">
        <f>IF(INDEX('1'!L:L,MATCH(CheckList!$A203,'1'!$A:$A,0))=0, "N/A", "SIM")</f>
        <v>N/A</v>
      </c>
      <c r="J203" s="22" t="str">
        <f>IF(LEN(INDEX('1'!L:L,MATCH(CheckList!$A203,'1'!$A:$A,0)))=11, "NAO", IF(LEN(INDEX('1'!L:L,MATCH(CheckList!$A203,'1'!$A:$A,0)))=14,"SIM","N/A"))</f>
        <v>N/A</v>
      </c>
      <c r="K203" s="22" t="str">
        <f>IF(INDEX('1'!BE:BE,MATCH(CheckList!$A203,'1'!$A:$A,0))=0, "N/A", "SIM")</f>
        <v>N/A</v>
      </c>
    </row>
    <row r="204" spans="1:11" x14ac:dyDescent="0.35">
      <c r="A204" s="22">
        <f>'Dados - Cliente'!A204</f>
        <v>0</v>
      </c>
      <c r="B204" s="22" t="e">
        <f>INDEX('Dados - Cliente'!H:H,MATCH(CheckList!A204,'Dados - Cliente'!A:A,0))</f>
        <v>#N/A</v>
      </c>
      <c r="C204" s="22" t="str">
        <f>IF(INDEX('1'!B:B,MATCH(CheckList!$A204,'1'!$A:$A,0))=0, "N/A", "SIM")</f>
        <v>N/A</v>
      </c>
      <c r="D204" s="22">
        <f>INDEX('1'!Q:Q,MATCH(CheckList!$A204,'1'!$A:$A,0))</f>
        <v>0</v>
      </c>
      <c r="E204" s="22" t="str">
        <f>IF(D204="SIM",IF(MATCH(A204,'2'!$A:$A,0)="","NÃO","SIM"),"NAO")</f>
        <v>NAO</v>
      </c>
      <c r="F204" s="22" t="str">
        <f>IF(INDEX('1'!R:R,MATCH(CheckList!$A204,'1'!$A:$A,0))=0, "N/A", "SIM")</f>
        <v>N/A</v>
      </c>
      <c r="G204" s="22" t="str">
        <f>IF(INDEX('1'!AC:AC,MATCH(CheckList!$A204,'1'!$A:$A,0))=0, "N/A", "SIM")</f>
        <v>N/A</v>
      </c>
      <c r="H204" s="22" t="str">
        <f>IF(INDEX('1'!AF:AF,MATCH(CheckList!$A204,'1'!$A:$A,0))=0, "N/A", "SIM")</f>
        <v>N/A</v>
      </c>
      <c r="I204" s="22" t="str">
        <f>IF(INDEX('1'!L:L,MATCH(CheckList!$A204,'1'!$A:$A,0))=0, "N/A", "SIM")</f>
        <v>N/A</v>
      </c>
      <c r="J204" s="22" t="str">
        <f>IF(LEN(INDEX('1'!L:L,MATCH(CheckList!$A204,'1'!$A:$A,0)))=11, "NAO", IF(LEN(INDEX('1'!L:L,MATCH(CheckList!$A204,'1'!$A:$A,0)))=14,"SIM","N/A"))</f>
        <v>N/A</v>
      </c>
      <c r="K204" s="22" t="str">
        <f>IF(INDEX('1'!BE:BE,MATCH(CheckList!$A204,'1'!$A:$A,0))=0, "N/A", "SIM")</f>
        <v>N/A</v>
      </c>
    </row>
    <row r="205" spans="1:11" x14ac:dyDescent="0.35">
      <c r="A205" s="22">
        <f>'Dados - Cliente'!A205</f>
        <v>0</v>
      </c>
      <c r="B205" s="22" t="e">
        <f>INDEX('Dados - Cliente'!H:H,MATCH(CheckList!A205,'Dados - Cliente'!A:A,0))</f>
        <v>#N/A</v>
      </c>
      <c r="C205" s="22" t="str">
        <f>IF(INDEX('1'!B:B,MATCH(CheckList!$A205,'1'!$A:$A,0))=0, "N/A", "SIM")</f>
        <v>N/A</v>
      </c>
      <c r="D205" s="22">
        <f>INDEX('1'!Q:Q,MATCH(CheckList!$A205,'1'!$A:$A,0))</f>
        <v>0</v>
      </c>
      <c r="E205" s="22" t="str">
        <f>IF(D205="SIM",IF(MATCH(A205,'2'!$A:$A,0)="","NÃO","SIM"),"NAO")</f>
        <v>NAO</v>
      </c>
      <c r="F205" s="22" t="str">
        <f>IF(INDEX('1'!R:R,MATCH(CheckList!$A205,'1'!$A:$A,0))=0, "N/A", "SIM")</f>
        <v>N/A</v>
      </c>
      <c r="G205" s="22" t="str">
        <f>IF(INDEX('1'!AC:AC,MATCH(CheckList!$A205,'1'!$A:$A,0))=0, "N/A", "SIM")</f>
        <v>N/A</v>
      </c>
      <c r="H205" s="22" t="str">
        <f>IF(INDEX('1'!AF:AF,MATCH(CheckList!$A205,'1'!$A:$A,0))=0, "N/A", "SIM")</f>
        <v>N/A</v>
      </c>
      <c r="I205" s="22" t="str">
        <f>IF(INDEX('1'!L:L,MATCH(CheckList!$A205,'1'!$A:$A,0))=0, "N/A", "SIM")</f>
        <v>N/A</v>
      </c>
      <c r="J205" s="22" t="str">
        <f>IF(LEN(INDEX('1'!L:L,MATCH(CheckList!$A205,'1'!$A:$A,0)))=11, "NAO", IF(LEN(INDEX('1'!L:L,MATCH(CheckList!$A205,'1'!$A:$A,0)))=14,"SIM","N/A"))</f>
        <v>N/A</v>
      </c>
      <c r="K205" s="22" t="str">
        <f>IF(INDEX('1'!BE:BE,MATCH(CheckList!$A205,'1'!$A:$A,0))=0, "N/A", "SIM")</f>
        <v>N/A</v>
      </c>
    </row>
    <row r="206" spans="1:11" x14ac:dyDescent="0.35">
      <c r="A206" s="22">
        <f>'Dados - Cliente'!A206</f>
        <v>0</v>
      </c>
      <c r="B206" s="22" t="e">
        <f>INDEX('Dados - Cliente'!H:H,MATCH(CheckList!A206,'Dados - Cliente'!A:A,0))</f>
        <v>#N/A</v>
      </c>
      <c r="C206" s="22" t="str">
        <f>IF(INDEX('1'!B:B,MATCH(CheckList!$A206,'1'!$A:$A,0))=0, "N/A", "SIM")</f>
        <v>N/A</v>
      </c>
      <c r="D206" s="22">
        <f>INDEX('1'!Q:Q,MATCH(CheckList!$A206,'1'!$A:$A,0))</f>
        <v>0</v>
      </c>
      <c r="E206" s="22" t="str">
        <f>IF(D206="SIM",IF(MATCH(A206,'2'!$A:$A,0)="","NÃO","SIM"),"NAO")</f>
        <v>NAO</v>
      </c>
      <c r="F206" s="22" t="str">
        <f>IF(INDEX('1'!R:R,MATCH(CheckList!$A206,'1'!$A:$A,0))=0, "N/A", "SIM")</f>
        <v>N/A</v>
      </c>
      <c r="G206" s="22" t="str">
        <f>IF(INDEX('1'!AC:AC,MATCH(CheckList!$A206,'1'!$A:$A,0))=0, "N/A", "SIM")</f>
        <v>N/A</v>
      </c>
      <c r="H206" s="22" t="str">
        <f>IF(INDEX('1'!AF:AF,MATCH(CheckList!$A206,'1'!$A:$A,0))=0, "N/A", "SIM")</f>
        <v>N/A</v>
      </c>
      <c r="I206" s="22" t="str">
        <f>IF(INDEX('1'!L:L,MATCH(CheckList!$A206,'1'!$A:$A,0))=0, "N/A", "SIM")</f>
        <v>N/A</v>
      </c>
      <c r="J206" s="22" t="str">
        <f>IF(LEN(INDEX('1'!L:L,MATCH(CheckList!$A206,'1'!$A:$A,0)))=11, "NAO", IF(LEN(INDEX('1'!L:L,MATCH(CheckList!$A206,'1'!$A:$A,0)))=14,"SIM","N/A"))</f>
        <v>N/A</v>
      </c>
      <c r="K206" s="22" t="str">
        <f>IF(INDEX('1'!BE:BE,MATCH(CheckList!$A206,'1'!$A:$A,0))=0, "N/A", "SIM")</f>
        <v>N/A</v>
      </c>
    </row>
    <row r="207" spans="1:11" x14ac:dyDescent="0.35">
      <c r="A207" s="22">
        <f>'Dados - Cliente'!A207</f>
        <v>0</v>
      </c>
      <c r="B207" s="22" t="e">
        <f>INDEX('Dados - Cliente'!H:H,MATCH(CheckList!A207,'Dados - Cliente'!A:A,0))</f>
        <v>#N/A</v>
      </c>
      <c r="C207" s="22" t="str">
        <f>IF(INDEX('1'!B:B,MATCH(CheckList!$A207,'1'!$A:$A,0))=0, "N/A", "SIM")</f>
        <v>N/A</v>
      </c>
      <c r="D207" s="22">
        <f>INDEX('1'!Q:Q,MATCH(CheckList!$A207,'1'!$A:$A,0))</f>
        <v>0</v>
      </c>
      <c r="E207" s="22" t="str">
        <f>IF(D207="SIM",IF(MATCH(A207,'2'!$A:$A,0)="","NÃO","SIM"),"NAO")</f>
        <v>NAO</v>
      </c>
      <c r="F207" s="22" t="str">
        <f>IF(INDEX('1'!R:R,MATCH(CheckList!$A207,'1'!$A:$A,0))=0, "N/A", "SIM")</f>
        <v>N/A</v>
      </c>
      <c r="G207" s="22" t="str">
        <f>IF(INDEX('1'!AC:AC,MATCH(CheckList!$A207,'1'!$A:$A,0))=0, "N/A", "SIM")</f>
        <v>N/A</v>
      </c>
      <c r="H207" s="22" t="str">
        <f>IF(INDEX('1'!AF:AF,MATCH(CheckList!$A207,'1'!$A:$A,0))=0, "N/A", "SIM")</f>
        <v>N/A</v>
      </c>
      <c r="I207" s="22" t="str">
        <f>IF(INDEX('1'!L:L,MATCH(CheckList!$A207,'1'!$A:$A,0))=0, "N/A", "SIM")</f>
        <v>N/A</v>
      </c>
      <c r="J207" s="22" t="str">
        <f>IF(LEN(INDEX('1'!L:L,MATCH(CheckList!$A207,'1'!$A:$A,0)))=11, "NAO", IF(LEN(INDEX('1'!L:L,MATCH(CheckList!$A207,'1'!$A:$A,0)))=14,"SIM","N/A"))</f>
        <v>N/A</v>
      </c>
      <c r="K207" s="22" t="str">
        <f>IF(INDEX('1'!BE:BE,MATCH(CheckList!$A207,'1'!$A:$A,0))=0, "N/A", "SIM")</f>
        <v>N/A</v>
      </c>
    </row>
    <row r="208" spans="1:11" x14ac:dyDescent="0.35">
      <c r="A208" s="22">
        <f>'Dados - Cliente'!A208</f>
        <v>0</v>
      </c>
      <c r="B208" s="22" t="e">
        <f>INDEX('Dados - Cliente'!H:H,MATCH(CheckList!A208,'Dados - Cliente'!A:A,0))</f>
        <v>#N/A</v>
      </c>
      <c r="C208" s="22" t="str">
        <f>IF(INDEX('1'!B:B,MATCH(CheckList!$A208,'1'!$A:$A,0))=0, "N/A", "SIM")</f>
        <v>N/A</v>
      </c>
      <c r="D208" s="22">
        <f>INDEX('1'!Q:Q,MATCH(CheckList!$A208,'1'!$A:$A,0))</f>
        <v>0</v>
      </c>
      <c r="E208" s="22" t="str">
        <f>IF(D208="SIM",IF(MATCH(A208,'2'!$A:$A,0)="","NÃO","SIM"),"NAO")</f>
        <v>NAO</v>
      </c>
      <c r="F208" s="22" t="str">
        <f>IF(INDEX('1'!R:R,MATCH(CheckList!$A208,'1'!$A:$A,0))=0, "N/A", "SIM")</f>
        <v>N/A</v>
      </c>
      <c r="G208" s="22" t="str">
        <f>IF(INDEX('1'!AC:AC,MATCH(CheckList!$A208,'1'!$A:$A,0))=0, "N/A", "SIM")</f>
        <v>N/A</v>
      </c>
      <c r="H208" s="22" t="str">
        <f>IF(INDEX('1'!AF:AF,MATCH(CheckList!$A208,'1'!$A:$A,0))=0, "N/A", "SIM")</f>
        <v>N/A</v>
      </c>
      <c r="I208" s="22" t="str">
        <f>IF(INDEX('1'!L:L,MATCH(CheckList!$A208,'1'!$A:$A,0))=0, "N/A", "SIM")</f>
        <v>N/A</v>
      </c>
      <c r="J208" s="22" t="str">
        <f>IF(LEN(INDEX('1'!L:L,MATCH(CheckList!$A208,'1'!$A:$A,0)))=11, "NAO", IF(LEN(INDEX('1'!L:L,MATCH(CheckList!$A208,'1'!$A:$A,0)))=14,"SIM","N/A"))</f>
        <v>N/A</v>
      </c>
      <c r="K208" s="22" t="str">
        <f>IF(INDEX('1'!BE:BE,MATCH(CheckList!$A208,'1'!$A:$A,0))=0, "N/A", "SIM")</f>
        <v>N/A</v>
      </c>
    </row>
    <row r="209" spans="1:11" x14ac:dyDescent="0.35">
      <c r="A209" s="22">
        <f>'Dados - Cliente'!A209</f>
        <v>0</v>
      </c>
      <c r="B209" s="22" t="e">
        <f>INDEX('Dados - Cliente'!H:H,MATCH(CheckList!A209,'Dados - Cliente'!A:A,0))</f>
        <v>#N/A</v>
      </c>
      <c r="C209" s="22" t="str">
        <f>IF(INDEX('1'!B:B,MATCH(CheckList!$A209,'1'!$A:$A,0))=0, "N/A", "SIM")</f>
        <v>N/A</v>
      </c>
      <c r="D209" s="22">
        <f>INDEX('1'!Q:Q,MATCH(CheckList!$A209,'1'!$A:$A,0))</f>
        <v>0</v>
      </c>
      <c r="E209" s="22" t="str">
        <f>IF(D209="SIM",IF(MATCH(A209,'2'!$A:$A,0)="","NÃO","SIM"),"NAO")</f>
        <v>NAO</v>
      </c>
      <c r="F209" s="22" t="str">
        <f>IF(INDEX('1'!R:R,MATCH(CheckList!$A209,'1'!$A:$A,0))=0, "N/A", "SIM")</f>
        <v>N/A</v>
      </c>
      <c r="G209" s="22" t="str">
        <f>IF(INDEX('1'!AC:AC,MATCH(CheckList!$A209,'1'!$A:$A,0))=0, "N/A", "SIM")</f>
        <v>N/A</v>
      </c>
      <c r="H209" s="22" t="str">
        <f>IF(INDEX('1'!AF:AF,MATCH(CheckList!$A209,'1'!$A:$A,0))=0, "N/A", "SIM")</f>
        <v>N/A</v>
      </c>
      <c r="I209" s="22" t="str">
        <f>IF(INDEX('1'!L:L,MATCH(CheckList!$A209,'1'!$A:$A,0))=0, "N/A", "SIM")</f>
        <v>N/A</v>
      </c>
      <c r="J209" s="22" t="str">
        <f>IF(LEN(INDEX('1'!L:L,MATCH(CheckList!$A209,'1'!$A:$A,0)))=11, "NAO", IF(LEN(INDEX('1'!L:L,MATCH(CheckList!$A209,'1'!$A:$A,0)))=14,"SIM","N/A"))</f>
        <v>N/A</v>
      </c>
      <c r="K209" s="22" t="str">
        <f>IF(INDEX('1'!BE:BE,MATCH(CheckList!$A209,'1'!$A:$A,0))=0, "N/A", "SIM")</f>
        <v>N/A</v>
      </c>
    </row>
    <row r="210" spans="1:11" x14ac:dyDescent="0.35">
      <c r="A210" s="22">
        <f>'Dados - Cliente'!A210</f>
        <v>0</v>
      </c>
      <c r="B210" s="22" t="e">
        <f>INDEX('Dados - Cliente'!H:H,MATCH(CheckList!A210,'Dados - Cliente'!A:A,0))</f>
        <v>#N/A</v>
      </c>
      <c r="C210" s="22" t="str">
        <f>IF(INDEX('1'!B:B,MATCH(CheckList!$A210,'1'!$A:$A,0))=0, "N/A", "SIM")</f>
        <v>N/A</v>
      </c>
      <c r="D210" s="22">
        <f>INDEX('1'!Q:Q,MATCH(CheckList!$A210,'1'!$A:$A,0))</f>
        <v>0</v>
      </c>
      <c r="E210" s="22" t="str">
        <f>IF(D210="SIM",IF(MATCH(A210,'2'!$A:$A,0)="","NÃO","SIM"),"NAO")</f>
        <v>NAO</v>
      </c>
      <c r="F210" s="22" t="str">
        <f>IF(INDEX('1'!R:R,MATCH(CheckList!$A210,'1'!$A:$A,0))=0, "N/A", "SIM")</f>
        <v>N/A</v>
      </c>
      <c r="G210" s="22" t="str">
        <f>IF(INDEX('1'!AC:AC,MATCH(CheckList!$A210,'1'!$A:$A,0))=0, "N/A", "SIM")</f>
        <v>N/A</v>
      </c>
      <c r="H210" s="22" t="str">
        <f>IF(INDEX('1'!AF:AF,MATCH(CheckList!$A210,'1'!$A:$A,0))=0, "N/A", "SIM")</f>
        <v>N/A</v>
      </c>
      <c r="I210" s="22" t="str">
        <f>IF(INDEX('1'!L:L,MATCH(CheckList!$A210,'1'!$A:$A,0))=0, "N/A", "SIM")</f>
        <v>N/A</v>
      </c>
      <c r="J210" s="22" t="str">
        <f>IF(LEN(INDEX('1'!L:L,MATCH(CheckList!$A210,'1'!$A:$A,0)))=11, "NAO", IF(LEN(INDEX('1'!L:L,MATCH(CheckList!$A210,'1'!$A:$A,0)))=14,"SIM","N/A"))</f>
        <v>N/A</v>
      </c>
      <c r="K210" s="22" t="str">
        <f>IF(INDEX('1'!BE:BE,MATCH(CheckList!$A210,'1'!$A:$A,0))=0, "N/A", "SIM")</f>
        <v>N/A</v>
      </c>
    </row>
    <row r="211" spans="1:11" x14ac:dyDescent="0.35">
      <c r="A211" s="22">
        <f>'Dados - Cliente'!A211</f>
        <v>0</v>
      </c>
      <c r="B211" s="22" t="e">
        <f>INDEX('Dados - Cliente'!H:H,MATCH(CheckList!A211,'Dados - Cliente'!A:A,0))</f>
        <v>#N/A</v>
      </c>
      <c r="C211" s="22" t="str">
        <f>IF(INDEX('1'!B:B,MATCH(CheckList!$A211,'1'!$A:$A,0))=0, "N/A", "SIM")</f>
        <v>N/A</v>
      </c>
      <c r="D211" s="22">
        <f>INDEX('1'!Q:Q,MATCH(CheckList!$A211,'1'!$A:$A,0))</f>
        <v>0</v>
      </c>
      <c r="E211" s="22" t="str">
        <f>IF(D211="SIM",IF(MATCH(A211,'2'!$A:$A,0)="","NÃO","SIM"),"NAO")</f>
        <v>NAO</v>
      </c>
      <c r="F211" s="22" t="str">
        <f>IF(INDEX('1'!R:R,MATCH(CheckList!$A211,'1'!$A:$A,0))=0, "N/A", "SIM")</f>
        <v>N/A</v>
      </c>
      <c r="G211" s="22" t="str">
        <f>IF(INDEX('1'!AC:AC,MATCH(CheckList!$A211,'1'!$A:$A,0))=0, "N/A", "SIM")</f>
        <v>N/A</v>
      </c>
      <c r="H211" s="22" t="str">
        <f>IF(INDEX('1'!AF:AF,MATCH(CheckList!$A211,'1'!$A:$A,0))=0, "N/A", "SIM")</f>
        <v>N/A</v>
      </c>
      <c r="I211" s="22" t="str">
        <f>IF(INDEX('1'!L:L,MATCH(CheckList!$A211,'1'!$A:$A,0))=0, "N/A", "SIM")</f>
        <v>N/A</v>
      </c>
      <c r="J211" s="22" t="str">
        <f>IF(LEN(INDEX('1'!L:L,MATCH(CheckList!$A211,'1'!$A:$A,0)))=11, "NAO", IF(LEN(INDEX('1'!L:L,MATCH(CheckList!$A211,'1'!$A:$A,0)))=14,"SIM","N/A"))</f>
        <v>N/A</v>
      </c>
      <c r="K211" s="22" t="str">
        <f>IF(INDEX('1'!BE:BE,MATCH(CheckList!$A211,'1'!$A:$A,0))=0, "N/A", "SIM")</f>
        <v>N/A</v>
      </c>
    </row>
    <row r="212" spans="1:11" x14ac:dyDescent="0.35">
      <c r="A212" s="22">
        <f>'Dados - Cliente'!A212</f>
        <v>0</v>
      </c>
      <c r="B212" s="22" t="e">
        <f>INDEX('Dados - Cliente'!H:H,MATCH(CheckList!A212,'Dados - Cliente'!A:A,0))</f>
        <v>#N/A</v>
      </c>
      <c r="C212" s="22" t="str">
        <f>IF(INDEX('1'!B:B,MATCH(CheckList!$A212,'1'!$A:$A,0))=0, "N/A", "SIM")</f>
        <v>N/A</v>
      </c>
      <c r="D212" s="22">
        <f>INDEX('1'!Q:Q,MATCH(CheckList!$A212,'1'!$A:$A,0))</f>
        <v>0</v>
      </c>
      <c r="E212" s="22" t="str">
        <f>IF(D212="SIM",IF(MATCH(A212,'2'!$A:$A,0)="","NÃO","SIM"),"NAO")</f>
        <v>NAO</v>
      </c>
      <c r="F212" s="22" t="str">
        <f>IF(INDEX('1'!R:R,MATCH(CheckList!$A212,'1'!$A:$A,0))=0, "N/A", "SIM")</f>
        <v>N/A</v>
      </c>
      <c r="G212" s="22" t="str">
        <f>IF(INDEX('1'!AC:AC,MATCH(CheckList!$A212,'1'!$A:$A,0))=0, "N/A", "SIM")</f>
        <v>N/A</v>
      </c>
      <c r="H212" s="22" t="str">
        <f>IF(INDEX('1'!AF:AF,MATCH(CheckList!$A212,'1'!$A:$A,0))=0, "N/A", "SIM")</f>
        <v>N/A</v>
      </c>
      <c r="I212" s="22" t="str">
        <f>IF(INDEX('1'!L:L,MATCH(CheckList!$A212,'1'!$A:$A,0))=0, "N/A", "SIM")</f>
        <v>N/A</v>
      </c>
      <c r="J212" s="22" t="str">
        <f>IF(LEN(INDEX('1'!L:L,MATCH(CheckList!$A212,'1'!$A:$A,0)))=11, "NAO", IF(LEN(INDEX('1'!L:L,MATCH(CheckList!$A212,'1'!$A:$A,0)))=14,"SIM","N/A"))</f>
        <v>N/A</v>
      </c>
      <c r="K212" s="22" t="str">
        <f>IF(INDEX('1'!BE:BE,MATCH(CheckList!$A212,'1'!$A:$A,0))=0, "N/A", "SIM")</f>
        <v>N/A</v>
      </c>
    </row>
    <row r="213" spans="1:11" x14ac:dyDescent="0.35">
      <c r="A213" s="22">
        <f>'Dados - Cliente'!A213</f>
        <v>0</v>
      </c>
      <c r="B213" s="22" t="e">
        <f>INDEX('Dados - Cliente'!H:H,MATCH(CheckList!A213,'Dados - Cliente'!A:A,0))</f>
        <v>#N/A</v>
      </c>
      <c r="C213" s="22" t="str">
        <f>IF(INDEX('1'!B:B,MATCH(CheckList!$A213,'1'!$A:$A,0))=0, "N/A", "SIM")</f>
        <v>N/A</v>
      </c>
      <c r="D213" s="22">
        <f>INDEX('1'!Q:Q,MATCH(CheckList!$A213,'1'!$A:$A,0))</f>
        <v>0</v>
      </c>
      <c r="E213" s="22" t="str">
        <f>IF(D213="SIM",IF(MATCH(A213,'2'!$A:$A,0)="","NÃO","SIM"),"NAO")</f>
        <v>NAO</v>
      </c>
      <c r="F213" s="22" t="str">
        <f>IF(INDEX('1'!R:R,MATCH(CheckList!$A213,'1'!$A:$A,0))=0, "N/A", "SIM")</f>
        <v>N/A</v>
      </c>
      <c r="G213" s="22" t="str">
        <f>IF(INDEX('1'!AC:AC,MATCH(CheckList!$A213,'1'!$A:$A,0))=0, "N/A", "SIM")</f>
        <v>N/A</v>
      </c>
      <c r="H213" s="22" t="str">
        <f>IF(INDEX('1'!AF:AF,MATCH(CheckList!$A213,'1'!$A:$A,0))=0, "N/A", "SIM")</f>
        <v>N/A</v>
      </c>
      <c r="I213" s="22" t="str">
        <f>IF(INDEX('1'!L:L,MATCH(CheckList!$A213,'1'!$A:$A,0))=0, "N/A", "SIM")</f>
        <v>N/A</v>
      </c>
      <c r="J213" s="22" t="str">
        <f>IF(LEN(INDEX('1'!L:L,MATCH(CheckList!$A213,'1'!$A:$A,0)))=11, "NAO", IF(LEN(INDEX('1'!L:L,MATCH(CheckList!$A213,'1'!$A:$A,0)))=14,"SIM","N/A"))</f>
        <v>N/A</v>
      </c>
      <c r="K213" s="22" t="str">
        <f>IF(INDEX('1'!BE:BE,MATCH(CheckList!$A213,'1'!$A:$A,0))=0, "N/A", "SIM")</f>
        <v>N/A</v>
      </c>
    </row>
    <row r="214" spans="1:11" x14ac:dyDescent="0.35">
      <c r="A214" s="22">
        <f>'Dados - Cliente'!A214</f>
        <v>0</v>
      </c>
      <c r="B214" s="22" t="e">
        <f>INDEX('Dados - Cliente'!H:H,MATCH(CheckList!A214,'Dados - Cliente'!A:A,0))</f>
        <v>#N/A</v>
      </c>
      <c r="C214" s="22" t="str">
        <f>IF(INDEX('1'!B:B,MATCH(CheckList!$A214,'1'!$A:$A,0))=0, "N/A", "SIM")</f>
        <v>N/A</v>
      </c>
      <c r="D214" s="22">
        <f>INDEX('1'!Q:Q,MATCH(CheckList!$A214,'1'!$A:$A,0))</f>
        <v>0</v>
      </c>
      <c r="E214" s="22" t="str">
        <f>IF(D214="SIM",IF(MATCH(A214,'2'!$A:$A,0)="","NÃO","SIM"),"NAO")</f>
        <v>NAO</v>
      </c>
      <c r="F214" s="22" t="str">
        <f>IF(INDEX('1'!R:R,MATCH(CheckList!$A214,'1'!$A:$A,0))=0, "N/A", "SIM")</f>
        <v>N/A</v>
      </c>
      <c r="G214" s="22" t="str">
        <f>IF(INDEX('1'!AC:AC,MATCH(CheckList!$A214,'1'!$A:$A,0))=0, "N/A", "SIM")</f>
        <v>N/A</v>
      </c>
      <c r="H214" s="22" t="str">
        <f>IF(INDEX('1'!AF:AF,MATCH(CheckList!$A214,'1'!$A:$A,0))=0, "N/A", "SIM")</f>
        <v>N/A</v>
      </c>
      <c r="I214" s="22" t="str">
        <f>IF(INDEX('1'!L:L,MATCH(CheckList!$A214,'1'!$A:$A,0))=0, "N/A", "SIM")</f>
        <v>N/A</v>
      </c>
      <c r="J214" s="22" t="str">
        <f>IF(LEN(INDEX('1'!L:L,MATCH(CheckList!$A214,'1'!$A:$A,0)))=11, "NAO", IF(LEN(INDEX('1'!L:L,MATCH(CheckList!$A214,'1'!$A:$A,0)))=14,"SIM","N/A"))</f>
        <v>N/A</v>
      </c>
      <c r="K214" s="22" t="str">
        <f>IF(INDEX('1'!BE:BE,MATCH(CheckList!$A214,'1'!$A:$A,0))=0, "N/A", "SIM")</f>
        <v>N/A</v>
      </c>
    </row>
    <row r="215" spans="1:11" x14ac:dyDescent="0.35">
      <c r="A215" s="22">
        <f>'Dados - Cliente'!A215</f>
        <v>0</v>
      </c>
      <c r="B215" s="22" t="e">
        <f>INDEX('Dados - Cliente'!H:H,MATCH(CheckList!A215,'Dados - Cliente'!A:A,0))</f>
        <v>#N/A</v>
      </c>
      <c r="C215" s="22" t="str">
        <f>IF(INDEX('1'!B:B,MATCH(CheckList!$A215,'1'!$A:$A,0))=0, "N/A", "SIM")</f>
        <v>N/A</v>
      </c>
      <c r="D215" s="22">
        <f>INDEX('1'!Q:Q,MATCH(CheckList!$A215,'1'!$A:$A,0))</f>
        <v>0</v>
      </c>
      <c r="E215" s="22" t="str">
        <f>IF(D215="SIM",IF(MATCH(A215,'2'!$A:$A,0)="","NÃO","SIM"),"NAO")</f>
        <v>NAO</v>
      </c>
      <c r="F215" s="22" t="str">
        <f>IF(INDEX('1'!R:R,MATCH(CheckList!$A215,'1'!$A:$A,0))=0, "N/A", "SIM")</f>
        <v>N/A</v>
      </c>
      <c r="G215" s="22" t="str">
        <f>IF(INDEX('1'!AC:AC,MATCH(CheckList!$A215,'1'!$A:$A,0))=0, "N/A", "SIM")</f>
        <v>N/A</v>
      </c>
      <c r="H215" s="22" t="str">
        <f>IF(INDEX('1'!AF:AF,MATCH(CheckList!$A215,'1'!$A:$A,0))=0, "N/A", "SIM")</f>
        <v>N/A</v>
      </c>
      <c r="I215" s="22" t="str">
        <f>IF(INDEX('1'!L:L,MATCH(CheckList!$A215,'1'!$A:$A,0))=0, "N/A", "SIM")</f>
        <v>N/A</v>
      </c>
      <c r="J215" s="22" t="str">
        <f>IF(LEN(INDEX('1'!L:L,MATCH(CheckList!$A215,'1'!$A:$A,0)))=11, "NAO", IF(LEN(INDEX('1'!L:L,MATCH(CheckList!$A215,'1'!$A:$A,0)))=14,"SIM","N/A"))</f>
        <v>N/A</v>
      </c>
      <c r="K215" s="22" t="str">
        <f>IF(INDEX('1'!BE:BE,MATCH(CheckList!$A215,'1'!$A:$A,0))=0, "N/A", "SIM")</f>
        <v>N/A</v>
      </c>
    </row>
    <row r="216" spans="1:11" x14ac:dyDescent="0.35">
      <c r="A216" s="22">
        <f>'Dados - Cliente'!A216</f>
        <v>0</v>
      </c>
      <c r="B216" s="22" t="e">
        <f>INDEX('Dados - Cliente'!H:H,MATCH(CheckList!A216,'Dados - Cliente'!A:A,0))</f>
        <v>#N/A</v>
      </c>
      <c r="C216" s="22" t="str">
        <f>IF(INDEX('1'!B:B,MATCH(CheckList!$A216,'1'!$A:$A,0))=0, "N/A", "SIM")</f>
        <v>N/A</v>
      </c>
      <c r="D216" s="22">
        <f>INDEX('1'!Q:Q,MATCH(CheckList!$A216,'1'!$A:$A,0))</f>
        <v>0</v>
      </c>
      <c r="E216" s="22" t="str">
        <f>IF(D216="SIM",IF(MATCH(A216,'2'!$A:$A,0)="","NÃO","SIM"),"NAO")</f>
        <v>NAO</v>
      </c>
      <c r="F216" s="22" t="str">
        <f>IF(INDEX('1'!R:R,MATCH(CheckList!$A216,'1'!$A:$A,0))=0, "N/A", "SIM")</f>
        <v>N/A</v>
      </c>
      <c r="G216" s="22" t="str">
        <f>IF(INDEX('1'!AC:AC,MATCH(CheckList!$A216,'1'!$A:$A,0))=0, "N/A", "SIM")</f>
        <v>N/A</v>
      </c>
      <c r="H216" s="22" t="str">
        <f>IF(INDEX('1'!AF:AF,MATCH(CheckList!$A216,'1'!$A:$A,0))=0, "N/A", "SIM")</f>
        <v>N/A</v>
      </c>
      <c r="I216" s="22" t="str">
        <f>IF(INDEX('1'!L:L,MATCH(CheckList!$A216,'1'!$A:$A,0))=0, "N/A", "SIM")</f>
        <v>N/A</v>
      </c>
      <c r="J216" s="22" t="str">
        <f>IF(LEN(INDEX('1'!L:L,MATCH(CheckList!$A216,'1'!$A:$A,0)))=11, "NAO", IF(LEN(INDEX('1'!L:L,MATCH(CheckList!$A216,'1'!$A:$A,0)))=14,"SIM","N/A"))</f>
        <v>N/A</v>
      </c>
      <c r="K216" s="22" t="str">
        <f>IF(INDEX('1'!BE:BE,MATCH(CheckList!$A216,'1'!$A:$A,0))=0, "N/A", "SIM")</f>
        <v>N/A</v>
      </c>
    </row>
    <row r="217" spans="1:11" x14ac:dyDescent="0.35">
      <c r="A217" s="22">
        <f>'Dados - Cliente'!A217</f>
        <v>0</v>
      </c>
      <c r="B217" s="22" t="e">
        <f>INDEX('Dados - Cliente'!H:H,MATCH(CheckList!A217,'Dados - Cliente'!A:A,0))</f>
        <v>#N/A</v>
      </c>
      <c r="C217" s="22" t="str">
        <f>IF(INDEX('1'!B:B,MATCH(CheckList!$A217,'1'!$A:$A,0))=0, "N/A", "SIM")</f>
        <v>N/A</v>
      </c>
      <c r="D217" s="22">
        <f>INDEX('1'!Q:Q,MATCH(CheckList!$A217,'1'!$A:$A,0))</f>
        <v>0</v>
      </c>
      <c r="E217" s="22" t="str">
        <f>IF(D217="SIM",IF(MATCH(A217,'2'!$A:$A,0)="","NÃO","SIM"),"NAO")</f>
        <v>NAO</v>
      </c>
      <c r="F217" s="22" t="str">
        <f>IF(INDEX('1'!R:R,MATCH(CheckList!$A217,'1'!$A:$A,0))=0, "N/A", "SIM")</f>
        <v>N/A</v>
      </c>
      <c r="G217" s="22" t="str">
        <f>IF(INDEX('1'!AC:AC,MATCH(CheckList!$A217,'1'!$A:$A,0))=0, "N/A", "SIM")</f>
        <v>N/A</v>
      </c>
      <c r="H217" s="22" t="str">
        <f>IF(INDEX('1'!AF:AF,MATCH(CheckList!$A217,'1'!$A:$A,0))=0, "N/A", "SIM")</f>
        <v>N/A</v>
      </c>
      <c r="I217" s="22" t="str">
        <f>IF(INDEX('1'!L:L,MATCH(CheckList!$A217,'1'!$A:$A,0))=0, "N/A", "SIM")</f>
        <v>N/A</v>
      </c>
      <c r="J217" s="22" t="str">
        <f>IF(LEN(INDEX('1'!L:L,MATCH(CheckList!$A217,'1'!$A:$A,0)))=11, "NAO", IF(LEN(INDEX('1'!L:L,MATCH(CheckList!$A217,'1'!$A:$A,0)))=14,"SIM","N/A"))</f>
        <v>N/A</v>
      </c>
      <c r="K217" s="22" t="str">
        <f>IF(INDEX('1'!BE:BE,MATCH(CheckList!$A217,'1'!$A:$A,0))=0, "N/A", "SIM")</f>
        <v>N/A</v>
      </c>
    </row>
    <row r="218" spans="1:11" x14ac:dyDescent="0.35">
      <c r="A218" s="22">
        <f>'Dados - Cliente'!A218</f>
        <v>0</v>
      </c>
      <c r="B218" s="22" t="e">
        <f>INDEX('Dados - Cliente'!H:H,MATCH(CheckList!A218,'Dados - Cliente'!A:A,0))</f>
        <v>#N/A</v>
      </c>
      <c r="C218" s="22" t="str">
        <f>IF(INDEX('1'!B:B,MATCH(CheckList!$A218,'1'!$A:$A,0))=0, "N/A", "SIM")</f>
        <v>N/A</v>
      </c>
      <c r="D218" s="22">
        <f>INDEX('1'!Q:Q,MATCH(CheckList!$A218,'1'!$A:$A,0))</f>
        <v>0</v>
      </c>
      <c r="E218" s="22" t="str">
        <f>IF(D218="SIM",IF(MATCH(A218,'2'!$A:$A,0)="","NÃO","SIM"),"NAO")</f>
        <v>NAO</v>
      </c>
      <c r="F218" s="22" t="str">
        <f>IF(INDEX('1'!R:R,MATCH(CheckList!$A218,'1'!$A:$A,0))=0, "N/A", "SIM")</f>
        <v>N/A</v>
      </c>
      <c r="G218" s="22" t="str">
        <f>IF(INDEX('1'!AC:AC,MATCH(CheckList!$A218,'1'!$A:$A,0))=0, "N/A", "SIM")</f>
        <v>N/A</v>
      </c>
      <c r="H218" s="22" t="str">
        <f>IF(INDEX('1'!AF:AF,MATCH(CheckList!$A218,'1'!$A:$A,0))=0, "N/A", "SIM")</f>
        <v>N/A</v>
      </c>
      <c r="I218" s="22" t="str">
        <f>IF(INDEX('1'!L:L,MATCH(CheckList!$A218,'1'!$A:$A,0))=0, "N/A", "SIM")</f>
        <v>N/A</v>
      </c>
      <c r="J218" s="22" t="str">
        <f>IF(LEN(INDEX('1'!L:L,MATCH(CheckList!$A218,'1'!$A:$A,0)))=11, "NAO", IF(LEN(INDEX('1'!L:L,MATCH(CheckList!$A218,'1'!$A:$A,0)))=14,"SIM","N/A"))</f>
        <v>N/A</v>
      </c>
      <c r="K218" s="22" t="str">
        <f>IF(INDEX('1'!BE:BE,MATCH(CheckList!$A218,'1'!$A:$A,0))=0, "N/A", "SIM")</f>
        <v>N/A</v>
      </c>
    </row>
    <row r="219" spans="1:11" x14ac:dyDescent="0.35">
      <c r="A219" s="22">
        <f>'Dados - Cliente'!A219</f>
        <v>0</v>
      </c>
      <c r="B219" s="22" t="e">
        <f>INDEX('Dados - Cliente'!H:H,MATCH(CheckList!A219,'Dados - Cliente'!A:A,0))</f>
        <v>#N/A</v>
      </c>
      <c r="C219" s="22" t="str">
        <f>IF(INDEX('1'!B:B,MATCH(CheckList!$A219,'1'!$A:$A,0))=0, "N/A", "SIM")</f>
        <v>N/A</v>
      </c>
      <c r="D219" s="22">
        <f>INDEX('1'!Q:Q,MATCH(CheckList!$A219,'1'!$A:$A,0))</f>
        <v>0</v>
      </c>
      <c r="E219" s="22" t="str">
        <f>IF(D219="SIM",IF(MATCH(A219,'2'!$A:$A,0)="","NÃO","SIM"),"NAO")</f>
        <v>NAO</v>
      </c>
      <c r="F219" s="22" t="str">
        <f>IF(INDEX('1'!R:R,MATCH(CheckList!$A219,'1'!$A:$A,0))=0, "N/A", "SIM")</f>
        <v>N/A</v>
      </c>
      <c r="G219" s="22" t="str">
        <f>IF(INDEX('1'!AC:AC,MATCH(CheckList!$A219,'1'!$A:$A,0))=0, "N/A", "SIM")</f>
        <v>N/A</v>
      </c>
      <c r="H219" s="22" t="str">
        <f>IF(INDEX('1'!AF:AF,MATCH(CheckList!$A219,'1'!$A:$A,0))=0, "N/A", "SIM")</f>
        <v>N/A</v>
      </c>
      <c r="I219" s="22" t="str">
        <f>IF(INDEX('1'!L:L,MATCH(CheckList!$A219,'1'!$A:$A,0))=0, "N/A", "SIM")</f>
        <v>N/A</v>
      </c>
      <c r="J219" s="22" t="str">
        <f>IF(LEN(INDEX('1'!L:L,MATCH(CheckList!$A219,'1'!$A:$A,0)))=11, "NAO", IF(LEN(INDEX('1'!L:L,MATCH(CheckList!$A219,'1'!$A:$A,0)))=14,"SIM","N/A"))</f>
        <v>N/A</v>
      </c>
      <c r="K219" s="22" t="str">
        <f>IF(INDEX('1'!BE:BE,MATCH(CheckList!$A219,'1'!$A:$A,0))=0, "N/A", "SIM")</f>
        <v>N/A</v>
      </c>
    </row>
    <row r="220" spans="1:11" x14ac:dyDescent="0.35">
      <c r="A220" s="22">
        <f>'Dados - Cliente'!A220</f>
        <v>0</v>
      </c>
      <c r="B220" s="22" t="e">
        <f>INDEX('Dados - Cliente'!H:H,MATCH(CheckList!A220,'Dados - Cliente'!A:A,0))</f>
        <v>#N/A</v>
      </c>
      <c r="C220" s="22" t="str">
        <f>IF(INDEX('1'!B:B,MATCH(CheckList!$A220,'1'!$A:$A,0))=0, "N/A", "SIM")</f>
        <v>N/A</v>
      </c>
      <c r="D220" s="22">
        <f>INDEX('1'!Q:Q,MATCH(CheckList!$A220,'1'!$A:$A,0))</f>
        <v>0</v>
      </c>
      <c r="E220" s="22" t="str">
        <f>IF(D220="SIM",IF(MATCH(A220,'2'!$A:$A,0)="","NÃO","SIM"),"NAO")</f>
        <v>NAO</v>
      </c>
      <c r="F220" s="22" t="str">
        <f>IF(INDEX('1'!R:R,MATCH(CheckList!$A220,'1'!$A:$A,0))=0, "N/A", "SIM")</f>
        <v>N/A</v>
      </c>
      <c r="G220" s="22" t="str">
        <f>IF(INDEX('1'!AC:AC,MATCH(CheckList!$A220,'1'!$A:$A,0))=0, "N/A", "SIM")</f>
        <v>N/A</v>
      </c>
      <c r="H220" s="22" t="str">
        <f>IF(INDEX('1'!AF:AF,MATCH(CheckList!$A220,'1'!$A:$A,0))=0, "N/A", "SIM")</f>
        <v>N/A</v>
      </c>
      <c r="I220" s="22" t="str">
        <f>IF(INDEX('1'!L:L,MATCH(CheckList!$A220,'1'!$A:$A,0))=0, "N/A", "SIM")</f>
        <v>N/A</v>
      </c>
      <c r="J220" s="22" t="str">
        <f>IF(LEN(INDEX('1'!L:L,MATCH(CheckList!$A220,'1'!$A:$A,0)))=11, "NAO", IF(LEN(INDEX('1'!L:L,MATCH(CheckList!$A220,'1'!$A:$A,0)))=14,"SIM","N/A"))</f>
        <v>N/A</v>
      </c>
      <c r="K220" s="22" t="str">
        <f>IF(INDEX('1'!BE:BE,MATCH(CheckList!$A220,'1'!$A:$A,0))=0, "N/A", "SIM")</f>
        <v>N/A</v>
      </c>
    </row>
    <row r="221" spans="1:11" x14ac:dyDescent="0.35">
      <c r="A221" s="22">
        <f>'Dados - Cliente'!A221</f>
        <v>0</v>
      </c>
      <c r="B221" s="22" t="e">
        <f>INDEX('Dados - Cliente'!H:H,MATCH(CheckList!A221,'Dados - Cliente'!A:A,0))</f>
        <v>#N/A</v>
      </c>
      <c r="C221" s="22" t="str">
        <f>IF(INDEX('1'!B:B,MATCH(CheckList!$A221,'1'!$A:$A,0))=0, "N/A", "SIM")</f>
        <v>N/A</v>
      </c>
      <c r="D221" s="22">
        <f>INDEX('1'!Q:Q,MATCH(CheckList!$A221,'1'!$A:$A,0))</f>
        <v>0</v>
      </c>
      <c r="E221" s="22" t="str">
        <f>IF(D221="SIM",IF(MATCH(A221,'2'!$A:$A,0)="","NÃO","SIM"),"NAO")</f>
        <v>NAO</v>
      </c>
      <c r="F221" s="22" t="str">
        <f>IF(INDEX('1'!R:R,MATCH(CheckList!$A221,'1'!$A:$A,0))=0, "N/A", "SIM")</f>
        <v>N/A</v>
      </c>
      <c r="G221" s="22" t="str">
        <f>IF(INDEX('1'!AC:AC,MATCH(CheckList!$A221,'1'!$A:$A,0))=0, "N/A", "SIM")</f>
        <v>N/A</v>
      </c>
      <c r="H221" s="22" t="str">
        <f>IF(INDEX('1'!AF:AF,MATCH(CheckList!$A221,'1'!$A:$A,0))=0, "N/A", "SIM")</f>
        <v>N/A</v>
      </c>
      <c r="I221" s="22" t="str">
        <f>IF(INDEX('1'!L:L,MATCH(CheckList!$A221,'1'!$A:$A,0))=0, "N/A", "SIM")</f>
        <v>N/A</v>
      </c>
      <c r="J221" s="22" t="str">
        <f>IF(LEN(INDEX('1'!L:L,MATCH(CheckList!$A221,'1'!$A:$A,0)))=11, "NAO", IF(LEN(INDEX('1'!L:L,MATCH(CheckList!$A221,'1'!$A:$A,0)))=14,"SIM","N/A"))</f>
        <v>N/A</v>
      </c>
      <c r="K221" s="22" t="str">
        <f>IF(INDEX('1'!BE:BE,MATCH(CheckList!$A221,'1'!$A:$A,0))=0, "N/A", "SIM")</f>
        <v>N/A</v>
      </c>
    </row>
    <row r="222" spans="1:11" x14ac:dyDescent="0.35">
      <c r="A222" s="22">
        <f>'Dados - Cliente'!A222</f>
        <v>0</v>
      </c>
      <c r="B222" s="22" t="e">
        <f>INDEX('Dados - Cliente'!H:H,MATCH(CheckList!A222,'Dados - Cliente'!A:A,0))</f>
        <v>#N/A</v>
      </c>
      <c r="C222" s="22" t="str">
        <f>IF(INDEX('1'!B:B,MATCH(CheckList!$A222,'1'!$A:$A,0))=0, "N/A", "SIM")</f>
        <v>N/A</v>
      </c>
      <c r="D222" s="22">
        <f>INDEX('1'!Q:Q,MATCH(CheckList!$A222,'1'!$A:$A,0))</f>
        <v>0</v>
      </c>
      <c r="E222" s="22" t="str">
        <f>IF(D222="SIM",IF(MATCH(A222,'2'!$A:$A,0)="","NÃO","SIM"),"NAO")</f>
        <v>NAO</v>
      </c>
      <c r="F222" s="22" t="str">
        <f>IF(INDEX('1'!R:R,MATCH(CheckList!$A222,'1'!$A:$A,0))=0, "N/A", "SIM")</f>
        <v>N/A</v>
      </c>
      <c r="G222" s="22" t="str">
        <f>IF(INDEX('1'!AC:AC,MATCH(CheckList!$A222,'1'!$A:$A,0))=0, "N/A", "SIM")</f>
        <v>N/A</v>
      </c>
      <c r="H222" s="22" t="str">
        <f>IF(INDEX('1'!AF:AF,MATCH(CheckList!$A222,'1'!$A:$A,0))=0, "N/A", "SIM")</f>
        <v>N/A</v>
      </c>
      <c r="I222" s="22" t="str">
        <f>IF(INDEX('1'!L:L,MATCH(CheckList!$A222,'1'!$A:$A,0))=0, "N/A", "SIM")</f>
        <v>N/A</v>
      </c>
      <c r="J222" s="22" t="str">
        <f>IF(LEN(INDEX('1'!L:L,MATCH(CheckList!$A222,'1'!$A:$A,0)))=11, "NAO", IF(LEN(INDEX('1'!L:L,MATCH(CheckList!$A222,'1'!$A:$A,0)))=14,"SIM","N/A"))</f>
        <v>N/A</v>
      </c>
      <c r="K222" s="22" t="str">
        <f>IF(INDEX('1'!BE:BE,MATCH(CheckList!$A222,'1'!$A:$A,0))=0, "N/A", "SIM")</f>
        <v>N/A</v>
      </c>
    </row>
    <row r="223" spans="1:11" x14ac:dyDescent="0.35">
      <c r="A223" s="22">
        <f>'Dados - Cliente'!A223</f>
        <v>0</v>
      </c>
      <c r="B223" s="22" t="e">
        <f>INDEX('Dados - Cliente'!H:H,MATCH(CheckList!A223,'Dados - Cliente'!A:A,0))</f>
        <v>#N/A</v>
      </c>
      <c r="C223" s="22" t="str">
        <f>IF(INDEX('1'!B:B,MATCH(CheckList!$A223,'1'!$A:$A,0))=0, "N/A", "SIM")</f>
        <v>N/A</v>
      </c>
      <c r="D223" s="22">
        <f>INDEX('1'!Q:Q,MATCH(CheckList!$A223,'1'!$A:$A,0))</f>
        <v>0</v>
      </c>
      <c r="E223" s="22" t="str">
        <f>IF(D223="SIM",IF(MATCH(A223,'2'!$A:$A,0)="","NÃO","SIM"),"NAO")</f>
        <v>NAO</v>
      </c>
      <c r="F223" s="22" t="str">
        <f>IF(INDEX('1'!R:R,MATCH(CheckList!$A223,'1'!$A:$A,0))=0, "N/A", "SIM")</f>
        <v>N/A</v>
      </c>
      <c r="G223" s="22" t="str">
        <f>IF(INDEX('1'!AC:AC,MATCH(CheckList!$A223,'1'!$A:$A,0))=0, "N/A", "SIM")</f>
        <v>N/A</v>
      </c>
      <c r="H223" s="22" t="str">
        <f>IF(INDEX('1'!AF:AF,MATCH(CheckList!$A223,'1'!$A:$A,0))=0, "N/A", "SIM")</f>
        <v>N/A</v>
      </c>
      <c r="I223" s="22" t="str">
        <f>IF(INDEX('1'!L:L,MATCH(CheckList!$A223,'1'!$A:$A,0))=0, "N/A", "SIM")</f>
        <v>N/A</v>
      </c>
      <c r="J223" s="22" t="str">
        <f>IF(LEN(INDEX('1'!L:L,MATCH(CheckList!$A223,'1'!$A:$A,0)))=11, "NAO", IF(LEN(INDEX('1'!L:L,MATCH(CheckList!$A223,'1'!$A:$A,0)))=14,"SIM","N/A"))</f>
        <v>N/A</v>
      </c>
      <c r="K223" s="22" t="str">
        <f>IF(INDEX('1'!BE:BE,MATCH(CheckList!$A223,'1'!$A:$A,0))=0, "N/A", "SIM")</f>
        <v>N/A</v>
      </c>
    </row>
    <row r="224" spans="1:11" x14ac:dyDescent="0.35">
      <c r="A224" s="22">
        <f>'Dados - Cliente'!A224</f>
        <v>0</v>
      </c>
      <c r="B224" s="22" t="e">
        <f>INDEX('Dados - Cliente'!H:H,MATCH(CheckList!A224,'Dados - Cliente'!A:A,0))</f>
        <v>#N/A</v>
      </c>
      <c r="C224" s="22" t="str">
        <f>IF(INDEX('1'!B:B,MATCH(CheckList!$A224,'1'!$A:$A,0))=0, "N/A", "SIM")</f>
        <v>N/A</v>
      </c>
      <c r="D224" s="22">
        <f>INDEX('1'!Q:Q,MATCH(CheckList!$A224,'1'!$A:$A,0))</f>
        <v>0</v>
      </c>
      <c r="E224" s="22" t="str">
        <f>IF(D224="SIM",IF(MATCH(A224,'2'!$A:$A,0)="","NÃO","SIM"),"NAO")</f>
        <v>NAO</v>
      </c>
      <c r="F224" s="22" t="str">
        <f>IF(INDEX('1'!R:R,MATCH(CheckList!$A224,'1'!$A:$A,0))=0, "N/A", "SIM")</f>
        <v>N/A</v>
      </c>
      <c r="G224" s="22" t="str">
        <f>IF(INDEX('1'!AC:AC,MATCH(CheckList!$A224,'1'!$A:$A,0))=0, "N/A", "SIM")</f>
        <v>N/A</v>
      </c>
      <c r="H224" s="22" t="str">
        <f>IF(INDEX('1'!AF:AF,MATCH(CheckList!$A224,'1'!$A:$A,0))=0, "N/A", "SIM")</f>
        <v>N/A</v>
      </c>
      <c r="I224" s="22" t="str">
        <f>IF(INDEX('1'!L:L,MATCH(CheckList!$A224,'1'!$A:$A,0))=0, "N/A", "SIM")</f>
        <v>N/A</v>
      </c>
      <c r="J224" s="22" t="str">
        <f>IF(LEN(INDEX('1'!L:L,MATCH(CheckList!$A224,'1'!$A:$A,0)))=11, "NAO", IF(LEN(INDEX('1'!L:L,MATCH(CheckList!$A224,'1'!$A:$A,0)))=14,"SIM","N/A"))</f>
        <v>N/A</v>
      </c>
      <c r="K224" s="22" t="str">
        <f>IF(INDEX('1'!BE:BE,MATCH(CheckList!$A224,'1'!$A:$A,0))=0, "N/A", "SIM")</f>
        <v>N/A</v>
      </c>
    </row>
    <row r="225" spans="1:11" x14ac:dyDescent="0.35">
      <c r="A225" s="22">
        <f>'Dados - Cliente'!A225</f>
        <v>0</v>
      </c>
      <c r="B225" s="22" t="e">
        <f>INDEX('Dados - Cliente'!H:H,MATCH(CheckList!A225,'Dados - Cliente'!A:A,0))</f>
        <v>#N/A</v>
      </c>
      <c r="C225" s="22" t="str">
        <f>IF(INDEX('1'!B:B,MATCH(CheckList!$A225,'1'!$A:$A,0))=0, "N/A", "SIM")</f>
        <v>N/A</v>
      </c>
      <c r="D225" s="22">
        <f>INDEX('1'!Q:Q,MATCH(CheckList!$A225,'1'!$A:$A,0))</f>
        <v>0</v>
      </c>
      <c r="E225" s="22" t="str">
        <f>IF(D225="SIM",IF(MATCH(A225,'2'!$A:$A,0)="","NÃO","SIM"),"NAO")</f>
        <v>NAO</v>
      </c>
      <c r="F225" s="22" t="str">
        <f>IF(INDEX('1'!R:R,MATCH(CheckList!$A225,'1'!$A:$A,0))=0, "N/A", "SIM")</f>
        <v>N/A</v>
      </c>
      <c r="G225" s="22" t="str">
        <f>IF(INDEX('1'!AC:AC,MATCH(CheckList!$A225,'1'!$A:$A,0))=0, "N/A", "SIM")</f>
        <v>N/A</v>
      </c>
      <c r="H225" s="22" t="str">
        <f>IF(INDEX('1'!AF:AF,MATCH(CheckList!$A225,'1'!$A:$A,0))=0, "N/A", "SIM")</f>
        <v>N/A</v>
      </c>
      <c r="I225" s="22" t="str">
        <f>IF(INDEX('1'!L:L,MATCH(CheckList!$A225,'1'!$A:$A,0))=0, "N/A", "SIM")</f>
        <v>N/A</v>
      </c>
      <c r="J225" s="22" t="str">
        <f>IF(LEN(INDEX('1'!L:L,MATCH(CheckList!$A225,'1'!$A:$A,0)))=11, "NAO", IF(LEN(INDEX('1'!L:L,MATCH(CheckList!$A225,'1'!$A:$A,0)))=14,"SIM","N/A"))</f>
        <v>N/A</v>
      </c>
      <c r="K225" s="22" t="str">
        <f>IF(INDEX('1'!BE:BE,MATCH(CheckList!$A225,'1'!$A:$A,0))=0, "N/A", "SIM")</f>
        <v>N/A</v>
      </c>
    </row>
    <row r="226" spans="1:11" x14ac:dyDescent="0.35">
      <c r="A226" s="22">
        <f>'Dados - Cliente'!A226</f>
        <v>0</v>
      </c>
      <c r="B226" s="22" t="e">
        <f>INDEX('Dados - Cliente'!H:H,MATCH(CheckList!A226,'Dados - Cliente'!A:A,0))</f>
        <v>#N/A</v>
      </c>
      <c r="C226" s="22" t="str">
        <f>IF(INDEX('1'!B:B,MATCH(CheckList!$A226,'1'!$A:$A,0))=0, "N/A", "SIM")</f>
        <v>N/A</v>
      </c>
      <c r="D226" s="22">
        <f>INDEX('1'!Q:Q,MATCH(CheckList!$A226,'1'!$A:$A,0))</f>
        <v>0</v>
      </c>
      <c r="E226" s="22" t="str">
        <f>IF(D226="SIM",IF(MATCH(A226,'2'!$A:$A,0)="","NÃO","SIM"),"NAO")</f>
        <v>NAO</v>
      </c>
      <c r="F226" s="22" t="str">
        <f>IF(INDEX('1'!R:R,MATCH(CheckList!$A226,'1'!$A:$A,0))=0, "N/A", "SIM")</f>
        <v>N/A</v>
      </c>
      <c r="G226" s="22" t="str">
        <f>IF(INDEX('1'!AC:AC,MATCH(CheckList!$A226,'1'!$A:$A,0))=0, "N/A", "SIM")</f>
        <v>N/A</v>
      </c>
      <c r="H226" s="22" t="str">
        <f>IF(INDEX('1'!AF:AF,MATCH(CheckList!$A226,'1'!$A:$A,0))=0, "N/A", "SIM")</f>
        <v>N/A</v>
      </c>
      <c r="I226" s="22" t="str">
        <f>IF(INDEX('1'!L:L,MATCH(CheckList!$A226,'1'!$A:$A,0))=0, "N/A", "SIM")</f>
        <v>N/A</v>
      </c>
      <c r="J226" s="22" t="str">
        <f>IF(LEN(INDEX('1'!L:L,MATCH(CheckList!$A226,'1'!$A:$A,0)))=11, "NAO", IF(LEN(INDEX('1'!L:L,MATCH(CheckList!$A226,'1'!$A:$A,0)))=14,"SIM","N/A"))</f>
        <v>N/A</v>
      </c>
      <c r="K226" s="22" t="str">
        <f>IF(INDEX('1'!BE:BE,MATCH(CheckList!$A226,'1'!$A:$A,0))=0, "N/A", "SIM")</f>
        <v>N/A</v>
      </c>
    </row>
    <row r="227" spans="1:11" x14ac:dyDescent="0.35">
      <c r="A227" s="22">
        <f>'Dados - Cliente'!A227</f>
        <v>0</v>
      </c>
      <c r="B227" s="22" t="e">
        <f>INDEX('Dados - Cliente'!H:H,MATCH(CheckList!A227,'Dados - Cliente'!A:A,0))</f>
        <v>#N/A</v>
      </c>
      <c r="C227" s="22" t="str">
        <f>IF(INDEX('1'!B:B,MATCH(CheckList!$A227,'1'!$A:$A,0))=0, "N/A", "SIM")</f>
        <v>N/A</v>
      </c>
      <c r="D227" s="22">
        <f>INDEX('1'!Q:Q,MATCH(CheckList!$A227,'1'!$A:$A,0))</f>
        <v>0</v>
      </c>
      <c r="E227" s="22" t="str">
        <f>IF(D227="SIM",IF(MATCH(A227,'2'!$A:$A,0)="","NÃO","SIM"),"NAO")</f>
        <v>NAO</v>
      </c>
      <c r="F227" s="22" t="str">
        <f>IF(INDEX('1'!R:R,MATCH(CheckList!$A227,'1'!$A:$A,0))=0, "N/A", "SIM")</f>
        <v>N/A</v>
      </c>
      <c r="G227" s="22" t="str">
        <f>IF(INDEX('1'!AC:AC,MATCH(CheckList!$A227,'1'!$A:$A,0))=0, "N/A", "SIM")</f>
        <v>N/A</v>
      </c>
      <c r="H227" s="22" t="str">
        <f>IF(INDEX('1'!AF:AF,MATCH(CheckList!$A227,'1'!$A:$A,0))=0, "N/A", "SIM")</f>
        <v>N/A</v>
      </c>
      <c r="I227" s="22" t="str">
        <f>IF(INDEX('1'!L:L,MATCH(CheckList!$A227,'1'!$A:$A,0))=0, "N/A", "SIM")</f>
        <v>N/A</v>
      </c>
      <c r="J227" s="22" t="str">
        <f>IF(LEN(INDEX('1'!L:L,MATCH(CheckList!$A227,'1'!$A:$A,0)))=11, "NAO", IF(LEN(INDEX('1'!L:L,MATCH(CheckList!$A227,'1'!$A:$A,0)))=14,"SIM","N/A"))</f>
        <v>N/A</v>
      </c>
      <c r="K227" s="22" t="str">
        <f>IF(INDEX('1'!BE:BE,MATCH(CheckList!$A227,'1'!$A:$A,0))=0, "N/A", "SIM")</f>
        <v>N/A</v>
      </c>
    </row>
    <row r="228" spans="1:11" x14ac:dyDescent="0.35">
      <c r="A228" s="22">
        <f>'Dados - Cliente'!A228</f>
        <v>0</v>
      </c>
      <c r="B228" s="22" t="e">
        <f>INDEX('Dados - Cliente'!H:H,MATCH(CheckList!A228,'Dados - Cliente'!A:A,0))</f>
        <v>#N/A</v>
      </c>
      <c r="C228" s="22" t="str">
        <f>IF(INDEX('1'!B:B,MATCH(CheckList!$A228,'1'!$A:$A,0))=0, "N/A", "SIM")</f>
        <v>N/A</v>
      </c>
      <c r="D228" s="22">
        <f>INDEX('1'!Q:Q,MATCH(CheckList!$A228,'1'!$A:$A,0))</f>
        <v>0</v>
      </c>
      <c r="E228" s="22" t="str">
        <f>IF(D228="SIM",IF(MATCH(A228,'2'!$A:$A,0)="","NÃO","SIM"),"NAO")</f>
        <v>NAO</v>
      </c>
      <c r="F228" s="22" t="str">
        <f>IF(INDEX('1'!R:R,MATCH(CheckList!$A228,'1'!$A:$A,0))=0, "N/A", "SIM")</f>
        <v>N/A</v>
      </c>
      <c r="G228" s="22" t="str">
        <f>IF(INDEX('1'!AC:AC,MATCH(CheckList!$A228,'1'!$A:$A,0))=0, "N/A", "SIM")</f>
        <v>N/A</v>
      </c>
      <c r="H228" s="22" t="str">
        <f>IF(INDEX('1'!AF:AF,MATCH(CheckList!$A228,'1'!$A:$A,0))=0, "N/A", "SIM")</f>
        <v>N/A</v>
      </c>
      <c r="I228" s="22" t="str">
        <f>IF(INDEX('1'!L:L,MATCH(CheckList!$A228,'1'!$A:$A,0))=0, "N/A", "SIM")</f>
        <v>N/A</v>
      </c>
      <c r="J228" s="22" t="str">
        <f>IF(LEN(INDEX('1'!L:L,MATCH(CheckList!$A228,'1'!$A:$A,0)))=11, "NAO", IF(LEN(INDEX('1'!L:L,MATCH(CheckList!$A228,'1'!$A:$A,0)))=14,"SIM","N/A"))</f>
        <v>N/A</v>
      </c>
      <c r="K228" s="22" t="str">
        <f>IF(INDEX('1'!BE:BE,MATCH(CheckList!$A228,'1'!$A:$A,0))=0, "N/A", "SIM")</f>
        <v>N/A</v>
      </c>
    </row>
    <row r="229" spans="1:11" x14ac:dyDescent="0.35">
      <c r="A229" s="22">
        <f>'Dados - Cliente'!A229</f>
        <v>0</v>
      </c>
      <c r="B229" s="22" t="e">
        <f>INDEX('Dados - Cliente'!H:H,MATCH(CheckList!A229,'Dados - Cliente'!A:A,0))</f>
        <v>#N/A</v>
      </c>
      <c r="C229" s="22" t="str">
        <f>IF(INDEX('1'!B:B,MATCH(CheckList!$A229,'1'!$A:$A,0))=0, "N/A", "SIM")</f>
        <v>N/A</v>
      </c>
      <c r="D229" s="22">
        <f>INDEX('1'!Q:Q,MATCH(CheckList!$A229,'1'!$A:$A,0))</f>
        <v>0</v>
      </c>
      <c r="E229" s="22" t="str">
        <f>IF(D229="SIM",IF(MATCH(A229,'2'!$A:$A,0)="","NÃO","SIM"),"NAO")</f>
        <v>NAO</v>
      </c>
      <c r="F229" s="22" t="str">
        <f>IF(INDEX('1'!R:R,MATCH(CheckList!$A229,'1'!$A:$A,0))=0, "N/A", "SIM")</f>
        <v>N/A</v>
      </c>
      <c r="G229" s="22" t="str">
        <f>IF(INDEX('1'!AC:AC,MATCH(CheckList!$A229,'1'!$A:$A,0))=0, "N/A", "SIM")</f>
        <v>N/A</v>
      </c>
      <c r="H229" s="22" t="str">
        <f>IF(INDEX('1'!AF:AF,MATCH(CheckList!$A229,'1'!$A:$A,0))=0, "N/A", "SIM")</f>
        <v>N/A</v>
      </c>
      <c r="I229" s="22" t="str">
        <f>IF(INDEX('1'!L:L,MATCH(CheckList!$A229,'1'!$A:$A,0))=0, "N/A", "SIM")</f>
        <v>N/A</v>
      </c>
      <c r="J229" s="22" t="str">
        <f>IF(LEN(INDEX('1'!L:L,MATCH(CheckList!$A229,'1'!$A:$A,0)))=11, "NAO", IF(LEN(INDEX('1'!L:L,MATCH(CheckList!$A229,'1'!$A:$A,0)))=14,"SIM","N/A"))</f>
        <v>N/A</v>
      </c>
      <c r="K229" s="22" t="str">
        <f>IF(INDEX('1'!BE:BE,MATCH(CheckList!$A229,'1'!$A:$A,0))=0, "N/A", "SIM")</f>
        <v>N/A</v>
      </c>
    </row>
    <row r="230" spans="1:11" x14ac:dyDescent="0.35">
      <c r="A230" s="22">
        <f>'Dados - Cliente'!A230</f>
        <v>0</v>
      </c>
      <c r="B230" s="22" t="e">
        <f>INDEX('Dados - Cliente'!H:H,MATCH(CheckList!A230,'Dados - Cliente'!A:A,0))</f>
        <v>#N/A</v>
      </c>
      <c r="C230" s="22" t="str">
        <f>IF(INDEX('1'!B:B,MATCH(CheckList!$A230,'1'!$A:$A,0))=0, "N/A", "SIM")</f>
        <v>N/A</v>
      </c>
      <c r="D230" s="22">
        <f>INDEX('1'!Q:Q,MATCH(CheckList!$A230,'1'!$A:$A,0))</f>
        <v>0</v>
      </c>
      <c r="E230" s="22" t="str">
        <f>IF(D230="SIM",IF(MATCH(A230,'2'!$A:$A,0)="","NÃO","SIM"),"NAO")</f>
        <v>NAO</v>
      </c>
      <c r="F230" s="22" t="str">
        <f>IF(INDEX('1'!R:R,MATCH(CheckList!$A230,'1'!$A:$A,0))=0, "N/A", "SIM")</f>
        <v>N/A</v>
      </c>
      <c r="G230" s="22" t="str">
        <f>IF(INDEX('1'!AC:AC,MATCH(CheckList!$A230,'1'!$A:$A,0))=0, "N/A", "SIM")</f>
        <v>N/A</v>
      </c>
      <c r="H230" s="22" t="str">
        <f>IF(INDEX('1'!AF:AF,MATCH(CheckList!$A230,'1'!$A:$A,0))=0, "N/A", "SIM")</f>
        <v>N/A</v>
      </c>
      <c r="I230" s="22" t="str">
        <f>IF(INDEX('1'!L:L,MATCH(CheckList!$A230,'1'!$A:$A,0))=0, "N/A", "SIM")</f>
        <v>N/A</v>
      </c>
      <c r="J230" s="22" t="str">
        <f>IF(LEN(INDEX('1'!L:L,MATCH(CheckList!$A230,'1'!$A:$A,0)))=11, "NAO", IF(LEN(INDEX('1'!L:L,MATCH(CheckList!$A230,'1'!$A:$A,0)))=14,"SIM","N/A"))</f>
        <v>N/A</v>
      </c>
      <c r="K230" s="22" t="str">
        <f>IF(INDEX('1'!BE:BE,MATCH(CheckList!$A230,'1'!$A:$A,0))=0, "N/A", "SIM")</f>
        <v>N/A</v>
      </c>
    </row>
    <row r="231" spans="1:11" x14ac:dyDescent="0.35">
      <c r="A231" s="22">
        <f>'Dados - Cliente'!A231</f>
        <v>0</v>
      </c>
      <c r="B231" s="22" t="e">
        <f>INDEX('Dados - Cliente'!H:H,MATCH(CheckList!A231,'Dados - Cliente'!A:A,0))</f>
        <v>#N/A</v>
      </c>
      <c r="C231" s="22" t="str">
        <f>IF(INDEX('1'!B:B,MATCH(CheckList!$A231,'1'!$A:$A,0))=0, "N/A", "SIM")</f>
        <v>N/A</v>
      </c>
      <c r="D231" s="22">
        <f>INDEX('1'!Q:Q,MATCH(CheckList!$A231,'1'!$A:$A,0))</f>
        <v>0</v>
      </c>
      <c r="E231" s="22" t="str">
        <f>IF(D231="SIM",IF(MATCH(A231,'2'!$A:$A,0)="","NÃO","SIM"),"NAO")</f>
        <v>NAO</v>
      </c>
      <c r="F231" s="22" t="str">
        <f>IF(INDEX('1'!R:R,MATCH(CheckList!$A231,'1'!$A:$A,0))=0, "N/A", "SIM")</f>
        <v>N/A</v>
      </c>
      <c r="G231" s="22" t="str">
        <f>IF(INDEX('1'!AC:AC,MATCH(CheckList!$A231,'1'!$A:$A,0))=0, "N/A", "SIM")</f>
        <v>N/A</v>
      </c>
      <c r="H231" s="22" t="str">
        <f>IF(INDEX('1'!AF:AF,MATCH(CheckList!$A231,'1'!$A:$A,0))=0, "N/A", "SIM")</f>
        <v>N/A</v>
      </c>
      <c r="I231" s="22" t="str">
        <f>IF(INDEX('1'!L:L,MATCH(CheckList!$A231,'1'!$A:$A,0))=0, "N/A", "SIM")</f>
        <v>N/A</v>
      </c>
      <c r="J231" s="22" t="str">
        <f>IF(LEN(INDEX('1'!L:L,MATCH(CheckList!$A231,'1'!$A:$A,0)))=11, "NAO", IF(LEN(INDEX('1'!L:L,MATCH(CheckList!$A231,'1'!$A:$A,0)))=14,"SIM","N/A"))</f>
        <v>N/A</v>
      </c>
      <c r="K231" s="22" t="str">
        <f>IF(INDEX('1'!BE:BE,MATCH(CheckList!$A231,'1'!$A:$A,0))=0, "N/A", "SIM")</f>
        <v>N/A</v>
      </c>
    </row>
    <row r="232" spans="1:11" x14ac:dyDescent="0.35">
      <c r="A232" s="22">
        <f>'Dados - Cliente'!A232</f>
        <v>0</v>
      </c>
      <c r="B232" s="22" t="e">
        <f>INDEX('Dados - Cliente'!H:H,MATCH(CheckList!A232,'Dados - Cliente'!A:A,0))</f>
        <v>#N/A</v>
      </c>
      <c r="C232" s="22" t="str">
        <f>IF(INDEX('1'!B:B,MATCH(CheckList!$A232,'1'!$A:$A,0))=0, "N/A", "SIM")</f>
        <v>N/A</v>
      </c>
      <c r="D232" s="22">
        <f>INDEX('1'!Q:Q,MATCH(CheckList!$A232,'1'!$A:$A,0))</f>
        <v>0</v>
      </c>
      <c r="E232" s="22" t="str">
        <f>IF(D232="SIM",IF(MATCH(A232,'2'!$A:$A,0)="","NÃO","SIM"),"NAO")</f>
        <v>NAO</v>
      </c>
      <c r="F232" s="22" t="str">
        <f>IF(INDEX('1'!R:R,MATCH(CheckList!$A232,'1'!$A:$A,0))=0, "N/A", "SIM")</f>
        <v>N/A</v>
      </c>
      <c r="G232" s="22" t="str">
        <f>IF(INDEX('1'!AC:AC,MATCH(CheckList!$A232,'1'!$A:$A,0))=0, "N/A", "SIM")</f>
        <v>N/A</v>
      </c>
      <c r="H232" s="22" t="str">
        <f>IF(INDEX('1'!AF:AF,MATCH(CheckList!$A232,'1'!$A:$A,0))=0, "N/A", "SIM")</f>
        <v>N/A</v>
      </c>
      <c r="I232" s="22" t="str">
        <f>IF(INDEX('1'!L:L,MATCH(CheckList!$A232,'1'!$A:$A,0))=0, "N/A", "SIM")</f>
        <v>N/A</v>
      </c>
      <c r="J232" s="22" t="str">
        <f>IF(LEN(INDEX('1'!L:L,MATCH(CheckList!$A232,'1'!$A:$A,0)))=11, "NAO", IF(LEN(INDEX('1'!L:L,MATCH(CheckList!$A232,'1'!$A:$A,0)))=14,"SIM","N/A"))</f>
        <v>N/A</v>
      </c>
      <c r="K232" s="22" t="str">
        <f>IF(INDEX('1'!BE:BE,MATCH(CheckList!$A232,'1'!$A:$A,0))=0, "N/A", "SIM")</f>
        <v>N/A</v>
      </c>
    </row>
    <row r="233" spans="1:11" x14ac:dyDescent="0.35">
      <c r="A233" s="22">
        <f>'Dados - Cliente'!A233</f>
        <v>0</v>
      </c>
      <c r="B233" s="22" t="e">
        <f>INDEX('Dados - Cliente'!H:H,MATCH(CheckList!A233,'Dados - Cliente'!A:A,0))</f>
        <v>#N/A</v>
      </c>
      <c r="C233" s="22" t="str">
        <f>IF(INDEX('1'!B:B,MATCH(CheckList!$A233,'1'!$A:$A,0))=0, "N/A", "SIM")</f>
        <v>N/A</v>
      </c>
      <c r="D233" s="22">
        <f>INDEX('1'!Q:Q,MATCH(CheckList!$A233,'1'!$A:$A,0))</f>
        <v>0</v>
      </c>
      <c r="E233" s="22" t="str">
        <f>IF(D233="SIM",IF(MATCH(A233,'2'!$A:$A,0)="","NÃO","SIM"),"NAO")</f>
        <v>NAO</v>
      </c>
      <c r="F233" s="22" t="str">
        <f>IF(INDEX('1'!R:R,MATCH(CheckList!$A233,'1'!$A:$A,0))=0, "N/A", "SIM")</f>
        <v>N/A</v>
      </c>
      <c r="G233" s="22" t="str">
        <f>IF(INDEX('1'!AC:AC,MATCH(CheckList!$A233,'1'!$A:$A,0))=0, "N/A", "SIM")</f>
        <v>N/A</v>
      </c>
      <c r="H233" s="22" t="str">
        <f>IF(INDEX('1'!AF:AF,MATCH(CheckList!$A233,'1'!$A:$A,0))=0, "N/A", "SIM")</f>
        <v>N/A</v>
      </c>
      <c r="I233" s="22" t="str">
        <f>IF(INDEX('1'!L:L,MATCH(CheckList!$A233,'1'!$A:$A,0))=0, "N/A", "SIM")</f>
        <v>N/A</v>
      </c>
      <c r="J233" s="22" t="str">
        <f>IF(LEN(INDEX('1'!L:L,MATCH(CheckList!$A233,'1'!$A:$A,0)))=11, "NAO", IF(LEN(INDEX('1'!L:L,MATCH(CheckList!$A233,'1'!$A:$A,0)))=14,"SIM","N/A"))</f>
        <v>N/A</v>
      </c>
      <c r="K233" s="22" t="str">
        <f>IF(INDEX('1'!BE:BE,MATCH(CheckList!$A233,'1'!$A:$A,0))=0, "N/A", "SIM")</f>
        <v>N/A</v>
      </c>
    </row>
    <row r="234" spans="1:11" x14ac:dyDescent="0.35">
      <c r="A234" s="22">
        <f>'Dados - Cliente'!A234</f>
        <v>0</v>
      </c>
      <c r="B234" s="22" t="e">
        <f>INDEX('Dados - Cliente'!H:H,MATCH(CheckList!A234,'Dados - Cliente'!A:A,0))</f>
        <v>#N/A</v>
      </c>
      <c r="C234" s="22" t="str">
        <f>IF(INDEX('1'!B:B,MATCH(CheckList!$A234,'1'!$A:$A,0))=0, "N/A", "SIM")</f>
        <v>N/A</v>
      </c>
      <c r="D234" s="22">
        <f>INDEX('1'!Q:Q,MATCH(CheckList!$A234,'1'!$A:$A,0))</f>
        <v>0</v>
      </c>
      <c r="E234" s="22" t="str">
        <f>IF(D234="SIM",IF(MATCH(A234,'2'!$A:$A,0)="","NÃO","SIM"),"NAO")</f>
        <v>NAO</v>
      </c>
      <c r="F234" s="22" t="str">
        <f>IF(INDEX('1'!R:R,MATCH(CheckList!$A234,'1'!$A:$A,0))=0, "N/A", "SIM")</f>
        <v>N/A</v>
      </c>
      <c r="G234" s="22" t="str">
        <f>IF(INDEX('1'!AC:AC,MATCH(CheckList!$A234,'1'!$A:$A,0))=0, "N/A", "SIM")</f>
        <v>N/A</v>
      </c>
      <c r="H234" s="22" t="str">
        <f>IF(INDEX('1'!AF:AF,MATCH(CheckList!$A234,'1'!$A:$A,0))=0, "N/A", "SIM")</f>
        <v>N/A</v>
      </c>
      <c r="I234" s="22" t="str">
        <f>IF(INDEX('1'!L:L,MATCH(CheckList!$A234,'1'!$A:$A,0))=0, "N/A", "SIM")</f>
        <v>N/A</v>
      </c>
      <c r="J234" s="22" t="str">
        <f>IF(LEN(INDEX('1'!L:L,MATCH(CheckList!$A234,'1'!$A:$A,0)))=11, "NAO", IF(LEN(INDEX('1'!L:L,MATCH(CheckList!$A234,'1'!$A:$A,0)))=14,"SIM","N/A"))</f>
        <v>N/A</v>
      </c>
      <c r="K234" s="22" t="str">
        <f>IF(INDEX('1'!BE:BE,MATCH(CheckList!$A234,'1'!$A:$A,0))=0, "N/A", "SIM")</f>
        <v>N/A</v>
      </c>
    </row>
    <row r="235" spans="1:11" x14ac:dyDescent="0.35">
      <c r="A235" s="22">
        <f>'Dados - Cliente'!A235</f>
        <v>0</v>
      </c>
      <c r="B235" s="22" t="e">
        <f>INDEX('Dados - Cliente'!H:H,MATCH(CheckList!A235,'Dados - Cliente'!A:A,0))</f>
        <v>#N/A</v>
      </c>
      <c r="C235" s="22" t="str">
        <f>IF(INDEX('1'!B:B,MATCH(CheckList!$A235,'1'!$A:$A,0))=0, "N/A", "SIM")</f>
        <v>N/A</v>
      </c>
      <c r="D235" s="22">
        <f>INDEX('1'!Q:Q,MATCH(CheckList!$A235,'1'!$A:$A,0))</f>
        <v>0</v>
      </c>
      <c r="E235" s="22" t="str">
        <f>IF(D235="SIM",IF(MATCH(A235,'2'!$A:$A,0)="","NÃO","SIM"),"NAO")</f>
        <v>NAO</v>
      </c>
      <c r="F235" s="22" t="str">
        <f>IF(INDEX('1'!R:R,MATCH(CheckList!$A235,'1'!$A:$A,0))=0, "N/A", "SIM")</f>
        <v>N/A</v>
      </c>
      <c r="G235" s="22" t="str">
        <f>IF(INDEX('1'!AC:AC,MATCH(CheckList!$A235,'1'!$A:$A,0))=0, "N/A", "SIM")</f>
        <v>N/A</v>
      </c>
      <c r="H235" s="22" t="str">
        <f>IF(INDEX('1'!AF:AF,MATCH(CheckList!$A235,'1'!$A:$A,0))=0, "N/A", "SIM")</f>
        <v>N/A</v>
      </c>
      <c r="I235" s="22" t="str">
        <f>IF(INDEX('1'!L:L,MATCH(CheckList!$A235,'1'!$A:$A,0))=0, "N/A", "SIM")</f>
        <v>N/A</v>
      </c>
      <c r="J235" s="22" t="str">
        <f>IF(LEN(INDEX('1'!L:L,MATCH(CheckList!$A235,'1'!$A:$A,0)))=11, "NAO", IF(LEN(INDEX('1'!L:L,MATCH(CheckList!$A235,'1'!$A:$A,0)))=14,"SIM","N/A"))</f>
        <v>N/A</v>
      </c>
      <c r="K235" s="22" t="str">
        <f>IF(INDEX('1'!BE:BE,MATCH(CheckList!$A235,'1'!$A:$A,0))=0, "N/A", "SIM")</f>
        <v>N/A</v>
      </c>
    </row>
    <row r="236" spans="1:11" x14ac:dyDescent="0.35">
      <c r="A236" s="22">
        <f>'Dados - Cliente'!A236</f>
        <v>0</v>
      </c>
      <c r="B236" s="22" t="e">
        <f>INDEX('Dados - Cliente'!H:H,MATCH(CheckList!A236,'Dados - Cliente'!A:A,0))</f>
        <v>#N/A</v>
      </c>
      <c r="C236" s="22" t="str">
        <f>IF(INDEX('1'!B:B,MATCH(CheckList!$A236,'1'!$A:$A,0))=0, "N/A", "SIM")</f>
        <v>N/A</v>
      </c>
      <c r="D236" s="22">
        <f>INDEX('1'!Q:Q,MATCH(CheckList!$A236,'1'!$A:$A,0))</f>
        <v>0</v>
      </c>
      <c r="E236" s="22" t="str">
        <f>IF(D236="SIM",IF(MATCH(A236,'2'!$A:$A,0)="","NÃO","SIM"),"NAO")</f>
        <v>NAO</v>
      </c>
      <c r="F236" s="22" t="str">
        <f>IF(INDEX('1'!R:R,MATCH(CheckList!$A236,'1'!$A:$A,0))=0, "N/A", "SIM")</f>
        <v>N/A</v>
      </c>
      <c r="G236" s="22" t="str">
        <f>IF(INDEX('1'!AC:AC,MATCH(CheckList!$A236,'1'!$A:$A,0))=0, "N/A", "SIM")</f>
        <v>N/A</v>
      </c>
      <c r="H236" s="22" t="str">
        <f>IF(INDEX('1'!AF:AF,MATCH(CheckList!$A236,'1'!$A:$A,0))=0, "N/A", "SIM")</f>
        <v>N/A</v>
      </c>
      <c r="I236" s="22" t="str">
        <f>IF(INDEX('1'!L:L,MATCH(CheckList!$A236,'1'!$A:$A,0))=0, "N/A", "SIM")</f>
        <v>N/A</v>
      </c>
      <c r="J236" s="22" t="str">
        <f>IF(LEN(INDEX('1'!L:L,MATCH(CheckList!$A236,'1'!$A:$A,0)))=11, "NAO", IF(LEN(INDEX('1'!L:L,MATCH(CheckList!$A236,'1'!$A:$A,0)))=14,"SIM","N/A"))</f>
        <v>N/A</v>
      </c>
      <c r="K236" s="22" t="str">
        <f>IF(INDEX('1'!BE:BE,MATCH(CheckList!$A236,'1'!$A:$A,0))=0, "N/A", "SIM")</f>
        <v>N/A</v>
      </c>
    </row>
    <row r="237" spans="1:11" x14ac:dyDescent="0.35">
      <c r="A237" s="22">
        <f>'Dados - Cliente'!A237</f>
        <v>0</v>
      </c>
      <c r="B237" s="22" t="e">
        <f>INDEX('Dados - Cliente'!H:H,MATCH(CheckList!A237,'Dados - Cliente'!A:A,0))</f>
        <v>#N/A</v>
      </c>
      <c r="C237" s="22" t="str">
        <f>IF(INDEX('1'!B:B,MATCH(CheckList!$A237,'1'!$A:$A,0))=0, "N/A", "SIM")</f>
        <v>N/A</v>
      </c>
      <c r="D237" s="22">
        <f>INDEX('1'!Q:Q,MATCH(CheckList!$A237,'1'!$A:$A,0))</f>
        <v>0</v>
      </c>
      <c r="E237" s="22" t="str">
        <f>IF(D237="SIM",IF(MATCH(A237,'2'!$A:$A,0)="","NÃO","SIM"),"NAO")</f>
        <v>NAO</v>
      </c>
      <c r="F237" s="22" t="str">
        <f>IF(INDEX('1'!R:R,MATCH(CheckList!$A237,'1'!$A:$A,0))=0, "N/A", "SIM")</f>
        <v>N/A</v>
      </c>
      <c r="G237" s="22" t="str">
        <f>IF(INDEX('1'!AC:AC,MATCH(CheckList!$A237,'1'!$A:$A,0))=0, "N/A", "SIM")</f>
        <v>N/A</v>
      </c>
      <c r="H237" s="22" t="str">
        <f>IF(INDEX('1'!AF:AF,MATCH(CheckList!$A237,'1'!$A:$A,0))=0, "N/A", "SIM")</f>
        <v>N/A</v>
      </c>
      <c r="I237" s="22" t="str">
        <f>IF(INDEX('1'!L:L,MATCH(CheckList!$A237,'1'!$A:$A,0))=0, "N/A", "SIM")</f>
        <v>N/A</v>
      </c>
      <c r="J237" s="22" t="str">
        <f>IF(LEN(INDEX('1'!L:L,MATCH(CheckList!$A237,'1'!$A:$A,0)))=11, "NAO", IF(LEN(INDEX('1'!L:L,MATCH(CheckList!$A237,'1'!$A:$A,0)))=14,"SIM","N/A"))</f>
        <v>N/A</v>
      </c>
      <c r="K237" s="22" t="str">
        <f>IF(INDEX('1'!BE:BE,MATCH(CheckList!$A237,'1'!$A:$A,0))=0, "N/A", "SIM")</f>
        <v>N/A</v>
      </c>
    </row>
    <row r="238" spans="1:11" x14ac:dyDescent="0.35">
      <c r="A238" s="22">
        <f>'Dados - Cliente'!A238</f>
        <v>0</v>
      </c>
      <c r="B238" s="22" t="e">
        <f>INDEX('Dados - Cliente'!H:H,MATCH(CheckList!A238,'Dados - Cliente'!A:A,0))</f>
        <v>#N/A</v>
      </c>
      <c r="C238" s="22" t="str">
        <f>IF(INDEX('1'!B:B,MATCH(CheckList!$A238,'1'!$A:$A,0))=0, "N/A", "SIM")</f>
        <v>N/A</v>
      </c>
      <c r="D238" s="22">
        <f>INDEX('1'!Q:Q,MATCH(CheckList!$A238,'1'!$A:$A,0))</f>
        <v>0</v>
      </c>
      <c r="E238" s="22" t="str">
        <f>IF(D238="SIM",IF(MATCH(A238,'2'!$A:$A,0)="","NÃO","SIM"),"NAO")</f>
        <v>NAO</v>
      </c>
      <c r="F238" s="22" t="str">
        <f>IF(INDEX('1'!R:R,MATCH(CheckList!$A238,'1'!$A:$A,0))=0, "N/A", "SIM")</f>
        <v>N/A</v>
      </c>
      <c r="G238" s="22" t="str">
        <f>IF(INDEX('1'!AC:AC,MATCH(CheckList!$A238,'1'!$A:$A,0))=0, "N/A", "SIM")</f>
        <v>N/A</v>
      </c>
      <c r="H238" s="22" t="str">
        <f>IF(INDEX('1'!AF:AF,MATCH(CheckList!$A238,'1'!$A:$A,0))=0, "N/A", "SIM")</f>
        <v>N/A</v>
      </c>
      <c r="I238" s="22" t="str">
        <f>IF(INDEX('1'!L:L,MATCH(CheckList!$A238,'1'!$A:$A,0))=0, "N/A", "SIM")</f>
        <v>N/A</v>
      </c>
      <c r="J238" s="22" t="str">
        <f>IF(LEN(INDEX('1'!L:L,MATCH(CheckList!$A238,'1'!$A:$A,0)))=11, "NAO", IF(LEN(INDEX('1'!L:L,MATCH(CheckList!$A238,'1'!$A:$A,0)))=14,"SIM","N/A"))</f>
        <v>N/A</v>
      </c>
      <c r="K238" s="22" t="str">
        <f>IF(INDEX('1'!BE:BE,MATCH(CheckList!$A238,'1'!$A:$A,0))=0, "N/A", "SIM")</f>
        <v>N/A</v>
      </c>
    </row>
    <row r="239" spans="1:11" x14ac:dyDescent="0.35">
      <c r="A239" s="22">
        <f>'Dados - Cliente'!A239</f>
        <v>0</v>
      </c>
      <c r="B239" s="22" t="e">
        <f>INDEX('Dados - Cliente'!H:H,MATCH(CheckList!A239,'Dados - Cliente'!A:A,0))</f>
        <v>#N/A</v>
      </c>
      <c r="C239" s="22" t="str">
        <f>IF(INDEX('1'!B:B,MATCH(CheckList!$A239,'1'!$A:$A,0))=0, "N/A", "SIM")</f>
        <v>N/A</v>
      </c>
      <c r="D239" s="22">
        <f>INDEX('1'!Q:Q,MATCH(CheckList!$A239,'1'!$A:$A,0))</f>
        <v>0</v>
      </c>
      <c r="E239" s="22" t="str">
        <f>IF(D239="SIM",IF(MATCH(A239,'2'!$A:$A,0)="","NÃO","SIM"),"NAO")</f>
        <v>NAO</v>
      </c>
      <c r="F239" s="22" t="str">
        <f>IF(INDEX('1'!R:R,MATCH(CheckList!$A239,'1'!$A:$A,0))=0, "N/A", "SIM")</f>
        <v>N/A</v>
      </c>
      <c r="G239" s="22" t="str">
        <f>IF(INDEX('1'!AC:AC,MATCH(CheckList!$A239,'1'!$A:$A,0))=0, "N/A", "SIM")</f>
        <v>N/A</v>
      </c>
      <c r="H239" s="22" t="str">
        <f>IF(INDEX('1'!AF:AF,MATCH(CheckList!$A239,'1'!$A:$A,0))=0, "N/A", "SIM")</f>
        <v>N/A</v>
      </c>
      <c r="I239" s="22" t="str">
        <f>IF(INDEX('1'!L:L,MATCH(CheckList!$A239,'1'!$A:$A,0))=0, "N/A", "SIM")</f>
        <v>N/A</v>
      </c>
      <c r="J239" s="22" t="str">
        <f>IF(LEN(INDEX('1'!L:L,MATCH(CheckList!$A239,'1'!$A:$A,0)))=11, "NAO", IF(LEN(INDEX('1'!L:L,MATCH(CheckList!$A239,'1'!$A:$A,0)))=14,"SIM","N/A"))</f>
        <v>N/A</v>
      </c>
      <c r="K239" s="22" t="str">
        <f>IF(INDEX('1'!BE:BE,MATCH(CheckList!$A239,'1'!$A:$A,0))=0, "N/A", "SIM")</f>
        <v>N/A</v>
      </c>
    </row>
    <row r="240" spans="1:11" x14ac:dyDescent="0.35">
      <c r="A240" s="22">
        <f>'Dados - Cliente'!A240</f>
        <v>0</v>
      </c>
      <c r="B240" s="22" t="e">
        <f>INDEX('Dados - Cliente'!H:H,MATCH(CheckList!A240,'Dados - Cliente'!A:A,0))</f>
        <v>#N/A</v>
      </c>
      <c r="C240" s="22" t="str">
        <f>IF(INDEX('1'!B:B,MATCH(CheckList!$A240,'1'!$A:$A,0))=0, "N/A", "SIM")</f>
        <v>N/A</v>
      </c>
      <c r="D240" s="22">
        <f>INDEX('1'!Q:Q,MATCH(CheckList!$A240,'1'!$A:$A,0))</f>
        <v>0</v>
      </c>
      <c r="E240" s="22" t="str">
        <f>IF(D240="SIM",IF(MATCH(A240,'2'!$A:$A,0)="","NÃO","SIM"),"NAO")</f>
        <v>NAO</v>
      </c>
      <c r="F240" s="22" t="str">
        <f>IF(INDEX('1'!R:R,MATCH(CheckList!$A240,'1'!$A:$A,0))=0, "N/A", "SIM")</f>
        <v>N/A</v>
      </c>
      <c r="G240" s="22" t="str">
        <f>IF(INDEX('1'!AC:AC,MATCH(CheckList!$A240,'1'!$A:$A,0))=0, "N/A", "SIM")</f>
        <v>N/A</v>
      </c>
      <c r="H240" s="22" t="str">
        <f>IF(INDEX('1'!AF:AF,MATCH(CheckList!$A240,'1'!$A:$A,0))=0, "N/A", "SIM")</f>
        <v>N/A</v>
      </c>
      <c r="I240" s="22" t="str">
        <f>IF(INDEX('1'!L:L,MATCH(CheckList!$A240,'1'!$A:$A,0))=0, "N/A", "SIM")</f>
        <v>N/A</v>
      </c>
      <c r="J240" s="22" t="str">
        <f>IF(LEN(INDEX('1'!L:L,MATCH(CheckList!$A240,'1'!$A:$A,0)))=11, "NAO", IF(LEN(INDEX('1'!L:L,MATCH(CheckList!$A240,'1'!$A:$A,0)))=14,"SIM","N/A"))</f>
        <v>N/A</v>
      </c>
      <c r="K240" s="22" t="str">
        <f>IF(INDEX('1'!BE:BE,MATCH(CheckList!$A240,'1'!$A:$A,0))=0, "N/A", "SIM")</f>
        <v>N/A</v>
      </c>
    </row>
    <row r="241" spans="1:11" x14ac:dyDescent="0.35">
      <c r="A241" s="22">
        <f>'Dados - Cliente'!A241</f>
        <v>0</v>
      </c>
      <c r="B241" s="22" t="e">
        <f>INDEX('Dados - Cliente'!H:H,MATCH(CheckList!A241,'Dados - Cliente'!A:A,0))</f>
        <v>#N/A</v>
      </c>
      <c r="C241" s="22" t="str">
        <f>IF(INDEX('1'!B:B,MATCH(CheckList!$A241,'1'!$A:$A,0))=0, "N/A", "SIM")</f>
        <v>N/A</v>
      </c>
      <c r="D241" s="22">
        <f>INDEX('1'!Q:Q,MATCH(CheckList!$A241,'1'!$A:$A,0))</f>
        <v>0</v>
      </c>
      <c r="E241" s="22" t="str">
        <f>IF(D241="SIM",IF(MATCH(A241,'2'!$A:$A,0)="","NÃO","SIM"),"NAO")</f>
        <v>NAO</v>
      </c>
      <c r="F241" s="22" t="str">
        <f>IF(INDEX('1'!R:R,MATCH(CheckList!$A241,'1'!$A:$A,0))=0, "N/A", "SIM")</f>
        <v>N/A</v>
      </c>
      <c r="G241" s="22" t="str">
        <f>IF(INDEX('1'!AC:AC,MATCH(CheckList!$A241,'1'!$A:$A,0))=0, "N/A", "SIM")</f>
        <v>N/A</v>
      </c>
      <c r="H241" s="22" t="str">
        <f>IF(INDEX('1'!AF:AF,MATCH(CheckList!$A241,'1'!$A:$A,0))=0, "N/A", "SIM")</f>
        <v>N/A</v>
      </c>
      <c r="I241" s="22" t="str">
        <f>IF(INDEX('1'!L:L,MATCH(CheckList!$A241,'1'!$A:$A,0))=0, "N/A", "SIM")</f>
        <v>N/A</v>
      </c>
      <c r="J241" s="22" t="str">
        <f>IF(LEN(INDEX('1'!L:L,MATCH(CheckList!$A241,'1'!$A:$A,0)))=11, "NAO", IF(LEN(INDEX('1'!L:L,MATCH(CheckList!$A241,'1'!$A:$A,0)))=14,"SIM","N/A"))</f>
        <v>N/A</v>
      </c>
      <c r="K241" s="22" t="str">
        <f>IF(INDEX('1'!BE:BE,MATCH(CheckList!$A241,'1'!$A:$A,0))=0, "N/A", "SIM")</f>
        <v>N/A</v>
      </c>
    </row>
    <row r="242" spans="1:11" x14ac:dyDescent="0.35">
      <c r="A242" s="22">
        <f>'Dados - Cliente'!A242</f>
        <v>0</v>
      </c>
      <c r="B242" s="22" t="e">
        <f>INDEX('Dados - Cliente'!H:H,MATCH(CheckList!A242,'Dados - Cliente'!A:A,0))</f>
        <v>#N/A</v>
      </c>
      <c r="C242" s="22" t="str">
        <f>IF(INDEX('1'!B:B,MATCH(CheckList!$A242,'1'!$A:$A,0))=0, "N/A", "SIM")</f>
        <v>N/A</v>
      </c>
      <c r="D242" s="22">
        <f>INDEX('1'!Q:Q,MATCH(CheckList!$A242,'1'!$A:$A,0))</f>
        <v>0</v>
      </c>
      <c r="E242" s="22" t="str">
        <f>IF(D242="SIM",IF(MATCH(A242,'2'!$A:$A,0)="","NÃO","SIM"),"NAO")</f>
        <v>NAO</v>
      </c>
      <c r="F242" s="22" t="str">
        <f>IF(INDEX('1'!R:R,MATCH(CheckList!$A242,'1'!$A:$A,0))=0, "N/A", "SIM")</f>
        <v>N/A</v>
      </c>
      <c r="G242" s="22" t="str">
        <f>IF(INDEX('1'!AC:AC,MATCH(CheckList!$A242,'1'!$A:$A,0))=0, "N/A", "SIM")</f>
        <v>N/A</v>
      </c>
      <c r="H242" s="22" t="str">
        <f>IF(INDEX('1'!AF:AF,MATCH(CheckList!$A242,'1'!$A:$A,0))=0, "N/A", "SIM")</f>
        <v>N/A</v>
      </c>
      <c r="I242" s="22" t="str">
        <f>IF(INDEX('1'!L:L,MATCH(CheckList!$A242,'1'!$A:$A,0))=0, "N/A", "SIM")</f>
        <v>N/A</v>
      </c>
      <c r="J242" s="22" t="str">
        <f>IF(LEN(INDEX('1'!L:L,MATCH(CheckList!$A242,'1'!$A:$A,0)))=11, "NAO", IF(LEN(INDEX('1'!L:L,MATCH(CheckList!$A242,'1'!$A:$A,0)))=14,"SIM","N/A"))</f>
        <v>N/A</v>
      </c>
      <c r="K242" s="22" t="str">
        <f>IF(INDEX('1'!BE:BE,MATCH(CheckList!$A242,'1'!$A:$A,0))=0, "N/A", "SIM")</f>
        <v>N/A</v>
      </c>
    </row>
    <row r="243" spans="1:11" x14ac:dyDescent="0.35">
      <c r="A243" s="22">
        <f>'Dados - Cliente'!A243</f>
        <v>0</v>
      </c>
      <c r="B243" s="22" t="e">
        <f>INDEX('Dados - Cliente'!H:H,MATCH(CheckList!A243,'Dados - Cliente'!A:A,0))</f>
        <v>#N/A</v>
      </c>
      <c r="C243" s="22" t="str">
        <f>IF(INDEX('1'!B:B,MATCH(CheckList!$A243,'1'!$A:$A,0))=0, "N/A", "SIM")</f>
        <v>N/A</v>
      </c>
      <c r="D243" s="22">
        <f>INDEX('1'!Q:Q,MATCH(CheckList!$A243,'1'!$A:$A,0))</f>
        <v>0</v>
      </c>
      <c r="E243" s="22" t="str">
        <f>IF(D243="SIM",IF(MATCH(A243,'2'!$A:$A,0)="","NÃO","SIM"),"NAO")</f>
        <v>NAO</v>
      </c>
      <c r="F243" s="22" t="str">
        <f>IF(INDEX('1'!R:R,MATCH(CheckList!$A243,'1'!$A:$A,0))=0, "N/A", "SIM")</f>
        <v>N/A</v>
      </c>
      <c r="G243" s="22" t="str">
        <f>IF(INDEX('1'!AC:AC,MATCH(CheckList!$A243,'1'!$A:$A,0))=0, "N/A", "SIM")</f>
        <v>N/A</v>
      </c>
      <c r="H243" s="22" t="str">
        <f>IF(INDEX('1'!AF:AF,MATCH(CheckList!$A243,'1'!$A:$A,0))=0, "N/A", "SIM")</f>
        <v>N/A</v>
      </c>
      <c r="I243" s="22" t="str">
        <f>IF(INDEX('1'!L:L,MATCH(CheckList!$A243,'1'!$A:$A,0))=0, "N/A", "SIM")</f>
        <v>N/A</v>
      </c>
      <c r="J243" s="22" t="str">
        <f>IF(LEN(INDEX('1'!L:L,MATCH(CheckList!$A243,'1'!$A:$A,0)))=11, "NAO", IF(LEN(INDEX('1'!L:L,MATCH(CheckList!$A243,'1'!$A:$A,0)))=14,"SIM","N/A"))</f>
        <v>N/A</v>
      </c>
      <c r="K243" s="22" t="str">
        <f>IF(INDEX('1'!BE:BE,MATCH(CheckList!$A243,'1'!$A:$A,0))=0, "N/A", "SIM")</f>
        <v>N/A</v>
      </c>
    </row>
    <row r="244" spans="1:11" x14ac:dyDescent="0.35">
      <c r="A244" s="22">
        <f>'Dados - Cliente'!A244</f>
        <v>0</v>
      </c>
      <c r="B244" s="22" t="e">
        <f>INDEX('Dados - Cliente'!H:H,MATCH(CheckList!A244,'Dados - Cliente'!A:A,0))</f>
        <v>#N/A</v>
      </c>
      <c r="C244" s="22" t="str">
        <f>IF(INDEX('1'!B:B,MATCH(CheckList!$A244,'1'!$A:$A,0))=0, "N/A", "SIM")</f>
        <v>N/A</v>
      </c>
      <c r="D244" s="22">
        <f>INDEX('1'!Q:Q,MATCH(CheckList!$A244,'1'!$A:$A,0))</f>
        <v>0</v>
      </c>
      <c r="E244" s="22" t="str">
        <f>IF(D244="SIM",IF(MATCH(A244,'2'!$A:$A,0)="","NÃO","SIM"),"NAO")</f>
        <v>NAO</v>
      </c>
      <c r="F244" s="22" t="str">
        <f>IF(INDEX('1'!R:R,MATCH(CheckList!$A244,'1'!$A:$A,0))=0, "N/A", "SIM")</f>
        <v>N/A</v>
      </c>
      <c r="G244" s="22" t="str">
        <f>IF(INDEX('1'!AC:AC,MATCH(CheckList!$A244,'1'!$A:$A,0))=0, "N/A", "SIM")</f>
        <v>N/A</v>
      </c>
      <c r="H244" s="22" t="str">
        <f>IF(INDEX('1'!AF:AF,MATCH(CheckList!$A244,'1'!$A:$A,0))=0, "N/A", "SIM")</f>
        <v>N/A</v>
      </c>
      <c r="I244" s="22" t="str">
        <f>IF(INDEX('1'!L:L,MATCH(CheckList!$A244,'1'!$A:$A,0))=0, "N/A", "SIM")</f>
        <v>N/A</v>
      </c>
      <c r="J244" s="22" t="str">
        <f>IF(LEN(INDEX('1'!L:L,MATCH(CheckList!$A244,'1'!$A:$A,0)))=11, "NAO", IF(LEN(INDEX('1'!L:L,MATCH(CheckList!$A244,'1'!$A:$A,0)))=14,"SIM","N/A"))</f>
        <v>N/A</v>
      </c>
      <c r="K244" s="22" t="str">
        <f>IF(INDEX('1'!BE:BE,MATCH(CheckList!$A244,'1'!$A:$A,0))=0, "N/A", "SIM")</f>
        <v>N/A</v>
      </c>
    </row>
  </sheetData>
  <autoFilter ref="A1:K217" xr:uid="{CC06183B-D1A7-48BC-BA0E-827C394790FD}"/>
  <conditionalFormatting sqref="C2:K300">
    <cfRule type="cellIs" dxfId="24" priority="2" operator="equal">
      <formula>0</formula>
    </cfRule>
    <cfRule type="cellIs" dxfId="23" priority="4" operator="equal">
      <formula>"NAO"</formula>
    </cfRule>
    <cfRule type="cellIs" dxfId="22" priority="5" operator="equal">
      <formula>"N/A"</formula>
    </cfRule>
    <cfRule type="cellIs" dxfId="21" priority="6" operator="equal">
      <formula>"SIM"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1266-09EA-419D-BA0D-85E1B0C5A173}">
  <sheetPr codeName="Planilha5"/>
  <dimension ref="A1:BV8"/>
  <sheetViews>
    <sheetView workbookViewId="0">
      <selection activeCell="B2" sqref="B2"/>
    </sheetView>
  </sheetViews>
  <sheetFormatPr defaultColWidth="9.1796875" defaultRowHeight="14.5" x14ac:dyDescent="0.35"/>
  <cols>
    <col min="1" max="1" width="93.54296875" style="20" customWidth="1"/>
    <col min="2" max="2" width="36.26953125" style="20" bestFit="1" customWidth="1"/>
    <col min="3" max="3" width="45.7265625" style="20" bestFit="1" customWidth="1"/>
    <col min="4" max="4" width="15.26953125" style="20" bestFit="1" customWidth="1"/>
    <col min="5" max="5" width="14.1796875" style="20" bestFit="1" customWidth="1"/>
    <col min="6" max="6" width="18.453125" style="20" bestFit="1" customWidth="1"/>
    <col min="7" max="7" width="49.1796875" style="20" bestFit="1" customWidth="1"/>
    <col min="8" max="8" width="12" style="20" bestFit="1" customWidth="1"/>
    <col min="9" max="9" width="19" style="20" bestFit="1" customWidth="1"/>
    <col min="10" max="10" width="14" style="20" bestFit="1" customWidth="1"/>
    <col min="11" max="11" width="39.81640625" style="20" bestFit="1" customWidth="1"/>
    <col min="12" max="12" width="41.453125" style="20" bestFit="1" customWidth="1"/>
    <col min="13" max="13" width="69" style="20" bestFit="1" customWidth="1"/>
    <col min="14" max="16" width="17.54296875" style="20" bestFit="1" customWidth="1"/>
    <col min="17" max="17" width="15.453125" style="20" bestFit="1" customWidth="1"/>
    <col min="18" max="18" width="10.26953125" style="20" bestFit="1" customWidth="1"/>
    <col min="19" max="19" width="15.453125" style="20" bestFit="1" customWidth="1"/>
    <col min="20" max="20" width="11.7265625" style="20" bestFit="1" customWidth="1"/>
    <col min="21" max="21" width="14.81640625" style="20" bestFit="1" customWidth="1"/>
    <col min="22" max="22" width="10.81640625" style="20" bestFit="1" customWidth="1"/>
    <col min="23" max="23" width="15.453125" style="20" bestFit="1" customWidth="1"/>
    <col min="24" max="24" width="22" style="20" bestFit="1" customWidth="1"/>
    <col min="25" max="25" width="12.1796875" style="20" bestFit="1" customWidth="1"/>
    <col min="26" max="26" width="17.7265625" style="20" bestFit="1" customWidth="1"/>
    <col min="27" max="27" width="12.81640625" style="20" bestFit="1" customWidth="1"/>
    <col min="28" max="28" width="21" style="20" bestFit="1" customWidth="1"/>
    <col min="29" max="29" width="21.54296875" style="20" bestFit="1" customWidth="1"/>
    <col min="30" max="30" width="24.453125" style="20" bestFit="1" customWidth="1"/>
    <col min="31" max="31" width="37" style="20" bestFit="1" customWidth="1"/>
    <col min="32" max="32" width="20.54296875" style="20" bestFit="1" customWidth="1"/>
    <col min="33" max="33" width="23.81640625" style="20" bestFit="1" customWidth="1"/>
    <col min="34" max="34" width="20.1796875" style="20" bestFit="1" customWidth="1"/>
    <col min="35" max="35" width="22" style="20" bestFit="1" customWidth="1"/>
    <col min="36" max="37" width="15.453125" style="20" bestFit="1" customWidth="1"/>
    <col min="38" max="38" width="32.26953125" style="20" bestFit="1" customWidth="1"/>
    <col min="39" max="39" width="21.54296875" style="20" bestFit="1" customWidth="1"/>
    <col min="40" max="40" width="52.1796875" style="20" bestFit="1" customWidth="1"/>
    <col min="41" max="41" width="33.453125" style="20" bestFit="1" customWidth="1"/>
    <col min="42" max="42" width="51.453125" style="20" bestFit="1" customWidth="1"/>
    <col min="43" max="43" width="47.1796875" style="20" bestFit="1" customWidth="1"/>
    <col min="44" max="44" width="49.7265625" style="20" bestFit="1" customWidth="1"/>
    <col min="45" max="45" width="47.81640625" style="20" bestFit="1" customWidth="1"/>
    <col min="46" max="46" width="48.1796875" style="20" bestFit="1" customWidth="1"/>
    <col min="47" max="47" width="48.7265625" style="20" bestFit="1" customWidth="1"/>
    <col min="48" max="48" width="50.1796875" style="20" bestFit="1" customWidth="1"/>
    <col min="49" max="49" width="49.453125" style="20" bestFit="1" customWidth="1"/>
    <col min="50" max="50" width="47.1796875" style="20" bestFit="1" customWidth="1"/>
    <col min="51" max="51" width="49.453125" style="20" bestFit="1" customWidth="1"/>
    <col min="52" max="52" width="47" style="20" bestFit="1" customWidth="1"/>
    <col min="53" max="53" width="47.1796875" style="20" bestFit="1" customWidth="1"/>
    <col min="54" max="54" width="48.1796875" style="20" bestFit="1" customWidth="1"/>
    <col min="55" max="55" width="50.54296875" style="20" bestFit="1" customWidth="1"/>
    <col min="56" max="56" width="50" style="20" bestFit="1" customWidth="1"/>
    <col min="57" max="57" width="47" style="20" bestFit="1" customWidth="1"/>
    <col min="58" max="58" width="49.81640625" style="20" bestFit="1" customWidth="1"/>
    <col min="59" max="59" width="51" style="20" bestFit="1" customWidth="1"/>
    <col min="60" max="60" width="44.7265625" style="20" bestFit="1" customWidth="1"/>
    <col min="61" max="61" width="46" style="20" bestFit="1" customWidth="1"/>
    <col min="62" max="62" width="45.54296875" style="20" bestFit="1" customWidth="1"/>
    <col min="63" max="63" width="46" style="20" bestFit="1" customWidth="1"/>
    <col min="64" max="64" width="48.26953125" style="20" bestFit="1" customWidth="1"/>
    <col min="65" max="65" width="49.81640625" style="20" bestFit="1" customWidth="1"/>
    <col min="66" max="66" width="50.54296875" style="20" bestFit="1" customWidth="1"/>
    <col min="67" max="67" width="47.453125" style="20" bestFit="1" customWidth="1"/>
    <col min="68" max="68" width="48.1796875" style="20" bestFit="1" customWidth="1"/>
    <col min="69" max="69" width="47.1796875" style="20" bestFit="1" customWidth="1"/>
    <col min="70" max="70" width="48.26953125" style="20" bestFit="1" customWidth="1"/>
    <col min="71" max="71" width="10.54296875" style="20" bestFit="1" customWidth="1"/>
    <col min="72" max="72" width="11.54296875" style="20" bestFit="1" customWidth="1"/>
    <col min="73" max="73" width="6.1796875" style="20" bestFit="1" customWidth="1"/>
    <col min="74" max="74" width="6.81640625" style="20" bestFit="1" customWidth="1"/>
    <col min="75" max="16384" width="9.1796875" style="20"/>
  </cols>
  <sheetData>
    <row r="1" spans="1:74" x14ac:dyDescent="0.35">
      <c r="A1" s="20" t="s">
        <v>3886</v>
      </c>
      <c r="B1" s="31" t="s">
        <v>3887</v>
      </c>
      <c r="C1" s="32" t="s">
        <v>3888</v>
      </c>
      <c r="D1" s="32" t="s">
        <v>3889</v>
      </c>
      <c r="E1" s="32" t="s">
        <v>3918</v>
      </c>
      <c r="F1" s="32" t="s">
        <v>11</v>
      </c>
      <c r="G1" s="32" t="s">
        <v>3961</v>
      </c>
      <c r="H1" s="32" t="s">
        <v>3962</v>
      </c>
      <c r="I1" s="31" t="s">
        <v>3971</v>
      </c>
      <c r="J1" s="31" t="s">
        <v>3890</v>
      </c>
      <c r="K1" s="20" t="s">
        <v>3891</v>
      </c>
      <c r="L1" s="20" t="s">
        <v>3892</v>
      </c>
      <c r="M1" s="20" t="s">
        <v>3893</v>
      </c>
      <c r="N1" s="20" t="s">
        <v>3894</v>
      </c>
      <c r="O1" s="20" t="s">
        <v>3895</v>
      </c>
      <c r="P1" s="20" t="s">
        <v>3896</v>
      </c>
      <c r="Q1" s="20" t="s">
        <v>3897</v>
      </c>
      <c r="R1" s="20" t="s">
        <v>3898</v>
      </c>
      <c r="S1" s="20" t="s">
        <v>3899</v>
      </c>
      <c r="T1" s="20" t="s">
        <v>3900</v>
      </c>
      <c r="U1" s="20" t="s">
        <v>3901</v>
      </c>
      <c r="V1" s="20" t="s">
        <v>3974</v>
      </c>
      <c r="W1" s="20" t="s">
        <v>3975</v>
      </c>
      <c r="X1" s="20" t="s">
        <v>3978</v>
      </c>
      <c r="Y1" s="20" t="s">
        <v>3902</v>
      </c>
      <c r="Z1" s="31" t="s">
        <v>3972</v>
      </c>
      <c r="AA1" s="31" t="s">
        <v>3903</v>
      </c>
      <c r="AB1" s="20" t="s">
        <v>3904</v>
      </c>
      <c r="AC1" s="20" t="s">
        <v>3905</v>
      </c>
      <c r="AD1" s="20" t="s">
        <v>3906</v>
      </c>
      <c r="AE1" s="31" t="s">
        <v>3907</v>
      </c>
      <c r="AF1" s="31" t="s">
        <v>3908</v>
      </c>
      <c r="AG1" s="31" t="s">
        <v>3909</v>
      </c>
      <c r="AH1" s="31" t="s">
        <v>3910</v>
      </c>
      <c r="AI1" s="31" t="s">
        <v>3911</v>
      </c>
      <c r="AJ1" s="32" t="s">
        <v>3912</v>
      </c>
      <c r="AK1" s="32" t="s">
        <v>3913</v>
      </c>
      <c r="AL1" s="32" t="s">
        <v>3914</v>
      </c>
      <c r="AM1" s="32" t="s">
        <v>3915</v>
      </c>
      <c r="AN1" s="32" t="s">
        <v>3916</v>
      </c>
      <c r="AO1" s="32" t="s">
        <v>3917</v>
      </c>
      <c r="AP1" s="32" t="s">
        <v>3919</v>
      </c>
      <c r="AQ1" s="31" t="s">
        <v>3920</v>
      </c>
      <c r="AR1" s="32" t="s">
        <v>3921</v>
      </c>
      <c r="AS1" s="32" t="s">
        <v>3922</v>
      </c>
      <c r="AT1" s="32" t="s">
        <v>3923</v>
      </c>
      <c r="AU1" s="32" t="s">
        <v>3924</v>
      </c>
      <c r="AV1" s="20" t="s">
        <v>3925</v>
      </c>
      <c r="AW1" s="20" t="s">
        <v>3926</v>
      </c>
      <c r="AX1" s="20" t="s">
        <v>3928</v>
      </c>
      <c r="AY1" s="20" t="s">
        <v>3927</v>
      </c>
      <c r="AZ1" s="20" t="s">
        <v>3929</v>
      </c>
      <c r="BA1" s="20" t="s">
        <v>3930</v>
      </c>
      <c r="BB1" s="20" t="s">
        <v>3931</v>
      </c>
      <c r="BC1" s="20" t="s">
        <v>3932</v>
      </c>
      <c r="BD1" s="20" t="s">
        <v>3933</v>
      </c>
      <c r="BE1" s="20" t="s">
        <v>3934</v>
      </c>
      <c r="BF1" s="20" t="s">
        <v>3935</v>
      </c>
      <c r="BG1" s="20" t="s">
        <v>3936</v>
      </c>
      <c r="BH1" s="20" t="s">
        <v>3937</v>
      </c>
      <c r="BI1" s="20" t="s">
        <v>3938</v>
      </c>
      <c r="BJ1" s="20" t="s">
        <v>3939</v>
      </c>
      <c r="BK1" s="20" t="s">
        <v>3940</v>
      </c>
      <c r="BL1" s="20" t="s">
        <v>3941</v>
      </c>
      <c r="BM1" s="20" t="s">
        <v>3942</v>
      </c>
      <c r="BN1" s="20" t="s">
        <v>3943</v>
      </c>
      <c r="BO1" s="20" t="s">
        <v>3944</v>
      </c>
      <c r="BP1" s="20" t="s">
        <v>3945</v>
      </c>
      <c r="BQ1" s="20" t="s">
        <v>3946</v>
      </c>
      <c r="BR1" s="20" t="s">
        <v>3947</v>
      </c>
      <c r="BS1" s="20" t="s">
        <v>3963</v>
      </c>
      <c r="BT1" s="20" t="s">
        <v>3964</v>
      </c>
      <c r="BU1" s="20" t="s">
        <v>3965</v>
      </c>
      <c r="BV1" s="20" t="s">
        <v>3973</v>
      </c>
    </row>
    <row r="2" spans="1:74" s="31" customFormat="1" x14ac:dyDescent="0.35">
      <c r="A2" s="20" t="str">
        <f>"C:\Users\Nilson Gasparin\Dropbox\MONTE CRISTO\AUTOMAÇÃO\CAD\"&amp;IF(INDEX('1'!O:O,MATCH(B2,'1'!A:A,0))="TRIFASICO","TRIFASICO","BIFASICO")&amp;IF(INDEX('Dados - Inversores'!AK:AK,MATCH(INDEX('1'!AL:AL,MATCH(B2,'1'!A:A,0)),'Dados - Inversores'!C:C,0))=1,"BIFASICO","TRIFASICO") &amp;IF(INDEX('1'!AS:AS,MATCH(B2,'1'!A:A,0))="0","","TRAFO")&amp;".dwg"</f>
        <v>C:\Users\Nilson Gasparin\Dropbox\MONTE CRISTO\AUTOMAÇÃO\CAD\BIFASICOBIFASICO.dwg</v>
      </c>
      <c r="B2" s="31" t="str">
        <f>'Dados - Projeto'!A4</f>
        <v>Teste 1</v>
      </c>
      <c r="C2" s="31" t="str">
        <f>INDEX('1'!D:D,MATCH(B2,'1'!A:A,0)) &amp; ", " &amp;INDEX('1'!E:E,MATCH(B2,'1'!A:A,0))&amp; " - " &amp;INDEX('1'!G:G,MATCH(B2,'1'!A:A,0))</f>
        <v>RUA Teste, 0 - CENTRO</v>
      </c>
      <c r="D2" s="31" t="str">
        <f>INDEX('1'!H:H,MATCH(B2,'1'!A:A,0)) &amp; "/MS "</f>
        <v xml:space="preserve">CAMPO GRANDE/MS </v>
      </c>
      <c r="E2" s="31" t="str">
        <f>INDEX('1'!BE:BE,MATCH(B2,'1'!A:A,0))</f>
        <v>1320240000000</v>
      </c>
      <c r="F2" s="31" t="str">
        <f>IF(LEN(INDEX('1'!L:L,MATCH(B2,'1'!A:A,0)))=11,"CPF: "&amp;LEFT(INDEX('1'!L:L,MATCH(B2,'1'!A:A,0)),3)&amp;"."&amp;RIGHT(LEFT(INDEX('1'!L:L,MATCH(B2,'1'!A:A,0)),6),3)&amp;"."&amp;RIGHT(LEFT(INDEX('1'!L:L,MATCH(B2,'1'!A:A,0)),9),3)&amp;"-"&amp;RIGHT(LEFT(INDEX('1'!L:L,MATCH(B2,'1'!A:A,0)),12),2),IF(LEN(INDEX('1'!L:L,MATCH(B2,'1'!A:A,0)))=14,"CNPJ: "&amp;LEFT(INDEX('1'!L:L,MATCH(B2,'1'!A:A,0)),2)&amp;"."&amp;RIGHT(LEFT(INDEX('1'!L:L,MATCH(B2,'1'!A:A,0)),5),3)&amp;"."&amp;RIGHT(LEFT(INDEX('1'!L:L,MATCH(B2,'1'!A:A,0)),8),3)&amp;"/"&amp;RIGHT(LEFT(INDEX('1'!L:L,MATCH(B2,'1'!A:A,0)),12),4)&amp;"-"&amp;RIGHT(LEFT(INDEX('1'!L:L,MATCH(B2,'1'!A:A,0)),14),2)))</f>
        <v>CPF: 123.456.789-00</v>
      </c>
      <c r="G2" s="31" t="str">
        <f>"- PROJETO DE ENERGIA SOLAR FOTOVOLTAICA  "&amp; INDEX('1'!AA:AA,MATCH(B2,'1'!A:A,0))&amp;"  W."</f>
        <v>- PROJETO DE ENERGIA SOLAR FOTOVOLTAICA  10,62  W.</v>
      </c>
      <c r="H2" s="31" t="str">
        <f ca="1">INDEX('Dados - Solicitação de acesso'!BD2:BD13,MONTH(TODAY()))&amp;"/"&amp;YEAR(TODAY())</f>
        <v>FEVEREIRO/2024</v>
      </c>
      <c r="I2" s="31" t="str">
        <f>INDEX('1'!AG:AG,MATCH(B2,'1'!A:A,0))</f>
        <v>1112 - DHM-72X10 550W</v>
      </c>
      <c r="J2" s="31" t="str">
        <f>INDEX('Dados - Placas'!C:C,MATCH('Legendas - VBA'!I2,'Dados - Placas'!D:D,0))</f>
        <v>DHM-72X10 550W</v>
      </c>
      <c r="K2" s="31" t="str">
        <f>INDEX('1'!AF:AF,MATCH(B2,'1'!A:A,0)) &amp; " PAINÉIS  "&amp; INDEX('Dados - Placas'!M:M,MATCH(I2,'Dados - Placas'!D:D,0))&amp;" 144 CELULAS"</f>
        <v>18 PAINÉIS  MONOCRISTALINA 144 CELULAS</v>
      </c>
      <c r="L2" s="31" t="str">
        <f>"MAX POTÊNCIA " &amp; INDEX('1'!AA:AA,MATCH(B2,'1'!A:A,0))&amp; " kW, Voc  "&amp; INDEX('Dados - Placas'!G:G,MATCH(I2,'Dados - Placas'!D:D,0))&amp;", Isc " &amp; INDEX('Dados - Placas'!H:H,MATCH(I2,'Dados - Placas'!D:D,0))</f>
        <v>MAX POTÊNCIA 10,62 kW, Voc  50.15 V, Isc 13.81A</v>
      </c>
      <c r="M2" s="31" t="str">
        <f>"MODULO "&amp; INDEX('Dados - Placas'!A:A,MATCH(I2,'Dados - Placas'!D:D,0))&amp;"  - " &amp; J2 &amp;"  POLI HALF CELL 1500V"</f>
        <v>MODULO DAH SOLAR  - DHM-72X10 550W  POLI HALF CELL 1500V</v>
      </c>
      <c r="N2" s="31" t="str">
        <f>INDEX('Dados - Placas'!E:E,MATCH(I2,'Dados - Placas'!D:D,0))*1000 &amp; " W"</f>
        <v>550 W</v>
      </c>
      <c r="O2" s="31" t="str">
        <f>INDEX('Dados - Placas'!G:G,MATCH(I2,'Dados - Placas'!D:D,0))</f>
        <v>50.15 V</v>
      </c>
      <c r="P2" s="31" t="str">
        <f>INDEX('Dados - Placas'!H:H,MATCH(I2,'Dados - Placas'!D:D,0))</f>
        <v>13.81A</v>
      </c>
      <c r="Q2" s="31" t="str">
        <f>IF(INDEX('1'!O:O,MATCH(B2,'1'!A:A,0))="TRIFASICO","3#" &amp; INDEX('1'!AC:AC,MATCH(B2,'1'!A:A,0)) &amp; "(" &amp; INDEX('1'!AD:AD,MATCH(B2,'1'!A:A,0)) &amp;")mm²",IF(INDEX('1'!O:O,MATCH(B2,'1'!A:A,0))="BIFASICO","2#" &amp; INDEX('1'!AC:AC,MATCH(B2,'1'!A:A,0)) &amp; "(" &amp; INDEX('1'!AD:AD,MATCH(B2,'1'!A:A,0)) &amp;")mm²",0))</f>
        <v>2#10(10)mm²</v>
      </c>
      <c r="R2" s="31" t="str">
        <f>INDEX('1'!R:R,MATCH(B2,'1'!A:A,0)) &amp; " A - C"</f>
        <v>40 A - C</v>
      </c>
      <c r="S2" s="31" t="str">
        <f>IF(INDEX('1'!O:O,MATCH(B2,'1'!A:A,0))="TRIFASICO","3#" &amp; INDEX('1'!AC:AC,MATCH(B2,'1'!A:A,0)) &amp; "(" &amp; INDEX('1'!AD:AD,MATCH(B2,'1'!A:A,0)) &amp;") " &amp; INDEX('1'!AE:AE,MATCH(B2,'1'!A:A,0)) &amp; " mm²",IF(INDEX('1'!O:O,MATCH(B2,'1'!A:A,0))="BIFASICO","2#" &amp; INDEX('1'!AC:AC,MATCH(B2,'1'!A:A,0)) &amp; "(" &amp; INDEX('1'!AD:AD,MATCH(B2,'1'!A:A,0)) &amp;") " &amp; INDEX('1'!AE:AE,MATCH(B2,'1'!A:A,0)) &amp; "mm²",0))</f>
        <v>2#10(10) 10mm²</v>
      </c>
      <c r="T2" s="31" t="str">
        <f>INDEX('1'!AP:AP,MATCH(B2,'1'!A:A,0)) &amp; " A - C"</f>
        <v>100 A - C</v>
      </c>
      <c r="U2" s="31" t="str">
        <f>IF(INDEX('Dados - Inversores'!AK:AK,MATCH(INDEX('1'!AL:AL,MATCH(B2,'1'!A:A,0)),'Dados - Inversores'!C:C,0))=1,2,3)&amp;"#"&amp;INDEX('1'!BD:BD,MATCH(B2,'1'!A:A,0))&amp;"mm²"</f>
        <v>2#25mm²</v>
      </c>
      <c r="V2" s="31" t="str">
        <f>INDEX('1'!BF:BF,MATCH(B2,'1'!A:A,0)) &amp; " A - C"</f>
        <v>2 A - C</v>
      </c>
      <c r="W2" s="31" t="str">
        <f>IF(INDEX('Dados - Inversores'!AK:AK,MATCH(INDEX('1'!AL:AL,MATCH(B2,'1'!A:A,0)),'Dados - Inversores'!C:C,0))=1,"Bipolar - ","Tripolar - ") &amp;INDEX('1'!BF:BF,MATCH(B2,'1'!A:A,0)) &amp; " A - C"</f>
        <v>Bipolar - 2 A - C</v>
      </c>
      <c r="X2" s="31" t="str">
        <f>IF(INDEX('Dados - Inversores'!AK:AK,MATCH(INDEX('1'!AL:AL,MATCH(B2,'1'!A:A,0)),'Dados - Inversores'!C:C,0))=1,2,3)&amp;"#"&amp;INDEX('1'!BG:BG,MATCH(B2,'1'!A:A,0))&amp;"mm²"</f>
        <v>2#4mm²</v>
      </c>
      <c r="Y2" s="31" t="str">
        <f>INDEX('1'!M:M,MATCH(B2,'1'!A:A,0))&amp;" KW"</f>
        <v>10 KW</v>
      </c>
      <c r="Z2" s="31" t="str">
        <f>INDEX('1'!AL:AL,MATCH(B2,'1'!A:A,0))</f>
        <v>367 - 8000MTL-S</v>
      </c>
      <c r="AA2" s="31" t="str">
        <f>INDEX('Dados - Inversores'!B:B,MATCH('Legendas - VBA'!Z2,'Dados - Inversores'!C:C,0))</f>
        <v>8000MTL-S</v>
      </c>
      <c r="AB2" s="31" t="str">
        <f>"Fabricante:  "&amp; INDEX('Dados - Inversores'!A:A,MATCH(Z2,'Dados - Inversores'!C:C,0))</f>
        <v>Fabricante:  GROWATT</v>
      </c>
      <c r="AC2" s="31" t="str">
        <f>"Modelo:  "&amp;AA2</f>
        <v>Modelo:  8000MTL-S</v>
      </c>
      <c r="AD2" s="31" t="str">
        <f>"Potência Nominal:  "&amp; INDEX('Dados - Inversores'!D:D,MATCH(Z2,'Dados - Inversores'!C:C,0))</f>
        <v>Potência Nominal:  8000W</v>
      </c>
      <c r="AE2" s="31" t="str">
        <f>"Fabricante:  "&amp; INDEX('Dados - Placas'!A:A,MATCH(I2,'Dados - Placas'!D:D,0))</f>
        <v>Fabricante:  DAH SOLAR</v>
      </c>
      <c r="AF2" s="31" t="str">
        <f xml:space="preserve"> "Modelo: "&amp;J2</f>
        <v>Modelo: DHM-72X10 550W</v>
      </c>
      <c r="AG2" s="31" t="str">
        <f xml:space="preserve"> "Potência Nominal:  "&amp; INDEX('Dados - Placas'!E:E,MATCH(I2,'Dados - Placas'!D:D,0))*1000 &amp;" W"</f>
        <v>Potência Nominal:  550 W</v>
      </c>
      <c r="AH2" s="31" t="str">
        <f>"Qtde. de Módulos: " &amp; INDEX('1'!AF:AF,MATCH(B2,'1'!A:A,0))</f>
        <v>Qtde. de Módulos: 18</v>
      </c>
      <c r="AI2" s="31" t="str">
        <f>"Potência Total: "&amp; INDEX('1'!AA:AA,MATCH(B2,'1'!A:A,0)) &amp;" kWp"</f>
        <v>Potência Total: 10,62 kWp</v>
      </c>
      <c r="AJ2" s="31" t="str">
        <f>IF(INDEX('1'!O:O,MATCH(B2,'1'!A:A,0))="TRIFASICO","Tripolar - ","Bipolar - ")&amp; INDEX('1'!R:R,MATCH(B2,'1'!A:A,0)) &amp; " A - C"</f>
        <v>Bipolar - 40 A - C</v>
      </c>
      <c r="AK2" s="31" t="str">
        <f>IF(INDEX('Dados - Inversores'!AK:AK,MATCH(INDEX('1'!AL:AL,MATCH(B2,'1'!A:A,0)),'Dados - Inversores'!C:C,0))=1,"Bipolar - ","Tripolar - ") &amp; INDEX('1'!AP:AP,MATCH(B2,'1'!A:A,0)) &amp; " A - C"</f>
        <v>Bipolar - 100 A - C</v>
      </c>
      <c r="AL2" s="31" t="str">
        <f>"PLACA "&amp; INDEX('Dados - Placas'!A:A,MATCH(I2,'Dados - Placas'!D:D,0))</f>
        <v>PLACA DAH SOLAR</v>
      </c>
      <c r="AM2" s="31" t="str">
        <f xml:space="preserve"> "MODELO: "&amp;J2</f>
        <v>MODELO: DHM-72X10 550W</v>
      </c>
      <c r="AN2" s="31" t="str">
        <f>"DADOS TÉCNICOS DO INVERSOR "&amp; INDEX('Dados - Inversores'!A:A,MATCH(Z2,'Dados - Inversores'!C:C,0)) &amp; " "&amp;AA2</f>
        <v>DADOS TÉCNICOS DO INVERSOR GROWATT 8000MTL-S</v>
      </c>
      <c r="AO2" s="31" t="str">
        <f>IF(INDEX('Dados - Inversores'!M:M,MATCH(Z2,'Dados - Inversores'!C:C,0))=" "," ","REGISTRO DO INMETRO "&amp; INDEX('Dados - Inversores'!M:M,MATCH(Z2,'Dados - Inversores'!C:C,0)))</f>
        <v>REGISTRO DO INMETRO 009256/2019</v>
      </c>
      <c r="AP2" s="20" t="str">
        <f>"Max. corrente de alimentação:                           "&amp; INDEX('Dados - Inversores'!N:N,MATCH(Z2,'Dados - Inversores'!C:C,0))</f>
        <v>Max. corrente de alimentação:                           25A/12.5A</v>
      </c>
      <c r="AQ2" s="20" t="str">
        <f>"Max. Isc por arranjo:                                              "&amp; INDEX('Dados - Inversores'!O:O,MATCH(Z2,'Dados - Inversores'!C:C,0))</f>
        <v>Max. Isc por arranjo:                                              32A/16A</v>
      </c>
      <c r="AR2" s="20" t="str">
        <f>"Min. tensão de entrada (Udc min):                                 "&amp; INDEX('Dados - Inversores'!P:P,MATCH(Z2,'Dados - Inversores'!C:C,0))</f>
        <v>Min. tensão de entrada (Udc min):                                 80V</v>
      </c>
      <c r="AS2" s="20" t="str">
        <f>"Tensão de partida (Udc start):                                    "&amp; INDEX('Dados - Inversores'!Q:Q,MATCH(Z2,'Dados - Inversores'!C:C,0))</f>
        <v>Tensão de partida (Udc start):                                    100V</v>
      </c>
      <c r="AT2" s="20" t="str">
        <f>"Tensão nominal (Udc,r):                                                "&amp; INDEX('Dados - Inversores'!R:R,MATCH(Z2,'Dados - Inversores'!C:C,0))</f>
        <v>Tensão nominal (Udc,r):                                                360V</v>
      </c>
      <c r="AU2" s="20" t="str">
        <f>"Max. tensão de entrada (Udc max):                           "&amp; INDEX('Dados - Inversores'!S:S,MATCH(Z2,'Dados - Inversores'!C:C,0))</f>
        <v>Max. tensão de entrada (Udc max):                           550V</v>
      </c>
      <c r="AV2" s="20" t="str">
        <f>"Gradiente de tensão do rastreador MPP:          "&amp; INDEX('Dados - Inversores'!T:T,MATCH(Z2,'Dados - Inversores'!C:C,0))</f>
        <v>Gradiente de tensão do rastreador MPP:          80V-550V</v>
      </c>
      <c r="AW2" s="20" t="str">
        <f>"Num. de rastr. do Ponto de máx. Potência:                     "&amp; INDEX('Dados - Inversores'!U:U,MATCH(Z2,'Dados - Inversores'!C:C,0))</f>
        <v>Num. de rastr. do Ponto de máx. Potência:                     2</v>
      </c>
      <c r="AX2" s="20" t="str">
        <f>"Numero de conexões CC:                                              "&amp; INDEX('Dados - Inversores'!V:V,MATCH(Z2,'Dados - Inversores'!C:C,0))</f>
        <v>Numero de conexões CC:                                              2+1</v>
      </c>
      <c r="AY2" s="20" t="str">
        <f>"Max. potência do gerador fotovoltáico:              "&amp; INDEX('Dados - Inversores'!W:W,MATCH(Z2,'Dados - Inversores'!C:C,0))</f>
        <v>Max. potência do gerador fotovoltáico:              10,5 kWp</v>
      </c>
      <c r="AZ2" s="20" t="str">
        <f>"Potência  Nominal CA:                                             "&amp; INDEX('Dados - Inversores'!D:D,MATCH(Z2,'Dados - Inversores'!C:C,0))</f>
        <v>Potência  Nominal CA:                                             8000W</v>
      </c>
      <c r="BA2" s="20" t="str">
        <f>"Potência Máxima CA:                                              "&amp; INDEX('Dados - Inversores'!F:F,MATCH(Z2,'Dados - Inversores'!C:C,0))</f>
        <v>Potência Máxima CA:                                              8000VA</v>
      </c>
      <c r="BB2" s="20" t="str">
        <f>"Corrente de Saída nominal:                                        "&amp; INDEX('Dados - Inversores'!G:G,MATCH(Z2,'Dados - Inversores'!C:C,0))</f>
        <v>Corrente de Saída nominal:                                        36.4A</v>
      </c>
      <c r="BC2" s="20" t="str">
        <f>"Tensão de conexão com a rede:             "&amp; INDEX('Dados - Inversores'!H:H,MATCH(Z2,'Dados - Inversores'!C:C,0))</f>
        <v>Tensão de conexão com a rede:             220V/(180V-280V)</v>
      </c>
      <c r="BD2" s="20" t="str">
        <f>"Frequencia                                                        "&amp; INDEX('Dados - Inversores'!I:I,MATCH(Z2,'Dados - Inversores'!C:C,0))</f>
        <v>Frequencia                                                               50,60Hz</v>
      </c>
      <c r="BE2" s="20" t="str">
        <f>"Distorção Harmônica Total:                                         "&amp; INDEX('Dados - Inversores'!J:J,MATCH(Z2,'Dados - Inversores'!C:C,0))</f>
        <v>Distorção Harmônica Total:                                         &lt;3%</v>
      </c>
      <c r="BF2" s="20" t="str">
        <f>"Fator de Potência (cos φ):                   "&amp; INDEX('Dados - Inversores'!K:K,MATCH(Z2,'Dados - Inversores'!C:C,0))</f>
        <v>Fator de Potência (cos φ):                   1 (ajustável +/- 0,8)</v>
      </c>
      <c r="BG2" s="20" t="str">
        <f>"Dimensões (altura x largura x prof.):      "&amp; INDEX('Dados - Inversores'!Y:Y,MATCH(Z2,'Dados - Inversores'!C:C,0))</f>
        <v>Dimensões (altura x largura x prof.):      419x355x185mm</v>
      </c>
      <c r="BH2" s="20" t="str">
        <f>"Peso:                                                                          "&amp; INDEX('Dados - Inversores'!Z:Z,MATCH(Z2,'Dados - Inversores'!C:C,0))</f>
        <v>Peso:                                                                          16,8 kg</v>
      </c>
      <c r="BI2" s="20" t="str">
        <f>"Grau de Proteção:                                                        "&amp; INDEX('Dados - Inversores'!AA:AA,MATCH(Z2,'Dados - Inversores'!C:C,0))</f>
        <v>Grau de Proteção:                                                        IP 65</v>
      </c>
      <c r="BJ2" s="20" t="str">
        <f>"Classe de proteção:                                                           "&amp; INDEX('Dados - Inversores'!AB:AB,MATCH(Z2,'Dados - Inversores'!C:C,0))</f>
        <v>Classe de proteção:                                                           1</v>
      </c>
      <c r="BK2" s="20" t="str">
        <f>"Consumo noturno:                                                      "&amp; INDEX('Dados - Inversores'!AC:AC,MATCH(Z2,'Dados - Inversores'!C:C,0))</f>
        <v>Consumo noturno:                                                      &lt;0,5 W</v>
      </c>
      <c r="BL2" s="20" t="str">
        <f>"Topologia do Inversor:                     "&amp; INDEX('Dados - Inversores'!AD:AD,MATCH(Z2,'Dados - Inversores'!C:C,0))</f>
        <v>Topologia do Inversor:                     Sem Transformador</v>
      </c>
      <c r="BM2" s="20" t="str">
        <f>"Controle de temperatura:                    "&amp; INDEX('Dados - Inversores'!AE:AE,MATCH(Z2,'Dados - Inversores'!C:C,0))</f>
        <v>Controle de temperatura:                    Ventilação Natural</v>
      </c>
      <c r="BN2" s="20" t="str">
        <f>"Gradiente de temperatura ambiente:            "&amp; INDEX('Dados - Inversores'!AF:AF,MATCH(Z2,'Dados - Inversores'!C:C,0))</f>
        <v>Gradiente de temperatura ambiente:            -25°C ± 60°C</v>
      </c>
      <c r="BO2" s="20" t="str">
        <f>"Umidade relativa do ar:                                       "&amp; INDEX('Dados - Inversores'!AG:AG,MATCH(Z2,'Dados - Inversores'!C:C,0))</f>
        <v>Umidade relativa do ar:                                       0 a 100 %</v>
      </c>
      <c r="BP2" s="20" t="str">
        <f>"Bitola dos Terminais CC:                               "&amp; INDEX('Dados - Inversores'!AH:AH,MATCH(Z2,'Dados - Inversores'!C:C,0))</f>
        <v xml:space="preserve">Bitola dos Terminais CC:                               </v>
      </c>
      <c r="BQ2" s="20" t="str">
        <f>"Conexão com a Rede:                             "&amp; INDEX('Dados - Inversores'!AI:AI,MATCH(Z2,'Dados - Inversores'!C:C,0))</f>
        <v>Conexão com a Rede:                             2 polos CA FF+T</v>
      </c>
      <c r="BR2" s="20" t="str">
        <f>"Bitola dos Terminais CA:                               "&amp; INDEX('Dados - Inversores'!AJ:AJ,MATCH(Z2,'Dados - Inversores'!C:C,0))</f>
        <v xml:space="preserve">Bitola dos Terminais CA:                               </v>
      </c>
      <c r="BS2" s="24" t="str">
        <f>INDEX('1'!U:U,MATCH(B2,'1'!A:A,0))&amp; " m E"</f>
        <v>690000 m E</v>
      </c>
      <c r="BT2" s="31" t="str">
        <f>INDEX('1'!V:V,MATCH(B2,'1'!A:A,0))&amp;" m S"</f>
        <v>7600000 m S</v>
      </c>
      <c r="BU2" s="31" t="str">
        <f>INDEX('1'!T:T,MATCH(B2,'1'!A:A,0))</f>
        <v>21K</v>
      </c>
      <c r="BV2" s="31" t="str">
        <f>INDEX('1'!AS:AS,MATCH(B2,'1'!A:A,0))&amp;" KVA"</f>
        <v>0 KVA</v>
      </c>
    </row>
    <row r="3" spans="1:74" x14ac:dyDescent="0.35">
      <c r="A3" s="20" t="s">
        <v>4024</v>
      </c>
    </row>
    <row r="4" spans="1:74" x14ac:dyDescent="0.35">
      <c r="A4" s="20" t="str">
        <f>"C:\Users\Nilson Gasparin\Dropbox\MONTE CRISTO\AUTOMAÇÃO\CAD\"&amp;IF(INDEX('1'!O:O,MATCH(B2,'1'!A:A,0))="TRIFASICO","TRIFASICO","BIFASICO")&amp;IF(INDEX('Dados - Inversores'!AK:AK,MATCH(INDEX('1'!AL:AL,MATCH(B2,'1'!A:A,0)),'Dados - Inversores'!C:C,0))=1,"BIFASICO","TRIFASICO") &amp;IF(INDEX('1'!AS:AS,MATCH(B2,'1'!A:A,0))="0","","TRAFO")&amp;".dwg"</f>
        <v>C:\Users\Nilson Gasparin\Dropbox\MONTE CRISTO\AUTOMAÇÃO\CAD\BIFASICOBIFASICO.dwg</v>
      </c>
    </row>
    <row r="6" spans="1:74" ht="61.5" x14ac:dyDescent="1.35">
      <c r="B6" s="42" t="str">
        <f>IF(INDEX('1'!AK:AK,MATCH(B2,'1'!A:A,0))-1&gt;0," MUDA PARA 2 INVERSORES VAGABUNDO","")</f>
        <v/>
      </c>
    </row>
    <row r="8" spans="1:74" x14ac:dyDescent="0.35">
      <c r="B8" s="20" t="str">
        <f>INDEX('1'!AK:AK,MATCH(B2,'1'!A:A,0))</f>
        <v>1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3EB74-9C1D-4431-883C-AB1AD8C8431D}">
          <x14:formula1>
            <xm:f>'Dados - Cliente'!$A$1:$A$400</xm:f>
          </x14:formula1>
          <xm:sqref>B2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2416C-E74C-4ABF-849C-1DEACD26E8BA}">
  <sheetPr codeName="Planilha7"/>
  <dimension ref="A1:BD80"/>
  <sheetViews>
    <sheetView showGridLines="0" showRowColHeaders="0" workbookViewId="0">
      <selection activeCell="O3" sqref="O3"/>
    </sheetView>
  </sheetViews>
  <sheetFormatPr defaultColWidth="8.81640625" defaultRowHeight="14.5" x14ac:dyDescent="0.35"/>
  <cols>
    <col min="1" max="1" width="6.81640625" style="16" bestFit="1" customWidth="1"/>
    <col min="2" max="2" width="3.54296875" style="16" bestFit="1" customWidth="1"/>
    <col min="3" max="3" width="17.26953125" style="16" bestFit="1" customWidth="1"/>
    <col min="4" max="4" width="4.7265625" style="16" bestFit="1" customWidth="1"/>
    <col min="5" max="5" width="5.7265625" style="16" bestFit="1" customWidth="1"/>
    <col min="6" max="6" width="4.54296875" style="16" bestFit="1" customWidth="1"/>
    <col min="7" max="7" width="7" style="16" bestFit="1" customWidth="1"/>
    <col min="8" max="8" width="24.26953125" style="16" bestFit="1" customWidth="1"/>
    <col min="9" max="9" width="6.26953125" style="16" bestFit="1" customWidth="1"/>
    <col min="10" max="10" width="3.81640625" style="16" bestFit="1" customWidth="1"/>
    <col min="11" max="12" width="4.453125" style="16" bestFit="1" customWidth="1"/>
    <col min="13" max="13" width="11.1796875" style="16" bestFit="1" customWidth="1"/>
    <col min="14" max="14" width="24.81640625" style="16" bestFit="1" customWidth="1"/>
    <col min="15" max="15" width="17.453125" style="16" bestFit="1" customWidth="1"/>
    <col min="16" max="16" width="14" style="16" bestFit="1" customWidth="1"/>
    <col min="17" max="17" width="8.7265625" style="16" bestFit="1" customWidth="1"/>
    <col min="18" max="18" width="3.1796875" style="16" bestFit="1" customWidth="1"/>
    <col min="19" max="19" width="9" style="16" bestFit="1" customWidth="1"/>
    <col min="20" max="20" width="5.453125" style="16" bestFit="1" customWidth="1"/>
    <col min="21" max="21" width="10.81640625" style="16" bestFit="1" customWidth="1"/>
    <col min="22" max="22" width="9.1796875" style="16" bestFit="1" customWidth="1"/>
    <col min="23" max="23" width="8.26953125" style="16" bestFit="1" customWidth="1"/>
    <col min="24" max="24" width="9.26953125" style="16" bestFit="1" customWidth="1"/>
    <col min="25" max="25" width="5" style="16" bestFit="1" customWidth="1"/>
    <col min="26" max="26" width="8.7265625" style="16" bestFit="1" customWidth="1"/>
    <col min="27" max="27" width="9.54296875" style="16" bestFit="1" customWidth="1"/>
    <col min="28" max="28" width="14.453125" style="16" bestFit="1" customWidth="1"/>
    <col min="29" max="29" width="5.1796875" style="16" bestFit="1" customWidth="1"/>
    <col min="30" max="30" width="8" style="16" bestFit="1" customWidth="1"/>
    <col min="31" max="31" width="6.1796875" style="16" bestFit="1" customWidth="1"/>
    <col min="32" max="32" width="12.81640625" style="16" bestFit="1" customWidth="1"/>
    <col min="33" max="33" width="8.54296875" style="16" bestFit="1" customWidth="1"/>
    <col min="34" max="34" width="10.26953125" style="16" bestFit="1" customWidth="1"/>
    <col min="35" max="35" width="10.7265625" style="16" bestFit="1" customWidth="1"/>
    <col min="36" max="36" width="11.26953125" style="16" bestFit="1" customWidth="1"/>
    <col min="37" max="37" width="15" style="16" bestFit="1" customWidth="1"/>
    <col min="38" max="38" width="12.7265625" style="16" bestFit="1" customWidth="1"/>
    <col min="39" max="40" width="8.81640625" style="16"/>
    <col min="41" max="41" width="6" style="16" bestFit="1" customWidth="1"/>
    <col min="42" max="42" width="9.81640625" style="16" bestFit="1" customWidth="1"/>
    <col min="43" max="43" width="7.7265625" style="16" bestFit="1" customWidth="1"/>
    <col min="44" max="44" width="16" style="16" bestFit="1" customWidth="1"/>
    <col min="45" max="45" width="27" style="16" bestFit="1" customWidth="1"/>
    <col min="46" max="46" width="21.1796875" style="16" bestFit="1" customWidth="1"/>
    <col min="47" max="47" width="19" style="16" bestFit="1" customWidth="1"/>
    <col min="48" max="48" width="20.453125" style="16" bestFit="1" customWidth="1"/>
    <col min="49" max="49" width="16.7265625" style="16" bestFit="1" customWidth="1"/>
    <col min="50" max="50" width="18.26953125" style="16" bestFit="1" customWidth="1"/>
    <col min="51" max="51" width="14.1796875" style="16" bestFit="1" customWidth="1"/>
    <col min="52" max="52" width="14.453125" style="16" bestFit="1" customWidth="1"/>
    <col min="53" max="53" width="11.81640625" style="16" bestFit="1" customWidth="1"/>
    <col min="54" max="54" width="22.81640625" style="16" bestFit="1" customWidth="1"/>
    <col min="55" max="55" width="26.7265625" style="16" bestFit="1" customWidth="1"/>
    <col min="56" max="16384" width="8.81640625" style="16"/>
  </cols>
  <sheetData>
    <row r="1" spans="1:56" s="9" customFormat="1" ht="19.899999999999999" customHeight="1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9" t="s">
        <v>25</v>
      </c>
      <c r="AA1" s="8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O1" s="9" t="s">
        <v>3836</v>
      </c>
      <c r="AP1" s="9" t="s">
        <v>3837</v>
      </c>
      <c r="AQ1" s="9" t="s">
        <v>37</v>
      </c>
      <c r="AR1" s="9" t="s">
        <v>38</v>
      </c>
      <c r="AS1" s="9" t="s">
        <v>3781</v>
      </c>
      <c r="AT1" s="9" t="s">
        <v>40</v>
      </c>
      <c r="AU1" s="9" t="s">
        <v>41</v>
      </c>
      <c r="AV1" s="9" t="s">
        <v>42</v>
      </c>
      <c r="AW1" s="9" t="s">
        <v>43</v>
      </c>
      <c r="AX1" s="9" t="s">
        <v>44</v>
      </c>
      <c r="AY1" s="9" t="s">
        <v>673</v>
      </c>
      <c r="AZ1" s="9" t="s">
        <v>3779</v>
      </c>
      <c r="BA1" s="9" t="s">
        <v>3780</v>
      </c>
      <c r="BB1" s="9" t="s">
        <v>3782</v>
      </c>
      <c r="BC1" s="9" t="s">
        <v>3783</v>
      </c>
      <c r="BD1" s="9" t="s">
        <v>3948</v>
      </c>
    </row>
    <row r="2" spans="1:56" x14ac:dyDescent="0.35">
      <c r="C2" s="16" t="s">
        <v>748</v>
      </c>
      <c r="H2" s="12" t="s">
        <v>581</v>
      </c>
      <c r="I2" s="30"/>
      <c r="N2" s="12" t="s">
        <v>756</v>
      </c>
      <c r="O2" s="16" t="s">
        <v>749</v>
      </c>
      <c r="P2" s="16" t="s">
        <v>50</v>
      </c>
      <c r="Q2" s="16" t="s">
        <v>747</v>
      </c>
      <c r="T2" s="12" t="s">
        <v>3773</v>
      </c>
      <c r="W2" s="16" t="s">
        <v>54</v>
      </c>
      <c r="Y2" s="16" t="s">
        <v>55</v>
      </c>
      <c r="Z2" s="16" t="s">
        <v>56</v>
      </c>
      <c r="AG2" s="12"/>
      <c r="AH2" s="12"/>
      <c r="AI2" s="12"/>
      <c r="AS2" s="12">
        <v>0</v>
      </c>
      <c r="AT2" s="12">
        <v>0</v>
      </c>
      <c r="AU2" s="12"/>
      <c r="BD2" s="16" t="s">
        <v>3949</v>
      </c>
    </row>
    <row r="3" spans="1:56" x14ac:dyDescent="0.35">
      <c r="C3" s="16" t="s">
        <v>45</v>
      </c>
      <c r="H3" s="12" t="s">
        <v>630</v>
      </c>
      <c r="N3" s="12" t="s">
        <v>48</v>
      </c>
      <c r="O3" s="16" t="s">
        <v>750</v>
      </c>
      <c r="P3" s="16" t="s">
        <v>751</v>
      </c>
      <c r="Q3" s="16" t="s">
        <v>51</v>
      </c>
      <c r="T3" s="12" t="s">
        <v>3774</v>
      </c>
      <c r="W3" s="16" t="s">
        <v>753</v>
      </c>
      <c r="Y3" s="16" t="s">
        <v>761</v>
      </c>
      <c r="Z3" s="16" t="s">
        <v>754</v>
      </c>
      <c r="AS3" s="12">
        <v>1</v>
      </c>
      <c r="AT3" s="12">
        <v>1</v>
      </c>
      <c r="AU3" s="12"/>
      <c r="BD3" s="16" t="s">
        <v>3950</v>
      </c>
    </row>
    <row r="4" spans="1:56" x14ac:dyDescent="0.35">
      <c r="C4" s="16" t="s">
        <v>755</v>
      </c>
      <c r="H4" s="12" t="s">
        <v>663</v>
      </c>
      <c r="N4" s="12" t="s">
        <v>758</v>
      </c>
      <c r="O4" s="16" t="s">
        <v>49</v>
      </c>
      <c r="T4" s="12" t="s">
        <v>3775</v>
      </c>
      <c r="Y4" s="16" t="s">
        <v>762</v>
      </c>
      <c r="AS4" s="12">
        <v>5</v>
      </c>
      <c r="AT4" s="12">
        <v>5</v>
      </c>
      <c r="AU4" s="12"/>
      <c r="BD4" s="16" t="s">
        <v>3951</v>
      </c>
    </row>
    <row r="5" spans="1:56" x14ac:dyDescent="0.35">
      <c r="C5" s="16" t="s">
        <v>754</v>
      </c>
      <c r="H5" s="12" t="s">
        <v>3002</v>
      </c>
      <c r="N5" s="12" t="s">
        <v>760</v>
      </c>
      <c r="T5" s="12" t="s">
        <v>53</v>
      </c>
      <c r="AS5" s="12">
        <v>10</v>
      </c>
      <c r="AT5" s="12">
        <v>10</v>
      </c>
      <c r="AU5" s="12"/>
      <c r="BD5" s="16" t="s">
        <v>3952</v>
      </c>
    </row>
    <row r="6" spans="1:56" x14ac:dyDescent="0.35">
      <c r="C6" s="16" t="s">
        <v>757</v>
      </c>
      <c r="H6" s="12" t="s">
        <v>607</v>
      </c>
      <c r="N6" s="12" t="s">
        <v>3770</v>
      </c>
      <c r="T6" s="12" t="s">
        <v>752</v>
      </c>
      <c r="AS6" s="12">
        <v>15</v>
      </c>
      <c r="AT6" s="12">
        <v>15</v>
      </c>
      <c r="AU6" s="12"/>
      <c r="BD6" s="16" t="s">
        <v>3953</v>
      </c>
    </row>
    <row r="7" spans="1:56" x14ac:dyDescent="0.35">
      <c r="C7" s="16" t="s">
        <v>759</v>
      </c>
      <c r="H7" s="12" t="s">
        <v>647</v>
      </c>
      <c r="N7" s="12" t="s">
        <v>3771</v>
      </c>
      <c r="T7" s="12" t="s">
        <v>3776</v>
      </c>
      <c r="AS7" s="12">
        <v>25</v>
      </c>
      <c r="AT7" s="12">
        <v>25</v>
      </c>
      <c r="AU7" s="12"/>
      <c r="BD7" s="16" t="s">
        <v>3954</v>
      </c>
    </row>
    <row r="8" spans="1:56" x14ac:dyDescent="0.35">
      <c r="H8" s="12" t="s">
        <v>642</v>
      </c>
      <c r="N8" s="12" t="s">
        <v>3772</v>
      </c>
      <c r="T8" s="12" t="s">
        <v>3777</v>
      </c>
      <c r="AS8" s="12">
        <v>30</v>
      </c>
      <c r="AT8" s="12">
        <v>30</v>
      </c>
      <c r="AU8" s="12"/>
      <c r="BD8" s="16" t="s">
        <v>3955</v>
      </c>
    </row>
    <row r="9" spans="1:56" x14ac:dyDescent="0.35">
      <c r="H9" s="12" t="s">
        <v>648</v>
      </c>
      <c r="T9" s="12" t="s">
        <v>3778</v>
      </c>
      <c r="AS9" s="12">
        <v>45</v>
      </c>
      <c r="AT9" s="12">
        <v>45</v>
      </c>
      <c r="AU9" s="12"/>
      <c r="BD9" s="16" t="s">
        <v>3956</v>
      </c>
    </row>
    <row r="10" spans="1:56" x14ac:dyDescent="0.35">
      <c r="H10" s="12" t="s">
        <v>605</v>
      </c>
      <c r="AS10" s="12">
        <v>75</v>
      </c>
      <c r="AT10" s="12">
        <v>75</v>
      </c>
      <c r="AU10" s="12"/>
      <c r="BD10" s="16" t="s">
        <v>3957</v>
      </c>
    </row>
    <row r="11" spans="1:56" x14ac:dyDescent="0.35">
      <c r="H11" s="12" t="s">
        <v>590</v>
      </c>
      <c r="AS11" s="12">
        <v>100</v>
      </c>
      <c r="AT11" s="12">
        <v>100</v>
      </c>
      <c r="AU11" s="12"/>
      <c r="BD11" s="16" t="s">
        <v>3958</v>
      </c>
    </row>
    <row r="12" spans="1:56" x14ac:dyDescent="0.35">
      <c r="H12" s="12" t="s">
        <v>637</v>
      </c>
      <c r="AS12" s="12">
        <v>112.5</v>
      </c>
      <c r="AT12" s="12">
        <v>112.5</v>
      </c>
      <c r="AU12" s="12"/>
      <c r="BD12" s="16" t="s">
        <v>3959</v>
      </c>
    </row>
    <row r="13" spans="1:56" x14ac:dyDescent="0.35">
      <c r="H13" s="12" t="s">
        <v>654</v>
      </c>
      <c r="AS13" s="12">
        <v>150</v>
      </c>
      <c r="AT13" s="12">
        <v>150</v>
      </c>
      <c r="AU13" s="12"/>
      <c r="BD13" s="16" t="s">
        <v>3960</v>
      </c>
    </row>
    <row r="14" spans="1:56" x14ac:dyDescent="0.35">
      <c r="H14" s="12" t="s">
        <v>615</v>
      </c>
      <c r="AS14" s="12">
        <v>225</v>
      </c>
      <c r="AT14" s="12">
        <v>225</v>
      </c>
      <c r="AU14" s="12"/>
    </row>
    <row r="15" spans="1:56" x14ac:dyDescent="0.35">
      <c r="H15" s="12" t="s">
        <v>641</v>
      </c>
      <c r="AS15" s="12">
        <v>300</v>
      </c>
      <c r="AT15" s="12">
        <v>300</v>
      </c>
      <c r="AU15" s="12"/>
    </row>
    <row r="16" spans="1:56" x14ac:dyDescent="0.35">
      <c r="H16" s="12" t="s">
        <v>611</v>
      </c>
      <c r="AS16" s="12">
        <v>500</v>
      </c>
      <c r="AT16" s="12">
        <v>500</v>
      </c>
      <c r="AU16" s="12"/>
    </row>
    <row r="17" spans="8:47" x14ac:dyDescent="0.35">
      <c r="H17" s="12" t="s">
        <v>650</v>
      </c>
      <c r="AS17" s="12">
        <v>750</v>
      </c>
      <c r="AT17" s="12">
        <v>750</v>
      </c>
      <c r="AU17" s="12"/>
    </row>
    <row r="18" spans="8:47" x14ac:dyDescent="0.35">
      <c r="H18" s="12" t="s">
        <v>620</v>
      </c>
      <c r="AS18" s="28">
        <v>1000</v>
      </c>
      <c r="AT18" s="28">
        <v>1000</v>
      </c>
      <c r="AU18" s="28"/>
    </row>
    <row r="19" spans="8:47" x14ac:dyDescent="0.35">
      <c r="H19" s="12" t="s">
        <v>638</v>
      </c>
      <c r="AS19" s="28">
        <v>1250</v>
      </c>
      <c r="AT19" s="28">
        <v>1250</v>
      </c>
      <c r="AU19" s="28"/>
    </row>
    <row r="20" spans="8:47" x14ac:dyDescent="0.35">
      <c r="H20" s="12" t="s">
        <v>599</v>
      </c>
      <c r="AS20" s="28">
        <v>1500</v>
      </c>
      <c r="AT20" s="28">
        <v>1500</v>
      </c>
      <c r="AU20" s="28"/>
    </row>
    <row r="21" spans="8:47" x14ac:dyDescent="0.35">
      <c r="H21" s="12" t="s">
        <v>634</v>
      </c>
      <c r="AS21" s="28">
        <v>2000</v>
      </c>
      <c r="AT21" s="28">
        <v>2000</v>
      </c>
      <c r="AU21" s="28"/>
    </row>
    <row r="22" spans="8:47" x14ac:dyDescent="0.35">
      <c r="H22" s="12" t="s">
        <v>658</v>
      </c>
      <c r="AS22" s="28">
        <v>2500</v>
      </c>
      <c r="AT22" s="28">
        <v>2500</v>
      </c>
      <c r="AU22" s="28"/>
    </row>
    <row r="23" spans="8:47" x14ac:dyDescent="0.35">
      <c r="H23" s="12" t="s">
        <v>621</v>
      </c>
      <c r="AS23" s="28">
        <v>2800</v>
      </c>
      <c r="AT23" s="28">
        <v>2800</v>
      </c>
      <c r="AU23" s="28"/>
    </row>
    <row r="24" spans="8:47" x14ac:dyDescent="0.35">
      <c r="H24" s="12" t="s">
        <v>606</v>
      </c>
      <c r="AS24" s="28">
        <v>3000</v>
      </c>
      <c r="AT24" s="28">
        <v>3000</v>
      </c>
      <c r="AU24" s="28"/>
    </row>
    <row r="25" spans="8:47" x14ac:dyDescent="0.35">
      <c r="H25" s="12" t="s">
        <v>660</v>
      </c>
      <c r="AS25" s="28">
        <v>3500</v>
      </c>
      <c r="AT25" s="28">
        <v>3500</v>
      </c>
      <c r="AU25" s="28"/>
    </row>
    <row r="26" spans="8:47" x14ac:dyDescent="0.35">
      <c r="H26" s="12" t="s">
        <v>631</v>
      </c>
      <c r="AS26" s="28">
        <v>4000</v>
      </c>
      <c r="AT26" s="28">
        <v>4000</v>
      </c>
      <c r="AU26" s="28"/>
    </row>
    <row r="27" spans="8:47" x14ac:dyDescent="0.35">
      <c r="H27" s="12" t="s">
        <v>585</v>
      </c>
      <c r="AS27" s="28">
        <v>4500</v>
      </c>
      <c r="AT27" s="28">
        <v>4500</v>
      </c>
      <c r="AU27" s="28"/>
    </row>
    <row r="28" spans="8:47" x14ac:dyDescent="0.35">
      <c r="H28" s="12" t="s">
        <v>623</v>
      </c>
      <c r="AS28" s="28">
        <v>5000</v>
      </c>
      <c r="AT28" s="28">
        <v>5000</v>
      </c>
      <c r="AU28" s="28"/>
    </row>
    <row r="29" spans="8:47" x14ac:dyDescent="0.35">
      <c r="H29" s="12" t="s">
        <v>597</v>
      </c>
    </row>
    <row r="30" spans="8:47" x14ac:dyDescent="0.35">
      <c r="H30" s="12" t="s">
        <v>635</v>
      </c>
    </row>
    <row r="31" spans="8:47" x14ac:dyDescent="0.35">
      <c r="H31" s="12" t="s">
        <v>640</v>
      </c>
    </row>
    <row r="32" spans="8:47" x14ac:dyDescent="0.35">
      <c r="H32" s="12" t="s">
        <v>661</v>
      </c>
    </row>
    <row r="33" spans="8:8" x14ac:dyDescent="0.35">
      <c r="H33" s="12" t="s">
        <v>583</v>
      </c>
    </row>
    <row r="34" spans="8:8" x14ac:dyDescent="0.35">
      <c r="H34" s="12" t="s">
        <v>636</v>
      </c>
    </row>
    <row r="35" spans="8:8" x14ac:dyDescent="0.35">
      <c r="H35" s="12" t="s">
        <v>626</v>
      </c>
    </row>
    <row r="36" spans="8:8" x14ac:dyDescent="0.35">
      <c r="H36" s="12" t="s">
        <v>669</v>
      </c>
    </row>
    <row r="37" spans="8:8" x14ac:dyDescent="0.35">
      <c r="H37" s="12" t="s">
        <v>644</v>
      </c>
    </row>
    <row r="38" spans="8:8" x14ac:dyDescent="0.35">
      <c r="H38" s="12" t="s">
        <v>645</v>
      </c>
    </row>
    <row r="39" spans="8:8" x14ac:dyDescent="0.35">
      <c r="H39" s="12" t="s">
        <v>629</v>
      </c>
    </row>
    <row r="40" spans="8:8" x14ac:dyDescent="0.35">
      <c r="H40" s="12" t="s">
        <v>652</v>
      </c>
    </row>
    <row r="41" spans="8:8" x14ac:dyDescent="0.35">
      <c r="H41" s="12" t="s">
        <v>609</v>
      </c>
    </row>
    <row r="42" spans="8:8" x14ac:dyDescent="0.35">
      <c r="H42" s="12" t="s">
        <v>622</v>
      </c>
    </row>
    <row r="43" spans="8:8" x14ac:dyDescent="0.35">
      <c r="H43" s="12" t="s">
        <v>617</v>
      </c>
    </row>
    <row r="44" spans="8:8" x14ac:dyDescent="0.35">
      <c r="H44" s="12" t="s">
        <v>646</v>
      </c>
    </row>
    <row r="45" spans="8:8" x14ac:dyDescent="0.35">
      <c r="H45" s="12" t="s">
        <v>655</v>
      </c>
    </row>
    <row r="46" spans="8:8" x14ac:dyDescent="0.35">
      <c r="H46" s="12" t="s">
        <v>603</v>
      </c>
    </row>
    <row r="47" spans="8:8" x14ac:dyDescent="0.35">
      <c r="H47" s="12" t="s">
        <v>666</v>
      </c>
    </row>
    <row r="48" spans="8:8" x14ac:dyDescent="0.35">
      <c r="H48" s="12" t="s">
        <v>656</v>
      </c>
    </row>
    <row r="49" spans="8:8" x14ac:dyDescent="0.35">
      <c r="H49" s="12" t="s">
        <v>613</v>
      </c>
    </row>
    <row r="50" spans="8:8" x14ac:dyDescent="0.35">
      <c r="H50" s="12" t="s">
        <v>653</v>
      </c>
    </row>
    <row r="51" spans="8:8" x14ac:dyDescent="0.35">
      <c r="H51" s="12" t="s">
        <v>591</v>
      </c>
    </row>
    <row r="52" spans="8:8" x14ac:dyDescent="0.35">
      <c r="H52" s="12" t="s">
        <v>601</v>
      </c>
    </row>
    <row r="53" spans="8:8" x14ac:dyDescent="0.35">
      <c r="H53" s="12" t="s">
        <v>627</v>
      </c>
    </row>
    <row r="54" spans="8:8" x14ac:dyDescent="0.35">
      <c r="H54" s="12" t="s">
        <v>588</v>
      </c>
    </row>
    <row r="55" spans="8:8" x14ac:dyDescent="0.35">
      <c r="H55" s="12" t="s">
        <v>633</v>
      </c>
    </row>
    <row r="56" spans="8:8" x14ac:dyDescent="0.35">
      <c r="H56" s="12" t="s">
        <v>618</v>
      </c>
    </row>
    <row r="57" spans="8:8" x14ac:dyDescent="0.35">
      <c r="H57" s="12" t="s">
        <v>589</v>
      </c>
    </row>
    <row r="58" spans="8:8" x14ac:dyDescent="0.35">
      <c r="H58" s="12" t="s">
        <v>667</v>
      </c>
    </row>
    <row r="59" spans="8:8" x14ac:dyDescent="0.35">
      <c r="H59" s="12" t="s">
        <v>662</v>
      </c>
    </row>
    <row r="60" spans="8:8" x14ac:dyDescent="0.35">
      <c r="H60" s="12" t="s">
        <v>593</v>
      </c>
    </row>
    <row r="61" spans="8:8" x14ac:dyDescent="0.35">
      <c r="H61" s="12" t="s">
        <v>632</v>
      </c>
    </row>
    <row r="62" spans="8:8" x14ac:dyDescent="0.35">
      <c r="H62" s="12" t="s">
        <v>651</v>
      </c>
    </row>
    <row r="63" spans="8:8" x14ac:dyDescent="0.35">
      <c r="H63" s="12" t="s">
        <v>586</v>
      </c>
    </row>
    <row r="64" spans="8:8" x14ac:dyDescent="0.35">
      <c r="H64" s="12" t="s">
        <v>628</v>
      </c>
    </row>
    <row r="65" spans="8:8" x14ac:dyDescent="0.35">
      <c r="H65" s="12" t="s">
        <v>610</v>
      </c>
    </row>
    <row r="66" spans="8:8" x14ac:dyDescent="0.35">
      <c r="H66" s="12" t="s">
        <v>596</v>
      </c>
    </row>
    <row r="67" spans="8:8" x14ac:dyDescent="0.35">
      <c r="H67" s="12" t="s">
        <v>665</v>
      </c>
    </row>
    <row r="68" spans="8:8" x14ac:dyDescent="0.35">
      <c r="H68" s="12" t="s">
        <v>624</v>
      </c>
    </row>
    <row r="69" spans="8:8" x14ac:dyDescent="0.35">
      <c r="H69" s="12" t="s">
        <v>664</v>
      </c>
    </row>
    <row r="70" spans="8:8" x14ac:dyDescent="0.35">
      <c r="H70" s="12" t="s">
        <v>649</v>
      </c>
    </row>
    <row r="71" spans="8:8" x14ac:dyDescent="0.35">
      <c r="H71" s="12" t="s">
        <v>602</v>
      </c>
    </row>
    <row r="72" spans="8:8" x14ac:dyDescent="0.35">
      <c r="H72" s="12" t="s">
        <v>657</v>
      </c>
    </row>
    <row r="73" spans="8:8" x14ac:dyDescent="0.35">
      <c r="H73" s="12" t="s">
        <v>643</v>
      </c>
    </row>
    <row r="74" spans="8:8" x14ac:dyDescent="0.35">
      <c r="H74" s="12" t="s">
        <v>587</v>
      </c>
    </row>
    <row r="75" spans="8:8" x14ac:dyDescent="0.35">
      <c r="H75" s="12" t="s">
        <v>625</v>
      </c>
    </row>
    <row r="76" spans="8:8" x14ac:dyDescent="0.35">
      <c r="H76" s="12" t="s">
        <v>639</v>
      </c>
    </row>
    <row r="77" spans="8:8" x14ac:dyDescent="0.35">
      <c r="H77" s="12" t="s">
        <v>668</v>
      </c>
    </row>
    <row r="78" spans="8:8" x14ac:dyDescent="0.35">
      <c r="H78" s="12" t="s">
        <v>619</v>
      </c>
    </row>
    <row r="79" spans="8:8" x14ac:dyDescent="0.35">
      <c r="H79" s="12" t="s">
        <v>584</v>
      </c>
    </row>
    <row r="80" spans="8:8" x14ac:dyDescent="0.35">
      <c r="H80" s="12" t="s">
        <v>659</v>
      </c>
    </row>
  </sheetData>
  <conditionalFormatting sqref="J1">
    <cfRule type="duplicateValues" dxfId="20" priority="13"/>
  </conditionalFormatting>
  <conditionalFormatting sqref="K1">
    <cfRule type="duplicateValues" dxfId="19" priority="12"/>
  </conditionalFormatting>
  <conditionalFormatting sqref="F1">
    <cfRule type="duplicateValues" dxfId="18" priority="11"/>
  </conditionalFormatting>
  <conditionalFormatting sqref="D1">
    <cfRule type="duplicateValues" dxfId="17" priority="10"/>
  </conditionalFormatting>
  <conditionalFormatting sqref="B1">
    <cfRule type="duplicateValues" dxfId="16" priority="9"/>
  </conditionalFormatting>
  <conditionalFormatting sqref="L1">
    <cfRule type="duplicateValues" dxfId="15" priority="8"/>
  </conditionalFormatting>
  <conditionalFormatting sqref="U1">
    <cfRule type="duplicateValues" dxfId="14" priority="7"/>
  </conditionalFormatting>
  <conditionalFormatting sqref="V1">
    <cfRule type="duplicateValues" dxfId="13" priority="6"/>
  </conditionalFormatting>
  <conditionalFormatting sqref="U1">
    <cfRule type="duplicateValues" dxfId="12" priority="5"/>
  </conditionalFormatting>
  <conditionalFormatting sqref="U1">
    <cfRule type="duplicateValues" dxfId="11" priority="4"/>
  </conditionalFormatting>
  <conditionalFormatting sqref="V1">
    <cfRule type="duplicateValues" dxfId="10" priority="3"/>
  </conditionalFormatting>
  <conditionalFormatting sqref="U1:V1">
    <cfRule type="duplicateValues" dxfId="9" priority="2"/>
  </conditionalFormatting>
  <conditionalFormatting sqref="U1:V1">
    <cfRule type="duplicateValues" dxfId="8" priority="1"/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2F592C-A8EA-4E8B-8C11-E85A78C00619}">
          <x14:formula1>
            <xm:f>'C:\Users\Nilson Gasparin\Desktop\Monte Cristo\Automação\[Dados - Formulario de Solicitação de Acesso 1.xlsx]Dados - Solicitação de acesso'!#REF!</xm:f>
          </x14:formula1>
          <xm:sqref>T1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D7A1-762C-48A9-A8A7-212FD5BC6BBA}">
  <sheetPr codeName="Planilha8"/>
  <dimension ref="A1:T793"/>
  <sheetViews>
    <sheetView workbookViewId="0">
      <pane xSplit="4" ySplit="1" topLeftCell="E167" activePane="bottomRight" state="frozen"/>
      <selection pane="topRight" activeCell="E1" sqref="E1"/>
      <selection pane="bottomLeft" activeCell="A2" sqref="A2"/>
      <selection pane="bottomRight" activeCell="D171" sqref="D171"/>
    </sheetView>
  </sheetViews>
  <sheetFormatPr defaultColWidth="11.453125" defaultRowHeight="14.5" x14ac:dyDescent="0.35"/>
  <cols>
    <col min="1" max="2" width="26" style="5" bestFit="1" customWidth="1"/>
    <col min="3" max="3" width="32.54296875" style="5" bestFit="1" customWidth="1"/>
    <col min="4" max="4" width="38.453125" style="5" bestFit="1" customWidth="1"/>
    <col min="5" max="5" width="10.7265625" style="5" bestFit="1" customWidth="1"/>
    <col min="6" max="6" width="11.26953125" style="5" bestFit="1" customWidth="1"/>
    <col min="7" max="7" width="26.26953125" style="5" bestFit="1" customWidth="1"/>
    <col min="8" max="8" width="36" style="5" bestFit="1" customWidth="1"/>
    <col min="9" max="9" width="26.26953125" style="5" bestFit="1" customWidth="1"/>
    <col min="10" max="10" width="36.7265625" style="5" bestFit="1" customWidth="1"/>
    <col min="11" max="11" width="16.453125" style="5" bestFit="1" customWidth="1"/>
    <col min="12" max="12" width="27.7265625" style="5" bestFit="1" customWidth="1"/>
    <col min="13" max="13" width="17.54296875" style="5" bestFit="1" customWidth="1"/>
    <col min="14" max="14" width="11.453125" style="5"/>
    <col min="15" max="15" width="13.7265625" style="5" bestFit="1" customWidth="1"/>
    <col min="16" max="16384" width="11.453125" style="5"/>
  </cols>
  <sheetData>
    <row r="1" spans="1:20" ht="15.5" x14ac:dyDescent="0.35">
      <c r="A1" s="11" t="s">
        <v>65</v>
      </c>
      <c r="B1" s="11" t="s">
        <v>1982</v>
      </c>
      <c r="C1" s="11" t="s">
        <v>32</v>
      </c>
      <c r="D1" s="11" t="s">
        <v>1983</v>
      </c>
      <c r="E1" s="11" t="s">
        <v>33</v>
      </c>
      <c r="F1" s="11" t="s">
        <v>34</v>
      </c>
      <c r="G1" s="11" t="s">
        <v>66</v>
      </c>
      <c r="H1" s="11" t="s">
        <v>67</v>
      </c>
      <c r="I1" s="11" t="s">
        <v>68</v>
      </c>
      <c r="J1" s="11" t="s">
        <v>69</v>
      </c>
      <c r="K1" s="11" t="s">
        <v>70</v>
      </c>
      <c r="L1" s="11" t="s">
        <v>71</v>
      </c>
      <c r="M1" s="5" t="s">
        <v>72</v>
      </c>
      <c r="N1" s="5" t="s">
        <v>73</v>
      </c>
      <c r="O1" s="5" t="s">
        <v>74</v>
      </c>
    </row>
    <row r="2" spans="1:20" x14ac:dyDescent="0.35">
      <c r="A2" t="s">
        <v>711</v>
      </c>
      <c r="B2" t="s">
        <v>711</v>
      </c>
      <c r="C2" s="5" t="str">
        <f>RIGHT(D2,LEN(D2)-(FIND(" - ", D2)+2))</f>
        <v>AE350M6-72</v>
      </c>
      <c r="D2" t="s">
        <v>802</v>
      </c>
      <c r="N2" s="5">
        <f>IF(B2="","",MATCH(B2,'Lista - Placas'!$2:$2,0)-1)</f>
        <v>0</v>
      </c>
      <c r="O2" s="5">
        <f>IF(D2="","",MATCH(D2,'Lista - Placas'!$A:$A,0)-2)</f>
        <v>1</v>
      </c>
      <c r="P2" s="13"/>
    </row>
    <row r="3" spans="1:20" x14ac:dyDescent="0.35">
      <c r="A3" t="s">
        <v>711</v>
      </c>
      <c r="B3" t="s">
        <v>711</v>
      </c>
      <c r="C3" s="22" t="str">
        <f t="shared" ref="C3:C66" si="0">RIGHT(D3,LEN(D3)-(FIND(" - ", D3)+2))</f>
        <v>SGM6-350</v>
      </c>
      <c r="D3" t="s">
        <v>881</v>
      </c>
      <c r="E3" s="22"/>
      <c r="N3" s="5">
        <f>IF(B3="","",MATCH(B3,'Lista - Placas'!$2:$2,0)-1)</f>
        <v>0</v>
      </c>
      <c r="O3" s="5">
        <f>IF(D3="","",MATCH(D3,'Lista - Placas'!$A:$A,0)-2)</f>
        <v>2</v>
      </c>
      <c r="P3" s="13"/>
    </row>
    <row r="4" spans="1:20" x14ac:dyDescent="0.35">
      <c r="A4" t="s">
        <v>711</v>
      </c>
      <c r="B4" t="s">
        <v>711</v>
      </c>
      <c r="C4" s="22" t="str">
        <f t="shared" si="0"/>
        <v>AE370M6-72H</v>
      </c>
      <c r="D4" t="s">
        <v>942</v>
      </c>
      <c r="E4" s="22"/>
      <c r="N4" s="5">
        <f>IF(B4="","",MATCH(B4,'Lista - Placas'!$2:$2,0)-1)</f>
        <v>0</v>
      </c>
      <c r="O4" s="5">
        <f>IF(D4="","",MATCH(D4,'Lista - Placas'!$A:$A,0)-2)</f>
        <v>3</v>
      </c>
      <c r="P4" s="13"/>
    </row>
    <row r="5" spans="1:20" x14ac:dyDescent="0.35">
      <c r="A5" t="s">
        <v>711</v>
      </c>
      <c r="B5" t="s">
        <v>711</v>
      </c>
      <c r="C5" s="22" t="str">
        <f t="shared" si="0"/>
        <v>AE395M-72H</v>
      </c>
      <c r="D5" t="s">
        <v>994</v>
      </c>
      <c r="E5" s="22"/>
      <c r="N5" s="5">
        <f>IF(B5="","",MATCH(B5,'Lista - Placas'!$2:$2,0)-1)</f>
        <v>0</v>
      </c>
      <c r="O5" s="5">
        <f>IF(D5="","",MATCH(D5,'Lista - Placas'!$A:$A,0)-2)</f>
        <v>4</v>
      </c>
      <c r="P5" s="13"/>
    </row>
    <row r="6" spans="1:20" x14ac:dyDescent="0.35">
      <c r="A6" t="s">
        <v>711</v>
      </c>
      <c r="B6" t="s">
        <v>711</v>
      </c>
      <c r="C6" s="22" t="str">
        <f t="shared" si="0"/>
        <v>AE460HM6L-60</v>
      </c>
      <c r="D6" t="s">
        <v>1042</v>
      </c>
      <c r="E6" s="22"/>
      <c r="N6" s="5">
        <f>IF(B6="","",MATCH(B6,'Lista - Placas'!$2:$2,0)-1)</f>
        <v>0</v>
      </c>
      <c r="O6" s="5">
        <f>IF(D6="","",MATCH(D6,'Lista - Placas'!$A:$A,0)-2)</f>
        <v>5</v>
      </c>
      <c r="P6" s="13"/>
    </row>
    <row r="7" spans="1:20" x14ac:dyDescent="0.35">
      <c r="A7" t="s">
        <v>711</v>
      </c>
      <c r="B7" t="s">
        <v>711</v>
      </c>
      <c r="C7" s="22" t="str">
        <f t="shared" si="0"/>
        <v>AE505HM6L-66</v>
      </c>
      <c r="D7" t="s">
        <v>1087</v>
      </c>
      <c r="E7" s="22"/>
      <c r="N7" s="5">
        <f>IF(B7="","",MATCH(B7,'Lista - Placas'!$2:$2,0)-1)</f>
        <v>0</v>
      </c>
      <c r="O7" s="5">
        <f>IF(D7="","",MATCH(D7,'Lista - Placas'!$A:$A,0)-2)</f>
        <v>6</v>
      </c>
      <c r="P7" s="13"/>
    </row>
    <row r="8" spans="1:20" x14ac:dyDescent="0.35">
      <c r="A8" t="s">
        <v>711</v>
      </c>
      <c r="B8" t="s">
        <v>711</v>
      </c>
      <c r="C8" s="22" t="str">
        <f t="shared" si="0"/>
        <v>AE460HM6L-60</v>
      </c>
      <c r="D8" t="s">
        <v>1128</v>
      </c>
      <c r="E8" s="22"/>
      <c r="N8" s="5">
        <f>IF(B8="","",MATCH(B8,'Lista - Placas'!$2:$2,0)-1)</f>
        <v>0</v>
      </c>
      <c r="O8" s="5">
        <f>IF(D8="","",MATCH(D8,'Lista - Placas'!$A:$A,0)-2)</f>
        <v>7</v>
      </c>
      <c r="P8" s="13"/>
    </row>
    <row r="9" spans="1:20" x14ac:dyDescent="0.35">
      <c r="A9" t="s">
        <v>711</v>
      </c>
      <c r="B9" t="s">
        <v>711</v>
      </c>
      <c r="C9" s="22" t="str">
        <f t="shared" si="0"/>
        <v xml:space="preserve"> HM6L-60-460W</v>
      </c>
      <c r="D9" t="s">
        <v>1164</v>
      </c>
      <c r="E9" s="22"/>
      <c r="N9" s="5">
        <f>IF(B9="","",MATCH(B9,'Lista - Placas'!$2:$2,0)-1)</f>
        <v>0</v>
      </c>
      <c r="O9" s="5">
        <f>IF(D9="","",MATCH(D9,'Lista - Placas'!$A:$A,0)-2)</f>
        <v>8</v>
      </c>
      <c r="P9" s="13"/>
    </row>
    <row r="10" spans="1:20" x14ac:dyDescent="0.35">
      <c r="A10" t="s">
        <v>711</v>
      </c>
      <c r="B10" t="s">
        <v>711</v>
      </c>
      <c r="C10" s="22" t="str">
        <f t="shared" si="0"/>
        <v>AE-HM6L-72-460W</v>
      </c>
      <c r="D10" t="s">
        <v>1198</v>
      </c>
      <c r="E10" s="22"/>
      <c r="N10" s="5">
        <f>IF(B10="","",MATCH(B10,'Lista - Placas'!$2:$2,0)-1)</f>
        <v>0</v>
      </c>
      <c r="O10" s="5">
        <f>IF(D10="","",MATCH(D10,'Lista - Placas'!$A:$A,0)-2)</f>
        <v>9</v>
      </c>
      <c r="P10" s="13"/>
    </row>
    <row r="11" spans="1:20" x14ac:dyDescent="0.35">
      <c r="A11" t="s">
        <v>711</v>
      </c>
      <c r="B11" t="s">
        <v>711</v>
      </c>
      <c r="C11" s="22" t="str">
        <f t="shared" si="0"/>
        <v>AE - 510W</v>
      </c>
      <c r="D11" t="s">
        <v>1230</v>
      </c>
      <c r="E11" s="22"/>
      <c r="N11" s="5">
        <f>IF(B11="","",MATCH(B11,'Lista - Placas'!$2:$2,0)-1)</f>
        <v>0</v>
      </c>
      <c r="O11" s="5">
        <f>IF(D11="","",MATCH(D11,'Lista - Placas'!$A:$A,0)-2)</f>
        <v>10</v>
      </c>
      <c r="P11" s="13"/>
    </row>
    <row r="12" spans="1:20" x14ac:dyDescent="0.35">
      <c r="A12" t="s">
        <v>711</v>
      </c>
      <c r="B12" t="s">
        <v>711</v>
      </c>
      <c r="C12" s="22" t="str">
        <f t="shared" si="0"/>
        <v xml:space="preserve"> AE-HM6L-72-505W</v>
      </c>
      <c r="D12" t="s">
        <v>1259</v>
      </c>
      <c r="E12" s="22"/>
      <c r="N12" s="5">
        <f>IF(B12="","",MATCH(B12,'Lista - Placas'!$2:$2,0)-1)</f>
        <v>0</v>
      </c>
      <c r="O12" s="5">
        <f>IF(D12="","",MATCH(D12,'Lista - Placas'!$A:$A,0)-2)</f>
        <v>11</v>
      </c>
      <c r="P12" s="13"/>
    </row>
    <row r="13" spans="1:20" x14ac:dyDescent="0.35">
      <c r="A13" t="s">
        <v>711</v>
      </c>
      <c r="B13" t="s">
        <v>711</v>
      </c>
      <c r="C13" s="22" t="str">
        <f t="shared" si="0"/>
        <v>AE460MD-120</v>
      </c>
      <c r="D13" t="s">
        <v>1287</v>
      </c>
      <c r="E13" s="22"/>
      <c r="N13" s="5">
        <f>IF(B13="","",MATCH(B13,'Lista - Placas'!$2:$2,0)-1)</f>
        <v>0</v>
      </c>
      <c r="O13" s="5">
        <f>IF(D13="","",MATCH(D13,'Lista - Placas'!$A:$A,0)-2)</f>
        <v>12</v>
      </c>
      <c r="P13" s="13"/>
      <c r="T13" s="2"/>
    </row>
    <row r="14" spans="1:20" x14ac:dyDescent="0.35">
      <c r="A14" t="s">
        <v>711</v>
      </c>
      <c r="B14" t="s">
        <v>711</v>
      </c>
      <c r="C14" s="22" t="str">
        <f t="shared" si="0"/>
        <v>AE395HM6-72</v>
      </c>
      <c r="D14" t="s">
        <v>1315</v>
      </c>
      <c r="E14" s="22"/>
      <c r="N14" s="5">
        <f>IF(B14="","",MATCH(B14,'Lista - Placas'!$2:$2,0)-1)</f>
        <v>0</v>
      </c>
      <c r="O14" s="5">
        <f>IF(D14="","",MATCH(D14,'Lista - Placas'!$A:$A,0)-2)</f>
        <v>13</v>
      </c>
    </row>
    <row r="15" spans="1:20" x14ac:dyDescent="0.35">
      <c r="A15" t="s">
        <v>711</v>
      </c>
      <c r="B15" t="s">
        <v>711</v>
      </c>
      <c r="C15" s="22" t="str">
        <f t="shared" si="0"/>
        <v>AE 410HM6L-72</v>
      </c>
      <c r="D15" t="s">
        <v>1342</v>
      </c>
      <c r="E15" s="22"/>
      <c r="N15" s="5">
        <f>IF(B15="","",MATCH(B15,'Lista - Placas'!$2:$2,0)-1)</f>
        <v>0</v>
      </c>
      <c r="O15" s="5">
        <f>IF(D15="","",MATCH(D15,'Lista - Placas'!$A:$A,0)-2)</f>
        <v>14</v>
      </c>
    </row>
    <row r="16" spans="1:20" x14ac:dyDescent="0.35">
      <c r="A16" t="s">
        <v>173</v>
      </c>
      <c r="B16" t="s">
        <v>173</v>
      </c>
      <c r="C16" s="22" t="str">
        <f t="shared" si="0"/>
        <v>AS-6P 300W</v>
      </c>
      <c r="D16" t="s">
        <v>803</v>
      </c>
      <c r="E16" s="22"/>
      <c r="N16" s="5">
        <f>IF(B16="","",MATCH(B16,'Lista - Placas'!$2:$2,0)-1)</f>
        <v>1</v>
      </c>
      <c r="O16" s="5">
        <f>IF(D16="","",MATCH(D16,'Lista - Placas'!$B:$B,0)-2)</f>
        <v>1</v>
      </c>
    </row>
    <row r="17" spans="1:15" x14ac:dyDescent="0.35">
      <c r="A17" t="s">
        <v>173</v>
      </c>
      <c r="B17" t="s">
        <v>173</v>
      </c>
      <c r="C17" s="22" t="str">
        <f t="shared" si="0"/>
        <v>AS-6P 305W</v>
      </c>
      <c r="D17" t="s">
        <v>882</v>
      </c>
      <c r="E17" s="22"/>
      <c r="N17" s="5">
        <f>IF(B17="","",MATCH(B17,'Lista - Placas'!$2:$2,0)-1)</f>
        <v>1</v>
      </c>
      <c r="O17" s="5">
        <f>IF(D17="","",MATCH(D17,'Lista - Placas'!$B:$B,0)-2)</f>
        <v>2</v>
      </c>
    </row>
    <row r="18" spans="1:15" x14ac:dyDescent="0.35">
      <c r="A18" t="s">
        <v>173</v>
      </c>
      <c r="B18" t="s">
        <v>173</v>
      </c>
      <c r="C18" s="22" t="str">
        <f t="shared" si="0"/>
        <v>AS-6P 310W</v>
      </c>
      <c r="D18" t="s">
        <v>943</v>
      </c>
      <c r="E18" s="22"/>
      <c r="N18" s="5">
        <f>IF(B18="","",MATCH(B18,'Lista - Placas'!$2:$2,0)-1)</f>
        <v>1</v>
      </c>
      <c r="O18" s="5">
        <f>IF(D18="","",MATCH(D18,'Lista - Placas'!$B:$B,0)-2)</f>
        <v>3</v>
      </c>
    </row>
    <row r="19" spans="1:15" x14ac:dyDescent="0.35">
      <c r="A19" t="s">
        <v>173</v>
      </c>
      <c r="B19" t="s">
        <v>173</v>
      </c>
      <c r="C19" s="22" t="str">
        <f t="shared" si="0"/>
        <v>AS-6P 315</v>
      </c>
      <c r="D19" t="s">
        <v>995</v>
      </c>
      <c r="E19" s="22"/>
      <c r="N19" s="5">
        <f>IF(B19="","",MATCH(B19,'Lista - Placas'!$2:$2,0)-1)</f>
        <v>1</v>
      </c>
      <c r="O19" s="5">
        <f>IF(D19="","",MATCH(D19,'Lista - Placas'!$B:$B,0)-2)</f>
        <v>4</v>
      </c>
    </row>
    <row r="20" spans="1:15" x14ac:dyDescent="0.35">
      <c r="A20" t="s">
        <v>173</v>
      </c>
      <c r="B20" t="s">
        <v>173</v>
      </c>
      <c r="C20" s="22" t="str">
        <f t="shared" si="0"/>
        <v>AS-6P 320W</v>
      </c>
      <c r="D20" t="s">
        <v>1043</v>
      </c>
      <c r="E20" s="22"/>
      <c r="N20" s="5">
        <f>IF(B20="","",MATCH(B20,'Lista - Placas'!$2:$2,0)-1)</f>
        <v>1</v>
      </c>
      <c r="O20" s="5">
        <f>IF(D20="","",MATCH(D20,'Lista - Placas'!$B:$B,0)-2)</f>
        <v>5</v>
      </c>
    </row>
    <row r="21" spans="1:15" x14ac:dyDescent="0.35">
      <c r="A21" t="s">
        <v>173</v>
      </c>
      <c r="B21" t="s">
        <v>173</v>
      </c>
      <c r="C21" s="22" t="str">
        <f t="shared" si="0"/>
        <v>AS-6P 325W</v>
      </c>
      <c r="D21" t="s">
        <v>1088</v>
      </c>
      <c r="E21" s="22"/>
      <c r="N21" s="5">
        <f>IF(B21="","",MATCH(B21,'Lista - Placas'!$2:$2,0)-1)</f>
        <v>1</v>
      </c>
      <c r="O21" s="5">
        <f>IF(D21="","",MATCH(D21,'Lista - Placas'!$B:$B,0)-2)</f>
        <v>6</v>
      </c>
    </row>
    <row r="22" spans="1:15" x14ac:dyDescent="0.35">
      <c r="A22" t="s">
        <v>173</v>
      </c>
      <c r="B22" t="s">
        <v>173</v>
      </c>
      <c r="C22" s="22" t="str">
        <f t="shared" si="0"/>
        <v>AS-6P 330W</v>
      </c>
      <c r="D22" t="s">
        <v>1129</v>
      </c>
      <c r="E22" s="22"/>
      <c r="N22" s="5">
        <f>IF(B22="","",MATCH(B22,'Lista - Placas'!$2:$2,0)-1)</f>
        <v>1</v>
      </c>
      <c r="O22" s="5">
        <f>IF(D22="","",MATCH(D22,'Lista - Placas'!$B:$B,0)-2)</f>
        <v>7</v>
      </c>
    </row>
    <row r="23" spans="1:15" x14ac:dyDescent="0.35">
      <c r="A23" t="s">
        <v>173</v>
      </c>
      <c r="B23" t="s">
        <v>173</v>
      </c>
      <c r="C23" s="22" t="str">
        <f t="shared" si="0"/>
        <v>AS-6P 325W</v>
      </c>
      <c r="D23" t="s">
        <v>1165</v>
      </c>
      <c r="E23" s="22"/>
      <c r="N23" s="5">
        <f>IF(B23="","",MATCH(B23,'Lista - Placas'!$2:$2,0)-1)</f>
        <v>1</v>
      </c>
      <c r="O23" s="5">
        <f>IF(D23="","",MATCH(D23,'Lista - Placas'!$B:$B,0)-2)</f>
        <v>8</v>
      </c>
    </row>
    <row r="24" spans="1:15" x14ac:dyDescent="0.35">
      <c r="A24" t="s">
        <v>173</v>
      </c>
      <c r="B24" t="s">
        <v>173</v>
      </c>
      <c r="C24" s="22" t="str">
        <f t="shared" si="0"/>
        <v>AS-6P 340W</v>
      </c>
      <c r="D24" t="s">
        <v>1199</v>
      </c>
      <c r="E24" s="22"/>
      <c r="N24" s="5">
        <f>IF(B24="","",MATCH(B24,'Lista - Placas'!$2:$2,0)-1)</f>
        <v>1</v>
      </c>
      <c r="O24" s="5">
        <f>IF(D24="","",MATCH(D24,'Lista - Placas'!$B:$B,0)-2)</f>
        <v>9</v>
      </c>
    </row>
    <row r="25" spans="1:15" x14ac:dyDescent="0.35">
      <c r="A25" t="s">
        <v>173</v>
      </c>
      <c r="B25" t="s">
        <v>173</v>
      </c>
      <c r="C25" s="22" t="str">
        <f t="shared" si="0"/>
        <v>AS-6M PERC 375W</v>
      </c>
      <c r="D25" t="s">
        <v>1231</v>
      </c>
      <c r="E25" s="22"/>
      <c r="N25" s="5">
        <f>IF(B25="","",MATCH(B25,'Lista - Placas'!$2:$2,0)-1)</f>
        <v>1</v>
      </c>
      <c r="O25" s="5">
        <f>IF(D25="","",MATCH(D25,'Lista - Placas'!$B:$B,0)-2)</f>
        <v>10</v>
      </c>
    </row>
    <row r="26" spans="1:15" x14ac:dyDescent="0.35">
      <c r="A26" t="s">
        <v>173</v>
      </c>
      <c r="B26" t="s">
        <v>173</v>
      </c>
      <c r="C26" s="22" t="str">
        <f t="shared" si="0"/>
        <v>AS-6M PERC 340W</v>
      </c>
      <c r="D26" t="s">
        <v>1260</v>
      </c>
      <c r="E26" s="22"/>
      <c r="N26" s="5">
        <f>IF(B26="","",MATCH(B26,'Lista - Placas'!$2:$2,0)-1)</f>
        <v>1</v>
      </c>
      <c r="O26" s="5">
        <f>IF(D26="","",MATCH(D26,'Lista - Placas'!$B:$B,0)-2)</f>
        <v>11</v>
      </c>
    </row>
    <row r="27" spans="1:15" x14ac:dyDescent="0.35">
      <c r="A27" t="s">
        <v>173</v>
      </c>
      <c r="B27" t="s">
        <v>173</v>
      </c>
      <c r="C27" s="22" t="str">
        <f t="shared" si="0"/>
        <v>AS-6M 365</v>
      </c>
      <c r="D27" t="s">
        <v>1288</v>
      </c>
      <c r="N27" s="5">
        <f>IF(B27="","",MATCH(B27,'Lista - Placas'!$2:$2,0)-1)</f>
        <v>1</v>
      </c>
      <c r="O27" s="5">
        <f>IF(D27="","",MATCH(D27,'Lista - Placas'!$B:$B,0)-2)</f>
        <v>12</v>
      </c>
    </row>
    <row r="28" spans="1:15" x14ac:dyDescent="0.35">
      <c r="A28" t="s">
        <v>173</v>
      </c>
      <c r="B28" t="s">
        <v>173</v>
      </c>
      <c r="C28" s="22" t="str">
        <f t="shared" si="0"/>
        <v>AS-6M PERC 370W</v>
      </c>
      <c r="D28" t="s">
        <v>1316</v>
      </c>
      <c r="N28" s="5">
        <f>IF(B28="","",MATCH(B28,'Lista - Placas'!$2:$2,0)-1)</f>
        <v>1</v>
      </c>
      <c r="O28" s="5">
        <f>IF(D28="","",MATCH(D28,'Lista - Placas'!$B:$B,0)-2)</f>
        <v>13</v>
      </c>
    </row>
    <row r="29" spans="1:15" x14ac:dyDescent="0.35">
      <c r="A29" t="s">
        <v>173</v>
      </c>
      <c r="B29" t="s">
        <v>173</v>
      </c>
      <c r="C29" s="22" t="str">
        <f t="shared" si="0"/>
        <v>AS-6M-HC 400W</v>
      </c>
      <c r="D29" t="s">
        <v>1343</v>
      </c>
      <c r="N29" s="5">
        <f>IF(B29="","",MATCH(B29,'Lista - Placas'!$2:$2,0)-1)</f>
        <v>1</v>
      </c>
      <c r="O29" s="5">
        <f>IF(D29="","",MATCH(D29,'Lista - Placas'!$B:$B,0)-2)</f>
        <v>14</v>
      </c>
    </row>
    <row r="30" spans="1:15" x14ac:dyDescent="0.35">
      <c r="A30" t="s">
        <v>173</v>
      </c>
      <c r="B30" t="s">
        <v>173</v>
      </c>
      <c r="C30" s="22" t="str">
        <f t="shared" si="0"/>
        <v>AS-6M-375W</v>
      </c>
      <c r="D30" t="s">
        <v>1369</v>
      </c>
      <c r="N30" s="5">
        <f>IF(B30="","",MATCH(B30,'Lista - Placas'!$2:$2,0)-1)</f>
        <v>1</v>
      </c>
      <c r="O30" s="5">
        <f>IF(D30="","",MATCH(D30,'Lista - Placas'!$B:$B,0)-2)</f>
        <v>15</v>
      </c>
    </row>
    <row r="31" spans="1:15" x14ac:dyDescent="0.35">
      <c r="A31" t="s">
        <v>173</v>
      </c>
      <c r="B31" t="s">
        <v>173</v>
      </c>
      <c r="C31" s="22" t="str">
        <f t="shared" si="0"/>
        <v>AS-6M 380W</v>
      </c>
      <c r="D31" t="s">
        <v>1394</v>
      </c>
      <c r="E31" s="12">
        <v>0.38</v>
      </c>
      <c r="F31" s="12">
        <v>1.9710000000000001</v>
      </c>
      <c r="G31" s="12" t="s">
        <v>174</v>
      </c>
      <c r="H31" s="12" t="s">
        <v>175</v>
      </c>
      <c r="I31" s="12" t="s">
        <v>176</v>
      </c>
      <c r="J31" s="12" t="s">
        <v>177</v>
      </c>
      <c r="K31" s="12" t="s">
        <v>178</v>
      </c>
      <c r="L31" s="12">
        <v>0.03</v>
      </c>
      <c r="M31" s="12" t="s">
        <v>102</v>
      </c>
      <c r="N31" s="5">
        <f>IF(B31="","",MATCH(B31,'Lista - Placas'!$2:$2,0)-1)</f>
        <v>1</v>
      </c>
      <c r="O31" s="5">
        <f>IF(D31="","",MATCH(D31,'Lista - Placas'!$B:$B,0)-2)</f>
        <v>16</v>
      </c>
    </row>
    <row r="32" spans="1:15" x14ac:dyDescent="0.35">
      <c r="A32" t="s">
        <v>173</v>
      </c>
      <c r="B32" t="s">
        <v>173</v>
      </c>
      <c r="C32" s="22" t="str">
        <f t="shared" si="0"/>
        <v>AS-6M-HC PERC - 380W</v>
      </c>
      <c r="D32" t="s">
        <v>1416</v>
      </c>
      <c r="N32" s="5">
        <f>IF(B32="","",MATCH(B32,'Lista - Placas'!$2:$2,0)-1)</f>
        <v>1</v>
      </c>
      <c r="O32" s="5">
        <f>IF(D32="","",MATCH(D32,'Lista - Placas'!$B:$B,0)-2)</f>
        <v>17</v>
      </c>
    </row>
    <row r="33" spans="1:15" x14ac:dyDescent="0.35">
      <c r="A33" t="s">
        <v>173</v>
      </c>
      <c r="B33" t="s">
        <v>173</v>
      </c>
      <c r="C33" s="22" t="str">
        <f t="shared" si="0"/>
        <v>AS-6M-HCB 400W</v>
      </c>
      <c r="D33" t="s">
        <v>1437</v>
      </c>
      <c r="N33" s="5">
        <f>IF(B33="","",MATCH(B33,'Lista - Placas'!$2:$2,0)-1)</f>
        <v>1</v>
      </c>
      <c r="O33" s="5">
        <f>IF(D33="","",MATCH(D33,'Lista - Placas'!$B:$B,0)-2)</f>
        <v>18</v>
      </c>
    </row>
    <row r="34" spans="1:15" x14ac:dyDescent="0.35">
      <c r="A34" t="s">
        <v>173</v>
      </c>
      <c r="B34" t="s">
        <v>173</v>
      </c>
      <c r="C34" s="22" t="str">
        <f t="shared" si="0"/>
        <v>AS-6M-HC 400W</v>
      </c>
      <c r="D34" t="s">
        <v>1455</v>
      </c>
      <c r="N34" s="5">
        <f>IF(B34="","",MATCH(B34,'Lista - Placas'!$2:$2,0)-1)</f>
        <v>1</v>
      </c>
      <c r="O34" s="5">
        <f>IF(D34="","",MATCH(D34,'Lista - Placas'!$B:$B,0)-2)</f>
        <v>19</v>
      </c>
    </row>
    <row r="35" spans="1:15" x14ac:dyDescent="0.35">
      <c r="A35" t="s">
        <v>173</v>
      </c>
      <c r="B35" t="s">
        <v>173</v>
      </c>
      <c r="C35" s="22" t="str">
        <f t="shared" si="0"/>
        <v>AS-6M144-HC 440 W</v>
      </c>
      <c r="D35" t="s">
        <v>1473</v>
      </c>
      <c r="N35" s="5">
        <f>IF(B35="","",MATCH(B35,'Lista - Placas'!$2:$2,0)-1)</f>
        <v>1</v>
      </c>
      <c r="O35" s="5">
        <f>IF(D35="","",MATCH(D35,'Lista - Placas'!$B:$B,0)-2)</f>
        <v>20</v>
      </c>
    </row>
    <row r="36" spans="1:15" x14ac:dyDescent="0.35">
      <c r="A36" t="s">
        <v>173</v>
      </c>
      <c r="B36" t="s">
        <v>173</v>
      </c>
      <c r="C36" s="22" t="str">
        <f t="shared" si="0"/>
        <v>AS-6P - 335W</v>
      </c>
      <c r="D36" t="s">
        <v>1490</v>
      </c>
      <c r="N36" s="5">
        <f>IF(B36="","",MATCH(B36,'Lista - Placas'!$2:$2,0)-1)</f>
        <v>1</v>
      </c>
      <c r="O36" s="5">
        <f>IF(D36="","",MATCH(D36,'Lista - Placas'!$B:$B,0)-2)</f>
        <v>21</v>
      </c>
    </row>
    <row r="37" spans="1:15" x14ac:dyDescent="0.35">
      <c r="A37" t="s">
        <v>173</v>
      </c>
      <c r="B37" t="s">
        <v>173</v>
      </c>
      <c r="C37" s="22" t="str">
        <f t="shared" si="0"/>
        <v>AS-6M144-HC - 445W</v>
      </c>
      <c r="D37" t="s">
        <v>1504</v>
      </c>
      <c r="N37" s="5">
        <f>IF(B37="","",MATCH(B37,'Lista - Placas'!$2:$2,0)-1)</f>
        <v>1</v>
      </c>
      <c r="O37" s="5">
        <f>IF(D37="","",MATCH(D37,'Lista - Placas'!$B:$B,0)-2)</f>
        <v>22</v>
      </c>
    </row>
    <row r="38" spans="1:15" x14ac:dyDescent="0.35">
      <c r="A38" t="s">
        <v>173</v>
      </c>
      <c r="B38" t="s">
        <v>173</v>
      </c>
      <c r="C38" s="22" t="str">
        <f t="shared" si="0"/>
        <v>AS-6M 400</v>
      </c>
      <c r="D38" t="s">
        <v>1518</v>
      </c>
      <c r="N38" s="5">
        <f>IF(B38="","",MATCH(B38,'Lista - Placas'!$2:$2,0)-1)</f>
        <v>1</v>
      </c>
      <c r="O38" s="5">
        <f>IF(D38="","",MATCH(D38,'Lista - Placas'!$B:$B,0)-2)</f>
        <v>23</v>
      </c>
    </row>
    <row r="39" spans="1:15" x14ac:dyDescent="0.35">
      <c r="A39" t="s">
        <v>173</v>
      </c>
      <c r="B39" t="s">
        <v>173</v>
      </c>
      <c r="C39" s="22" t="str">
        <f t="shared" si="0"/>
        <v>AS-6M BHC-445W</v>
      </c>
      <c r="D39" t="s">
        <v>1532</v>
      </c>
      <c r="N39" s="5">
        <f>IF(B39="","",MATCH(B39,'Lista - Placas'!$2:$2,0)-1)</f>
        <v>1</v>
      </c>
      <c r="O39" s="5">
        <f>IF(D39="","",MATCH(D39,'Lista - Placas'!$B:$B,0)-2)</f>
        <v>24</v>
      </c>
    </row>
    <row r="40" spans="1:15" x14ac:dyDescent="0.35">
      <c r="A40" t="s">
        <v>173</v>
      </c>
      <c r="B40" t="s">
        <v>173</v>
      </c>
      <c r="C40" s="22" t="str">
        <f t="shared" si="0"/>
        <v>AS-6M-BHC-450W</v>
      </c>
      <c r="D40" t="s">
        <v>1546</v>
      </c>
      <c r="N40" s="5">
        <f>IF(B40="","",MATCH(B40,'Lista - Placas'!$2:$2,0)-1)</f>
        <v>1</v>
      </c>
      <c r="O40" s="5">
        <f>IF(D40="","",MATCH(D40,'Lista - Placas'!$B:$B,0)-2)</f>
        <v>25</v>
      </c>
    </row>
    <row r="41" spans="1:15" x14ac:dyDescent="0.35">
      <c r="A41" t="s">
        <v>173</v>
      </c>
      <c r="B41" t="s">
        <v>173</v>
      </c>
      <c r="C41" s="22" t="str">
        <f t="shared" si="0"/>
        <v>AS - 6M144BHC-450</v>
      </c>
      <c r="D41" t="s">
        <v>1559</v>
      </c>
      <c r="N41" s="5">
        <f>IF(B41="","",MATCH(B41,'Lista - Placas'!$2:$2,0)-1)</f>
        <v>1</v>
      </c>
      <c r="O41" s="5">
        <f>IF(D41="","",MATCH(D41,'Lista - Placas'!$B:$B,0)-2)</f>
        <v>26</v>
      </c>
    </row>
    <row r="42" spans="1:15" x14ac:dyDescent="0.35">
      <c r="A42" t="s">
        <v>173</v>
      </c>
      <c r="B42" t="s">
        <v>173</v>
      </c>
      <c r="C42" s="22" t="str">
        <f t="shared" si="0"/>
        <v>AS-7M144-HC-545W</v>
      </c>
      <c r="D42" t="s">
        <v>1571</v>
      </c>
      <c r="N42" s="5">
        <f>IF(B42="","",MATCH(B42,'Lista - Placas'!$2:$2,0)-1)</f>
        <v>1</v>
      </c>
      <c r="O42" s="5">
        <f>IF(D42="","",MATCH(D42,'Lista - Placas'!$B:$B,0)-2)</f>
        <v>27</v>
      </c>
    </row>
    <row r="43" spans="1:15" x14ac:dyDescent="0.35">
      <c r="A43" t="s">
        <v>173</v>
      </c>
      <c r="B43" t="s">
        <v>173</v>
      </c>
      <c r="C43" s="22" t="str">
        <f t="shared" si="0"/>
        <v>AS-6M-HC 410W</v>
      </c>
      <c r="D43" t="s">
        <v>1582</v>
      </c>
      <c r="N43" s="5">
        <f>IF(B43="","",MATCH(B43,'Lista - Placas'!$2:$2,0)-1)</f>
        <v>1</v>
      </c>
      <c r="O43" s="5">
        <f>IF(D43="","",MATCH(D43,'Lista - Placas'!$B:$B,0)-2)</f>
        <v>28</v>
      </c>
    </row>
    <row r="44" spans="1:15" x14ac:dyDescent="0.35">
      <c r="A44" t="s">
        <v>173</v>
      </c>
      <c r="B44" t="s">
        <v>173</v>
      </c>
      <c r="C44" s="22" t="str">
        <f t="shared" si="0"/>
        <v>AS-6M144-HC-450</v>
      </c>
      <c r="D44" t="s">
        <v>1593</v>
      </c>
      <c r="N44" s="5">
        <f>IF(B44="","",MATCH(B44,'Lista - Placas'!$2:$2,0)-1)</f>
        <v>1</v>
      </c>
      <c r="O44" s="5">
        <f>IF(D44="","",MATCH(D44,'Lista - Placas'!$B:$B,0)-2)</f>
        <v>29</v>
      </c>
    </row>
    <row r="45" spans="1:15" x14ac:dyDescent="0.35">
      <c r="A45" t="s">
        <v>173</v>
      </c>
      <c r="B45" t="s">
        <v>173</v>
      </c>
      <c r="C45" s="22" t="str">
        <f t="shared" si="0"/>
        <v>AS-7M144-HC-550WP</v>
      </c>
      <c r="D45" t="s">
        <v>1604</v>
      </c>
      <c r="N45" s="5">
        <f>IF(B45="","",MATCH(B45,'Lista - Placas'!$2:$2,0)-1)</f>
        <v>1</v>
      </c>
      <c r="O45" s="5">
        <f>IF(D45="","",MATCH(D45,'Lista - Placas'!$B:$B,0)-2)</f>
        <v>30</v>
      </c>
    </row>
    <row r="46" spans="1:15" x14ac:dyDescent="0.35">
      <c r="A46" t="s">
        <v>173</v>
      </c>
      <c r="B46" t="s">
        <v>173</v>
      </c>
      <c r="C46" s="22" t="str">
        <f t="shared" si="0"/>
        <v>AS-6P/345W</v>
      </c>
      <c r="D46" t="s">
        <v>1614</v>
      </c>
      <c r="N46" s="5">
        <f>IF(B46="","",MATCH(B46,'Lista - Placas'!$2:$2,0)-1)</f>
        <v>1</v>
      </c>
      <c r="O46" s="5">
        <f>IF(D46="","",MATCH(D46,'Lista - Placas'!$B:$B,0)-2)</f>
        <v>31</v>
      </c>
    </row>
    <row r="47" spans="1:15" x14ac:dyDescent="0.35">
      <c r="A47" t="s">
        <v>741</v>
      </c>
      <c r="B47" t="s">
        <v>741</v>
      </c>
      <c r="C47" s="22" t="str">
        <f t="shared" si="0"/>
        <v>CHSM6612P</v>
      </c>
      <c r="D47" t="s">
        <v>804</v>
      </c>
      <c r="N47" s="5">
        <f>IF(B47="","",MATCH(B47,'Lista - Placas'!$2:$2,0)-1)</f>
        <v>2</v>
      </c>
      <c r="O47" s="5">
        <f>IF(D47="","",MATCH(D47,'Lista - Placas'!$C:$C,0)-2)</f>
        <v>1</v>
      </c>
    </row>
    <row r="48" spans="1:15" x14ac:dyDescent="0.35">
      <c r="A48" t="s">
        <v>741</v>
      </c>
      <c r="B48" t="s">
        <v>741</v>
      </c>
      <c r="C48" s="22" t="str">
        <f t="shared" si="0"/>
        <v>CHSM6612P 340W</v>
      </c>
      <c r="D48" t="s">
        <v>883</v>
      </c>
      <c r="N48" s="5">
        <f>IF(B48="","",MATCH(B48,'Lista - Placas'!$2:$2,0)-1)</f>
        <v>2</v>
      </c>
      <c r="O48" s="5">
        <f>IF(D48="","",MATCH(D48,'Lista - Placas'!$C:$C,0)-2)</f>
        <v>2</v>
      </c>
    </row>
    <row r="49" spans="1:16" x14ac:dyDescent="0.35">
      <c r="A49" t="s">
        <v>742</v>
      </c>
      <c r="B49" t="s">
        <v>742</v>
      </c>
      <c r="C49" s="22" t="str">
        <f t="shared" si="0"/>
        <v>ASTROHALO 340</v>
      </c>
      <c r="D49" t="s">
        <v>805</v>
      </c>
      <c r="N49" s="5">
        <f>IF(B49="","",MATCH(B49,'Lista - Placas'!$2:$2,0)-1)</f>
        <v>3</v>
      </c>
      <c r="O49" s="5">
        <f>IF(D49="","",MATCH(D49,'Lista - Placas'!$D:$D,0)-2)</f>
        <v>1</v>
      </c>
    </row>
    <row r="50" spans="1:16" x14ac:dyDescent="0.35">
      <c r="A50" t="s">
        <v>742</v>
      </c>
      <c r="B50" t="s">
        <v>742</v>
      </c>
      <c r="C50" s="22" t="str">
        <f t="shared" si="0"/>
        <v>ASTROHALO 335</v>
      </c>
      <c r="D50" t="s">
        <v>884</v>
      </c>
      <c r="N50" s="5">
        <f>IF(B50="","",MATCH(B50,'Lista - Placas'!$2:$2,0)-1)</f>
        <v>3</v>
      </c>
      <c r="O50" s="5">
        <f>IF(D50="","",MATCH(D50,'Lista - Placas'!$D:$D,0)-2)</f>
        <v>2</v>
      </c>
    </row>
    <row r="51" spans="1:16" x14ac:dyDescent="0.35">
      <c r="A51" t="s">
        <v>742</v>
      </c>
      <c r="B51" t="s">
        <v>742</v>
      </c>
      <c r="C51" s="22" t="str">
        <f t="shared" si="0"/>
        <v>ASTROHALO 345</v>
      </c>
      <c r="D51" t="s">
        <v>944</v>
      </c>
      <c r="N51" s="5">
        <f>IF(B51="","",MATCH(B51,'Lista - Placas'!$2:$2,0)-1)</f>
        <v>3</v>
      </c>
      <c r="O51" s="5">
        <f>IF(D51="","",MATCH(D51,'Lista - Placas'!$D:$D,0)-2)</f>
        <v>3</v>
      </c>
      <c r="P51" s="13"/>
    </row>
    <row r="52" spans="1:16" x14ac:dyDescent="0.35">
      <c r="A52" t="s">
        <v>742</v>
      </c>
      <c r="B52" t="s">
        <v>742</v>
      </c>
      <c r="C52" s="22" t="str">
        <f t="shared" si="0"/>
        <v>CHSM6612P-340</v>
      </c>
      <c r="D52" t="s">
        <v>996</v>
      </c>
      <c r="N52" s="5">
        <f>IF(B52="","",MATCH(B52,'Lista - Placas'!$2:$2,0)-1)</f>
        <v>3</v>
      </c>
      <c r="O52" s="5">
        <f>IF(D52="","",MATCH(D52,'Lista - Placas'!$D:$D,0)-2)</f>
        <v>4</v>
      </c>
      <c r="P52" s="13"/>
    </row>
    <row r="53" spans="1:16" x14ac:dyDescent="0.35">
      <c r="A53" t="s">
        <v>742</v>
      </c>
      <c r="B53" t="s">
        <v>742</v>
      </c>
      <c r="C53" s="22" t="str">
        <f t="shared" si="0"/>
        <v>CHSM72M-HC-375</v>
      </c>
      <c r="D53" t="s">
        <v>1044</v>
      </c>
      <c r="N53" s="5">
        <f>IF(B53="","",MATCH(B53,'Lista - Placas'!$2:$2,0)-1)</f>
        <v>3</v>
      </c>
      <c r="O53" s="5">
        <f>IF(D53="","",MATCH(D53,'Lista - Placas'!$D:$D,0)-2)</f>
        <v>5</v>
      </c>
      <c r="P53" s="13"/>
    </row>
    <row r="54" spans="1:16" x14ac:dyDescent="0.35">
      <c r="A54" t="s">
        <v>742</v>
      </c>
      <c r="B54" t="s">
        <v>742</v>
      </c>
      <c r="C54" s="22" t="str">
        <f t="shared" si="0"/>
        <v>CHSM6612M/HV 340W</v>
      </c>
      <c r="D54" t="s">
        <v>1089</v>
      </c>
      <c r="N54" s="5">
        <f>IF(B54="","",MATCH(B54,'Lista - Placas'!$2:$2,0)-1)</f>
        <v>3</v>
      </c>
      <c r="O54" s="5">
        <f>IF(D54="","",MATCH(D54,'Lista - Placas'!$D:$D,0)-2)</f>
        <v>6</v>
      </c>
      <c r="P54" s="13"/>
    </row>
    <row r="55" spans="1:16" x14ac:dyDescent="0.35">
      <c r="A55" t="s">
        <v>742</v>
      </c>
      <c r="B55" t="s">
        <v>742</v>
      </c>
      <c r="C55" s="22" t="str">
        <f t="shared" si="0"/>
        <v>365W</v>
      </c>
      <c r="D55" t="s">
        <v>1130</v>
      </c>
      <c r="N55" s="5">
        <f>IF(B55="","",MATCH(B55,'Lista - Placas'!$2:$2,0)-1)</f>
        <v>3</v>
      </c>
      <c r="O55" s="5">
        <f>IF(D55="","",MATCH(D55,'Lista - Placas'!$D:$D,0)-2)</f>
        <v>7</v>
      </c>
      <c r="P55" s="13"/>
    </row>
    <row r="56" spans="1:16" x14ac:dyDescent="0.35">
      <c r="A56" t="s">
        <v>742</v>
      </c>
      <c r="B56" t="s">
        <v>742</v>
      </c>
      <c r="C56" s="22" t="str">
        <f t="shared" si="0"/>
        <v>CHSM72M-HC-380</v>
      </c>
      <c r="D56" t="s">
        <v>1166</v>
      </c>
      <c r="N56" s="5">
        <f>IF(B56="","",MATCH(B56,'Lista - Placas'!$2:$2,0)-1)</f>
        <v>3</v>
      </c>
      <c r="O56" s="5">
        <f>IF(D56="","",MATCH(D56,'Lista - Placas'!$D:$D,0)-2)</f>
        <v>8</v>
      </c>
      <c r="P56" s="13"/>
    </row>
    <row r="57" spans="1:16" x14ac:dyDescent="0.35">
      <c r="A57" t="s">
        <v>742</v>
      </c>
      <c r="B57" t="s">
        <v>742</v>
      </c>
      <c r="C57" s="22" t="str">
        <f t="shared" si="0"/>
        <v>CHSM6612P-330</v>
      </c>
      <c r="D57" t="s">
        <v>1200</v>
      </c>
      <c r="N57" s="5">
        <f>IF(B57="","",MATCH(B57,'Lista - Placas'!$2:$2,0)-1)</f>
        <v>3</v>
      </c>
      <c r="O57" s="5">
        <f>IF(D57="","",MATCH(D57,'Lista - Placas'!$D:$D,0)-2)</f>
        <v>9</v>
      </c>
      <c r="P57" s="13"/>
    </row>
    <row r="58" spans="1:16" x14ac:dyDescent="0.35">
      <c r="A58" t="s">
        <v>742</v>
      </c>
      <c r="B58" t="s">
        <v>742</v>
      </c>
      <c r="C58" s="22" t="str">
        <f t="shared" si="0"/>
        <v>CHSM6612M</v>
      </c>
      <c r="D58" t="s">
        <v>1232</v>
      </c>
      <c r="N58" s="5">
        <f>IF(B58="","",MATCH(B58,'Lista - Placas'!$2:$2,0)-1)</f>
        <v>3</v>
      </c>
      <c r="O58" s="5">
        <f>IF(D58="","",MATCH(D58,'Lista - Placas'!$D:$D,0)-2)</f>
        <v>10</v>
      </c>
      <c r="P58" s="13"/>
    </row>
    <row r="59" spans="1:16" x14ac:dyDescent="0.35">
      <c r="A59" t="s">
        <v>742</v>
      </c>
      <c r="B59" t="s">
        <v>742</v>
      </c>
      <c r="C59" s="22" t="str">
        <f t="shared" si="0"/>
        <v>CHSM72M-HC 395</v>
      </c>
      <c r="D59" t="s">
        <v>1261</v>
      </c>
      <c r="N59" s="5">
        <f>IF(B59="","",MATCH(B59,'Lista - Placas'!$2:$2,0)-1)</f>
        <v>3</v>
      </c>
      <c r="O59" s="5">
        <f>IF(D59="","",MATCH(D59,'Lista - Placas'!$D:$D,0)-2)</f>
        <v>11</v>
      </c>
      <c r="P59" s="13"/>
    </row>
    <row r="60" spans="1:16" x14ac:dyDescent="0.35">
      <c r="A60" t="s">
        <v>742</v>
      </c>
      <c r="B60" t="s">
        <v>742</v>
      </c>
      <c r="C60" s="22" t="str">
        <f t="shared" si="0"/>
        <v>CHSM6612 - 375W</v>
      </c>
      <c r="D60" t="s">
        <v>1289</v>
      </c>
      <c r="N60" s="5">
        <f>IF(B60="","",MATCH(B60,'Lista - Placas'!$2:$2,0)-1)</f>
        <v>3</v>
      </c>
      <c r="O60" s="5">
        <f>IF(D60="","",MATCH(D60,'Lista - Placas'!$D:$D,0)-2)</f>
        <v>12</v>
      </c>
      <c r="P60" s="13"/>
    </row>
    <row r="61" spans="1:16" x14ac:dyDescent="0.35">
      <c r="A61" t="s">
        <v>742</v>
      </c>
      <c r="B61" t="s">
        <v>742</v>
      </c>
      <c r="C61" s="22" t="str">
        <f t="shared" si="0"/>
        <v>CHSM6612P 345W</v>
      </c>
      <c r="D61" t="s">
        <v>1317</v>
      </c>
      <c r="N61" s="5">
        <f>IF(B61="","",MATCH(B61,'Lista - Placas'!$2:$2,0)-1)</f>
        <v>3</v>
      </c>
      <c r="O61" s="5">
        <f>IF(D61="","",MATCH(D61,'Lista - Placas'!$D:$D,0)-2)</f>
        <v>13</v>
      </c>
      <c r="P61" s="13"/>
    </row>
    <row r="62" spans="1:16" x14ac:dyDescent="0.35">
      <c r="A62" t="s">
        <v>742</v>
      </c>
      <c r="B62" t="s">
        <v>742</v>
      </c>
      <c r="C62" s="22" t="str">
        <f t="shared" si="0"/>
        <v xml:space="preserve"> CHSM6612P/HV-345</v>
      </c>
      <c r="D62" t="s">
        <v>1344</v>
      </c>
      <c r="N62" s="5">
        <f>IF(B62="","",MATCH(B62,'Lista - Placas'!$2:$2,0)-1)</f>
        <v>3</v>
      </c>
      <c r="O62" s="5">
        <f>IF(D62="","",MATCH(D62,'Lista - Placas'!$D:$D,0)-2)</f>
        <v>14</v>
      </c>
      <c r="P62" s="13"/>
    </row>
    <row r="63" spans="1:16" x14ac:dyDescent="0.35">
      <c r="A63" t="s">
        <v>742</v>
      </c>
      <c r="B63" t="s">
        <v>742</v>
      </c>
      <c r="C63" s="22" t="str">
        <f t="shared" si="0"/>
        <v>CHSM72M(DG)/F-BH-415W</v>
      </c>
      <c r="D63" t="s">
        <v>1370</v>
      </c>
      <c r="N63" s="5">
        <f>IF(B63="","",MATCH(B63,'Lista - Placas'!$2:$2,0)-1)</f>
        <v>3</v>
      </c>
      <c r="O63" s="5">
        <f>IF(D63="","",MATCH(D63,'Lista - Placas'!$D:$D,0)-2)</f>
        <v>15</v>
      </c>
      <c r="P63" s="13"/>
    </row>
    <row r="64" spans="1:16" x14ac:dyDescent="0.35">
      <c r="A64" t="s">
        <v>742</v>
      </c>
      <c r="B64" t="s">
        <v>742</v>
      </c>
      <c r="C64" s="22" t="str">
        <f t="shared" si="0"/>
        <v>CHSM72M-HC 415 W</v>
      </c>
      <c r="D64" t="s">
        <v>1395</v>
      </c>
      <c r="N64" s="5">
        <f>IF(B64="","",MATCH(B64,'Lista - Placas'!$2:$2,0)-1)</f>
        <v>3</v>
      </c>
      <c r="O64" s="5">
        <f>IF(D64="","",MATCH(D64,'Lista - Placas'!$D:$D,0)-2)</f>
        <v>16</v>
      </c>
      <c r="P64" s="13"/>
    </row>
    <row r="65" spans="1:16" x14ac:dyDescent="0.35">
      <c r="A65" t="s">
        <v>742</v>
      </c>
      <c r="B65" t="s">
        <v>742</v>
      </c>
      <c r="C65" s="22" t="str">
        <f t="shared" si="0"/>
        <v>CHSM72M(DG)F-BH 410</v>
      </c>
      <c r="D65" t="s">
        <v>1417</v>
      </c>
      <c r="N65" s="5">
        <f>IF(B65="","",MATCH(B65,'Lista - Placas'!$2:$2,0)-1)</f>
        <v>3</v>
      </c>
      <c r="O65" s="5">
        <f>IF(D65="","",MATCH(D65,'Lista - Placas'!$D:$D,0)-2)</f>
        <v>17</v>
      </c>
      <c r="P65" s="13"/>
    </row>
    <row r="66" spans="1:16" x14ac:dyDescent="0.35">
      <c r="A66" t="s">
        <v>742</v>
      </c>
      <c r="B66" t="s">
        <v>742</v>
      </c>
      <c r="C66" s="22" t="str">
        <f t="shared" si="0"/>
        <v>CHSM72M(DG)F-BH 390</v>
      </c>
      <c r="D66" t="s">
        <v>1438</v>
      </c>
      <c r="N66" s="5">
        <f>IF(B66="","",MATCH(B66,'Lista - Placas'!$2:$2,0)-1)</f>
        <v>3</v>
      </c>
      <c r="O66" s="5">
        <f>IF(D66="","",MATCH(D66,'Lista - Placas'!$D:$D,0)-2)</f>
        <v>18</v>
      </c>
      <c r="P66" s="13"/>
    </row>
    <row r="67" spans="1:16" x14ac:dyDescent="0.35">
      <c r="A67" t="s">
        <v>742</v>
      </c>
      <c r="B67" t="s">
        <v>742</v>
      </c>
      <c r="C67" s="22" t="str">
        <f t="shared" ref="C67:C130" si="1">RIGHT(D67,LEN(D67)-(FIND(" - ", D67)+2))</f>
        <v>CHSM72M-HC-410W</v>
      </c>
      <c r="D67" t="s">
        <v>1456</v>
      </c>
      <c r="N67" s="5">
        <f>IF(B67="","",MATCH(B67,'Lista - Placas'!$2:$2,0)-1)</f>
        <v>3</v>
      </c>
      <c r="O67" s="5">
        <f>IF(D67="","",MATCH(D67,'Lista - Placas'!$D:$D,0)-2)</f>
        <v>19</v>
      </c>
      <c r="P67" s="13"/>
    </row>
    <row r="68" spans="1:16" x14ac:dyDescent="0.35">
      <c r="A68" t="s">
        <v>742</v>
      </c>
      <c r="B68" t="s">
        <v>742</v>
      </c>
      <c r="C68" s="22" t="str">
        <f t="shared" si="1"/>
        <v>CPS SCA3KTL-S/EU</v>
      </c>
      <c r="D68" t="s">
        <v>1474</v>
      </c>
      <c r="N68" s="5">
        <f>IF(B68="","",MATCH(B68,'Lista - Placas'!$2:$2,0)-1)</f>
        <v>3</v>
      </c>
      <c r="O68" s="5">
        <f>IF(D68="","",MATCH(D68,'Lista - Placas'!$D:$D,0)-2)</f>
        <v>20</v>
      </c>
      <c r="P68" s="13"/>
    </row>
    <row r="69" spans="1:16" x14ac:dyDescent="0.35">
      <c r="A69" t="s">
        <v>765</v>
      </c>
      <c r="B69" t="s">
        <v>765</v>
      </c>
      <c r="C69" s="22" t="str">
        <f t="shared" si="1"/>
        <v>AU-440W-36MH</v>
      </c>
      <c r="D69" t="s">
        <v>806</v>
      </c>
      <c r="N69" s="5">
        <f>IF(B69="","",MATCH(B69,'Lista - Placas'!$2:$2,0)-1)</f>
        <v>4</v>
      </c>
      <c r="O69" s="5">
        <f>IF(D69="","",MATCH(D69,'Lista - Placas'!$E:$E,0)-2)</f>
        <v>1</v>
      </c>
      <c r="P69" s="13"/>
    </row>
    <row r="70" spans="1:16" x14ac:dyDescent="0.35">
      <c r="A70" t="s">
        <v>743</v>
      </c>
      <c r="B70" t="s">
        <v>743</v>
      </c>
      <c r="C70" s="22" t="str">
        <f t="shared" si="1"/>
        <v>AC-325P/156-72S</v>
      </c>
      <c r="D70" t="s">
        <v>807</v>
      </c>
      <c r="N70" s="5">
        <f>IF(B70="","",MATCH(B70,'Lista - Placas'!$2:$2,0)-1)</f>
        <v>5</v>
      </c>
      <c r="O70" s="5">
        <f>IF(D70="","",MATCH(D70,'Lista - Placas'!$F:$F,0)-2)</f>
        <v>1</v>
      </c>
    </row>
    <row r="71" spans="1:16" x14ac:dyDescent="0.35">
      <c r="A71" t="s">
        <v>743</v>
      </c>
      <c r="B71" t="s">
        <v>743</v>
      </c>
      <c r="C71" s="22" t="str">
        <f t="shared" si="1"/>
        <v>AC-350M/72S</v>
      </c>
      <c r="D71" t="s">
        <v>885</v>
      </c>
      <c r="N71" s="5">
        <f>IF(B71="","",MATCH(B71,'Lista - Placas'!$2:$2,0)-1)</f>
        <v>5</v>
      </c>
      <c r="O71" s="5">
        <f>IF(D71="","",MATCH(D71,'Lista - Placas'!$F:$F,0)-2)</f>
        <v>2</v>
      </c>
    </row>
    <row r="72" spans="1:16" x14ac:dyDescent="0.35">
      <c r="A72" t="s">
        <v>743</v>
      </c>
      <c r="B72" t="s">
        <v>743</v>
      </c>
      <c r="C72" s="22" t="str">
        <f t="shared" si="1"/>
        <v>AC-380MH/144S</v>
      </c>
      <c r="D72" t="s">
        <v>945</v>
      </c>
      <c r="N72" s="5">
        <f>IF(B72="","",MATCH(B72,'Lista - Placas'!$2:$2,0)-1)</f>
        <v>5</v>
      </c>
      <c r="O72" s="5">
        <f>IF(D72="","",MATCH(D72,'Lista - Placas'!$F:$F,0)-2)</f>
        <v>3</v>
      </c>
    </row>
    <row r="73" spans="1:16" x14ac:dyDescent="0.35">
      <c r="A73" t="s">
        <v>743</v>
      </c>
      <c r="B73" t="s">
        <v>743</v>
      </c>
      <c r="C73" s="22" t="str">
        <f t="shared" si="1"/>
        <v>AC-250P/156-60S</v>
      </c>
      <c r="D73" t="s">
        <v>997</v>
      </c>
      <c r="N73" s="5">
        <f>IF(B73="","",MATCH(B73,'Lista - Placas'!$2:$2,0)-1)</f>
        <v>5</v>
      </c>
      <c r="O73" s="5">
        <f>IF(D73="","",MATCH(D73,'Lista - Placas'!$F:$F,0)-2)</f>
        <v>4</v>
      </c>
    </row>
    <row r="74" spans="1:16" x14ac:dyDescent="0.35">
      <c r="A74" t="s">
        <v>743</v>
      </c>
      <c r="B74" t="s">
        <v>743</v>
      </c>
      <c r="C74" s="22" t="str">
        <f t="shared" si="1"/>
        <v>AC-440MH-144V</v>
      </c>
      <c r="D74" t="s">
        <v>1045</v>
      </c>
      <c r="N74" s="5">
        <f>IF(B74="","",MATCH(B74,'Lista - Placas'!$2:$2,0)-1)</f>
        <v>5</v>
      </c>
      <c r="O74" s="5">
        <f>IF(D74="","",MATCH(D74,'Lista - Placas'!$F:$F,0)-2)</f>
        <v>5</v>
      </c>
    </row>
    <row r="75" spans="1:16" x14ac:dyDescent="0.35">
      <c r="A75" t="s">
        <v>744</v>
      </c>
      <c r="B75" t="s">
        <v>744</v>
      </c>
      <c r="C75" s="22" t="str">
        <f t="shared" si="1"/>
        <v>BS72P-330W</v>
      </c>
      <c r="D75" t="s">
        <v>808</v>
      </c>
      <c r="N75" s="5">
        <f>IF(B75="","",MATCH(B75,'Lista - Placas'!$2:$2,0)-1)</f>
        <v>6</v>
      </c>
      <c r="O75" s="5">
        <f>IF(D75="","",MATCH(D75,'Lista - Placas'!$G:$G,0)-2)</f>
        <v>1</v>
      </c>
    </row>
    <row r="76" spans="1:16" x14ac:dyDescent="0.35">
      <c r="A76" t="s">
        <v>744</v>
      </c>
      <c r="B76" t="s">
        <v>744</v>
      </c>
      <c r="C76" s="22" t="str">
        <f t="shared" si="1"/>
        <v>BS72M-370W</v>
      </c>
      <c r="D76" t="s">
        <v>886</v>
      </c>
      <c r="N76" s="5">
        <f>IF(B76="","",MATCH(B76,'Lista - Placas'!$2:$2,0)-1)</f>
        <v>6</v>
      </c>
      <c r="O76" s="5">
        <f>IF(D76="","",MATCH(D76,'Lista - Placas'!$G:$G,0)-2)</f>
        <v>2</v>
      </c>
    </row>
    <row r="77" spans="1:16" x14ac:dyDescent="0.35">
      <c r="A77" t="s">
        <v>744</v>
      </c>
      <c r="B77" t="s">
        <v>744</v>
      </c>
      <c r="C77" s="22" t="str">
        <f t="shared" si="1"/>
        <v>BS72M - 380W</v>
      </c>
      <c r="D77" t="s">
        <v>946</v>
      </c>
      <c r="N77" s="5">
        <f>IF(B77="","",MATCH(B77,'Lista - Placas'!$2:$2,0)-1)</f>
        <v>6</v>
      </c>
      <c r="O77" s="5">
        <f>IF(D77="","",MATCH(D77,'Lista - Placas'!$G:$G,0)-2)</f>
        <v>3</v>
      </c>
    </row>
    <row r="78" spans="1:16" x14ac:dyDescent="0.35">
      <c r="A78" t="s">
        <v>744</v>
      </c>
      <c r="B78" t="s">
        <v>744</v>
      </c>
      <c r="C78" s="22" t="str">
        <f t="shared" si="1"/>
        <v>BS72P-335W</v>
      </c>
      <c r="D78" t="s">
        <v>998</v>
      </c>
      <c r="N78" s="5">
        <f>IF(B78="","",MATCH(B78,'Lista - Placas'!$2:$2,0)-1)</f>
        <v>6</v>
      </c>
      <c r="O78" s="5">
        <f>IF(D78="","",MATCH(D78,'Lista - Placas'!$G:$G,0)-2)</f>
        <v>4</v>
      </c>
    </row>
    <row r="79" spans="1:16" x14ac:dyDescent="0.35">
      <c r="A79" t="s">
        <v>744</v>
      </c>
      <c r="B79" t="s">
        <v>744</v>
      </c>
      <c r="C79" s="22" t="str">
        <f t="shared" si="1"/>
        <v>BS72M-400</v>
      </c>
      <c r="D79" t="s">
        <v>1046</v>
      </c>
      <c r="N79" s="5">
        <f>IF(B79="","",MATCH(B79,'Lista - Placas'!$2:$2,0)-1)</f>
        <v>6</v>
      </c>
      <c r="O79" s="5">
        <f>IF(D79="","",MATCH(D79,'Lista - Placas'!$G:$G,0)-2)</f>
        <v>5</v>
      </c>
    </row>
    <row r="80" spans="1:16" x14ac:dyDescent="0.35">
      <c r="A80" t="s">
        <v>744</v>
      </c>
      <c r="B80" t="s">
        <v>744</v>
      </c>
      <c r="C80" s="22" t="str">
        <f t="shared" si="1"/>
        <v>BS72M-545W</v>
      </c>
      <c r="D80" t="s">
        <v>1090</v>
      </c>
      <c r="N80" s="5">
        <f>IF(B80="","",MATCH(B80,'Lista - Placas'!$2:$2,0)-1)</f>
        <v>6</v>
      </c>
      <c r="O80" s="5">
        <f>IF(D80="","",MATCH(D80,'Lista - Placas'!$G:$G,0)-2)</f>
        <v>6</v>
      </c>
    </row>
    <row r="81" spans="1:15" x14ac:dyDescent="0.35">
      <c r="A81" t="s">
        <v>714</v>
      </c>
      <c r="B81" t="s">
        <v>714</v>
      </c>
      <c r="C81" s="22" t="str">
        <f t="shared" si="1"/>
        <v>ESPMC 335</v>
      </c>
      <c r="D81" t="s">
        <v>809</v>
      </c>
      <c r="N81" s="5">
        <f>IF(B81="","",MATCH(B81,'Lista - Placas'!$2:$2,0)-1)</f>
        <v>7</v>
      </c>
      <c r="O81" s="5">
        <f>IF(D81="","",MATCH(D81,'Lista - Placas'!$H:$H,0)-2)</f>
        <v>1</v>
      </c>
    </row>
    <row r="82" spans="1:15" x14ac:dyDescent="0.35">
      <c r="A82" t="s">
        <v>714</v>
      </c>
      <c r="B82" t="s">
        <v>714</v>
      </c>
      <c r="C82" s="22" t="str">
        <f t="shared" si="1"/>
        <v>ESPMC 370</v>
      </c>
      <c r="D82" t="s">
        <v>887</v>
      </c>
      <c r="N82" s="5">
        <f>IF(B82="","",MATCH(B82,'Lista - Placas'!$2:$2,0)-1)</f>
        <v>7</v>
      </c>
      <c r="O82" s="5">
        <f>IF(D82="","",MATCH(D82,'Lista - Placas'!$H:$H,0)-2)</f>
        <v>2</v>
      </c>
    </row>
    <row r="83" spans="1:15" x14ac:dyDescent="0.35">
      <c r="A83" t="s">
        <v>714</v>
      </c>
      <c r="B83" t="s">
        <v>714</v>
      </c>
      <c r="C83" s="22" t="str">
        <f t="shared" si="1"/>
        <v>ESPSC 390W</v>
      </c>
      <c r="D83" t="s">
        <v>947</v>
      </c>
      <c r="N83" s="5">
        <f>IF(B83="","",MATCH(B83,'Lista - Placas'!$2:$2,0)-1)</f>
        <v>7</v>
      </c>
      <c r="O83" s="5">
        <f>IF(D83="","",MATCH(D83,'Lista - Placas'!$H:$H,0)-2)</f>
        <v>3</v>
      </c>
    </row>
    <row r="84" spans="1:15" x14ac:dyDescent="0.35">
      <c r="A84" t="s">
        <v>714</v>
      </c>
      <c r="B84" t="s">
        <v>714</v>
      </c>
      <c r="C84" s="22" t="str">
        <f t="shared" si="1"/>
        <v>ESPMC 330W</v>
      </c>
      <c r="D84" t="s">
        <v>999</v>
      </c>
      <c r="N84" s="5">
        <f>IF(B84="","",MATCH(B84,'Lista - Placas'!$2:$2,0)-1)</f>
        <v>7</v>
      </c>
      <c r="O84" s="5">
        <f>IF(D84="","",MATCH(D84,'Lista - Placas'!$H:$H,0)-2)</f>
        <v>4</v>
      </c>
    </row>
    <row r="85" spans="1:15" x14ac:dyDescent="0.35">
      <c r="A85" t="s">
        <v>714</v>
      </c>
      <c r="B85" t="s">
        <v>714</v>
      </c>
      <c r="C85" s="22" t="str">
        <f t="shared" si="1"/>
        <v>ESPMC 540</v>
      </c>
      <c r="D85" t="s">
        <v>1047</v>
      </c>
      <c r="N85" s="5">
        <f>IF(B85="","",MATCH(B85,'Lista - Placas'!$2:$2,0)-1)</f>
        <v>7</v>
      </c>
      <c r="O85" s="5">
        <f>IF(D85="","",MATCH(D85,'Lista - Placas'!$H:$H,0)-2)</f>
        <v>5</v>
      </c>
    </row>
    <row r="86" spans="1:15" x14ac:dyDescent="0.35">
      <c r="A86" t="s">
        <v>714</v>
      </c>
      <c r="B86" t="s">
        <v>714</v>
      </c>
      <c r="C86" s="22" t="str">
        <f t="shared" si="1"/>
        <v>ESPMC545</v>
      </c>
      <c r="D86" t="s">
        <v>1091</v>
      </c>
      <c r="N86" s="5">
        <f>IF(B86="","",MATCH(B86,'Lista - Placas'!$2:$2,0)-1)</f>
        <v>7</v>
      </c>
      <c r="O86" s="5">
        <f>IF(D86="","",MATCH(D86,'Lista - Placas'!$H:$H,0)-2)</f>
        <v>6</v>
      </c>
    </row>
    <row r="87" spans="1:15" x14ac:dyDescent="0.35">
      <c r="A87" t="s">
        <v>714</v>
      </c>
      <c r="B87" t="s">
        <v>714</v>
      </c>
      <c r="C87" s="22" t="str">
        <f t="shared" si="1"/>
        <v>BS545-36V-MH</v>
      </c>
      <c r="D87" t="s">
        <v>1131</v>
      </c>
      <c r="N87" s="5">
        <f>IF(B87="","",MATCH(B87,'Lista - Placas'!$2:$2,0)-1)</f>
        <v>7</v>
      </c>
      <c r="O87" s="5">
        <f>IF(D87="","",MATCH(D87,'Lista - Placas'!$H:$H,0)-2)</f>
        <v>7</v>
      </c>
    </row>
    <row r="88" spans="1:15" x14ac:dyDescent="0.35">
      <c r="A88" t="s">
        <v>714</v>
      </c>
      <c r="B88" t="s">
        <v>714</v>
      </c>
      <c r="C88" s="22" t="str">
        <f t="shared" si="1"/>
        <v>BS545-36V-MH</v>
      </c>
      <c r="D88" t="s">
        <v>1167</v>
      </c>
      <c r="N88" s="5">
        <f>IF(B88="","",MATCH(B88,'Lista - Placas'!$2:$2,0)-1)</f>
        <v>7</v>
      </c>
      <c r="O88" s="5">
        <f>IF(D88="","",MATCH(D88,'Lista - Placas'!$H:$H,0)-2)</f>
        <v>8</v>
      </c>
    </row>
    <row r="89" spans="1:15" x14ac:dyDescent="0.35">
      <c r="A89" t="s">
        <v>714</v>
      </c>
      <c r="B89" t="s">
        <v>714</v>
      </c>
      <c r="C89" s="22" t="str">
        <f t="shared" si="1"/>
        <v>BS550M-144</v>
      </c>
      <c r="D89" t="s">
        <v>1201</v>
      </c>
      <c r="N89" s="5">
        <f>IF(B89="","",MATCH(B89,'Lista - Placas'!$2:$2,0)-1)</f>
        <v>7</v>
      </c>
      <c r="O89" s="5">
        <f>IF(D89="","",MATCH(D89,'Lista - Placas'!$H:$H,0)-2)</f>
        <v>9</v>
      </c>
    </row>
    <row r="90" spans="1:15" x14ac:dyDescent="0.35">
      <c r="A90" t="s">
        <v>714</v>
      </c>
      <c r="B90" t="s">
        <v>714</v>
      </c>
      <c r="C90" s="22" t="str">
        <f t="shared" si="1"/>
        <v>BS545-36V-MH - 545W</v>
      </c>
      <c r="D90" t="s">
        <v>1233</v>
      </c>
      <c r="N90" s="5">
        <f>IF(B90="","",MATCH(B90,'Lista - Placas'!$2:$2,0)-1)</f>
        <v>7</v>
      </c>
      <c r="O90" s="5">
        <f>IF(D90="","",MATCH(D90,'Lista - Placas'!$H:$H,0)-2)</f>
        <v>10</v>
      </c>
    </row>
    <row r="91" spans="1:15" x14ac:dyDescent="0.35">
      <c r="A91" t="s">
        <v>766</v>
      </c>
      <c r="B91" t="s">
        <v>766</v>
      </c>
      <c r="C91" s="22" t="str">
        <f t="shared" si="1"/>
        <v>MFVOS-PO-72-330W</v>
      </c>
      <c r="D91" t="s">
        <v>810</v>
      </c>
      <c r="N91" s="5">
        <f>IF(B91="","",MATCH(B91,'Lista - Placas'!$2:$2,0)-1)</f>
        <v>8</v>
      </c>
      <c r="O91" s="5">
        <f>IF(D91="","",MATCH(D91,'Lista - Placas'!$I:$I,0)-2)</f>
        <v>1</v>
      </c>
    </row>
    <row r="92" spans="1:15" x14ac:dyDescent="0.35">
      <c r="A92" t="s">
        <v>766</v>
      </c>
      <c r="B92" t="s">
        <v>766</v>
      </c>
      <c r="C92" s="22" t="str">
        <f t="shared" si="1"/>
        <v>MFVSU-PO-72-330W</v>
      </c>
      <c r="D92" t="s">
        <v>888</v>
      </c>
      <c r="N92" s="5">
        <f>IF(B92="","",MATCH(B92,'Lista - Placas'!$2:$2,0)-1)</f>
        <v>8</v>
      </c>
      <c r="O92" s="5">
        <f>IF(D92="","",MATCH(D92,'Lista - Placas'!$I:$I,0)-2)</f>
        <v>2</v>
      </c>
    </row>
    <row r="93" spans="1:15" x14ac:dyDescent="0.35">
      <c r="A93" t="s">
        <v>766</v>
      </c>
      <c r="B93" t="s">
        <v>766</v>
      </c>
      <c r="C93" s="22" t="str">
        <f t="shared" si="1"/>
        <v>MFVSU-PO-72-340W</v>
      </c>
      <c r="D93" t="s">
        <v>948</v>
      </c>
      <c r="N93" s="5">
        <f>IF(B93="","",MATCH(B93,'Lista - Placas'!$2:$2,0)-1)</f>
        <v>8</v>
      </c>
      <c r="O93" s="5">
        <f>IF(D93="","",MATCH(D93,'Lista - Placas'!$I:$I,0)-2)</f>
        <v>3</v>
      </c>
    </row>
    <row r="94" spans="1:15" x14ac:dyDescent="0.35">
      <c r="A94" t="s">
        <v>766</v>
      </c>
      <c r="B94" t="s">
        <v>766</v>
      </c>
      <c r="C94" s="22" t="str">
        <f t="shared" si="1"/>
        <v>MFVOS-PO-72-340W</v>
      </c>
      <c r="D94" t="s">
        <v>1000</v>
      </c>
      <c r="E94" s="12">
        <v>0.34</v>
      </c>
      <c r="F94" s="12">
        <v>1.94</v>
      </c>
      <c r="G94" s="12" t="s">
        <v>179</v>
      </c>
      <c r="H94" s="12" t="s">
        <v>180</v>
      </c>
      <c r="I94" s="12" t="s">
        <v>181</v>
      </c>
      <c r="J94" s="12" t="s">
        <v>182</v>
      </c>
      <c r="K94" s="14">
        <v>0.17480000000000001</v>
      </c>
      <c r="L94" s="12" t="s">
        <v>183</v>
      </c>
      <c r="M94" s="12" t="s">
        <v>81</v>
      </c>
      <c r="N94" s="5">
        <f>IF(B94="","",MATCH(B94,'Lista - Placas'!$2:$2,0)-1)</f>
        <v>8</v>
      </c>
      <c r="O94" s="5">
        <f>IF(D94="","",MATCH(D94,'Lista - Placas'!$I:$I,0)-2)</f>
        <v>4</v>
      </c>
    </row>
    <row r="95" spans="1:15" x14ac:dyDescent="0.35">
      <c r="A95" t="s">
        <v>766</v>
      </c>
      <c r="B95" t="s">
        <v>766</v>
      </c>
      <c r="C95" s="22" t="str">
        <f t="shared" si="1"/>
        <v>MFVOS-MO-144-400W</v>
      </c>
      <c r="D95" t="s">
        <v>1048</v>
      </c>
      <c r="N95" s="5">
        <f>IF(B95="","",MATCH(B95,'Lista - Placas'!$2:$2,0)-1)</f>
        <v>8</v>
      </c>
      <c r="O95" s="5">
        <f>IF(D95="","",MATCH(D95,'Lista - Placas'!$I:$I,0)-2)</f>
        <v>5</v>
      </c>
    </row>
    <row r="96" spans="1:15" x14ac:dyDescent="0.35">
      <c r="A96" t="s">
        <v>766</v>
      </c>
      <c r="B96" t="s">
        <v>766</v>
      </c>
      <c r="C96" s="22" t="str">
        <f t="shared" si="1"/>
        <v>MFVOS-MO-144-410W</v>
      </c>
      <c r="D96" t="s">
        <v>1092</v>
      </c>
      <c r="N96" s="5">
        <f>IF(B96="","",MATCH(B96,'Lista - Placas'!$2:$2,0)-1)</f>
        <v>8</v>
      </c>
      <c r="O96" s="5">
        <f>IF(D96="","",MATCH(D96,'Lista - Placas'!$I:$I,0)-2)</f>
        <v>6</v>
      </c>
    </row>
    <row r="97" spans="1:15" x14ac:dyDescent="0.35">
      <c r="A97" t="s">
        <v>766</v>
      </c>
      <c r="B97" t="s">
        <v>766</v>
      </c>
      <c r="C97" s="22" t="str">
        <f t="shared" si="1"/>
        <v>MFOS-PO-72-340W</v>
      </c>
      <c r="D97" t="s">
        <v>1132</v>
      </c>
      <c r="N97" s="5">
        <f>IF(B97="","",MATCH(B97,'Lista - Placas'!$2:$2,0)-1)</f>
        <v>8</v>
      </c>
      <c r="O97" s="5">
        <f>IF(D97="","",MATCH(D97,'Lista - Placas'!$I:$I,0)-2)</f>
        <v>7</v>
      </c>
    </row>
    <row r="98" spans="1:15" x14ac:dyDescent="0.35">
      <c r="A98" t="s">
        <v>766</v>
      </c>
      <c r="B98" t="s">
        <v>766</v>
      </c>
      <c r="C98" s="22" t="str">
        <f t="shared" si="1"/>
        <v>MFVOS-MO-144-545W</v>
      </c>
      <c r="D98" t="s">
        <v>1168</v>
      </c>
      <c r="N98" s="5">
        <f>IF(B98="","",MATCH(B98,'Lista - Placas'!$2:$2,0)-1)</f>
        <v>8</v>
      </c>
      <c r="O98" s="5">
        <f>IF(D98="","",MATCH(D98,'Lista - Placas'!$I:$I,0)-2)</f>
        <v>8</v>
      </c>
    </row>
    <row r="99" spans="1:15" x14ac:dyDescent="0.35">
      <c r="A99" t="s">
        <v>766</v>
      </c>
      <c r="B99" t="s">
        <v>766</v>
      </c>
      <c r="C99" s="22" t="str">
        <f t="shared" si="1"/>
        <v>MFVZN-PO-144-345W</v>
      </c>
      <c r="D99" t="s">
        <v>1202</v>
      </c>
      <c r="N99" s="5">
        <f>IF(B99="","",MATCH(B99,'Lista - Placas'!$2:$2,0)-1)</f>
        <v>8</v>
      </c>
      <c r="O99" s="5">
        <f>IF(D99="","",MATCH(D99,'Lista - Placas'!$I:$I,0)-2)</f>
        <v>9</v>
      </c>
    </row>
    <row r="100" spans="1:15" x14ac:dyDescent="0.35">
      <c r="A100" t="s">
        <v>766</v>
      </c>
      <c r="B100" t="s">
        <v>766</v>
      </c>
      <c r="C100" s="22" t="str">
        <f t="shared" si="1"/>
        <v>MFVOS-MO-144-410W</v>
      </c>
      <c r="D100" t="s">
        <v>1234</v>
      </c>
      <c r="N100" s="5">
        <f>IF(B100="","",MATCH(B100,'Lista - Placas'!$2:$2,0)-1)</f>
        <v>8</v>
      </c>
      <c r="O100" s="5">
        <f>IF(D100="","",MATCH(D100,'Lista - Placas'!$I:$I,0)-2)</f>
        <v>10</v>
      </c>
    </row>
    <row r="101" spans="1:15" x14ac:dyDescent="0.35">
      <c r="A101" t="s">
        <v>766</v>
      </c>
      <c r="B101" t="s">
        <v>766</v>
      </c>
      <c r="C101" s="22" t="str">
        <f t="shared" si="1"/>
        <v>MFVZN-MO-120-460W</v>
      </c>
      <c r="D101" t="s">
        <v>1262</v>
      </c>
      <c r="N101" s="5">
        <f>IF(B101="","",MATCH(B101,'Lista - Placas'!$2:$2,0)-1)</f>
        <v>8</v>
      </c>
      <c r="O101" s="5">
        <f>IF(D101="","",MATCH(D101,'Lista - Placas'!$I:$I,0)-2)</f>
        <v>11</v>
      </c>
    </row>
    <row r="102" spans="1:15" x14ac:dyDescent="0.35">
      <c r="A102" t="s">
        <v>766</v>
      </c>
      <c r="B102" t="s">
        <v>766</v>
      </c>
      <c r="C102" s="22" t="str">
        <f t="shared" si="1"/>
        <v>MFVSU-MO-144-410W</v>
      </c>
      <c r="D102" t="s">
        <v>1290</v>
      </c>
      <c r="N102" s="5">
        <f>IF(B102="","",MATCH(B102,'Lista - Placas'!$2:$2,0)-1)</f>
        <v>8</v>
      </c>
      <c r="O102" s="5">
        <f>IF(D102="","",MATCH(D102,'Lista - Placas'!$I:$I,0)-2)</f>
        <v>12</v>
      </c>
    </row>
    <row r="103" spans="1:15" x14ac:dyDescent="0.35">
      <c r="A103" t="s">
        <v>766</v>
      </c>
      <c r="B103" t="s">
        <v>766</v>
      </c>
      <c r="C103" s="22" t="str">
        <f t="shared" si="1"/>
        <v>MFVOS-MO-120-460W</v>
      </c>
      <c r="D103" t="s">
        <v>1318</v>
      </c>
      <c r="N103" s="5">
        <f>IF(B103="","",MATCH(B103,'Lista - Placas'!$2:$2,0)-1)</f>
        <v>8</v>
      </c>
      <c r="O103" s="5">
        <f>IF(D103="","",MATCH(D103,'Lista - Placas'!$I:$I,0)-2)</f>
        <v>13</v>
      </c>
    </row>
    <row r="104" spans="1:15" x14ac:dyDescent="0.35">
      <c r="A104" t="s">
        <v>766</v>
      </c>
      <c r="B104" t="s">
        <v>766</v>
      </c>
      <c r="C104" s="22" t="str">
        <f t="shared" si="1"/>
        <v>MFVZN-MO-144-410W</v>
      </c>
      <c r="D104" t="s">
        <v>1345</v>
      </c>
      <c r="N104" s="5">
        <f>IF(B104="","",MATCH(B104,'Lista - Placas'!$2:$2,0)-1)</f>
        <v>8</v>
      </c>
      <c r="O104" s="5">
        <f>IF(D104="","",MATCH(D104,'Lista - Placas'!$I:$I,0)-2)</f>
        <v>14</v>
      </c>
    </row>
    <row r="105" spans="1:15" x14ac:dyDescent="0.35">
      <c r="A105" t="s">
        <v>766</v>
      </c>
      <c r="B105" t="s">
        <v>766</v>
      </c>
      <c r="C105" s="22" t="str">
        <f t="shared" si="1"/>
        <v>MFVOS MO-144-545W</v>
      </c>
      <c r="D105" t="s">
        <v>1371</v>
      </c>
      <c r="N105" s="5">
        <f>IF(B105="","",MATCH(B105,'Lista - Placas'!$2:$2,0)-1)</f>
        <v>8</v>
      </c>
      <c r="O105" s="5">
        <f>IF(D105="","",MATCH(D105,'Lista - Placas'!$I:$I,0)-2)</f>
        <v>15</v>
      </c>
    </row>
    <row r="106" spans="1:15" x14ac:dyDescent="0.35">
      <c r="A106" t="s">
        <v>767</v>
      </c>
      <c r="B106" t="s">
        <v>767</v>
      </c>
      <c r="C106" s="22" t="str">
        <f t="shared" si="1"/>
        <v>TSP335-72H</v>
      </c>
      <c r="D106" t="s">
        <v>811</v>
      </c>
      <c r="N106" s="5">
        <f>IF(B106="","",MATCH(B106,'Lista - Placas'!$2:$2,0)-1)</f>
        <v>9</v>
      </c>
      <c r="O106" s="5">
        <f>IF(D106="","",MATCH(D106,'Lista - Placas'!$J:$J,0)-2)</f>
        <v>1</v>
      </c>
    </row>
    <row r="107" spans="1:15" x14ac:dyDescent="0.35">
      <c r="A107" t="s">
        <v>767</v>
      </c>
      <c r="B107" t="s">
        <v>767</v>
      </c>
      <c r="C107" s="22" t="str">
        <f t="shared" si="1"/>
        <v>TSHM335-120L</v>
      </c>
      <c r="D107" t="s">
        <v>889</v>
      </c>
      <c r="N107" s="5">
        <f>IF(B107="","",MATCH(B107,'Lista - Placas'!$2:$2,0)-1)</f>
        <v>9</v>
      </c>
      <c r="O107" s="5">
        <f>IF(D107="","",MATCH(D107,'Lista - Placas'!$J:$J,0)-2)</f>
        <v>2</v>
      </c>
    </row>
    <row r="108" spans="1:15" x14ac:dyDescent="0.35">
      <c r="A108" t="s">
        <v>767</v>
      </c>
      <c r="B108" t="s">
        <v>767</v>
      </c>
      <c r="C108" s="22" t="str">
        <f t="shared" si="1"/>
        <v>TSHM535-144HV</v>
      </c>
      <c r="D108" t="s">
        <v>949</v>
      </c>
      <c r="N108" s="5">
        <f>IF(B108="","",MATCH(B108,'Lista - Placas'!$2:$2,0)-1)</f>
        <v>9</v>
      </c>
      <c r="O108" s="5">
        <f>IF(D108="","",MATCH(D108,'Lista - Placas'!$J:$J,0)-2)</f>
        <v>3</v>
      </c>
    </row>
    <row r="109" spans="1:15" x14ac:dyDescent="0.35">
      <c r="A109" t="s">
        <v>767</v>
      </c>
      <c r="B109" t="s">
        <v>767</v>
      </c>
      <c r="C109" s="22" t="str">
        <f t="shared" si="1"/>
        <v>TSBHM535-144HVG</v>
      </c>
      <c r="D109" t="s">
        <v>1001</v>
      </c>
      <c r="N109" s="5">
        <f>IF(B109="","",MATCH(B109,'Lista - Placas'!$2:$2,0)-1)</f>
        <v>9</v>
      </c>
      <c r="O109" s="5">
        <f>IF(D109="","",MATCH(D109,'Lista - Placas'!$J:$J,0)-2)</f>
        <v>4</v>
      </c>
    </row>
    <row r="110" spans="1:15" x14ac:dyDescent="0.35">
      <c r="A110" t="s">
        <v>768</v>
      </c>
      <c r="B110" t="s">
        <v>768</v>
      </c>
      <c r="C110" s="22" t="str">
        <f t="shared" si="1"/>
        <v>TP6L72M - 440W</v>
      </c>
      <c r="D110" t="s">
        <v>812</v>
      </c>
      <c r="N110" s="5">
        <f>IF(B110="","",MATCH(B110,'Lista - Placas'!$2:$2,0)-1)</f>
        <v>10</v>
      </c>
      <c r="O110" s="5">
        <f>IF(D110="","",MATCH(D110,'Lista - Placas'!$K:$K,0)-2)</f>
        <v>1</v>
      </c>
    </row>
    <row r="111" spans="1:15" x14ac:dyDescent="0.35">
      <c r="A111" t="s">
        <v>768</v>
      </c>
      <c r="B111" t="s">
        <v>768</v>
      </c>
      <c r="C111" s="22" t="str">
        <f t="shared" si="1"/>
        <v>TP7F72M(H)-550</v>
      </c>
      <c r="D111" t="s">
        <v>890</v>
      </c>
      <c r="N111" s="5">
        <f>IF(B111="","",MATCH(B111,'Lista - Placas'!$2:$2,0)-1)</f>
        <v>10</v>
      </c>
      <c r="O111" s="5">
        <f>IF(D111="","",MATCH(D111,'Lista - Placas'!$K:$K,0)-2)</f>
        <v>2</v>
      </c>
    </row>
    <row r="112" spans="1:15" x14ac:dyDescent="0.35">
      <c r="A112" t="s">
        <v>769</v>
      </c>
      <c r="B112" t="s">
        <v>769</v>
      </c>
      <c r="C112" s="22" t="str">
        <f t="shared" si="1"/>
        <v>SRP-400-BMA</v>
      </c>
      <c r="D112" t="s">
        <v>813</v>
      </c>
      <c r="N112" s="5">
        <f>IF(B112="","",MATCH(B112,'Lista - Placas'!$2:$2,0)-1)</f>
        <v>11</v>
      </c>
      <c r="O112" s="5">
        <f>IF(D112="","",MATCH(D112,'Lista - Placas'!$L:$L,0)-2)</f>
        <v>1</v>
      </c>
    </row>
    <row r="113" spans="1:15" x14ac:dyDescent="0.35">
      <c r="A113" t="s">
        <v>769</v>
      </c>
      <c r="B113" t="s">
        <v>769</v>
      </c>
      <c r="C113" s="22" t="str">
        <f t="shared" si="1"/>
        <v>SRP-400-BMA-HV</v>
      </c>
      <c r="D113" t="s">
        <v>891</v>
      </c>
      <c r="N113" s="5">
        <f>IF(B113="","",MATCH(B113,'Lista - Placas'!$2:$2,0)-1)</f>
        <v>11</v>
      </c>
      <c r="O113" s="5">
        <f>IF(D113="","",MATCH(D113,'Lista - Placas'!$L:$L,0)-2)</f>
        <v>2</v>
      </c>
    </row>
    <row r="114" spans="1:15" x14ac:dyDescent="0.35">
      <c r="A114" t="s">
        <v>770</v>
      </c>
      <c r="B114" t="s">
        <v>770</v>
      </c>
      <c r="C114" s="22" t="str">
        <f t="shared" si="1"/>
        <v>BST-6M-380W</v>
      </c>
      <c r="D114" t="s">
        <v>814</v>
      </c>
      <c r="N114" s="5">
        <f>IF(B114="","",MATCH(B114,'Lista - Placas'!$2:$2,0)-1)</f>
        <v>12</v>
      </c>
      <c r="O114" s="5">
        <f>IF(D114="","",MATCH(D114,'Lista - Placas'!$M:$M,0)-2)</f>
        <v>1</v>
      </c>
    </row>
    <row r="115" spans="1:15" x14ac:dyDescent="0.35">
      <c r="A115" t="s">
        <v>770</v>
      </c>
      <c r="B115" t="s">
        <v>770</v>
      </c>
      <c r="C115" s="22" t="str">
        <f t="shared" si="1"/>
        <v>BST340-72P</v>
      </c>
      <c r="D115" t="s">
        <v>892</v>
      </c>
      <c r="N115" s="5">
        <f>IF(B115="","",MATCH(B115,'Lista - Placas'!$2:$2,0)-1)</f>
        <v>12</v>
      </c>
      <c r="O115" s="5">
        <f>IF(D115="","",MATCH(D115,'Lista - Placas'!$M:$M,0)-2)</f>
        <v>2</v>
      </c>
    </row>
    <row r="116" spans="1:15" x14ac:dyDescent="0.35">
      <c r="A116" t="s">
        <v>770</v>
      </c>
      <c r="B116" t="s">
        <v>770</v>
      </c>
      <c r="C116" s="22" t="str">
        <f t="shared" si="1"/>
        <v>BST-6M-HCB-400W</v>
      </c>
      <c r="D116" t="s">
        <v>950</v>
      </c>
      <c r="N116" s="5">
        <f>IF(B116="","",MATCH(B116,'Lista - Placas'!$2:$2,0)-1)</f>
        <v>12</v>
      </c>
      <c r="O116" s="5">
        <f>IF(D116="","",MATCH(D116,'Lista - Placas'!$M:$M,0)-2)</f>
        <v>3</v>
      </c>
    </row>
    <row r="117" spans="1:15" x14ac:dyDescent="0.35">
      <c r="A117" t="s">
        <v>770</v>
      </c>
      <c r="B117" t="s">
        <v>770</v>
      </c>
      <c r="C117" s="22" t="str">
        <f t="shared" si="1"/>
        <v>BST340-72P</v>
      </c>
      <c r="D117" t="s">
        <v>1002</v>
      </c>
      <c r="N117" s="5">
        <f>IF(B117="","",MATCH(B117,'Lista - Placas'!$2:$2,0)-1)</f>
        <v>12</v>
      </c>
      <c r="O117" s="5">
        <f>IF(D117="","",MATCH(D117,'Lista - Placas'!$M:$M,0)-2)</f>
        <v>4</v>
      </c>
    </row>
    <row r="118" spans="1:15" x14ac:dyDescent="0.35">
      <c r="A118" t="s">
        <v>190</v>
      </c>
      <c r="B118" t="s">
        <v>190</v>
      </c>
      <c r="C118" s="22" t="str">
        <f t="shared" si="1"/>
        <v>310P6D-36</v>
      </c>
      <c r="D118" t="s">
        <v>815</v>
      </c>
      <c r="N118" s="5">
        <f>IF(B118="","",MATCH(B118,'Lista - Placas'!$2:$2,0)-1)</f>
        <v>13</v>
      </c>
      <c r="O118" s="5">
        <f>IF(D118="","",MATCH(D118,'Lista - Placas'!$N:$N,0)-2)</f>
        <v>1</v>
      </c>
    </row>
    <row r="119" spans="1:15" x14ac:dyDescent="0.35">
      <c r="A119" t="s">
        <v>190</v>
      </c>
      <c r="B119" t="s">
        <v>190</v>
      </c>
      <c r="C119" s="22" t="str">
        <f t="shared" si="1"/>
        <v>315P6D-36</v>
      </c>
      <c r="D119" t="s">
        <v>893</v>
      </c>
      <c r="N119" s="5">
        <f>IF(B119="","",MATCH(B119,'Lista - Placas'!$2:$2,0)-1)</f>
        <v>13</v>
      </c>
      <c r="O119" s="5">
        <f>IF(D119="","",MATCH(D119,'Lista - Placas'!$N:$N,0)-2)</f>
        <v>2</v>
      </c>
    </row>
    <row r="120" spans="1:15" x14ac:dyDescent="0.35">
      <c r="A120" t="s">
        <v>190</v>
      </c>
      <c r="B120" t="s">
        <v>190</v>
      </c>
      <c r="C120" s="22" t="str">
        <f t="shared" si="1"/>
        <v>320P6D-36</v>
      </c>
      <c r="D120" t="s">
        <v>951</v>
      </c>
      <c r="N120" s="5">
        <f>IF(B120="","",MATCH(B120,'Lista - Placas'!$2:$2,0)-1)</f>
        <v>13</v>
      </c>
      <c r="O120" s="5">
        <f>IF(D120="","",MATCH(D120,'Lista - Placas'!$N:$N,0)-2)</f>
        <v>3</v>
      </c>
    </row>
    <row r="121" spans="1:15" x14ac:dyDescent="0.35">
      <c r="A121" t="s">
        <v>190</v>
      </c>
      <c r="B121" t="s">
        <v>190</v>
      </c>
      <c r="C121" s="22" t="str">
        <f t="shared" si="1"/>
        <v>325P6D-36</v>
      </c>
      <c r="D121" t="s">
        <v>1003</v>
      </c>
      <c r="N121" s="5">
        <f>IF(B121="","",MATCH(B121,'Lista - Placas'!$2:$2,0)-1)</f>
        <v>13</v>
      </c>
      <c r="O121" s="5">
        <f>IF(D121="","",MATCH(D121,'Lista - Placas'!$N:$N,0)-2)</f>
        <v>4</v>
      </c>
    </row>
    <row r="122" spans="1:15" x14ac:dyDescent="0.35">
      <c r="A122" t="s">
        <v>190</v>
      </c>
      <c r="B122" t="s">
        <v>190</v>
      </c>
      <c r="C122" s="22" t="str">
        <f t="shared" si="1"/>
        <v>330P6D-36</v>
      </c>
      <c r="D122" t="s">
        <v>1049</v>
      </c>
      <c r="N122" s="5">
        <f>IF(B122="","",MATCH(B122,'Lista - Placas'!$2:$2,0)-1)</f>
        <v>13</v>
      </c>
      <c r="O122" s="5">
        <f>IF(D122="","",MATCH(D122,'Lista - Placas'!$N:$N,0)-2)</f>
        <v>5</v>
      </c>
    </row>
    <row r="123" spans="1:15" x14ac:dyDescent="0.35">
      <c r="A123" t="s">
        <v>190</v>
      </c>
      <c r="B123" t="s">
        <v>190</v>
      </c>
      <c r="C123" s="22" t="str">
        <f t="shared" si="1"/>
        <v>335P6D-36</v>
      </c>
      <c r="D123" t="s">
        <v>1093</v>
      </c>
      <c r="N123" s="5">
        <f>IF(B123="","",MATCH(B123,'Lista - Placas'!$2:$2,0)-1)</f>
        <v>13</v>
      </c>
      <c r="O123" s="5">
        <f>IF(D123="","",MATCH(D123,'Lista - Placas'!$N:$N,0)-2)</f>
        <v>6</v>
      </c>
    </row>
    <row r="124" spans="1:15" x14ac:dyDescent="0.35">
      <c r="A124" t="s">
        <v>190</v>
      </c>
      <c r="B124" t="s">
        <v>190</v>
      </c>
      <c r="C124" s="22" t="str">
        <f t="shared" si="1"/>
        <v>340P6D-36</v>
      </c>
      <c r="D124" t="s">
        <v>1133</v>
      </c>
      <c r="N124" s="5">
        <f>IF(B124="","",MATCH(B124,'Lista - Placas'!$2:$2,0)-1)</f>
        <v>13</v>
      </c>
      <c r="O124" s="5">
        <f>IF(D124="","",MATCH(D124,'Lista - Placas'!$N:$N,0)-2)</f>
        <v>7</v>
      </c>
    </row>
    <row r="125" spans="1:15" x14ac:dyDescent="0.35">
      <c r="A125" t="s">
        <v>190</v>
      </c>
      <c r="B125" t="s">
        <v>190</v>
      </c>
      <c r="C125" s="22" t="str">
        <f t="shared" si="1"/>
        <v>370M6K-36</v>
      </c>
      <c r="D125" t="s">
        <v>1169</v>
      </c>
      <c r="N125" s="5">
        <f>IF(B125="","",MATCH(B125,'Lista - Placas'!$2:$2,0)-1)</f>
        <v>13</v>
      </c>
      <c r="O125" s="5">
        <f>IF(D125="","",MATCH(D125,'Lista - Placas'!$N:$N,0)-2)</f>
        <v>8</v>
      </c>
    </row>
    <row r="126" spans="1:15" x14ac:dyDescent="0.35">
      <c r="A126" t="s">
        <v>190</v>
      </c>
      <c r="B126" t="s">
        <v>190</v>
      </c>
      <c r="C126" s="22" t="str">
        <f t="shared" si="1"/>
        <v>335PHK-36</v>
      </c>
      <c r="D126" t="s">
        <v>1203</v>
      </c>
      <c r="N126" s="5">
        <f>IF(B126="","",MATCH(B126,'Lista - Placas'!$2:$2,0)-1)</f>
        <v>13</v>
      </c>
      <c r="O126" s="5">
        <f>IF(D126="","",MATCH(D126,'Lista - Placas'!$N:$N,0)-2)</f>
        <v>9</v>
      </c>
    </row>
    <row r="127" spans="1:15" x14ac:dyDescent="0.35">
      <c r="A127" t="s">
        <v>190</v>
      </c>
      <c r="B127" t="s">
        <v>190</v>
      </c>
      <c r="C127" s="22" t="str">
        <f t="shared" si="1"/>
        <v>330PHK-36</v>
      </c>
      <c r="D127" t="s">
        <v>1235</v>
      </c>
      <c r="N127" s="5">
        <f>IF(B127="","",MATCH(B127,'Lista - Placas'!$2:$2,0)-1)</f>
        <v>13</v>
      </c>
      <c r="O127" s="5">
        <f>IF(D127="","",MATCH(D127,'Lista - Placas'!$N:$N,0)-2)</f>
        <v>10</v>
      </c>
    </row>
    <row r="128" spans="1:15" x14ac:dyDescent="0.35">
      <c r="A128" t="s">
        <v>190</v>
      </c>
      <c r="B128" t="s">
        <v>190</v>
      </c>
      <c r="C128" s="22" t="str">
        <f t="shared" si="1"/>
        <v>325P6K-36</v>
      </c>
      <c r="D128" t="s">
        <v>1263</v>
      </c>
      <c r="N128" s="5">
        <f>IF(B128="","",MATCH(B128,'Lista - Placas'!$2:$2,0)-1)</f>
        <v>13</v>
      </c>
      <c r="O128" s="5">
        <f>IF(D128="","",MATCH(D128,'Lista - Placas'!$N:$N,0)-2)</f>
        <v>11</v>
      </c>
    </row>
    <row r="129" spans="1:15" x14ac:dyDescent="0.35">
      <c r="A129" t="s">
        <v>190</v>
      </c>
      <c r="B129" t="s">
        <v>190</v>
      </c>
      <c r="C129" s="22" t="str">
        <f t="shared" si="1"/>
        <v>PHK-36-SÉRIE-4BB-345</v>
      </c>
      <c r="D129" t="s">
        <v>1291</v>
      </c>
      <c r="N129" s="5">
        <f>IF(B129="","",MATCH(B129,'Lista - Placas'!$2:$2,0)-1)</f>
        <v>13</v>
      </c>
      <c r="O129" s="5">
        <f>IF(D129="","",MATCH(D129,'Lista - Placas'!$N:$N,0)-2)</f>
        <v>12</v>
      </c>
    </row>
    <row r="130" spans="1:15" x14ac:dyDescent="0.35">
      <c r="A130" t="s">
        <v>190</v>
      </c>
      <c r="B130" t="s">
        <v>190</v>
      </c>
      <c r="C130" s="22" t="str">
        <f t="shared" si="1"/>
        <v>335P6K-36</v>
      </c>
      <c r="D130" t="s">
        <v>1319</v>
      </c>
      <c r="N130" s="5">
        <f>IF(B130="","",MATCH(B130,'Lista - Placas'!$2:$2,0)-1)</f>
        <v>13</v>
      </c>
      <c r="O130" s="5">
        <f>IF(D130="","",MATCH(D130,'Lista - Placas'!$N:$N,0)-2)</f>
        <v>13</v>
      </c>
    </row>
    <row r="131" spans="1:15" x14ac:dyDescent="0.35">
      <c r="A131" t="s">
        <v>190</v>
      </c>
      <c r="B131" t="s">
        <v>190</v>
      </c>
      <c r="C131" s="22" t="str">
        <f t="shared" ref="C131:C194" si="2">RIGHT(D131,LEN(D131)-(FIND(" - ", D131)+2))</f>
        <v>330P6C-36</v>
      </c>
      <c r="D131" t="s">
        <v>1346</v>
      </c>
      <c r="N131" s="5">
        <f>IF(B131="","",MATCH(B131,'Lista - Placas'!$2:$2,0)-1)</f>
        <v>13</v>
      </c>
      <c r="O131" s="5">
        <f>IF(D131="","",MATCH(D131,'Lista - Placas'!$N:$N,0)-2)</f>
        <v>14</v>
      </c>
    </row>
    <row r="132" spans="1:15" x14ac:dyDescent="0.35">
      <c r="A132" t="s">
        <v>190</v>
      </c>
      <c r="B132" t="s">
        <v>190</v>
      </c>
      <c r="C132" s="22" t="str">
        <f t="shared" si="2"/>
        <v>335P6C-36</v>
      </c>
      <c r="D132" t="s">
        <v>1372</v>
      </c>
      <c r="N132" s="5">
        <f>IF(B132="","",MATCH(B132,'Lista - Placas'!$2:$2,0)-1)</f>
        <v>13</v>
      </c>
      <c r="O132" s="5">
        <f>IF(D132="","",MATCH(D132,'Lista - Placas'!$N:$N,0)-2)</f>
        <v>15</v>
      </c>
    </row>
    <row r="133" spans="1:15" x14ac:dyDescent="0.35">
      <c r="A133" t="s">
        <v>190</v>
      </c>
      <c r="B133" t="s">
        <v>190</v>
      </c>
      <c r="C133" s="22" t="str">
        <f t="shared" si="2"/>
        <v>325P6K-36</v>
      </c>
      <c r="D133" t="s">
        <v>1396</v>
      </c>
      <c r="E133" s="12">
        <v>0.32500000000000001</v>
      </c>
      <c r="F133" s="12">
        <v>2</v>
      </c>
      <c r="G133" s="12" t="s">
        <v>4202</v>
      </c>
      <c r="H133" s="22" t="s">
        <v>3803</v>
      </c>
      <c r="I133" s="22" t="s">
        <v>4203</v>
      </c>
      <c r="J133" s="22" t="s">
        <v>4204</v>
      </c>
      <c r="K133" s="15">
        <v>0.16700000000000001</v>
      </c>
      <c r="L133" s="22" t="s">
        <v>191</v>
      </c>
      <c r="M133" s="12" t="s">
        <v>81</v>
      </c>
      <c r="N133" s="5">
        <f>IF(B133="","",MATCH(B133,'Lista - Placas'!$2:$2,0)-1)</f>
        <v>13</v>
      </c>
      <c r="O133" s="5">
        <f>IF(D133="","",MATCH(D133,'Lista - Placas'!$N:$N,0)-2)</f>
        <v>16</v>
      </c>
    </row>
    <row r="134" spans="1:15" x14ac:dyDescent="0.35">
      <c r="A134" t="s">
        <v>190</v>
      </c>
      <c r="B134" t="s">
        <v>190</v>
      </c>
      <c r="C134" s="22" t="str">
        <f t="shared" si="2"/>
        <v>330P6K-36</v>
      </c>
      <c r="D134" t="s">
        <v>1418</v>
      </c>
      <c r="E134" s="12"/>
      <c r="F134" s="12"/>
      <c r="G134" s="12"/>
      <c r="H134" s="22"/>
      <c r="I134" s="22"/>
      <c r="J134" s="22"/>
      <c r="K134" s="15"/>
      <c r="L134" s="22"/>
      <c r="M134" s="12"/>
      <c r="O134" s="5">
        <f>IF(D134="","",MATCH(D134,'Lista - Placas'!$N:$N,0)-2)</f>
        <v>17</v>
      </c>
    </row>
    <row r="135" spans="1:15" x14ac:dyDescent="0.35">
      <c r="A135" t="s">
        <v>190</v>
      </c>
      <c r="B135" t="s">
        <v>190</v>
      </c>
      <c r="C135" s="22" t="str">
        <f t="shared" si="2"/>
        <v>PHK-36-SÉRIE-5BB - 335</v>
      </c>
      <c r="D135" t="s">
        <v>1439</v>
      </c>
      <c r="N135" s="5">
        <f>IF(B135="","",MATCH(B135,'Lista - Placas'!$2:$2,0)-1)</f>
        <v>13</v>
      </c>
      <c r="O135" s="5">
        <f>IF(D135="","",MATCH(D135,'Lista - Placas'!$N:$N,0)-2)</f>
        <v>18</v>
      </c>
    </row>
    <row r="136" spans="1:15" x14ac:dyDescent="0.35">
      <c r="A136" t="s">
        <v>190</v>
      </c>
      <c r="B136" t="s">
        <v>190</v>
      </c>
      <c r="C136" s="22" t="str">
        <f t="shared" si="2"/>
        <v>325PHK-36</v>
      </c>
      <c r="D136" t="s">
        <v>1457</v>
      </c>
      <c r="N136" s="5">
        <f>IF(B136="","",MATCH(B136,'Lista - Placas'!$2:$2,0)-1)</f>
        <v>13</v>
      </c>
      <c r="O136" s="5">
        <f>IF(D136="","",MATCH(D136,'Lista - Placas'!$N:$N,0)-2)</f>
        <v>19</v>
      </c>
    </row>
    <row r="137" spans="1:15" x14ac:dyDescent="0.35">
      <c r="A137" t="s">
        <v>190</v>
      </c>
      <c r="B137" t="s">
        <v>190</v>
      </c>
      <c r="C137" s="22" t="str">
        <f t="shared" si="2"/>
        <v>335-P6C-36</v>
      </c>
      <c r="D137" t="s">
        <v>1475</v>
      </c>
      <c r="N137" s="5">
        <f>IF(B137="","",MATCH(B137,'Lista - Placas'!$2:$2,0)-1)</f>
        <v>13</v>
      </c>
      <c r="O137" s="5">
        <f>IF(D137="","",MATCH(D137,'Lista - Placas'!$N:$N,0)-2)</f>
        <v>20</v>
      </c>
    </row>
    <row r="138" spans="1:15" x14ac:dyDescent="0.35">
      <c r="A138" t="s">
        <v>190</v>
      </c>
      <c r="B138" t="s">
        <v>190</v>
      </c>
      <c r="C138" s="22" t="str">
        <f t="shared" si="2"/>
        <v>275P6C-30</v>
      </c>
      <c r="D138" t="s">
        <v>1491</v>
      </c>
      <c r="N138" s="5">
        <f>IF(B138="","",MATCH(B138,'Lista - Placas'!$2:$2,0)-1)</f>
        <v>13</v>
      </c>
      <c r="O138" s="5">
        <f>IF(D138="","",MATCH(D138,'Lista - Placas'!$N:$N,0)-2)</f>
        <v>21</v>
      </c>
    </row>
    <row r="139" spans="1:15" x14ac:dyDescent="0.35">
      <c r="A139" t="s">
        <v>190</v>
      </c>
      <c r="B139" t="s">
        <v>190</v>
      </c>
      <c r="C139" s="22" t="str">
        <f t="shared" si="2"/>
        <v>340PHK-36</v>
      </c>
      <c r="D139" t="s">
        <v>1505</v>
      </c>
      <c r="N139" s="5">
        <f>IF(B139="","",MATCH(B139,'Lista - Placas'!$2:$2,0)-1)</f>
        <v>13</v>
      </c>
      <c r="O139" s="5">
        <f>IF(D139="","",MATCH(D139,'Lista - Placas'!$N:$N,0)-2)</f>
        <v>22</v>
      </c>
    </row>
    <row r="140" spans="1:15" x14ac:dyDescent="0.35">
      <c r="A140" t="s">
        <v>190</v>
      </c>
      <c r="B140" t="s">
        <v>190</v>
      </c>
      <c r="C140" s="22" t="str">
        <f t="shared" si="2"/>
        <v>320P6C-36</v>
      </c>
      <c r="D140" t="s">
        <v>1519</v>
      </c>
      <c r="N140" s="5">
        <f>IF(B140="","",MATCH(B140,'Lista - Placas'!$2:$2,0)-1)</f>
        <v>13</v>
      </c>
      <c r="O140" s="5">
        <f>IF(D140="","",MATCH(D140,'Lista - Placas'!$N:$N,0)-2)</f>
        <v>23</v>
      </c>
    </row>
    <row r="141" spans="1:15" x14ac:dyDescent="0.35">
      <c r="A141" t="s">
        <v>190</v>
      </c>
      <c r="B141" t="s">
        <v>190</v>
      </c>
      <c r="C141" s="22" t="str">
        <f t="shared" si="2"/>
        <v>340-P6K-36 340W</v>
      </c>
      <c r="D141" t="s">
        <v>1533</v>
      </c>
      <c r="N141" s="5">
        <f>IF(B141="","",MATCH(B141,'Lista - Placas'!$2:$2,0)-1)</f>
        <v>13</v>
      </c>
      <c r="O141" s="5">
        <f>IF(D141="","",MATCH(D141,'Lista - Placas'!$N:$N,0)-2)</f>
        <v>24</v>
      </c>
    </row>
    <row r="142" spans="1:15" x14ac:dyDescent="0.35">
      <c r="A142" t="s">
        <v>190</v>
      </c>
      <c r="B142" t="s">
        <v>190</v>
      </c>
      <c r="C142" s="22" t="str">
        <f t="shared" si="2"/>
        <v>BYD 390-MBK-36</v>
      </c>
      <c r="D142" t="s">
        <v>1547</v>
      </c>
      <c r="N142" s="5">
        <f>IF(B142="","",MATCH(B142,'Lista - Placas'!$2:$2,0)-1)</f>
        <v>13</v>
      </c>
      <c r="O142" s="5">
        <f>IF(D142="","",MATCH(D142,'Lista - Placas'!$N:$N,0)-2)</f>
        <v>25</v>
      </c>
    </row>
    <row r="143" spans="1:15" x14ac:dyDescent="0.35">
      <c r="A143" t="s">
        <v>190</v>
      </c>
      <c r="B143" t="s">
        <v>190</v>
      </c>
      <c r="C143" s="22" t="str">
        <f t="shared" si="2"/>
        <v>BYD390-M7K-36-5B</v>
      </c>
      <c r="D143" t="s">
        <v>1560</v>
      </c>
      <c r="E143" s="12">
        <v>0.39</v>
      </c>
      <c r="F143" s="12">
        <v>2</v>
      </c>
      <c r="G143" s="12" t="s">
        <v>192</v>
      </c>
      <c r="H143" s="5" t="s">
        <v>193</v>
      </c>
      <c r="I143" s="5" t="s">
        <v>194</v>
      </c>
      <c r="J143" s="5" t="s">
        <v>195</v>
      </c>
      <c r="K143" s="15">
        <v>0.19450000000000001</v>
      </c>
      <c r="L143" s="5" t="s">
        <v>191</v>
      </c>
      <c r="M143" s="12" t="s">
        <v>102</v>
      </c>
      <c r="N143" s="5">
        <f>IF(B143="","",MATCH(B143,'Lista - Placas'!$2:$2,0)-1)</f>
        <v>13</v>
      </c>
      <c r="O143" s="5">
        <f>IF(D143="","",MATCH(D143,'Lista - Placas'!$N:$N,0)-2)</f>
        <v>26</v>
      </c>
    </row>
    <row r="144" spans="1:15" x14ac:dyDescent="0.35">
      <c r="A144" t="s">
        <v>190</v>
      </c>
      <c r="B144" t="s">
        <v>190</v>
      </c>
      <c r="C144" s="22" t="str">
        <f t="shared" si="2"/>
        <v>BYD335-P6K-36-5B</v>
      </c>
      <c r="D144" t="s">
        <v>1572</v>
      </c>
      <c r="N144" s="5">
        <f>IF(B144="","",MATCH(B144,'Lista - Placas'!$2:$2,0)-1)</f>
        <v>13</v>
      </c>
      <c r="O144" s="5">
        <f>IF(D144="","",MATCH(D144,'Lista - Placas'!$N:$N,0)-2)</f>
        <v>27</v>
      </c>
    </row>
    <row r="145" spans="1:15" x14ac:dyDescent="0.35">
      <c r="A145" t="s">
        <v>190</v>
      </c>
      <c r="B145" t="s">
        <v>190</v>
      </c>
      <c r="C145" s="22" t="str">
        <f t="shared" si="2"/>
        <v>P6K-36-SÉRIE-5BB</v>
      </c>
      <c r="D145" t="s">
        <v>1583</v>
      </c>
      <c r="N145" s="5">
        <f>IF(B145="","",MATCH(B145,'Lista - Placas'!$2:$2,0)-1)</f>
        <v>13</v>
      </c>
      <c r="O145" s="5">
        <f>IF(D145="","",MATCH(D145,'Lista - Placas'!$N:$N,0)-2)</f>
        <v>28</v>
      </c>
    </row>
    <row r="146" spans="1:15" x14ac:dyDescent="0.35">
      <c r="A146" t="s">
        <v>190</v>
      </c>
      <c r="B146" t="s">
        <v>190</v>
      </c>
      <c r="C146" s="22" t="str">
        <f t="shared" si="2"/>
        <v>400MIK-36</v>
      </c>
      <c r="D146" t="s">
        <v>1594</v>
      </c>
      <c r="N146" s="5">
        <f>IF(B146="","",MATCH(B146,'Lista - Placas'!$2:$2,0)-1)</f>
        <v>13</v>
      </c>
      <c r="O146" s="5">
        <f>IF(D146="","",MATCH(D146,'Lista - Placas'!$N:$N,0)-2)</f>
        <v>29</v>
      </c>
    </row>
    <row r="147" spans="1:15" x14ac:dyDescent="0.35">
      <c r="A147" t="s">
        <v>190</v>
      </c>
      <c r="B147" t="s">
        <v>190</v>
      </c>
      <c r="C147" s="22" t="str">
        <f t="shared" si="2"/>
        <v>335P6CK-36</v>
      </c>
      <c r="D147" t="s">
        <v>1605</v>
      </c>
      <c r="N147" s="5">
        <f>IF(B147="","",MATCH(B147,'Lista - Placas'!$2:$2,0)-1)</f>
        <v>13</v>
      </c>
      <c r="O147" s="5">
        <f>IF(D147="","",MATCH(D147,'Lista - Placas'!$N:$N,0)-2)</f>
        <v>30</v>
      </c>
    </row>
    <row r="148" spans="1:15" x14ac:dyDescent="0.35">
      <c r="A148" t="s">
        <v>190</v>
      </c>
      <c r="B148" t="s">
        <v>190</v>
      </c>
      <c r="C148" s="22" t="str">
        <f t="shared" si="2"/>
        <v>270P6C-30</v>
      </c>
      <c r="D148" t="s">
        <v>1615</v>
      </c>
      <c r="N148" s="5">
        <f>IF(B148="","",MATCH(B148,'Lista - Placas'!$2:$2,0)-1)</f>
        <v>13</v>
      </c>
      <c r="O148" s="5">
        <f>IF(D148="","",MATCH(D148,'Lista - Placas'!$N:$N,0)-2)</f>
        <v>31</v>
      </c>
    </row>
    <row r="149" spans="1:15" x14ac:dyDescent="0.35">
      <c r="A149" t="s">
        <v>190</v>
      </c>
      <c r="B149" t="s">
        <v>190</v>
      </c>
      <c r="C149" s="22" t="str">
        <f t="shared" si="2"/>
        <v>PHK-36-SERIE-4BB - 335</v>
      </c>
      <c r="D149" t="s">
        <v>1624</v>
      </c>
      <c r="N149" s="5">
        <f>IF(B149="","",MATCH(B149,'Lista - Placas'!$2:$2,0)-1)</f>
        <v>13</v>
      </c>
      <c r="O149" s="5">
        <f>IF(D149="","",MATCH(D149,'Lista - Placas'!$N:$N,0)-2)</f>
        <v>32</v>
      </c>
    </row>
    <row r="150" spans="1:15" x14ac:dyDescent="0.35">
      <c r="A150" t="s">
        <v>190</v>
      </c>
      <c r="B150" t="s">
        <v>190</v>
      </c>
      <c r="C150" s="22" t="str">
        <f t="shared" si="2"/>
        <v>400M7K-36</v>
      </c>
      <c r="D150" t="s">
        <v>1633</v>
      </c>
      <c r="N150" s="5">
        <f>IF(B150="","",MATCH(B150,'Lista - Placas'!$2:$2,0)-1)</f>
        <v>13</v>
      </c>
      <c r="O150" s="5">
        <f>IF(D150="","",MATCH(D150,'Lista - Placas'!$N:$N,0)-2)</f>
        <v>33</v>
      </c>
    </row>
    <row r="151" spans="1:15" x14ac:dyDescent="0.35">
      <c r="A151" t="s">
        <v>190</v>
      </c>
      <c r="B151" t="s">
        <v>190</v>
      </c>
      <c r="C151" s="22" t="str">
        <f t="shared" si="2"/>
        <v>BYD340PIK-36</v>
      </c>
      <c r="D151" t="s">
        <v>1642</v>
      </c>
      <c r="N151" s="5">
        <f>IF(B151="","",MATCH(B151,'Lista - Placas'!$2:$2,0)-1)</f>
        <v>13</v>
      </c>
      <c r="O151" s="5">
        <f>IF(D151="","",MATCH(D151,'Lista - Placas'!$N:$N,0)-2)</f>
        <v>34</v>
      </c>
    </row>
    <row r="152" spans="1:15" x14ac:dyDescent="0.35">
      <c r="A152" t="s">
        <v>190</v>
      </c>
      <c r="B152" t="s">
        <v>190</v>
      </c>
      <c r="C152" s="22" t="str">
        <f t="shared" si="2"/>
        <v>BYD400-MIK-36-5B</v>
      </c>
      <c r="D152" t="s">
        <v>1651</v>
      </c>
      <c r="E152" s="5">
        <v>0.4</v>
      </c>
      <c r="F152" s="12">
        <v>2</v>
      </c>
      <c r="G152" s="12" t="s">
        <v>196</v>
      </c>
      <c r="H152" s="5" t="s">
        <v>197</v>
      </c>
      <c r="I152" s="5" t="s">
        <v>198</v>
      </c>
      <c r="J152" s="5" t="s">
        <v>199</v>
      </c>
      <c r="K152" s="15">
        <v>0.19950000000000001</v>
      </c>
      <c r="L152" s="5" t="s">
        <v>191</v>
      </c>
      <c r="M152" s="12" t="s">
        <v>102</v>
      </c>
      <c r="N152" s="5">
        <f>IF(B152="","",MATCH(B152,'Lista - Placas'!$2:$2,0)-1)</f>
        <v>13</v>
      </c>
      <c r="O152" s="5">
        <f>IF(D152="","",MATCH(D152,'Lista - Placas'!$N:$N,0)-2)</f>
        <v>35</v>
      </c>
    </row>
    <row r="153" spans="1:15" x14ac:dyDescent="0.35">
      <c r="A153" t="s">
        <v>190</v>
      </c>
      <c r="B153" t="s">
        <v>190</v>
      </c>
      <c r="C153" s="22" t="str">
        <f t="shared" si="2"/>
        <v>340P6K-36</v>
      </c>
      <c r="D153" t="s">
        <v>1659</v>
      </c>
      <c r="N153" s="5">
        <f>IF(B153="","",MATCH(B153,'Lista - Placas'!$2:$2,0)-1)</f>
        <v>13</v>
      </c>
      <c r="O153" s="5">
        <f>IF(D153="","",MATCH(D153,'Lista - Placas'!$N:$N,0)-2)</f>
        <v>36</v>
      </c>
    </row>
    <row r="154" spans="1:15" x14ac:dyDescent="0.35">
      <c r="A154" t="s">
        <v>190</v>
      </c>
      <c r="B154" t="s">
        <v>190</v>
      </c>
      <c r="C154" s="22" t="str">
        <f t="shared" si="2"/>
        <v>BYD400-M7K-36-5B</v>
      </c>
      <c r="D154" t="s">
        <v>1667</v>
      </c>
      <c r="N154" s="5">
        <f>IF(B154="","",MATCH(B154,'Lista - Placas'!$2:$2,0)-1)</f>
        <v>13</v>
      </c>
      <c r="O154" s="5">
        <f>IF(D154="","",MATCH(D154,'Lista - Placas'!$N:$N,0)-2)</f>
        <v>37</v>
      </c>
    </row>
    <row r="155" spans="1:15" x14ac:dyDescent="0.35">
      <c r="A155" t="s">
        <v>190</v>
      </c>
      <c r="B155" t="s">
        <v>190</v>
      </c>
      <c r="C155" s="22" t="str">
        <f t="shared" si="2"/>
        <v xml:space="preserve"> BYD340-P6K-36-5B.</v>
      </c>
      <c r="D155" t="s">
        <v>1674</v>
      </c>
      <c r="N155" s="5">
        <f>IF(B155="","",MATCH(B155,'Lista - Placas'!$2:$2,0)-1)</f>
        <v>13</v>
      </c>
      <c r="O155" s="5">
        <f>IF(D155="","",MATCH(D155,'Lista - Placas'!$N:$N,0)-2)</f>
        <v>38</v>
      </c>
    </row>
    <row r="156" spans="1:15" x14ac:dyDescent="0.35">
      <c r="A156" t="s">
        <v>190</v>
      </c>
      <c r="B156" t="s">
        <v>190</v>
      </c>
      <c r="C156" s="22" t="str">
        <f t="shared" si="2"/>
        <v>BYD400MIK-36</v>
      </c>
      <c r="D156" t="s">
        <v>1681</v>
      </c>
      <c r="N156" s="5">
        <f>IF(B156="","",MATCH(B156,'Lista - Placas'!$2:$2,0)-1)</f>
        <v>13</v>
      </c>
      <c r="O156" s="5">
        <f>IF(D156="","",MATCH(D156,'Lista - Placas'!$N:$N,0)-2)</f>
        <v>39</v>
      </c>
    </row>
    <row r="157" spans="1:15" x14ac:dyDescent="0.35">
      <c r="A157" t="s">
        <v>190</v>
      </c>
      <c r="B157" t="s">
        <v>190</v>
      </c>
      <c r="C157" s="22" t="str">
        <f t="shared" si="2"/>
        <v>PIK-36-SERIES-5BB - 340W</v>
      </c>
      <c r="D157" t="s">
        <v>1688</v>
      </c>
      <c r="N157" s="5">
        <f>IF(B157="","",MATCH(B157,'Lista - Placas'!$2:$2,0)-1)</f>
        <v>13</v>
      </c>
      <c r="O157" s="5">
        <f>IF(D157="","",MATCH(D157,'Lista - Placas'!$N:$N,0)-2)</f>
        <v>40</v>
      </c>
    </row>
    <row r="158" spans="1:15" x14ac:dyDescent="0.35">
      <c r="A158" t="s">
        <v>190</v>
      </c>
      <c r="B158" t="s">
        <v>190</v>
      </c>
      <c r="C158" s="22" t="str">
        <f t="shared" si="2"/>
        <v>M7K-36-SÉRIE-5BB - 390</v>
      </c>
      <c r="D158" t="s">
        <v>1695</v>
      </c>
      <c r="N158" s="5">
        <f>IF(B158="","",MATCH(B158,'Lista - Placas'!$2:$2,0)-1)</f>
        <v>13</v>
      </c>
      <c r="O158" s="5">
        <f>IF(D158="","",MATCH(D158,'Lista - Placas'!$N:$N,0)-2)</f>
        <v>41</v>
      </c>
    </row>
    <row r="159" spans="1:15" x14ac:dyDescent="0.35">
      <c r="A159" t="s">
        <v>190</v>
      </c>
      <c r="B159" t="s">
        <v>190</v>
      </c>
      <c r="C159" s="22" t="str">
        <f t="shared" si="2"/>
        <v>340P6C-36</v>
      </c>
      <c r="D159" t="s">
        <v>1702</v>
      </c>
      <c r="N159" s="5">
        <f>IF(B159="","",MATCH(B159,'Lista - Placas'!$2:$2,0)-1)</f>
        <v>13</v>
      </c>
      <c r="O159" s="5">
        <f>IF(D159="","",MATCH(D159,'Lista - Placas'!$N:$N,0)-2)</f>
        <v>42</v>
      </c>
    </row>
    <row r="160" spans="1:15" x14ac:dyDescent="0.35">
      <c r="A160" t="s">
        <v>190</v>
      </c>
      <c r="B160" t="s">
        <v>190</v>
      </c>
      <c r="C160" s="22" t="str">
        <f t="shared" si="2"/>
        <v>BYD340-PIK-36</v>
      </c>
      <c r="D160" t="s">
        <v>1709</v>
      </c>
      <c r="N160" s="5">
        <f>IF(B160="","",MATCH(B160,'Lista - Placas'!$2:$2,0)-1)</f>
        <v>13</v>
      </c>
      <c r="O160" s="5">
        <f>IF(D160="","",MATCH(D160,'Lista - Placas'!$N:$N,0)-2)</f>
        <v>43</v>
      </c>
    </row>
    <row r="161" spans="1:15" x14ac:dyDescent="0.35">
      <c r="A161" t="s">
        <v>190</v>
      </c>
      <c r="B161" t="s">
        <v>190</v>
      </c>
      <c r="C161" s="22" t="str">
        <f t="shared" si="2"/>
        <v>BYD400M7K-36</v>
      </c>
      <c r="D161" t="s">
        <v>1716</v>
      </c>
      <c r="N161" s="5">
        <f>IF(B161="","",MATCH(B161,'Lista - Placas'!$2:$2,0)-1)</f>
        <v>13</v>
      </c>
      <c r="O161" s="5">
        <f>IF(D161="","",MATCH(D161,'Lista - Placas'!$N:$N,0)-2)</f>
        <v>44</v>
      </c>
    </row>
    <row r="162" spans="1:15" x14ac:dyDescent="0.35">
      <c r="A162" t="s">
        <v>190</v>
      </c>
      <c r="B162" t="s">
        <v>190</v>
      </c>
      <c r="C162" s="22" t="str">
        <f t="shared" si="2"/>
        <v>BYD370MIK-33</v>
      </c>
      <c r="D162" t="s">
        <v>1723</v>
      </c>
      <c r="E162" s="5">
        <v>0.37</v>
      </c>
      <c r="F162" s="5">
        <v>1.86</v>
      </c>
      <c r="G162" t="s">
        <v>3800</v>
      </c>
      <c r="H162" t="s">
        <v>3802</v>
      </c>
      <c r="I162" t="s">
        <v>3803</v>
      </c>
      <c r="J162" t="s">
        <v>3801</v>
      </c>
      <c r="K162" t="s">
        <v>3799</v>
      </c>
      <c r="L162" s="22" t="s">
        <v>191</v>
      </c>
      <c r="M162" s="12" t="s">
        <v>102</v>
      </c>
      <c r="N162" s="5">
        <f>IF(B162="","",MATCH(B162,'Lista - Placas'!$2:$2,0)-1)</f>
        <v>13</v>
      </c>
      <c r="O162" s="5">
        <f>IF(D162="","",MATCH(D162,'Lista - Placas'!$N:$N,0)-2)</f>
        <v>45</v>
      </c>
    </row>
    <row r="163" spans="1:15" x14ac:dyDescent="0.35">
      <c r="A163" t="s">
        <v>190</v>
      </c>
      <c r="B163" t="s">
        <v>190</v>
      </c>
      <c r="C163" s="22" t="str">
        <f t="shared" si="2"/>
        <v>345PHK - 36</v>
      </c>
      <c r="D163" t="s">
        <v>1730</v>
      </c>
      <c r="N163" s="5">
        <f>IF(B163="","",MATCH(B163,'Lista - Placas'!$2:$2,0)-1)</f>
        <v>13</v>
      </c>
      <c r="O163" s="5">
        <f>IF(D163="","",MATCH(D163,'Lista - Placas'!$N:$N,0)-2)</f>
        <v>46</v>
      </c>
    </row>
    <row r="164" spans="1:15" x14ac:dyDescent="0.35">
      <c r="A164" t="s">
        <v>190</v>
      </c>
      <c r="B164" t="s">
        <v>190</v>
      </c>
      <c r="C164" s="22" t="str">
        <f t="shared" si="2"/>
        <v>370-MBK-36</v>
      </c>
      <c r="D164" t="s">
        <v>1737</v>
      </c>
      <c r="N164" s="5">
        <f>IF(B164="","",MATCH(B164,'Lista - Placas'!$2:$2,0)-1)</f>
        <v>13</v>
      </c>
      <c r="O164" s="5">
        <f>IF(D164="","",MATCH(D164,'Lista - Placas'!$N:$N,0)-2)</f>
        <v>47</v>
      </c>
    </row>
    <row r="165" spans="1:15" x14ac:dyDescent="0.35">
      <c r="A165" t="s">
        <v>190</v>
      </c>
      <c r="B165" t="s">
        <v>190</v>
      </c>
      <c r="C165" s="22" t="str">
        <f t="shared" si="2"/>
        <v>BYD 360-MBK-36</v>
      </c>
      <c r="D165" t="s">
        <v>1744</v>
      </c>
      <c r="N165" s="5">
        <f>IF(B165="","",MATCH(B165,'Lista - Placas'!$2:$2,0)-1)</f>
        <v>13</v>
      </c>
      <c r="O165" s="5">
        <f>IF(D165="","",MATCH(D165,'Lista - Placas'!$N:$N,0)-2)</f>
        <v>48</v>
      </c>
    </row>
    <row r="166" spans="1:15" x14ac:dyDescent="0.35">
      <c r="A166" t="s">
        <v>190</v>
      </c>
      <c r="B166" t="s">
        <v>190</v>
      </c>
      <c r="C166" s="22" t="str">
        <f t="shared" si="2"/>
        <v>BYD445MIK-39</v>
      </c>
      <c r="D166" t="s">
        <v>1751</v>
      </c>
      <c r="N166" s="5">
        <f>IF(B166="","",MATCH(B166,'Lista - Placas'!$2:$2,0)-1)</f>
        <v>13</v>
      </c>
      <c r="O166" s="5">
        <f>IF(D166="","",MATCH(D166,'Lista - Placas'!$N:$N,0)-2)</f>
        <v>49</v>
      </c>
    </row>
    <row r="167" spans="1:15" x14ac:dyDescent="0.35">
      <c r="A167" t="s">
        <v>771</v>
      </c>
      <c r="B167" t="s">
        <v>771</v>
      </c>
      <c r="C167" s="22" t="str">
        <f t="shared" si="2"/>
        <v>CS6U-330P</v>
      </c>
      <c r="D167" t="s">
        <v>816</v>
      </c>
      <c r="N167" s="5">
        <f>IF(B167="","",MATCH(B167,'Lista - Placas'!$2:$2,0)-1)</f>
        <v>14</v>
      </c>
      <c r="O167" s="5">
        <f>IF(D167="","",MATCH(D167,'Lista - Placas'!$O:$O,0)-2)</f>
        <v>1</v>
      </c>
    </row>
    <row r="168" spans="1:15" x14ac:dyDescent="0.35">
      <c r="A168" t="s">
        <v>771</v>
      </c>
      <c r="B168" t="s">
        <v>771</v>
      </c>
      <c r="C168" s="22" t="str">
        <f t="shared" si="2"/>
        <v>CS6U-320P</v>
      </c>
      <c r="D168" t="s">
        <v>894</v>
      </c>
      <c r="E168" s="5">
        <v>0.32</v>
      </c>
      <c r="F168" s="5">
        <v>1.92</v>
      </c>
      <c r="G168" s="5" t="s">
        <v>3868</v>
      </c>
      <c r="H168" s="5" t="s">
        <v>3870</v>
      </c>
      <c r="I168" s="5" t="s">
        <v>3869</v>
      </c>
      <c r="J168" s="5" t="s">
        <v>3867</v>
      </c>
      <c r="K168" s="26">
        <v>0.1646</v>
      </c>
      <c r="L168" s="5">
        <v>0.03</v>
      </c>
      <c r="M168" s="12" t="s">
        <v>81</v>
      </c>
      <c r="N168" s="5">
        <f>IF(B168="","",MATCH(B168,'Lista - Placas'!$2:$2,0)-1)</f>
        <v>14</v>
      </c>
      <c r="O168" s="5">
        <f>IF(D168="","",MATCH(D168,'Lista - Placas'!$O:$O,0)-2)</f>
        <v>2</v>
      </c>
    </row>
    <row r="169" spans="1:15" x14ac:dyDescent="0.35">
      <c r="A169" t="s">
        <v>771</v>
      </c>
      <c r="B169" t="s">
        <v>771</v>
      </c>
      <c r="C169" s="22" t="str">
        <f t="shared" si="2"/>
        <v>CS6U-325P</v>
      </c>
      <c r="D169" t="s">
        <v>952</v>
      </c>
      <c r="N169" s="5">
        <f>IF(B169="","",MATCH(B169,'Lista - Placas'!$2:$2,0)-1)</f>
        <v>14</v>
      </c>
      <c r="O169" s="5">
        <f>IF(D169="","",MATCH(D169,'Lista - Placas'!$O:$O,0)-2)</f>
        <v>3</v>
      </c>
    </row>
    <row r="170" spans="1:15" x14ac:dyDescent="0.35">
      <c r="A170" t="s">
        <v>771</v>
      </c>
      <c r="B170" t="s">
        <v>771</v>
      </c>
      <c r="C170" s="22" t="str">
        <f t="shared" si="2"/>
        <v>CS6U-315P</v>
      </c>
      <c r="D170" t="s">
        <v>1004</v>
      </c>
      <c r="N170" s="5">
        <f>IF(B170="","",MATCH(B170,'Lista - Placas'!$2:$2,0)-1)</f>
        <v>14</v>
      </c>
      <c r="O170" s="5">
        <f>IF(D170="","",MATCH(D170,'Lista - Placas'!$O:$O,0)-2)</f>
        <v>4</v>
      </c>
    </row>
    <row r="171" spans="1:15" x14ac:dyDescent="0.35">
      <c r="A171" t="s">
        <v>771</v>
      </c>
      <c r="B171" t="s">
        <v>771</v>
      </c>
      <c r="C171" s="22" t="str">
        <f t="shared" si="2"/>
        <v>CS3U-335P</v>
      </c>
      <c r="D171" t="s">
        <v>1050</v>
      </c>
      <c r="E171" s="12">
        <v>0.33500000000000002</v>
      </c>
      <c r="F171" s="12">
        <v>1.98</v>
      </c>
      <c r="G171" s="12" t="s">
        <v>235</v>
      </c>
      <c r="H171" s="12" t="s">
        <v>236</v>
      </c>
      <c r="I171" s="12" t="s">
        <v>237</v>
      </c>
      <c r="J171" s="12" t="s">
        <v>238</v>
      </c>
      <c r="K171" s="12" t="s">
        <v>239</v>
      </c>
      <c r="L171" s="12">
        <v>0.03</v>
      </c>
      <c r="M171" s="12" t="s">
        <v>81</v>
      </c>
      <c r="N171" s="5">
        <f>IF(B171="","",MATCH(B171,'Lista - Placas'!$2:$2,0)-1)</f>
        <v>14</v>
      </c>
      <c r="O171" s="5">
        <f>IF(D171="","",MATCH(D171,'Lista - Placas'!$O:$O,0)-2)</f>
        <v>5</v>
      </c>
    </row>
    <row r="172" spans="1:15" x14ac:dyDescent="0.35">
      <c r="A172" t="s">
        <v>771</v>
      </c>
      <c r="B172" t="s">
        <v>771</v>
      </c>
      <c r="C172" s="22" t="str">
        <f t="shared" si="2"/>
        <v>CS3U-340P</v>
      </c>
      <c r="D172" t="s">
        <v>1094</v>
      </c>
      <c r="E172" s="12">
        <v>0.34</v>
      </c>
      <c r="F172" s="12">
        <v>1.98</v>
      </c>
      <c r="G172" s="12" t="s">
        <v>240</v>
      </c>
      <c r="H172" s="12" t="s">
        <v>241</v>
      </c>
      <c r="I172" s="12" t="s">
        <v>242</v>
      </c>
      <c r="J172" s="12" t="s">
        <v>79</v>
      </c>
      <c r="K172" s="12" t="s">
        <v>243</v>
      </c>
      <c r="L172" s="12">
        <v>0.03</v>
      </c>
      <c r="M172" s="12" t="s">
        <v>81</v>
      </c>
      <c r="N172" s="5">
        <f>IF(B172="","",MATCH(B172,'Lista - Placas'!$2:$2,0)-1)</f>
        <v>14</v>
      </c>
      <c r="O172" s="5">
        <f>IF(D172="","",MATCH(D172,'Lista - Placas'!$O:$O,0)-2)</f>
        <v>6</v>
      </c>
    </row>
    <row r="173" spans="1:15" x14ac:dyDescent="0.35">
      <c r="A173" t="s">
        <v>771</v>
      </c>
      <c r="B173" t="s">
        <v>771</v>
      </c>
      <c r="C173" s="22" t="str">
        <f t="shared" si="2"/>
        <v>CS3U-345P</v>
      </c>
      <c r="D173" t="s">
        <v>1134</v>
      </c>
      <c r="E173" s="12">
        <v>0.34499999999999997</v>
      </c>
      <c r="F173" s="12">
        <v>1.98</v>
      </c>
      <c r="G173" s="12" t="s">
        <v>244</v>
      </c>
      <c r="H173" s="12" t="s">
        <v>245</v>
      </c>
      <c r="I173" s="12" t="s">
        <v>246</v>
      </c>
      <c r="J173" s="12" t="s">
        <v>85</v>
      </c>
      <c r="K173" s="12" t="s">
        <v>247</v>
      </c>
      <c r="L173" s="12">
        <v>0.03</v>
      </c>
      <c r="M173" s="12" t="s">
        <v>81</v>
      </c>
      <c r="N173" s="5">
        <f>IF(B173="","",MATCH(B173,'Lista - Placas'!$2:$2,0)-1)</f>
        <v>14</v>
      </c>
      <c r="O173" s="5">
        <f>IF(D173="","",MATCH(D173,'Lista - Placas'!$O:$O,0)-2)</f>
        <v>7</v>
      </c>
    </row>
    <row r="174" spans="1:15" x14ac:dyDescent="0.35">
      <c r="A174" t="s">
        <v>771</v>
      </c>
      <c r="B174" t="s">
        <v>771</v>
      </c>
      <c r="C174" s="22" t="str">
        <f t="shared" si="2"/>
        <v>CS3U-345P</v>
      </c>
      <c r="D174" t="s">
        <v>1170</v>
      </c>
      <c r="N174" s="5">
        <f>IF(B174="","",MATCH(B174,'Lista - Placas'!$2:$2,0)-1)</f>
        <v>14</v>
      </c>
      <c r="O174" s="5">
        <f>IF(D174="","",MATCH(D174,'Lista - Placas'!$O:$O,0)-2)</f>
        <v>8</v>
      </c>
    </row>
    <row r="175" spans="1:15" x14ac:dyDescent="0.35">
      <c r="A175" t="s">
        <v>771</v>
      </c>
      <c r="B175" t="s">
        <v>771</v>
      </c>
      <c r="C175" s="22" t="str">
        <f t="shared" si="2"/>
        <v>CS3U-350P</v>
      </c>
      <c r="D175" t="s">
        <v>1204</v>
      </c>
      <c r="E175" s="5">
        <v>0.35</v>
      </c>
      <c r="F175" s="5">
        <v>1.83</v>
      </c>
      <c r="G175" t="s">
        <v>3816</v>
      </c>
      <c r="H175" t="s">
        <v>3815</v>
      </c>
      <c r="I175" t="s">
        <v>3817</v>
      </c>
      <c r="J175" t="s">
        <v>3814</v>
      </c>
      <c r="K175" t="s">
        <v>3818</v>
      </c>
      <c r="L175" s="22" t="s">
        <v>191</v>
      </c>
      <c r="M175" s="12" t="s">
        <v>81</v>
      </c>
      <c r="N175" s="5">
        <f>IF(B175="","",MATCH(B175,'Lista - Placas'!$2:$2,0)-1)</f>
        <v>14</v>
      </c>
      <c r="O175" s="5">
        <f>IF(D175="","",MATCH(D175,'Lista - Placas'!$O:$O,0)-2)</f>
        <v>9</v>
      </c>
    </row>
    <row r="176" spans="1:15" x14ac:dyDescent="0.35">
      <c r="A176" t="s">
        <v>771</v>
      </c>
      <c r="B176" t="s">
        <v>771</v>
      </c>
      <c r="C176" s="22" t="str">
        <f t="shared" si="2"/>
        <v>CS3U-355P</v>
      </c>
      <c r="D176" t="s">
        <v>1236</v>
      </c>
      <c r="N176" s="5">
        <f>IF(B176="","",MATCH(B176,'Lista - Placas'!$2:$2,0)-1)</f>
        <v>14</v>
      </c>
      <c r="O176" s="5">
        <f>IF(D176="","",MATCH(D176,'Lista - Placas'!$O:$O,0)-2)</f>
        <v>10</v>
      </c>
    </row>
    <row r="177" spans="1:15" x14ac:dyDescent="0.35">
      <c r="A177" t="s">
        <v>771</v>
      </c>
      <c r="B177" t="s">
        <v>771</v>
      </c>
      <c r="C177" s="22" t="str">
        <f t="shared" si="2"/>
        <v>CS3U-360P</v>
      </c>
      <c r="D177" t="s">
        <v>1264</v>
      </c>
      <c r="E177" s="5">
        <v>0.36</v>
      </c>
      <c r="F177" s="12">
        <v>1.98</v>
      </c>
      <c r="G177" t="s">
        <v>3872</v>
      </c>
      <c r="H177" s="5" t="s">
        <v>3874</v>
      </c>
      <c r="I177" s="5" t="s">
        <v>3873</v>
      </c>
      <c r="J177" s="5" t="s">
        <v>3871</v>
      </c>
      <c r="K177" t="s">
        <v>3875</v>
      </c>
      <c r="L177" s="22" t="s">
        <v>191</v>
      </c>
      <c r="M177" s="12" t="s">
        <v>81</v>
      </c>
      <c r="N177" s="5">
        <f>IF(B177="","",MATCH(B177,'Lista - Placas'!$2:$2,0)-1)</f>
        <v>14</v>
      </c>
      <c r="O177" s="5">
        <f>IF(D177="","",MATCH(D177,'Lista - Placas'!$O:$O,0)-2)</f>
        <v>11</v>
      </c>
    </row>
    <row r="178" spans="1:15" x14ac:dyDescent="0.35">
      <c r="A178" t="s">
        <v>771</v>
      </c>
      <c r="B178" t="s">
        <v>771</v>
      </c>
      <c r="C178" s="22" t="str">
        <f t="shared" si="2"/>
        <v>CS3U-365MS</v>
      </c>
      <c r="D178" t="s">
        <v>1292</v>
      </c>
      <c r="N178" s="5">
        <f>IF(B178="","",MATCH(B178,'Lista - Placas'!$2:$2,0)-1)</f>
        <v>14</v>
      </c>
      <c r="O178" s="5">
        <f>IF(D178="","",MATCH(D178,'Lista - Placas'!$O:$O,0)-2)</f>
        <v>12</v>
      </c>
    </row>
    <row r="179" spans="1:15" x14ac:dyDescent="0.35">
      <c r="A179" t="s">
        <v>771</v>
      </c>
      <c r="B179" t="s">
        <v>771</v>
      </c>
      <c r="C179" s="22" t="str">
        <f t="shared" si="2"/>
        <v>CS3U-370MS</v>
      </c>
      <c r="D179" t="s">
        <v>1320</v>
      </c>
      <c r="N179" s="5">
        <f>IF(B179="","",MATCH(B179,'Lista - Placas'!$2:$2,0)-1)</f>
        <v>14</v>
      </c>
      <c r="O179" s="5">
        <f>IF(D179="","",MATCH(D179,'Lista - Placas'!$O:$O,0)-2)</f>
        <v>13</v>
      </c>
    </row>
    <row r="180" spans="1:15" x14ac:dyDescent="0.35">
      <c r="A180" t="s">
        <v>771</v>
      </c>
      <c r="B180" t="s">
        <v>771</v>
      </c>
      <c r="C180" s="22" t="str">
        <f t="shared" si="2"/>
        <v>CS3U-375MS</v>
      </c>
      <c r="D180" t="s">
        <v>1347</v>
      </c>
      <c r="N180" s="5">
        <f>IF(B180="","",MATCH(B180,'Lista - Placas'!$2:$2,0)-1)</f>
        <v>14</v>
      </c>
      <c r="O180" s="5">
        <f>IF(D180="","",MATCH(D180,'Lista - Placas'!$O:$O,0)-2)</f>
        <v>14</v>
      </c>
    </row>
    <row r="181" spans="1:15" x14ac:dyDescent="0.35">
      <c r="A181" t="s">
        <v>771</v>
      </c>
      <c r="B181" t="s">
        <v>771</v>
      </c>
      <c r="C181" s="22" t="str">
        <f t="shared" si="2"/>
        <v>CS3U-380MS</v>
      </c>
      <c r="D181" t="s">
        <v>1373</v>
      </c>
      <c r="N181" s="5">
        <f>IF(B181="","",MATCH(B181,'Lista - Placas'!$2:$2,0)-1)</f>
        <v>14</v>
      </c>
      <c r="O181" s="5">
        <f>IF(D181="","",MATCH(D181,'Lista - Placas'!$O:$O,0)-2)</f>
        <v>15</v>
      </c>
    </row>
    <row r="182" spans="1:15" x14ac:dyDescent="0.35">
      <c r="A182" t="s">
        <v>771</v>
      </c>
      <c r="B182" t="s">
        <v>771</v>
      </c>
      <c r="C182" s="22" t="str">
        <f t="shared" si="2"/>
        <v>CS6K-260P</v>
      </c>
      <c r="D182" t="s">
        <v>1397</v>
      </c>
      <c r="N182" s="5">
        <f>IF(B182="","",MATCH(B182,'Lista - Placas'!$2:$2,0)-1)</f>
        <v>14</v>
      </c>
      <c r="O182" s="5">
        <f>IF(D182="","",MATCH(D182,'Lista - Placas'!$O:$O,0)-2)</f>
        <v>16</v>
      </c>
    </row>
    <row r="183" spans="1:15" x14ac:dyDescent="0.35">
      <c r="A183" t="s">
        <v>771</v>
      </c>
      <c r="B183" t="s">
        <v>771</v>
      </c>
      <c r="C183" s="22" t="str">
        <f t="shared" si="2"/>
        <v>CS6K-265P</v>
      </c>
      <c r="D183" t="s">
        <v>1419</v>
      </c>
      <c r="N183" s="5">
        <f>IF(B183="","",MATCH(B183,'Lista - Placas'!$2:$2,0)-1)</f>
        <v>14</v>
      </c>
      <c r="O183" s="5">
        <f>IF(D183="","",MATCH(D183,'Lista - Placas'!$O:$O,0)-2)</f>
        <v>17</v>
      </c>
    </row>
    <row r="184" spans="1:15" x14ac:dyDescent="0.35">
      <c r="A184" t="s">
        <v>771</v>
      </c>
      <c r="B184" t="s">
        <v>771</v>
      </c>
      <c r="C184" s="22" t="str">
        <f t="shared" si="2"/>
        <v>CS6K-270P</v>
      </c>
      <c r="D184" t="s">
        <v>1440</v>
      </c>
      <c r="N184" s="5">
        <f>IF(B184="","",MATCH(B184,'Lista - Placas'!$2:$2,0)-1)</f>
        <v>14</v>
      </c>
      <c r="O184" s="5">
        <f>IF(D184="","",MATCH(D184,'Lista - Placas'!$O:$O,0)-2)</f>
        <v>18</v>
      </c>
    </row>
    <row r="185" spans="1:15" x14ac:dyDescent="0.35">
      <c r="A185" t="s">
        <v>771</v>
      </c>
      <c r="B185" t="s">
        <v>771</v>
      </c>
      <c r="C185" s="22" t="str">
        <f t="shared" si="2"/>
        <v>CS6K-250P</v>
      </c>
      <c r="D185" t="s">
        <v>1458</v>
      </c>
      <c r="N185" s="5">
        <f>IF(B185="","",MATCH(B185,'Lista - Placas'!$2:$2,0)-1)</f>
        <v>14</v>
      </c>
      <c r="O185" s="5">
        <f>IF(D185="","",MATCH(D185,'Lista - Placas'!$O:$O,0)-2)</f>
        <v>19</v>
      </c>
    </row>
    <row r="186" spans="1:15" x14ac:dyDescent="0.35">
      <c r="A186" t="s">
        <v>771</v>
      </c>
      <c r="B186" t="s">
        <v>771</v>
      </c>
      <c r="C186" s="22" t="str">
        <f t="shared" si="2"/>
        <v>CS6K-275P</v>
      </c>
      <c r="D186" t="s">
        <v>1476</v>
      </c>
      <c r="N186" s="5">
        <f>IF(B186="","",MATCH(B186,'Lista - Placas'!$2:$2,0)-1)</f>
        <v>14</v>
      </c>
      <c r="O186" s="5">
        <f>IF(D186="","",MATCH(D186,'Lista - Placas'!$O:$O,0)-2)</f>
        <v>20</v>
      </c>
    </row>
    <row r="187" spans="1:15" x14ac:dyDescent="0.35">
      <c r="A187" t="s">
        <v>771</v>
      </c>
      <c r="B187" t="s">
        <v>771</v>
      </c>
      <c r="C187" s="22" t="str">
        <f t="shared" si="2"/>
        <v>HIKU CS3W 395</v>
      </c>
      <c r="D187" t="s">
        <v>1492</v>
      </c>
      <c r="N187" s="5">
        <f>IF(B187="","",MATCH(B187,'Lista - Placas'!$2:$2,0)-1)</f>
        <v>14</v>
      </c>
      <c r="O187" s="5">
        <f>IF(D187="","",MATCH(D187,'Lista - Placas'!$O:$O,0)-2)</f>
        <v>21</v>
      </c>
    </row>
    <row r="188" spans="1:15" x14ac:dyDescent="0.35">
      <c r="A188" t="s">
        <v>771</v>
      </c>
      <c r="B188" t="s">
        <v>771</v>
      </c>
      <c r="C188" s="22" t="str">
        <f t="shared" si="2"/>
        <v>CS3U-370P</v>
      </c>
      <c r="D188" t="s">
        <v>1506</v>
      </c>
      <c r="N188" s="5">
        <f>IF(B188="","",MATCH(B188,'Lista - Placas'!$2:$2,0)-1)</f>
        <v>14</v>
      </c>
      <c r="O188" s="5">
        <f>IF(D188="","",MATCH(D188,'Lista - Placas'!$O:$O,0)-2)</f>
        <v>22</v>
      </c>
    </row>
    <row r="189" spans="1:15" x14ac:dyDescent="0.35">
      <c r="A189" t="s">
        <v>771</v>
      </c>
      <c r="B189" t="s">
        <v>771</v>
      </c>
      <c r="C189" s="22" t="str">
        <f t="shared" si="2"/>
        <v>290MS</v>
      </c>
      <c r="D189" t="s">
        <v>1520</v>
      </c>
      <c r="N189" s="5">
        <f>IF(B189="","",MATCH(B189,'Lista - Placas'!$2:$2,0)-1)</f>
        <v>14</v>
      </c>
      <c r="O189" s="5">
        <f>IF(D189="","",MATCH(D189,'Lista - Placas'!$O:$O,0)-2)</f>
        <v>23</v>
      </c>
    </row>
    <row r="190" spans="1:15" x14ac:dyDescent="0.35">
      <c r="A190" t="s">
        <v>771</v>
      </c>
      <c r="B190" t="s">
        <v>771</v>
      </c>
      <c r="C190" s="22" t="str">
        <f t="shared" si="2"/>
        <v>295MS</v>
      </c>
      <c r="D190" t="s">
        <v>1534</v>
      </c>
      <c r="N190" s="5">
        <f>IF(B190="","",MATCH(B190,'Lista - Placas'!$2:$2,0)-1)</f>
        <v>14</v>
      </c>
      <c r="O190" s="5">
        <f>IF(D190="","",MATCH(D190,'Lista - Placas'!$O:$O,0)-2)</f>
        <v>24</v>
      </c>
    </row>
    <row r="191" spans="1:15" x14ac:dyDescent="0.35">
      <c r="A191" t="s">
        <v>771</v>
      </c>
      <c r="B191" t="s">
        <v>771</v>
      </c>
      <c r="C191" s="22" t="str">
        <f t="shared" si="2"/>
        <v>300MS</v>
      </c>
      <c r="D191" t="s">
        <v>1548</v>
      </c>
      <c r="N191" s="5">
        <f>IF(B191="","",MATCH(B191,'Lista - Placas'!$2:$2,0)-1)</f>
        <v>14</v>
      </c>
      <c r="O191" s="5">
        <f>IF(D191="","",MATCH(D191,'Lista - Placas'!$O:$O,0)-2)</f>
        <v>25</v>
      </c>
    </row>
    <row r="192" spans="1:15" x14ac:dyDescent="0.35">
      <c r="A192" t="s">
        <v>771</v>
      </c>
      <c r="B192" t="s">
        <v>771</v>
      </c>
      <c r="C192" s="22" t="str">
        <f t="shared" si="2"/>
        <v>CS3W-395P</v>
      </c>
      <c r="D192" t="s">
        <v>1561</v>
      </c>
      <c r="N192" s="5">
        <f>IF(B192="","",MATCH(B192,'Lista - Placas'!$2:$2,0)-1)</f>
        <v>14</v>
      </c>
      <c r="O192" s="5">
        <f>IF(D192="","",MATCH(D192,'Lista - Placas'!$O:$O,0)-2)</f>
        <v>26</v>
      </c>
    </row>
    <row r="193" spans="1:15" x14ac:dyDescent="0.35">
      <c r="A193" t="s">
        <v>771</v>
      </c>
      <c r="B193" t="s">
        <v>771</v>
      </c>
      <c r="C193" s="22" t="str">
        <f t="shared" si="2"/>
        <v>CS3W-400P</v>
      </c>
      <c r="D193" t="s">
        <v>1573</v>
      </c>
      <c r="N193" s="5">
        <f>IF(B193="","",MATCH(B193,'Lista - Placas'!$2:$2,0)-1)</f>
        <v>14</v>
      </c>
      <c r="O193" s="5">
        <f>IF(D193="","",MATCH(D193,'Lista - Placas'!$O:$O,0)-2)</f>
        <v>27</v>
      </c>
    </row>
    <row r="194" spans="1:15" x14ac:dyDescent="0.35">
      <c r="A194" t="s">
        <v>771</v>
      </c>
      <c r="B194" t="s">
        <v>771</v>
      </c>
      <c r="C194" s="22" t="str">
        <f t="shared" si="2"/>
        <v>CS3W-405P</v>
      </c>
      <c r="D194" t="s">
        <v>1584</v>
      </c>
      <c r="N194" s="5">
        <f>IF(B194="","",MATCH(B194,'Lista - Placas'!$2:$2,0)-1)</f>
        <v>14</v>
      </c>
      <c r="O194" s="5">
        <f>IF(D194="","",MATCH(D194,'Lista - Placas'!$O:$O,0)-2)</f>
        <v>28</v>
      </c>
    </row>
    <row r="195" spans="1:15" x14ac:dyDescent="0.35">
      <c r="A195" t="s">
        <v>771</v>
      </c>
      <c r="B195" t="s">
        <v>771</v>
      </c>
      <c r="C195" s="22" t="str">
        <f t="shared" ref="C195:C258" si="3">RIGHT(D195,LEN(D195)-(FIND(" - ", D195)+2))</f>
        <v>CS3W-410P</v>
      </c>
      <c r="D195" t="s">
        <v>1595</v>
      </c>
      <c r="N195" s="5">
        <f>IF(B195="","",MATCH(B195,'Lista - Placas'!$2:$2,0)-1)</f>
        <v>14</v>
      </c>
      <c r="O195" s="5">
        <f>IF(D195="","",MATCH(D195,'Lista - Placas'!$O:$O,0)-2)</f>
        <v>29</v>
      </c>
    </row>
    <row r="196" spans="1:15" x14ac:dyDescent="0.35">
      <c r="A196" t="s">
        <v>771</v>
      </c>
      <c r="B196" t="s">
        <v>771</v>
      </c>
      <c r="C196" s="22" t="str">
        <f t="shared" si="3"/>
        <v>CS3U-410P</v>
      </c>
      <c r="D196" t="s">
        <v>1606</v>
      </c>
      <c r="N196" s="5">
        <f>IF(B196="","",MATCH(B196,'Lista - Placas'!$2:$2,0)-1)</f>
        <v>14</v>
      </c>
      <c r="O196" s="5">
        <f>IF(D196="","",MATCH(D196,'Lista - Placas'!$O:$O,0)-2)</f>
        <v>30</v>
      </c>
    </row>
    <row r="197" spans="1:15" x14ac:dyDescent="0.35">
      <c r="A197" t="s">
        <v>771</v>
      </c>
      <c r="B197" t="s">
        <v>771</v>
      </c>
      <c r="C197" s="22" t="str">
        <f t="shared" si="3"/>
        <v>CS3W-415P</v>
      </c>
      <c r="D197" t="s">
        <v>1616</v>
      </c>
      <c r="N197" s="5">
        <f>IF(B197="","",MATCH(B197,'Lista - Placas'!$2:$2,0)-1)</f>
        <v>14</v>
      </c>
      <c r="O197" s="5">
        <f>IF(D197="","",MATCH(D197,'Lista - Placas'!$O:$O,0)-2)</f>
        <v>31</v>
      </c>
    </row>
    <row r="198" spans="1:15" x14ac:dyDescent="0.35">
      <c r="A198" t="s">
        <v>771</v>
      </c>
      <c r="B198" t="s">
        <v>771</v>
      </c>
      <c r="C198" s="22" t="str">
        <f t="shared" si="3"/>
        <v xml:space="preserve">CS6U-335P </v>
      </c>
      <c r="D198" t="s">
        <v>1625</v>
      </c>
      <c r="N198" s="5">
        <f>IF(B198="","",MATCH(B198,'Lista - Placas'!$2:$2,0)-1)</f>
        <v>14</v>
      </c>
      <c r="O198" s="5">
        <f>IF(D198="","",MATCH(D198,'Lista - Placas'!$O:$O,0)-2)</f>
        <v>32</v>
      </c>
    </row>
    <row r="199" spans="1:15" x14ac:dyDescent="0.35">
      <c r="A199" t="s">
        <v>771</v>
      </c>
      <c r="B199" t="s">
        <v>771</v>
      </c>
      <c r="C199" s="22" t="str">
        <f t="shared" si="3"/>
        <v>CS3U-330P</v>
      </c>
      <c r="D199" t="s">
        <v>1634</v>
      </c>
      <c r="E199" s="12">
        <v>0.33</v>
      </c>
      <c r="F199" s="12">
        <v>1.98</v>
      </c>
      <c r="G199" s="12" t="s">
        <v>230</v>
      </c>
      <c r="H199" s="12" t="s">
        <v>231</v>
      </c>
      <c r="I199" s="12" t="s">
        <v>232</v>
      </c>
      <c r="J199" s="12" t="s">
        <v>233</v>
      </c>
      <c r="K199" s="12" t="s">
        <v>234</v>
      </c>
      <c r="L199" s="12">
        <v>0.03</v>
      </c>
      <c r="M199" s="12" t="s">
        <v>81</v>
      </c>
      <c r="N199" s="5">
        <f>IF(B199="","",MATCH(B199,'Lista - Placas'!$2:$2,0)-1)</f>
        <v>14</v>
      </c>
      <c r="O199" s="5">
        <f>IF(D199="","",MATCH(D199,'Lista - Placas'!$O:$O,0)-2)</f>
        <v>33</v>
      </c>
    </row>
    <row r="200" spans="1:15" x14ac:dyDescent="0.35">
      <c r="A200" t="s">
        <v>771</v>
      </c>
      <c r="B200" t="s">
        <v>771</v>
      </c>
      <c r="C200" s="22" t="str">
        <f t="shared" si="3"/>
        <v>CS6U -340M</v>
      </c>
      <c r="D200" t="s">
        <v>1643</v>
      </c>
      <c r="N200" s="5">
        <f>IF(B200="","",MATCH(B200,'Lista - Placas'!$2:$2,0)-1)</f>
        <v>14</v>
      </c>
      <c r="O200" s="5">
        <f>IF(D200="","",MATCH(D200,'Lista - Placas'!$O:$O,0)-2)</f>
        <v>34</v>
      </c>
    </row>
    <row r="201" spans="1:15" x14ac:dyDescent="0.35">
      <c r="A201" t="s">
        <v>771</v>
      </c>
      <c r="B201" t="s">
        <v>771</v>
      </c>
      <c r="C201" s="22" t="str">
        <f t="shared" si="3"/>
        <v>CS6X-325P</v>
      </c>
      <c r="D201" t="s">
        <v>1652</v>
      </c>
      <c r="N201" s="5">
        <f>IF(B201="","",MATCH(B201,'Lista - Placas'!$2:$2,0)-1)</f>
        <v>14</v>
      </c>
      <c r="O201" s="5">
        <f>IF(D201="","",MATCH(D201,'Lista - Placas'!$O:$O,0)-2)</f>
        <v>35</v>
      </c>
    </row>
    <row r="202" spans="1:15" x14ac:dyDescent="0.35">
      <c r="A202" t="s">
        <v>771</v>
      </c>
      <c r="B202" t="s">
        <v>771</v>
      </c>
      <c r="C202" s="22" t="str">
        <f t="shared" si="3"/>
        <v>CS3W 390 WP</v>
      </c>
      <c r="D202" t="s">
        <v>1660</v>
      </c>
      <c r="N202" s="5">
        <f>IF(B202="","",MATCH(B202,'Lista - Placas'!$2:$2,0)-1)</f>
        <v>14</v>
      </c>
      <c r="O202" s="5">
        <f>IF(D202="","",MATCH(D202,'Lista - Placas'!$O:$O,0)-2)</f>
        <v>36</v>
      </c>
    </row>
    <row r="203" spans="1:15" x14ac:dyDescent="0.35">
      <c r="A203" t="s">
        <v>771</v>
      </c>
      <c r="B203" t="s">
        <v>771</v>
      </c>
      <c r="C203" s="22" t="str">
        <f t="shared" si="3"/>
        <v>CS6U-335M</v>
      </c>
      <c r="D203" t="s">
        <v>1668</v>
      </c>
      <c r="N203" s="5">
        <f>IF(B203="","",MATCH(B203,'Lista - Placas'!$2:$2,0)-1)</f>
        <v>14</v>
      </c>
      <c r="O203" s="5">
        <f>IF(D203="","",MATCH(D203,'Lista - Placas'!$O:$O,0)-2)</f>
        <v>37</v>
      </c>
    </row>
    <row r="204" spans="1:15" x14ac:dyDescent="0.35">
      <c r="A204" t="s">
        <v>771</v>
      </c>
      <c r="B204" t="s">
        <v>771</v>
      </c>
      <c r="C204" s="22" t="str">
        <f t="shared" si="3"/>
        <v>CS3U-370P</v>
      </c>
      <c r="D204" t="s">
        <v>1675</v>
      </c>
      <c r="N204" s="5">
        <f>IF(B204="","",MATCH(B204,'Lista - Placas'!$2:$2,0)-1)</f>
        <v>14</v>
      </c>
      <c r="O204" s="5">
        <f>IF(D204="","",MATCH(D204,'Lista - Placas'!$O:$O,0)-2)</f>
        <v>38</v>
      </c>
    </row>
    <row r="205" spans="1:15" x14ac:dyDescent="0.35">
      <c r="A205" t="s">
        <v>771</v>
      </c>
      <c r="B205" t="s">
        <v>771</v>
      </c>
      <c r="C205" s="22" t="str">
        <f t="shared" si="3"/>
        <v>CS31 385MB</v>
      </c>
      <c r="D205" t="s">
        <v>1682</v>
      </c>
      <c r="N205" s="5">
        <f>IF(B205="","",MATCH(B205,'Lista - Placas'!$2:$2,0)-1)</f>
        <v>14</v>
      </c>
      <c r="O205" s="5">
        <f>IF(D205="","",MATCH(D205,'Lista - Placas'!$O:$O,0)-2)</f>
        <v>39</v>
      </c>
    </row>
    <row r="206" spans="1:15" x14ac:dyDescent="0.35">
      <c r="A206" t="s">
        <v>771</v>
      </c>
      <c r="B206" t="s">
        <v>771</v>
      </c>
      <c r="C206" s="22" t="str">
        <f t="shared" si="3"/>
        <v>CS3U-385MS</v>
      </c>
      <c r="D206" t="s">
        <v>1689</v>
      </c>
      <c r="N206" s="5">
        <f>IF(B206="","",MATCH(B206,'Lista - Placas'!$2:$2,0)-1)</f>
        <v>14</v>
      </c>
      <c r="O206" s="5">
        <f>IF(D206="","",MATCH(D206,'Lista - Placas'!$O:$O,0)-2)</f>
        <v>40</v>
      </c>
    </row>
    <row r="207" spans="1:15" x14ac:dyDescent="0.35">
      <c r="A207" t="s">
        <v>771</v>
      </c>
      <c r="B207" t="s">
        <v>771</v>
      </c>
      <c r="C207" s="22" t="str">
        <f t="shared" si="3"/>
        <v>CS6P - 255P</v>
      </c>
      <c r="D207" t="s">
        <v>1696</v>
      </c>
      <c r="N207" s="5">
        <f>IF(B207="","",MATCH(B207,'Lista - Placas'!$2:$2,0)-1)</f>
        <v>14</v>
      </c>
      <c r="O207" s="5">
        <f>IF(D207="","",MATCH(D207,'Lista - Placas'!$O:$O,0)-2)</f>
        <v>41</v>
      </c>
    </row>
    <row r="208" spans="1:15" x14ac:dyDescent="0.35">
      <c r="A208" t="s">
        <v>771</v>
      </c>
      <c r="B208" t="s">
        <v>771</v>
      </c>
      <c r="C208" s="22" t="str">
        <f t="shared" si="3"/>
        <v>CS3U-355P</v>
      </c>
      <c r="D208" t="s">
        <v>1703</v>
      </c>
      <c r="N208" s="5">
        <f>IF(B208="","",MATCH(B208,'Lista - Placas'!$2:$2,0)-1)</f>
        <v>14</v>
      </c>
      <c r="O208" s="5">
        <f>IF(D208="","",MATCH(D208,'Lista - Placas'!$O:$O,0)-2)</f>
        <v>42</v>
      </c>
    </row>
    <row r="209" spans="1:15" x14ac:dyDescent="0.35">
      <c r="A209" t="s">
        <v>771</v>
      </c>
      <c r="B209" t="s">
        <v>771</v>
      </c>
      <c r="C209" s="22" t="str">
        <f t="shared" si="3"/>
        <v>CS3U-365P</v>
      </c>
      <c r="D209" t="s">
        <v>1710</v>
      </c>
      <c r="N209" s="5">
        <f>IF(B209="","",MATCH(B209,'Lista - Placas'!$2:$2,0)-1)</f>
        <v>14</v>
      </c>
      <c r="O209" s="5">
        <f>IF(D209="","",MATCH(D209,'Lista - Placas'!$O:$O,0)-2)</f>
        <v>43</v>
      </c>
    </row>
    <row r="210" spans="1:15" x14ac:dyDescent="0.35">
      <c r="A210" t="s">
        <v>771</v>
      </c>
      <c r="B210" t="s">
        <v>771</v>
      </c>
      <c r="C210" s="22" t="str">
        <f t="shared" si="3"/>
        <v>KUMAX CS3U-330P</v>
      </c>
      <c r="D210" t="s">
        <v>1717</v>
      </c>
      <c r="N210" s="5">
        <f>IF(B210="","",MATCH(B210,'Lista - Placas'!$2:$2,0)-1)</f>
        <v>14</v>
      </c>
      <c r="O210" s="5">
        <f>IF(D210="","",MATCH(D210,'Lista - Placas'!$O:$O,0)-2)</f>
        <v>44</v>
      </c>
    </row>
    <row r="211" spans="1:15" x14ac:dyDescent="0.35">
      <c r="A211" t="s">
        <v>771</v>
      </c>
      <c r="B211" t="s">
        <v>771</v>
      </c>
      <c r="C211" s="22" t="str">
        <f t="shared" si="3"/>
        <v>CS3U-390</v>
      </c>
      <c r="D211" t="s">
        <v>1724</v>
      </c>
      <c r="N211" s="5">
        <f>IF(B211="","",MATCH(B211,'Lista - Placas'!$2:$2,0)-1)</f>
        <v>14</v>
      </c>
      <c r="O211" s="5">
        <f>IF(D211="","",MATCH(D211,'Lista - Placas'!$O:$O,0)-2)</f>
        <v>45</v>
      </c>
    </row>
    <row r="212" spans="1:15" x14ac:dyDescent="0.35">
      <c r="A212" t="s">
        <v>771</v>
      </c>
      <c r="B212" t="s">
        <v>771</v>
      </c>
      <c r="C212" s="22" t="str">
        <f t="shared" si="3"/>
        <v>CS3U 360MS</v>
      </c>
      <c r="D212" t="s">
        <v>1731</v>
      </c>
      <c r="N212" s="5">
        <f>IF(B212="","",MATCH(B212,'Lista - Placas'!$2:$2,0)-1)</f>
        <v>14</v>
      </c>
      <c r="O212" s="5">
        <f>IF(D212="","",MATCH(D212,'Lista - Placas'!$O:$O,0)-2)</f>
        <v>46</v>
      </c>
    </row>
    <row r="213" spans="1:15" x14ac:dyDescent="0.35">
      <c r="A213" t="s">
        <v>771</v>
      </c>
      <c r="B213" t="s">
        <v>771</v>
      </c>
      <c r="C213" s="22" t="str">
        <f t="shared" si="3"/>
        <v>CS3U 390MS</v>
      </c>
      <c r="D213" t="s">
        <v>1738</v>
      </c>
      <c r="N213" s="5">
        <f>IF(B213="","",MATCH(B213,'Lista - Placas'!$2:$2,0)-1)</f>
        <v>14</v>
      </c>
      <c r="O213" s="5">
        <f>IF(D213="","",MATCH(D213,'Lista - Placas'!$O:$O,0)-2)</f>
        <v>47</v>
      </c>
    </row>
    <row r="214" spans="1:15" x14ac:dyDescent="0.35">
      <c r="A214" t="s">
        <v>771</v>
      </c>
      <c r="B214" t="s">
        <v>771</v>
      </c>
      <c r="C214" s="22" t="str">
        <f t="shared" si="3"/>
        <v>HIKU CS3W-410P</v>
      </c>
      <c r="D214" t="s">
        <v>1745</v>
      </c>
      <c r="N214" s="5">
        <f>IF(B214="","",MATCH(B214,'Lista - Placas'!$2:$2,0)-1)</f>
        <v>14</v>
      </c>
      <c r="O214" s="5">
        <f>IF(D214="","",MATCH(D214,'Lista - Placas'!$O:$O,0)-2)</f>
        <v>48</v>
      </c>
    </row>
    <row r="215" spans="1:15" x14ac:dyDescent="0.35">
      <c r="A215" t="s">
        <v>771</v>
      </c>
      <c r="B215" t="s">
        <v>771</v>
      </c>
      <c r="C215" s="22" t="str">
        <f t="shared" si="3"/>
        <v>HIKU CS3W-400P</v>
      </c>
      <c r="D215" t="s">
        <v>1752</v>
      </c>
      <c r="N215" s="5">
        <f>IF(B215="","",MATCH(B215,'Lista - Placas'!$2:$2,0)-1)</f>
        <v>14</v>
      </c>
      <c r="O215" s="5">
        <f>IF(D215="","",MATCH(D215,'Lista - Placas'!$O:$O,0)-2)</f>
        <v>49</v>
      </c>
    </row>
    <row r="216" spans="1:15" x14ac:dyDescent="0.35">
      <c r="A216" t="s">
        <v>771</v>
      </c>
      <c r="B216" t="s">
        <v>771</v>
      </c>
      <c r="C216" s="22" t="str">
        <f t="shared" si="3"/>
        <v>CS6U-350P</v>
      </c>
      <c r="D216" t="s">
        <v>1758</v>
      </c>
      <c r="N216" s="5">
        <f>IF(B216="","",MATCH(B216,'Lista - Placas'!$2:$2,0)-1)</f>
        <v>14</v>
      </c>
      <c r="O216" s="5">
        <f>IF(D216="","",MATCH(D216,'Lista - Placas'!$O:$O,0)-2)</f>
        <v>50</v>
      </c>
    </row>
    <row r="217" spans="1:15" x14ac:dyDescent="0.35">
      <c r="A217" t="s">
        <v>771</v>
      </c>
      <c r="B217" t="s">
        <v>771</v>
      </c>
      <c r="C217" s="22" t="str">
        <f t="shared" si="3"/>
        <v>CS3W 435P</v>
      </c>
      <c r="D217" t="s">
        <v>1764</v>
      </c>
      <c r="N217" s="5">
        <f>IF(B217="","",MATCH(B217,'Lista - Placas'!$2:$2,0)-1)</f>
        <v>14</v>
      </c>
      <c r="O217" s="5">
        <f>IF(D217="","",MATCH(D217,'Lista - Placas'!$O:$O,0)-2)</f>
        <v>51</v>
      </c>
    </row>
    <row r="218" spans="1:15" x14ac:dyDescent="0.35">
      <c r="A218" t="s">
        <v>771</v>
      </c>
      <c r="B218" t="s">
        <v>771</v>
      </c>
      <c r="C218" s="22" t="str">
        <f t="shared" si="3"/>
        <v>CS3W 430P</v>
      </c>
      <c r="D218" t="s">
        <v>1770</v>
      </c>
      <c r="N218" s="5">
        <f>IF(B218="","",MATCH(B218,'Lista - Placas'!$2:$2,0)-1)</f>
        <v>14</v>
      </c>
      <c r="O218" s="5">
        <f>IF(D218="","",MATCH(D218,'Lista - Placas'!$O:$O,0)-2)</f>
        <v>52</v>
      </c>
    </row>
    <row r="219" spans="1:15" x14ac:dyDescent="0.35">
      <c r="A219" t="s">
        <v>771</v>
      </c>
      <c r="B219" t="s">
        <v>771</v>
      </c>
      <c r="C219" s="22" t="str">
        <f t="shared" si="3"/>
        <v>CS3U-375P</v>
      </c>
      <c r="D219" t="s">
        <v>1776</v>
      </c>
      <c r="N219" s="5">
        <f>IF(B219="","",MATCH(B219,'Lista - Placas'!$2:$2,0)-1)</f>
        <v>14</v>
      </c>
      <c r="O219" s="5">
        <f>IF(D219="","",MATCH(D219,'Lista - Placas'!$O:$O,0)-2)</f>
        <v>53</v>
      </c>
    </row>
    <row r="220" spans="1:15" x14ac:dyDescent="0.35">
      <c r="A220" t="s">
        <v>771</v>
      </c>
      <c r="B220" t="s">
        <v>771</v>
      </c>
      <c r="C220" s="22" t="str">
        <f t="shared" si="3"/>
        <v>CS3W 425P</v>
      </c>
      <c r="D220" t="s">
        <v>1782</v>
      </c>
      <c r="N220" s="5">
        <f>IF(B220="","",MATCH(B220,'Lista - Placas'!$2:$2,0)-1)</f>
        <v>14</v>
      </c>
      <c r="O220" s="5">
        <f>IF(D220="","",MATCH(D220,'Lista - Placas'!$O:$O,0)-2)</f>
        <v>54</v>
      </c>
    </row>
    <row r="221" spans="1:15" x14ac:dyDescent="0.35">
      <c r="A221" t="s">
        <v>771</v>
      </c>
      <c r="B221" t="s">
        <v>771</v>
      </c>
      <c r="C221" s="22" t="str">
        <f t="shared" si="3"/>
        <v>CS6K-310MS</v>
      </c>
      <c r="D221" t="s">
        <v>1788</v>
      </c>
      <c r="N221" s="5">
        <f>IF(B221="","",MATCH(B221,'Lista - Placas'!$2:$2,0)-1)</f>
        <v>14</v>
      </c>
      <c r="O221" s="5">
        <f>IF(D221="","",MATCH(D221,'Lista - Placas'!$O:$O,0)-2)</f>
        <v>55</v>
      </c>
    </row>
    <row r="222" spans="1:15" x14ac:dyDescent="0.35">
      <c r="A222" t="s">
        <v>771</v>
      </c>
      <c r="B222" t="s">
        <v>771</v>
      </c>
      <c r="C222" s="22" t="str">
        <f t="shared" si="3"/>
        <v>CS6U-335P</v>
      </c>
      <c r="D222" t="s">
        <v>1794</v>
      </c>
      <c r="N222" s="5">
        <f>IF(B222="","",MATCH(B222,'Lista - Placas'!$2:$2,0)-1)</f>
        <v>14</v>
      </c>
      <c r="O222" s="5">
        <f>IF(D222="","",MATCH(D222,'Lista - Placas'!$O:$O,0)-2)</f>
        <v>56</v>
      </c>
    </row>
    <row r="223" spans="1:15" x14ac:dyDescent="0.35">
      <c r="A223" t="s">
        <v>771</v>
      </c>
      <c r="B223" t="s">
        <v>771</v>
      </c>
      <c r="C223" s="22" t="str">
        <f t="shared" si="3"/>
        <v>CS6P 265P</v>
      </c>
      <c r="D223" t="s">
        <v>1800</v>
      </c>
      <c r="N223" s="5">
        <f>IF(B223="","",MATCH(B223,'Lista - Placas'!$2:$2,0)-1)</f>
        <v>14</v>
      </c>
      <c r="O223" s="5">
        <f>IF(D223="","",MATCH(D223,'Lista - Placas'!$O:$O,0)-2)</f>
        <v>57</v>
      </c>
    </row>
    <row r="224" spans="1:15" x14ac:dyDescent="0.35">
      <c r="A224" t="s">
        <v>771</v>
      </c>
      <c r="B224" t="s">
        <v>771</v>
      </c>
      <c r="C224" s="22" t="str">
        <f t="shared" si="3"/>
        <v>CS3U-385MS</v>
      </c>
      <c r="D224" t="s">
        <v>1806</v>
      </c>
      <c r="N224" s="5">
        <f>IF(B224="","",MATCH(B224,'Lista - Placas'!$2:$2,0)-1)</f>
        <v>14</v>
      </c>
      <c r="O224" s="5">
        <f>IF(D224="","",MATCH(D224,'Lista - Placas'!$O:$O,0)-2)</f>
        <v>58</v>
      </c>
    </row>
    <row r="225" spans="1:15" x14ac:dyDescent="0.35">
      <c r="A225" t="s">
        <v>771</v>
      </c>
      <c r="B225" t="s">
        <v>771</v>
      </c>
      <c r="C225" s="22" t="str">
        <f t="shared" si="3"/>
        <v>CS3W-420P</v>
      </c>
      <c r="D225" t="s">
        <v>1812</v>
      </c>
      <c r="N225" s="5">
        <f>IF(B225="","",MATCH(B225,'Lista - Placas'!$2:$2,0)-1)</f>
        <v>14</v>
      </c>
      <c r="O225" s="5">
        <f>IF(D225="","",MATCH(D225,'Lista - Placas'!$O:$O,0)-2)</f>
        <v>59</v>
      </c>
    </row>
    <row r="226" spans="1:15" x14ac:dyDescent="0.35">
      <c r="A226" t="s">
        <v>771</v>
      </c>
      <c r="B226" t="s">
        <v>771</v>
      </c>
      <c r="C226" s="22" t="str">
        <f t="shared" si="3"/>
        <v>CS6U-325M</v>
      </c>
      <c r="D226" t="s">
        <v>1818</v>
      </c>
      <c r="N226" s="5">
        <f>IF(B226="","",MATCH(B226,'Lista - Placas'!$2:$2,0)-1)</f>
        <v>14</v>
      </c>
      <c r="O226" s="5">
        <f>IF(D226="","",MATCH(D226,'Lista - Placas'!$O:$O,0)-2)</f>
        <v>60</v>
      </c>
    </row>
    <row r="227" spans="1:15" x14ac:dyDescent="0.35">
      <c r="A227" t="s">
        <v>771</v>
      </c>
      <c r="B227" t="s">
        <v>771</v>
      </c>
      <c r="C227" s="22" t="str">
        <f t="shared" si="3"/>
        <v>CS3W-445MS</v>
      </c>
      <c r="D227" t="s">
        <v>1823</v>
      </c>
      <c r="E227" s="5">
        <v>0.44500000000000001</v>
      </c>
      <c r="F227" s="5">
        <v>2.21</v>
      </c>
      <c r="G227" s="5" t="s">
        <v>220</v>
      </c>
      <c r="H227" s="5" t="s">
        <v>221</v>
      </c>
      <c r="I227" s="5" t="s">
        <v>222</v>
      </c>
      <c r="J227" s="5" t="s">
        <v>223</v>
      </c>
      <c r="K227" s="5" t="s">
        <v>224</v>
      </c>
      <c r="L227" s="5" t="s">
        <v>191</v>
      </c>
      <c r="M227" s="12" t="s">
        <v>102</v>
      </c>
      <c r="N227" s="5">
        <f>IF(B227="","",MATCH(B227,'Lista - Placas'!$2:$2,0)-1)</f>
        <v>14</v>
      </c>
      <c r="O227" s="5">
        <f>IF(D227="","",MATCH(D227,'Lista - Placas'!$O:$O,0)-2)</f>
        <v>61</v>
      </c>
    </row>
    <row r="228" spans="1:15" x14ac:dyDescent="0.35">
      <c r="A228" t="s">
        <v>771</v>
      </c>
      <c r="B228" t="s">
        <v>771</v>
      </c>
      <c r="C228" s="22" t="str">
        <f t="shared" si="3"/>
        <v>CS3W-445MB-AG</v>
      </c>
      <c r="D228" t="s">
        <v>1828</v>
      </c>
      <c r="N228" s="5">
        <f>IF(B228="","",MATCH(B228,'Lista - Placas'!$2:$2,0)-1)</f>
        <v>14</v>
      </c>
      <c r="O228" s="5">
        <f>IF(D228="","",MATCH(D228,'Lista - Placas'!$O:$O,0)-2)</f>
        <v>62</v>
      </c>
    </row>
    <row r="229" spans="1:15" x14ac:dyDescent="0.35">
      <c r="A229" t="s">
        <v>771</v>
      </c>
      <c r="B229" t="s">
        <v>771</v>
      </c>
      <c r="C229" s="22" t="str">
        <f t="shared" si="3"/>
        <v>CS3W-385P</v>
      </c>
      <c r="D229" t="s">
        <v>1833</v>
      </c>
      <c r="N229" s="5">
        <f>IF(B229="","",MATCH(B229,'Lista - Placas'!$2:$2,0)-1)</f>
        <v>14</v>
      </c>
      <c r="O229" s="5">
        <f>IF(D229="","",MATCH(D229,'Lista - Placas'!$O:$O,0)-2)</f>
        <v>63</v>
      </c>
    </row>
    <row r="230" spans="1:15" x14ac:dyDescent="0.35">
      <c r="A230" t="s">
        <v>771</v>
      </c>
      <c r="B230" t="s">
        <v>771</v>
      </c>
      <c r="C230" s="22" t="str">
        <f t="shared" si="3"/>
        <v>CS3W-390P</v>
      </c>
      <c r="D230" t="s">
        <v>1838</v>
      </c>
      <c r="N230" s="5">
        <f>IF(B230="","",MATCH(B230,'Lista - Placas'!$2:$2,0)-1)</f>
        <v>14</v>
      </c>
      <c r="O230" s="5">
        <f>IF(D230="","",MATCH(D230,'Lista - Placas'!$O:$O,0)-2)</f>
        <v>64</v>
      </c>
    </row>
    <row r="231" spans="1:15" x14ac:dyDescent="0.35">
      <c r="A231" t="s">
        <v>771</v>
      </c>
      <c r="B231" t="s">
        <v>771</v>
      </c>
      <c r="C231" s="22" t="str">
        <f t="shared" si="3"/>
        <v>CS3W-435MS</v>
      </c>
      <c r="D231" t="s">
        <v>1842</v>
      </c>
      <c r="E231" s="5">
        <v>0.435</v>
      </c>
      <c r="F231" s="5">
        <v>2.21</v>
      </c>
      <c r="G231" s="5" t="s">
        <v>210</v>
      </c>
      <c r="H231" s="5" t="s">
        <v>211</v>
      </c>
      <c r="I231" s="5" t="s">
        <v>212</v>
      </c>
      <c r="J231" s="5" t="s">
        <v>213</v>
      </c>
      <c r="K231" s="5" t="s">
        <v>214</v>
      </c>
      <c r="L231" s="5" t="s">
        <v>191</v>
      </c>
      <c r="M231" s="12" t="s">
        <v>102</v>
      </c>
      <c r="N231" s="5">
        <f>IF(B231="","",MATCH(B231,'Lista - Placas'!$2:$2,0)-1)</f>
        <v>14</v>
      </c>
      <c r="O231" s="5">
        <f>IF(D231="","",MATCH(D231,'Lista - Placas'!$O:$O,0)-2)</f>
        <v>65</v>
      </c>
    </row>
    <row r="232" spans="1:15" x14ac:dyDescent="0.35">
      <c r="A232" t="s">
        <v>771</v>
      </c>
      <c r="B232" t="s">
        <v>771</v>
      </c>
      <c r="C232" s="22" t="str">
        <f t="shared" si="3"/>
        <v>CS1U-420MS</v>
      </c>
      <c r="D232" t="s">
        <v>1846</v>
      </c>
      <c r="N232" s="5">
        <f>IF(B232="","",MATCH(B232,'Lista - Placas'!$2:$2,0)-1)</f>
        <v>14</v>
      </c>
      <c r="O232" s="5">
        <f>IF(D232="","",MATCH(D232,'Lista - Placas'!$O:$O,0)-2)</f>
        <v>66</v>
      </c>
    </row>
    <row r="233" spans="1:15" x14ac:dyDescent="0.35">
      <c r="A233" t="s">
        <v>771</v>
      </c>
      <c r="B233" t="s">
        <v>771</v>
      </c>
      <c r="C233" s="22" t="str">
        <f t="shared" si="3"/>
        <v>CS3W-425PB-AG</v>
      </c>
      <c r="D233" t="s">
        <v>1850</v>
      </c>
      <c r="N233" s="5">
        <f>IF(B233="","",MATCH(B233,'Lista - Placas'!$2:$2,0)-1)</f>
        <v>14</v>
      </c>
      <c r="O233" s="5">
        <f>IF(D233="","",MATCH(D233,'Lista - Placas'!$O:$O,0)-2)</f>
        <v>67</v>
      </c>
    </row>
    <row r="234" spans="1:15" x14ac:dyDescent="0.35">
      <c r="A234" t="s">
        <v>771</v>
      </c>
      <c r="B234" t="s">
        <v>771</v>
      </c>
      <c r="C234" s="22" t="str">
        <f t="shared" si="3"/>
        <v>CS1U-405MS</v>
      </c>
      <c r="D234" t="s">
        <v>1854</v>
      </c>
      <c r="N234" s="5">
        <f>IF(B234="","",MATCH(B234,'Lista - Placas'!$2:$2,0)-1)</f>
        <v>14</v>
      </c>
      <c r="O234" s="5">
        <f>IF(D234="","",MATCH(D234,'Lista - Placas'!$O:$O,0)-2)</f>
        <v>68</v>
      </c>
    </row>
    <row r="235" spans="1:15" x14ac:dyDescent="0.35">
      <c r="A235" t="s">
        <v>771</v>
      </c>
      <c r="B235" t="s">
        <v>771</v>
      </c>
      <c r="C235" s="22" t="str">
        <f t="shared" si="3"/>
        <v>CS3U 335P-AG</v>
      </c>
      <c r="D235" t="s">
        <v>1858</v>
      </c>
      <c r="N235" s="5">
        <f>IF(B235="","",MATCH(B235,'Lista - Placas'!$2:$2,0)-1)</f>
        <v>14</v>
      </c>
      <c r="O235" s="5">
        <f>IF(D235="","",MATCH(D235,'Lista - Placas'!$O:$O,0)-2)</f>
        <v>69</v>
      </c>
    </row>
    <row r="236" spans="1:15" x14ac:dyDescent="0.35">
      <c r="A236" t="s">
        <v>771</v>
      </c>
      <c r="B236" t="s">
        <v>771</v>
      </c>
      <c r="C236" s="22" t="str">
        <f t="shared" si="3"/>
        <v>CS3W-420P</v>
      </c>
      <c r="D236" t="s">
        <v>1862</v>
      </c>
      <c r="N236" s="5">
        <f>IF(B236="","",MATCH(B236,'Lista - Placas'!$2:$2,0)-1)</f>
        <v>14</v>
      </c>
      <c r="O236" s="5">
        <f>IF(D236="","",MATCH(D236,'Lista - Placas'!$O:$O,0)-2)</f>
        <v>70</v>
      </c>
    </row>
    <row r="237" spans="1:15" x14ac:dyDescent="0.35">
      <c r="A237" t="s">
        <v>771</v>
      </c>
      <c r="B237" t="s">
        <v>771</v>
      </c>
      <c r="C237" s="22" t="str">
        <f t="shared" si="3"/>
        <v>CS3U-365-AG</v>
      </c>
      <c r="D237" t="s">
        <v>1866</v>
      </c>
      <c r="N237" s="5">
        <f>IF(B237="","",MATCH(B237,'Lista - Placas'!$2:$2,0)-1)</f>
        <v>14</v>
      </c>
      <c r="O237" s="5">
        <f>IF(D237="","",MATCH(D237,'Lista - Placas'!$O:$O,0)-2)</f>
        <v>71</v>
      </c>
    </row>
    <row r="238" spans="1:15" x14ac:dyDescent="0.35">
      <c r="A238" t="s">
        <v>771</v>
      </c>
      <c r="B238" t="s">
        <v>771</v>
      </c>
      <c r="C238" s="22" t="str">
        <f t="shared" si="3"/>
        <v>CS3W-440MS</v>
      </c>
      <c r="D238" t="s">
        <v>1870</v>
      </c>
      <c r="E238" s="5">
        <v>0.44</v>
      </c>
      <c r="F238" s="5">
        <v>2.21</v>
      </c>
      <c r="G238" s="5" t="s">
        <v>215</v>
      </c>
      <c r="H238" s="5" t="s">
        <v>216</v>
      </c>
      <c r="I238" s="5" t="s">
        <v>217</v>
      </c>
      <c r="J238" s="5" t="s">
        <v>218</v>
      </c>
      <c r="K238" s="5" t="s">
        <v>219</v>
      </c>
      <c r="L238" s="5" t="s">
        <v>191</v>
      </c>
      <c r="M238" s="12" t="s">
        <v>102</v>
      </c>
      <c r="N238" s="5">
        <f>IF(B238="","",MATCH(B238,'Lista - Placas'!$2:$2,0)-1)</f>
        <v>14</v>
      </c>
      <c r="O238" s="5">
        <f>IF(D238="","",MATCH(D238,'Lista - Placas'!$O:$O,0)-2)</f>
        <v>72</v>
      </c>
    </row>
    <row r="239" spans="1:15" x14ac:dyDescent="0.35">
      <c r="A239" t="s">
        <v>771</v>
      </c>
      <c r="B239" t="s">
        <v>771</v>
      </c>
      <c r="C239" s="22" t="str">
        <f t="shared" si="3"/>
        <v>CS3W-450MS</v>
      </c>
      <c r="D239" t="s">
        <v>1874</v>
      </c>
      <c r="E239" s="5">
        <v>0.45</v>
      </c>
      <c r="F239" s="5">
        <v>2.21</v>
      </c>
      <c r="G239" s="5" t="s">
        <v>225</v>
      </c>
      <c r="H239" s="5" t="s">
        <v>226</v>
      </c>
      <c r="I239" s="5" t="s">
        <v>227</v>
      </c>
      <c r="J239" s="5" t="s">
        <v>228</v>
      </c>
      <c r="K239" s="5" t="s">
        <v>229</v>
      </c>
      <c r="L239" s="5" t="s">
        <v>191</v>
      </c>
      <c r="M239" s="12" t="s">
        <v>102</v>
      </c>
      <c r="N239" s="5">
        <f>IF(B239="","",MATCH(B239,'Lista - Placas'!$2:$2,0)-1)</f>
        <v>14</v>
      </c>
      <c r="O239" s="5">
        <f>IF(D239="","",MATCH(D239,'Lista - Placas'!$O:$O,0)-2)</f>
        <v>73</v>
      </c>
    </row>
    <row r="240" spans="1:15" x14ac:dyDescent="0.35">
      <c r="A240" t="s">
        <v>771</v>
      </c>
      <c r="B240" t="s">
        <v>771</v>
      </c>
      <c r="C240" s="22" t="str">
        <f t="shared" si="3"/>
        <v xml:space="preserve">CS6K-280P </v>
      </c>
      <c r="D240" t="s">
        <v>1877</v>
      </c>
      <c r="N240" s="5">
        <f>IF(B240="","",MATCH(B240,'Lista - Placas'!$2:$2,0)-1)</f>
        <v>14</v>
      </c>
      <c r="O240" s="5">
        <f>IF(D240="","",MATCH(D240,'Lista - Placas'!$O:$O,0)-2)</f>
        <v>74</v>
      </c>
    </row>
    <row r="241" spans="1:15" x14ac:dyDescent="0.35">
      <c r="A241" t="s">
        <v>771</v>
      </c>
      <c r="B241" t="s">
        <v>771</v>
      </c>
      <c r="C241" s="22" t="str">
        <f t="shared" si="3"/>
        <v>CS3U 365P-AG</v>
      </c>
      <c r="D241" t="s">
        <v>1880</v>
      </c>
      <c r="N241" s="5">
        <f>IF(B241="","",MATCH(B241,'Lista - Placas'!$2:$2,0)-1)</f>
        <v>14</v>
      </c>
      <c r="O241" s="5">
        <f>IF(D241="","",MATCH(D241,'Lista - Placas'!$O:$O,0)-2)</f>
        <v>75</v>
      </c>
    </row>
    <row r="242" spans="1:15" x14ac:dyDescent="0.35">
      <c r="A242" t="s">
        <v>771</v>
      </c>
      <c r="B242" t="s">
        <v>771</v>
      </c>
      <c r="C242" s="22" t="str">
        <f t="shared" si="3"/>
        <v>CS3K-315</v>
      </c>
      <c r="D242" t="s">
        <v>1883</v>
      </c>
      <c r="N242" s="5">
        <f>IF(B242="","",MATCH(B242,'Lista - Placas'!$2:$2,0)-1)</f>
        <v>14</v>
      </c>
      <c r="O242" s="5">
        <f>IF(D242="","",MATCH(D242,'Lista - Placas'!$O:$O,0)-2)</f>
        <v>76</v>
      </c>
    </row>
    <row r="243" spans="1:15" x14ac:dyDescent="0.35">
      <c r="A243" t="s">
        <v>771</v>
      </c>
      <c r="B243" t="s">
        <v>771</v>
      </c>
      <c r="C243" s="22" t="str">
        <f t="shared" si="3"/>
        <v>CS3W-425MS</v>
      </c>
      <c r="D243" t="s">
        <v>1886</v>
      </c>
      <c r="E243" s="5">
        <v>0.42499999999999999</v>
      </c>
      <c r="F243" s="5">
        <v>2.21</v>
      </c>
      <c r="G243" s="5" t="s">
        <v>200</v>
      </c>
      <c r="H243" s="5" t="s">
        <v>201</v>
      </c>
      <c r="I243" s="5" t="s">
        <v>202</v>
      </c>
      <c r="J243" s="5" t="s">
        <v>203</v>
      </c>
      <c r="K243" s="5" t="s">
        <v>204</v>
      </c>
      <c r="L243" s="5" t="s">
        <v>191</v>
      </c>
      <c r="M243" s="12" t="s">
        <v>102</v>
      </c>
      <c r="N243" s="5">
        <f>IF(B243="","",MATCH(B243,'Lista - Placas'!$2:$2,0)-1)</f>
        <v>14</v>
      </c>
      <c r="O243" s="5">
        <f>IF(D243="","",MATCH(D243,'Lista - Placas'!$O:$O,0)-2)</f>
        <v>77</v>
      </c>
    </row>
    <row r="244" spans="1:15" x14ac:dyDescent="0.35">
      <c r="A244" t="s">
        <v>771</v>
      </c>
      <c r="B244" t="s">
        <v>771</v>
      </c>
      <c r="C244" s="22" t="str">
        <f t="shared" si="3"/>
        <v>CS3K-310MS</v>
      </c>
      <c r="D244" t="s">
        <v>1889</v>
      </c>
      <c r="N244" s="5">
        <f>IF(B244="","",MATCH(B244,'Lista - Placas'!$2:$2,0)-1)</f>
        <v>14</v>
      </c>
      <c r="O244" s="5">
        <f>IF(D244="","",MATCH(D244,'Lista - Placas'!$O:$O,0)-2)</f>
        <v>78</v>
      </c>
    </row>
    <row r="245" spans="1:15" x14ac:dyDescent="0.35">
      <c r="A245" t="s">
        <v>771</v>
      </c>
      <c r="B245" t="s">
        <v>771</v>
      </c>
      <c r="C245" s="22" t="str">
        <f t="shared" si="3"/>
        <v>CS3W-365P</v>
      </c>
      <c r="D245" t="s">
        <v>1892</v>
      </c>
      <c r="N245" s="5">
        <f>IF(B245="","",MATCH(B245,'Lista - Placas'!$2:$2,0)-1)</f>
        <v>14</v>
      </c>
      <c r="O245" s="5">
        <f>IF(D245="","",MATCH(D245,'Lista - Placas'!$O:$O,0)-2)</f>
        <v>79</v>
      </c>
    </row>
    <row r="246" spans="1:15" x14ac:dyDescent="0.35">
      <c r="A246" t="s">
        <v>771</v>
      </c>
      <c r="B246" t="s">
        <v>771</v>
      </c>
      <c r="C246" s="22" t="str">
        <f t="shared" si="3"/>
        <v>CS3U-360P-AG</v>
      </c>
      <c r="D246" t="s">
        <v>1895</v>
      </c>
      <c r="N246" s="5">
        <f>IF(B246="","",MATCH(B246,'Lista - Placas'!$2:$2,0)-1)</f>
        <v>14</v>
      </c>
      <c r="O246" s="5">
        <f>IF(D246="","",MATCH(D246,'Lista - Placas'!$O:$O,0)-2)</f>
        <v>80</v>
      </c>
    </row>
    <row r="247" spans="1:15" x14ac:dyDescent="0.35">
      <c r="A247" t="s">
        <v>771</v>
      </c>
      <c r="B247" t="s">
        <v>771</v>
      </c>
      <c r="C247" s="22" t="str">
        <f t="shared" si="3"/>
        <v>CS3L-365P</v>
      </c>
      <c r="D247" t="s">
        <v>1898</v>
      </c>
      <c r="N247" s="5">
        <f>IF(B247="","",MATCH(B247,'Lista - Placas'!$2:$2,0)-1)</f>
        <v>14</v>
      </c>
      <c r="O247" s="5">
        <f>IF(D247="","",MATCH(D247,'Lista - Placas'!$O:$O,0)-2)</f>
        <v>81</v>
      </c>
    </row>
    <row r="248" spans="1:15" x14ac:dyDescent="0.35">
      <c r="A248" t="s">
        <v>771</v>
      </c>
      <c r="B248" t="s">
        <v>771</v>
      </c>
      <c r="C248" s="22" t="str">
        <f t="shared" si="3"/>
        <v>CS3W-415PB-AG</v>
      </c>
      <c r="D248" t="s">
        <v>1901</v>
      </c>
      <c r="M248" s="12"/>
      <c r="N248" s="5">
        <f>IF(B248="","",MATCH(B248,'Lista - Placas'!$2:$2,0)-1)</f>
        <v>14</v>
      </c>
      <c r="O248" s="5">
        <f>IF(D248="","",MATCH(D248,'Lista - Placas'!$O:$O,0)-2)</f>
        <v>82</v>
      </c>
    </row>
    <row r="249" spans="1:15" x14ac:dyDescent="0.35">
      <c r="A249" t="s">
        <v>771</v>
      </c>
      <c r="B249" t="s">
        <v>771</v>
      </c>
      <c r="C249" s="22" t="str">
        <f t="shared" si="3"/>
        <v>CS3W-435PB-AG</v>
      </c>
      <c r="D249" t="s">
        <v>1904</v>
      </c>
      <c r="E249" s="5">
        <v>0.435</v>
      </c>
      <c r="F249" s="5">
        <v>2.21</v>
      </c>
      <c r="G249" s="5" t="s">
        <v>210</v>
      </c>
      <c r="H249" s="5" t="s">
        <v>211</v>
      </c>
      <c r="I249" s="5" t="s">
        <v>212</v>
      </c>
      <c r="J249" s="5" t="s">
        <v>213</v>
      </c>
      <c r="K249" s="5" t="s">
        <v>214</v>
      </c>
      <c r="L249" s="5" t="s">
        <v>191</v>
      </c>
      <c r="M249" s="12" t="s">
        <v>102</v>
      </c>
      <c r="N249" s="5">
        <f>IF(B249="","",MATCH(B249,'Lista - Placas'!$2:$2,0)-1)</f>
        <v>14</v>
      </c>
      <c r="O249" s="5">
        <f>IF(D249="","",MATCH(D249,'Lista - Placas'!$O:$O,0)-2)</f>
        <v>83</v>
      </c>
    </row>
    <row r="250" spans="1:15" x14ac:dyDescent="0.35">
      <c r="A250" t="s">
        <v>771</v>
      </c>
      <c r="B250" t="s">
        <v>771</v>
      </c>
      <c r="C250" s="22" t="str">
        <f t="shared" si="3"/>
        <v>CS3W-440P</v>
      </c>
      <c r="D250" t="s">
        <v>1907</v>
      </c>
      <c r="N250" s="5">
        <f>IF(B250="","",MATCH(B250,'Lista - Placas'!$2:$2,0)-1)</f>
        <v>14</v>
      </c>
      <c r="O250" s="5">
        <f>IF(D250="","",MATCH(D250,'Lista - Placas'!$O:$O,0)-2)</f>
        <v>84</v>
      </c>
    </row>
    <row r="251" spans="1:15" x14ac:dyDescent="0.35">
      <c r="A251" t="s">
        <v>771</v>
      </c>
      <c r="B251" t="s">
        <v>771</v>
      </c>
      <c r="C251" s="22" t="str">
        <f t="shared" si="3"/>
        <v>CS3W-430PB-AG</v>
      </c>
      <c r="D251" t="s">
        <v>1910</v>
      </c>
      <c r="E251" s="5">
        <v>0.43</v>
      </c>
      <c r="F251" s="5">
        <v>2.21</v>
      </c>
      <c r="G251" s="5" t="s">
        <v>205</v>
      </c>
      <c r="H251" s="5" t="s">
        <v>206</v>
      </c>
      <c r="I251" s="5" t="s">
        <v>207</v>
      </c>
      <c r="J251" s="5" t="s">
        <v>208</v>
      </c>
      <c r="K251" s="5" t="s">
        <v>209</v>
      </c>
      <c r="L251" s="5" t="s">
        <v>191</v>
      </c>
      <c r="M251" s="12" t="s">
        <v>102</v>
      </c>
      <c r="N251" s="5">
        <f>IF(B251="","",MATCH(B251,'Lista - Placas'!$2:$2,0)-1)</f>
        <v>14</v>
      </c>
      <c r="O251" s="5">
        <f>IF(D251="","",MATCH(D251,'Lista - Placas'!$O:$O,0)-2)</f>
        <v>85</v>
      </c>
    </row>
    <row r="252" spans="1:15" x14ac:dyDescent="0.35">
      <c r="A252" t="s">
        <v>771</v>
      </c>
      <c r="B252" t="s">
        <v>771</v>
      </c>
      <c r="C252" s="22" t="str">
        <f t="shared" si="3"/>
        <v>HIKU CS3W 415P</v>
      </c>
      <c r="D252" t="s">
        <v>1913</v>
      </c>
      <c r="N252" s="5">
        <f>IF(B252="","",MATCH(B252,'Lista - Placas'!$2:$2,0)-1)</f>
        <v>14</v>
      </c>
      <c r="O252" s="5">
        <f>IF(D252="","",MATCH(D252,'Lista - Placas'!$O:$O,0)-2)</f>
        <v>86</v>
      </c>
    </row>
    <row r="253" spans="1:15" x14ac:dyDescent="0.35">
      <c r="A253" t="s">
        <v>771</v>
      </c>
      <c r="B253" t="s">
        <v>771</v>
      </c>
      <c r="C253" s="22" t="str">
        <f t="shared" si="3"/>
        <v>CS3L-360MS</v>
      </c>
      <c r="D253" t="s">
        <v>1916</v>
      </c>
      <c r="N253" s="5">
        <f>IF(B253="","",MATCH(B253,'Lista - Placas'!$2:$2,0)-1)</f>
        <v>14</v>
      </c>
      <c r="O253" s="5">
        <f>IF(D253="","",MATCH(D253,'Lista - Placas'!$O:$O,0)-2)</f>
        <v>87</v>
      </c>
    </row>
    <row r="254" spans="1:15" x14ac:dyDescent="0.35">
      <c r="A254" t="s">
        <v>771</v>
      </c>
      <c r="B254" t="s">
        <v>771</v>
      </c>
      <c r="C254" s="22" t="str">
        <f t="shared" si="3"/>
        <v>CS3U-325P-FG</v>
      </c>
      <c r="D254" t="s">
        <v>1919</v>
      </c>
      <c r="N254" s="5">
        <f>IF(B254="","",MATCH(B254,'Lista - Placas'!$2:$2,0)-1)</f>
        <v>14</v>
      </c>
      <c r="O254" s="5">
        <f>IF(D254="","",MATCH(D254,'Lista - Placas'!$O:$O,0)-2)</f>
        <v>88</v>
      </c>
    </row>
    <row r="255" spans="1:15" x14ac:dyDescent="0.35">
      <c r="A255" t="s">
        <v>771</v>
      </c>
      <c r="B255" t="s">
        <v>771</v>
      </c>
      <c r="C255" s="22" t="str">
        <f t="shared" si="3"/>
        <v xml:space="preserve">CS3W-425PB-AG </v>
      </c>
      <c r="D255" t="s">
        <v>1921</v>
      </c>
      <c r="N255" s="5">
        <f>IF(B255="","",MATCH(B255,'Lista - Placas'!$2:$2,0)-1)</f>
        <v>14</v>
      </c>
      <c r="O255" s="5">
        <f>IF(D255="","",MATCH(D255,'Lista - Placas'!$O:$O,0)-2)</f>
        <v>89</v>
      </c>
    </row>
    <row r="256" spans="1:15" x14ac:dyDescent="0.35">
      <c r="A256" t="s">
        <v>771</v>
      </c>
      <c r="B256" t="s">
        <v>771</v>
      </c>
      <c r="C256" s="22" t="str">
        <f t="shared" si="3"/>
        <v xml:space="preserve"> CS6K-280P-FG</v>
      </c>
      <c r="D256" t="s">
        <v>1923</v>
      </c>
      <c r="N256" s="5">
        <f>IF(B256="","",MATCH(B256,'Lista - Placas'!$2:$2,0)-1)</f>
        <v>14</v>
      </c>
      <c r="O256" s="5">
        <f>IF(D256="","",MATCH(D256,'Lista - Placas'!$O:$O,0)-2)</f>
        <v>90</v>
      </c>
    </row>
    <row r="257" spans="1:15" x14ac:dyDescent="0.35">
      <c r="A257" t="s">
        <v>771</v>
      </c>
      <c r="B257" t="s">
        <v>771</v>
      </c>
      <c r="C257" s="22" t="str">
        <f t="shared" si="3"/>
        <v>CS3L-335P</v>
      </c>
      <c r="D257" t="s">
        <v>1925</v>
      </c>
      <c r="N257" s="5">
        <f>IF(B257="","",MATCH(B257,'Lista - Placas'!$2:$2,0)-1)</f>
        <v>14</v>
      </c>
      <c r="O257" s="5">
        <f>IF(D257="","",MATCH(D257,'Lista - Placas'!$O:$O,0)-2)</f>
        <v>91</v>
      </c>
    </row>
    <row r="258" spans="1:15" x14ac:dyDescent="0.35">
      <c r="A258" t="s">
        <v>771</v>
      </c>
      <c r="B258" t="s">
        <v>771</v>
      </c>
      <c r="C258" s="22" t="str">
        <f t="shared" si="3"/>
        <v>CS3W-455MS</v>
      </c>
      <c r="D258" t="s">
        <v>1927</v>
      </c>
      <c r="E258" s="22">
        <v>0.45500000000000002</v>
      </c>
      <c r="F258" s="22">
        <v>2.21</v>
      </c>
      <c r="G258" s="22" t="s">
        <v>3851</v>
      </c>
      <c r="H258" s="22" t="s">
        <v>3849</v>
      </c>
      <c r="I258" s="22" t="s">
        <v>3850</v>
      </c>
      <c r="J258" s="22" t="s">
        <v>3848</v>
      </c>
      <c r="K258" s="22" t="s">
        <v>3852</v>
      </c>
      <c r="L258" s="22" t="s">
        <v>191</v>
      </c>
      <c r="M258" s="12" t="s">
        <v>102</v>
      </c>
      <c r="N258" s="5">
        <f>IF(B258="","",MATCH(B258,'Lista - Placas'!$2:$2,0)-1)</f>
        <v>14</v>
      </c>
      <c r="O258" s="5">
        <f>IF(D258="","",MATCH(D258,'Lista - Placas'!$O:$O,0)-2)</f>
        <v>92</v>
      </c>
    </row>
    <row r="259" spans="1:15" x14ac:dyDescent="0.35">
      <c r="A259" t="s">
        <v>771</v>
      </c>
      <c r="B259" t="s">
        <v>771</v>
      </c>
      <c r="C259" s="22" t="str">
        <f t="shared" ref="C259:C322" si="4">RIGHT(D259,LEN(D259)-(FIND(" - ", D259)+2))</f>
        <v>CS3Y 485MS</v>
      </c>
      <c r="D259" t="s">
        <v>1929</v>
      </c>
      <c r="N259" s="5">
        <f>IF(B259="","",MATCH(B259,'Lista - Placas'!$2:$2,0)-1)</f>
        <v>14</v>
      </c>
      <c r="O259" s="5">
        <f>IF(D259="","",MATCH(D259,'Lista - Placas'!$O:$O,0)-2)</f>
        <v>93</v>
      </c>
    </row>
    <row r="260" spans="1:15" x14ac:dyDescent="0.35">
      <c r="A260" t="s">
        <v>771</v>
      </c>
      <c r="B260" t="s">
        <v>771</v>
      </c>
      <c r="C260" s="22" t="str">
        <f t="shared" si="4"/>
        <v>CS3Y-490MS</v>
      </c>
      <c r="D260" t="s">
        <v>1931</v>
      </c>
      <c r="N260" s="5">
        <f>IF(B260="","",MATCH(B260,'Lista - Placas'!$2:$2,0)-1)</f>
        <v>14</v>
      </c>
      <c r="O260" s="5">
        <f>IF(D260="","",MATCH(D260,'Lista - Placas'!$O:$O,0)-2)</f>
        <v>94</v>
      </c>
    </row>
    <row r="261" spans="1:15" x14ac:dyDescent="0.35">
      <c r="A261" t="s">
        <v>771</v>
      </c>
      <c r="B261" t="s">
        <v>771</v>
      </c>
      <c r="C261" s="22" t="str">
        <f t="shared" si="4"/>
        <v>CS7L-585MB-AG</v>
      </c>
      <c r="D261" t="s">
        <v>1933</v>
      </c>
      <c r="N261" s="5">
        <f>IF(B261="","",MATCH(B261,'Lista - Placas'!$2:$2,0)-1)</f>
        <v>14</v>
      </c>
      <c r="O261" s="5">
        <f>IF(D261="","",MATCH(D261,'Lista - Placas'!$O:$O,0)-2)</f>
        <v>95</v>
      </c>
    </row>
    <row r="262" spans="1:15" x14ac:dyDescent="0.35">
      <c r="A262" t="s">
        <v>771</v>
      </c>
      <c r="B262" t="s">
        <v>771</v>
      </c>
      <c r="C262" s="22" t="str">
        <f t="shared" si="4"/>
        <v>CS3Y-480MS</v>
      </c>
      <c r="D262" t="s">
        <v>1935</v>
      </c>
      <c r="N262" s="5">
        <f>IF(B262="","",MATCH(B262,'Lista - Placas'!$2:$2,0)-1)</f>
        <v>14</v>
      </c>
      <c r="O262" s="5">
        <f>IF(D262="","",MATCH(D262,'Lista - Placas'!$O:$O,0)-2)</f>
        <v>96</v>
      </c>
    </row>
    <row r="263" spans="1:15" x14ac:dyDescent="0.35">
      <c r="A263" t="s">
        <v>771</v>
      </c>
      <c r="B263" t="s">
        <v>771</v>
      </c>
      <c r="C263" s="22" t="str">
        <f t="shared" si="4"/>
        <v>CS6W-535MS</v>
      </c>
      <c r="D263" t="s">
        <v>1937</v>
      </c>
      <c r="N263" s="5">
        <f>IF(B263="","",MATCH(B263,'Lista - Placas'!$2:$2,0)-1)</f>
        <v>14</v>
      </c>
      <c r="O263" s="5">
        <f>IF(D263="","",MATCH(D263,'Lista - Placas'!$O:$O,0)-2)</f>
        <v>97</v>
      </c>
    </row>
    <row r="264" spans="1:15" x14ac:dyDescent="0.35">
      <c r="A264" t="s">
        <v>771</v>
      </c>
      <c r="B264" t="s">
        <v>771</v>
      </c>
      <c r="C264" s="22" t="str">
        <f t="shared" si="4"/>
        <v>CS3U-360P</v>
      </c>
      <c r="D264" t="s">
        <v>1938</v>
      </c>
      <c r="N264" s="5">
        <f>IF(B264="","",MATCH(B264,'Lista - Placas'!$2:$2,0)-1)</f>
        <v>14</v>
      </c>
      <c r="O264" s="5">
        <f>IF(D264="","",MATCH(D264,'Lista - Placas'!$O:$O,0)-2)</f>
        <v>98</v>
      </c>
    </row>
    <row r="265" spans="1:15" x14ac:dyDescent="0.35">
      <c r="A265" t="s">
        <v>771</v>
      </c>
      <c r="B265" t="s">
        <v>771</v>
      </c>
      <c r="C265" s="22" t="str">
        <f t="shared" si="4"/>
        <v>KUMAX CS3U-360P</v>
      </c>
      <c r="D265" t="s">
        <v>1939</v>
      </c>
      <c r="N265" s="5">
        <f>IF(B265="","",MATCH(B265,'Lista - Placas'!$2:$2,0)-1)</f>
        <v>14</v>
      </c>
      <c r="O265" s="5">
        <f>IF(D265="","",MATCH(D265,'Lista - Placas'!$O:$O,0)-2)</f>
        <v>99</v>
      </c>
    </row>
    <row r="266" spans="1:15" x14ac:dyDescent="0.35">
      <c r="A266" t="s">
        <v>771</v>
      </c>
      <c r="B266" t="s">
        <v>771</v>
      </c>
      <c r="C266" s="22" t="str">
        <f t="shared" si="4"/>
        <v>HIKU CS3W-420W</v>
      </c>
      <c r="D266" t="s">
        <v>1940</v>
      </c>
      <c r="N266" s="5">
        <f>IF(B266="","",MATCH(B266,'Lista - Placas'!$2:$2,0)-1)</f>
        <v>14</v>
      </c>
      <c r="O266" s="5">
        <f>IF(D266="","",MATCH(D266,'Lista - Placas'!$O:$O,0)-2)</f>
        <v>100</v>
      </c>
    </row>
    <row r="267" spans="1:15" x14ac:dyDescent="0.35">
      <c r="A267" t="s">
        <v>771</v>
      </c>
      <c r="B267" t="s">
        <v>771</v>
      </c>
      <c r="C267" s="22" t="str">
        <f t="shared" si="4"/>
        <v>CS1U- 410MS</v>
      </c>
      <c r="D267" t="s">
        <v>1941</v>
      </c>
      <c r="N267" s="5">
        <f>IF(B267="","",MATCH(B267,'Lista - Placas'!$2:$2,0)-1)</f>
        <v>14</v>
      </c>
      <c r="O267" s="5">
        <f>IF(D267="","",MATCH(D267,'Lista - Placas'!$O:$O,0)-2)</f>
        <v>101</v>
      </c>
    </row>
    <row r="268" spans="1:15" x14ac:dyDescent="0.35">
      <c r="A268" t="s">
        <v>771</v>
      </c>
      <c r="B268" t="s">
        <v>771</v>
      </c>
      <c r="C268" s="22" t="str">
        <f t="shared" si="4"/>
        <v>HIKU-CS3W- 455MS</v>
      </c>
      <c r="D268" t="s">
        <v>1942</v>
      </c>
      <c r="N268" s="5">
        <f>IF(B268="","",MATCH(B268,'Lista - Placas'!$2:$2,0)-1)</f>
        <v>14</v>
      </c>
      <c r="O268" s="5">
        <f>IF(D268="","",MATCH(D268,'Lista - Placas'!$O:$O,0)-2)</f>
        <v>102</v>
      </c>
    </row>
    <row r="269" spans="1:15" x14ac:dyDescent="0.35">
      <c r="A269" t="s">
        <v>771</v>
      </c>
      <c r="B269" t="s">
        <v>771</v>
      </c>
      <c r="C269" s="22" t="str">
        <f t="shared" si="4"/>
        <v>CS3W-400PB-AG</v>
      </c>
      <c r="D269" t="s">
        <v>1943</v>
      </c>
      <c r="N269" s="5">
        <f>IF(B269="","",MATCH(B269,'Lista - Placas'!$2:$2,0)-1)</f>
        <v>14</v>
      </c>
      <c r="O269" s="5">
        <f>IF(D269="","",MATCH(D269,'Lista - Placas'!$O:$O,0)-2)</f>
        <v>103</v>
      </c>
    </row>
    <row r="270" spans="1:15" x14ac:dyDescent="0.35">
      <c r="A270" t="s">
        <v>771</v>
      </c>
      <c r="B270" t="s">
        <v>771</v>
      </c>
      <c r="C270" s="22" t="str">
        <f t="shared" si="4"/>
        <v>CS6Y-590MS</v>
      </c>
      <c r="D270" t="s">
        <v>1944</v>
      </c>
      <c r="N270" s="5">
        <f>IF(B270="","",MATCH(B270,'Lista - Placas'!$2:$2,0)-1)</f>
        <v>14</v>
      </c>
      <c r="O270" s="5">
        <f>IF(D270="","",MATCH(D270,'Lista - Placas'!$O:$O,0)-2)</f>
        <v>104</v>
      </c>
    </row>
    <row r="271" spans="1:15" x14ac:dyDescent="0.35">
      <c r="A271" t="s">
        <v>771</v>
      </c>
      <c r="B271" t="s">
        <v>771</v>
      </c>
      <c r="C271" s="22" t="str">
        <f t="shared" si="4"/>
        <v>CS6W-540MS</v>
      </c>
      <c r="D271" t="s">
        <v>1945</v>
      </c>
      <c r="N271" s="5">
        <f>IF(B271="","",MATCH(B271,'Lista - Placas'!$2:$2,0)-1)</f>
        <v>14</v>
      </c>
      <c r="O271" s="5">
        <f>IF(D271="","",MATCH(D271,'Lista - Placas'!$O:$O,0)-2)</f>
        <v>105</v>
      </c>
    </row>
    <row r="272" spans="1:15" x14ac:dyDescent="0.35">
      <c r="A272" t="s">
        <v>771</v>
      </c>
      <c r="B272" t="s">
        <v>771</v>
      </c>
      <c r="C272" s="22" t="str">
        <f t="shared" si="4"/>
        <v>HIKU 455WP</v>
      </c>
      <c r="D272" t="s">
        <v>1946</v>
      </c>
      <c r="N272" s="5">
        <f>IF(B272="","",MATCH(B272,'Lista - Placas'!$2:$2,0)-1)</f>
        <v>14</v>
      </c>
      <c r="O272" s="5">
        <f>IF(D272="","",MATCH(D272,'Lista - Placas'!$O:$O,0)-2)</f>
        <v>106</v>
      </c>
    </row>
    <row r="273" spans="1:15" x14ac:dyDescent="0.35">
      <c r="A273" t="s">
        <v>771</v>
      </c>
      <c r="B273" t="s">
        <v>771</v>
      </c>
      <c r="C273" s="22" t="str">
        <f t="shared" si="4"/>
        <v xml:space="preserve">CS3U-380MB-AG </v>
      </c>
      <c r="D273" t="s">
        <v>1947</v>
      </c>
      <c r="N273" s="5">
        <f>IF(B273="","",MATCH(B273,'Lista - Placas'!$2:$2,0)-1)</f>
        <v>14</v>
      </c>
      <c r="O273" s="5">
        <f>IF(D273="","",MATCH(D273,'Lista - Placas'!$O:$O,0)-2)</f>
        <v>107</v>
      </c>
    </row>
    <row r="274" spans="1:15" x14ac:dyDescent="0.35">
      <c r="A274" t="s">
        <v>771</v>
      </c>
      <c r="B274" t="s">
        <v>771</v>
      </c>
      <c r="C274" s="22" t="str">
        <f t="shared" si="4"/>
        <v>CS3W-450W</v>
      </c>
      <c r="D274" t="s">
        <v>1948</v>
      </c>
      <c r="N274" s="5">
        <f>IF(B274="","",MATCH(B274,'Lista - Placas'!$2:$2,0)-1)</f>
        <v>14</v>
      </c>
      <c r="O274" s="5">
        <f>IF(D274="","",MATCH(D274,'Lista - Placas'!$O:$O,0)-2)</f>
        <v>108</v>
      </c>
    </row>
    <row r="275" spans="1:15" x14ac:dyDescent="0.35">
      <c r="A275" t="s">
        <v>771</v>
      </c>
      <c r="B275" t="s">
        <v>771</v>
      </c>
      <c r="C275" s="22" t="str">
        <f t="shared" si="4"/>
        <v>CS1U-420MS</v>
      </c>
      <c r="D275" t="s">
        <v>1949</v>
      </c>
      <c r="N275" s="5">
        <f>IF(B275="","",MATCH(B275,'Lista - Placas'!$2:$2,0)-1)</f>
        <v>14</v>
      </c>
      <c r="O275" s="5">
        <f>IF(D275="","",MATCH(D275,'Lista - Placas'!$O:$O,0)-2)</f>
        <v>109</v>
      </c>
    </row>
    <row r="276" spans="1:15" x14ac:dyDescent="0.35">
      <c r="A276" t="s">
        <v>771</v>
      </c>
      <c r="B276" t="s">
        <v>771</v>
      </c>
      <c r="C276" s="22" t="str">
        <f t="shared" si="4"/>
        <v>CS3W-415F</v>
      </c>
      <c r="D276" t="s">
        <v>1950</v>
      </c>
      <c r="N276" s="5">
        <f>IF(B276="","",MATCH(B276,'Lista - Placas'!$2:$2,0)-1)</f>
        <v>14</v>
      </c>
      <c r="O276" s="5">
        <f>IF(D276="","",MATCH(D276,'Lista - Placas'!$O:$O,0)-2)</f>
        <v>110</v>
      </c>
    </row>
    <row r="277" spans="1:15" x14ac:dyDescent="0.35">
      <c r="A277" t="s">
        <v>771</v>
      </c>
      <c r="B277" t="s">
        <v>771</v>
      </c>
      <c r="C277" s="22" t="str">
        <f t="shared" si="4"/>
        <v>CS6W HIKU 545W</v>
      </c>
      <c r="D277" t="s">
        <v>1951</v>
      </c>
      <c r="N277" s="5">
        <f>IF(B277="","",MATCH(B277,'Lista - Placas'!$2:$2,0)-1)</f>
        <v>14</v>
      </c>
      <c r="O277" s="5">
        <f>IF(D277="","",MATCH(D277,'Lista - Placas'!$O:$O,0)-2)</f>
        <v>111</v>
      </c>
    </row>
    <row r="278" spans="1:15" x14ac:dyDescent="0.35">
      <c r="A278" t="s">
        <v>771</v>
      </c>
      <c r="B278" t="s">
        <v>771</v>
      </c>
      <c r="C278" s="22" t="str">
        <f t="shared" si="4"/>
        <v>CS6W-535MB-AG</v>
      </c>
      <c r="D278" t="s">
        <v>1952</v>
      </c>
      <c r="N278" s="5">
        <f>IF(B278="","",MATCH(B278,'Lista - Placas'!$2:$2,0)-1)</f>
        <v>14</v>
      </c>
      <c r="O278" s="5">
        <f>IF(D278="","",MATCH(D278,'Lista - Placas'!$O:$O,0)-2)</f>
        <v>112</v>
      </c>
    </row>
    <row r="279" spans="1:15" x14ac:dyDescent="0.35">
      <c r="A279" t="s">
        <v>771</v>
      </c>
      <c r="B279" t="s">
        <v>771</v>
      </c>
      <c r="C279" s="22" t="str">
        <f t="shared" si="4"/>
        <v>CS6P-270P</v>
      </c>
      <c r="D279" t="s">
        <v>1953</v>
      </c>
      <c r="N279" s="5">
        <f>IF(B279="","",MATCH(B279,'Lista - Placas'!$2:$2,0)-1)</f>
        <v>14</v>
      </c>
      <c r="O279" s="5">
        <f>IF(D279="","",MATCH(D279,'Lista - Placas'!$O:$O,0)-2)</f>
        <v>113</v>
      </c>
    </row>
    <row r="280" spans="1:15" x14ac:dyDescent="0.35">
      <c r="A280" t="s">
        <v>771</v>
      </c>
      <c r="B280" t="s">
        <v>771</v>
      </c>
      <c r="C280" s="22" t="str">
        <f t="shared" si="4"/>
        <v>HIKU6 MONO CS6W 530MS - 530WP</v>
      </c>
      <c r="D280" t="s">
        <v>1954</v>
      </c>
      <c r="N280" s="5">
        <f>IF(B280="","",MATCH(B280,'Lista - Placas'!$2:$2,0)-1)</f>
        <v>14</v>
      </c>
      <c r="O280" s="5">
        <f>IF(D280="","",MATCH(D280,'Lista - Placas'!$O:$O,0)-2)</f>
        <v>114</v>
      </c>
    </row>
    <row r="281" spans="1:15" x14ac:dyDescent="0.35">
      <c r="A281" t="s">
        <v>771</v>
      </c>
      <c r="B281" t="s">
        <v>771</v>
      </c>
      <c r="C281" s="22" t="str">
        <f t="shared" si="4"/>
        <v>CS7N-645MB-AG</v>
      </c>
      <c r="D281" t="s">
        <v>1955</v>
      </c>
      <c r="N281" s="5">
        <f>IF(B281="","",MATCH(B281,'Lista - Placas'!$2:$2,0)-1)</f>
        <v>14</v>
      </c>
      <c r="O281" s="5">
        <f>IF(D281="","",MATCH(D281,'Lista - Placas'!$O:$O,0)-2)</f>
        <v>115</v>
      </c>
    </row>
    <row r="282" spans="1:15" x14ac:dyDescent="0.35">
      <c r="A282" t="s">
        <v>771</v>
      </c>
      <c r="B282" t="s">
        <v>771</v>
      </c>
      <c r="C282" s="22" t="str">
        <f t="shared" si="4"/>
        <v>CS7N-650-MB-AG</v>
      </c>
      <c r="D282" t="s">
        <v>1956</v>
      </c>
      <c r="N282" s="5">
        <f>IF(B282="","",MATCH(B282,'Lista - Placas'!$2:$2,0)-1)</f>
        <v>14</v>
      </c>
      <c r="O282" s="5">
        <f>IF(D282="","",MATCH(D282,'Lista - Placas'!$O:$O,0)-2)</f>
        <v>116</v>
      </c>
    </row>
    <row r="283" spans="1:15" x14ac:dyDescent="0.35">
      <c r="A283" t="s">
        <v>771</v>
      </c>
      <c r="B283" t="s">
        <v>771</v>
      </c>
      <c r="C283" s="22" t="str">
        <f t="shared" si="4"/>
        <v>CS6W-540MB-AG</v>
      </c>
      <c r="D283" t="s">
        <v>1957</v>
      </c>
      <c r="N283" s="5">
        <f>IF(B283="","",MATCH(B283,'Lista - Placas'!$2:$2,0)-1)</f>
        <v>14</v>
      </c>
      <c r="O283" s="5">
        <f>IF(D283="","",MATCH(D283,'Lista - Placas'!$O:$O,0)-2)</f>
        <v>117</v>
      </c>
    </row>
    <row r="284" spans="1:15" x14ac:dyDescent="0.35">
      <c r="A284" t="s">
        <v>771</v>
      </c>
      <c r="B284" t="s">
        <v>771</v>
      </c>
      <c r="C284" s="22" t="str">
        <f t="shared" si="4"/>
        <v>HIKU6 MONO CS6W</v>
      </c>
      <c r="D284" t="s">
        <v>1958</v>
      </c>
      <c r="N284" s="5">
        <f>IF(B284="","",MATCH(B284,'Lista - Placas'!$2:$2,0)-1)</f>
        <v>14</v>
      </c>
      <c r="O284" s="5">
        <f>IF(D284="","",MATCH(D284,'Lista - Placas'!$O:$O,0)-2)</f>
        <v>118</v>
      </c>
    </row>
    <row r="285" spans="1:15" x14ac:dyDescent="0.35">
      <c r="A285" t="s">
        <v>771</v>
      </c>
      <c r="B285" t="s">
        <v>771</v>
      </c>
      <c r="C285" s="22" t="str">
        <f t="shared" si="4"/>
        <v>HIKU CS3W-450MS</v>
      </c>
      <c r="D285" t="s">
        <v>1959</v>
      </c>
      <c r="N285" s="5">
        <f>IF(B285="","",MATCH(B285,'Lista - Placas'!$2:$2,0)-1)</f>
        <v>14</v>
      </c>
      <c r="O285" s="5">
        <f>IF(D285="","",MATCH(D285,'Lista - Placas'!$O:$O,0)-2)</f>
        <v>119</v>
      </c>
    </row>
    <row r="286" spans="1:15" x14ac:dyDescent="0.35">
      <c r="A286" t="s">
        <v>771</v>
      </c>
      <c r="B286" t="s">
        <v>771</v>
      </c>
      <c r="C286" s="22" t="str">
        <f t="shared" si="4"/>
        <v>CS6W-530</v>
      </c>
      <c r="D286" t="s">
        <v>1960</v>
      </c>
      <c r="N286" s="5">
        <f>IF(B286="","",MATCH(B286,'Lista - Placas'!$2:$2,0)-1)</f>
        <v>14</v>
      </c>
      <c r="O286" s="5">
        <f>IF(D286="","",MATCH(D286,'Lista - Placas'!$O:$O,0)-2)</f>
        <v>120</v>
      </c>
    </row>
    <row r="287" spans="1:15" x14ac:dyDescent="0.35">
      <c r="A287" t="s">
        <v>745</v>
      </c>
      <c r="B287" t="s">
        <v>745</v>
      </c>
      <c r="C287" s="22" t="str">
        <f t="shared" si="4"/>
        <v xml:space="preserve">CSUN 340-72P </v>
      </c>
      <c r="D287" t="s">
        <v>817</v>
      </c>
      <c r="N287" s="5">
        <f>IF(B287="","",MATCH(B287,'Lista - Placas'!$2:$2,0)-1)</f>
        <v>15</v>
      </c>
      <c r="O287" s="5">
        <f>IF(D287="","",MATCH(D287,'Lista - Placas'!$P:$P,0)-2)</f>
        <v>1</v>
      </c>
    </row>
    <row r="288" spans="1:15" x14ac:dyDescent="0.35">
      <c r="A288" t="s">
        <v>745</v>
      </c>
      <c r="B288" t="s">
        <v>745</v>
      </c>
      <c r="C288" s="22" t="str">
        <f t="shared" si="4"/>
        <v xml:space="preserve">CSUN 335-72P </v>
      </c>
      <c r="D288" t="s">
        <v>895</v>
      </c>
      <c r="N288" s="5">
        <f>IF(B288="","",MATCH(B288,'Lista - Placas'!$2:$2,0)-1)</f>
        <v>15</v>
      </c>
      <c r="O288" s="5">
        <f>IF(D288="","",MATCH(D288,'Lista - Placas'!$P:$P,0)-2)</f>
        <v>2</v>
      </c>
    </row>
    <row r="289" spans="1:15" x14ac:dyDescent="0.35">
      <c r="A289" t="s">
        <v>745</v>
      </c>
      <c r="B289" t="s">
        <v>745</v>
      </c>
      <c r="C289" s="22" t="str">
        <f t="shared" si="4"/>
        <v xml:space="preserve">CSUN 330-72P </v>
      </c>
      <c r="D289" t="s">
        <v>953</v>
      </c>
      <c r="N289" s="5">
        <f>IF(B289="","",MATCH(B289,'Lista - Placas'!$2:$2,0)-1)</f>
        <v>15</v>
      </c>
      <c r="O289" s="5">
        <f>IF(D289="","",MATCH(D289,'Lista - Placas'!$P:$P,0)-2)</f>
        <v>3</v>
      </c>
    </row>
    <row r="290" spans="1:15" x14ac:dyDescent="0.35">
      <c r="A290" t="s">
        <v>745</v>
      </c>
      <c r="B290" t="s">
        <v>745</v>
      </c>
      <c r="C290" s="22" t="str">
        <f t="shared" si="4"/>
        <v xml:space="preserve">CSUN 325-72P </v>
      </c>
      <c r="D290" t="s">
        <v>1005</v>
      </c>
      <c r="N290" s="5">
        <f>IF(B290="","",MATCH(B290,'Lista - Placas'!$2:$2,0)-1)</f>
        <v>15</v>
      </c>
      <c r="O290" s="5">
        <f>IF(D290="","",MATCH(D290,'Lista - Placas'!$P:$P,0)-2)</f>
        <v>4</v>
      </c>
    </row>
    <row r="291" spans="1:15" x14ac:dyDescent="0.35">
      <c r="A291" t="s">
        <v>745</v>
      </c>
      <c r="B291" t="s">
        <v>745</v>
      </c>
      <c r="C291" s="22" t="str">
        <f t="shared" si="4"/>
        <v xml:space="preserve">CSUN 320-72P </v>
      </c>
      <c r="D291" t="s">
        <v>1051</v>
      </c>
      <c r="N291" s="5">
        <f>IF(B291="","",MATCH(B291,'Lista - Placas'!$2:$2,0)-1)</f>
        <v>15</v>
      </c>
      <c r="O291" s="5">
        <f>IF(D291="","",MATCH(D291,'Lista - Placas'!$P:$P,0)-2)</f>
        <v>5</v>
      </c>
    </row>
    <row r="292" spans="1:15" x14ac:dyDescent="0.35">
      <c r="A292" t="s">
        <v>745</v>
      </c>
      <c r="B292" t="s">
        <v>745</v>
      </c>
      <c r="C292" s="22" t="str">
        <f t="shared" si="4"/>
        <v>CSP18-72H540W</v>
      </c>
      <c r="D292" t="s">
        <v>1095</v>
      </c>
      <c r="N292" s="5">
        <f>IF(B292="","",MATCH(B292,'Lista - Placas'!$2:$2,0)-1)</f>
        <v>15</v>
      </c>
      <c r="O292" s="5">
        <f>IF(D292="","",MATCH(D292,'Lista - Placas'!$P:$P,0)-2)</f>
        <v>6</v>
      </c>
    </row>
    <row r="293" spans="1:15" x14ac:dyDescent="0.35">
      <c r="A293" t="s">
        <v>75</v>
      </c>
      <c r="B293" t="s">
        <v>772</v>
      </c>
      <c r="C293" s="22" t="str">
        <f t="shared" si="4"/>
        <v>DHP72 315</v>
      </c>
      <c r="D293" t="s">
        <v>818</v>
      </c>
      <c r="N293" s="5">
        <f>IF(B293="","",MATCH(B293,'Lista - Placas'!$2:$2,0)-1)</f>
        <v>16</v>
      </c>
      <c r="O293" s="5">
        <f>IF(D293="","",MATCH(D293,'Lista - Placas'!$Q:$Q,0)-2)</f>
        <v>1</v>
      </c>
    </row>
    <row r="294" spans="1:15" x14ac:dyDescent="0.35">
      <c r="A294" t="s">
        <v>75</v>
      </c>
      <c r="B294" t="s">
        <v>772</v>
      </c>
      <c r="C294" s="22" t="str">
        <f t="shared" si="4"/>
        <v>DHP72 320</v>
      </c>
      <c r="D294" t="s">
        <v>896</v>
      </c>
      <c r="N294" s="5">
        <f>IF(B294="","",MATCH(B294,'Lista - Placas'!$2:$2,0)-1)</f>
        <v>16</v>
      </c>
      <c r="O294" s="5">
        <f>IF(D294="","",MATCH(D294,'Lista - Placas'!$Q:$Q,0)-2)</f>
        <v>2</v>
      </c>
    </row>
    <row r="295" spans="1:15" x14ac:dyDescent="0.35">
      <c r="A295" t="s">
        <v>75</v>
      </c>
      <c r="B295" t="s">
        <v>772</v>
      </c>
      <c r="C295" s="22" t="str">
        <f t="shared" si="4"/>
        <v>DHP72 325</v>
      </c>
      <c r="D295" t="s">
        <v>954</v>
      </c>
      <c r="N295" s="5">
        <f>IF(B295="","",MATCH(B295,'Lista - Placas'!$2:$2,0)-1)</f>
        <v>16</v>
      </c>
      <c r="O295" s="5">
        <f>IF(D295="","",MATCH(D295,'Lista - Placas'!$Q:$Q,0)-2)</f>
        <v>3</v>
      </c>
    </row>
    <row r="296" spans="1:15" x14ac:dyDescent="0.35">
      <c r="A296" t="s">
        <v>75</v>
      </c>
      <c r="B296" t="s">
        <v>772</v>
      </c>
      <c r="C296" s="22" t="str">
        <f t="shared" si="4"/>
        <v>DHP72 330</v>
      </c>
      <c r="D296" t="s">
        <v>1006</v>
      </c>
      <c r="N296" s="5">
        <f>IF(B296="","",MATCH(B296,'Lista - Placas'!$2:$2,0)-1)</f>
        <v>16</v>
      </c>
      <c r="O296" s="5">
        <f>IF(D296="","",MATCH(D296,'Lista - Placas'!$Q:$Q,0)-2)</f>
        <v>4</v>
      </c>
    </row>
    <row r="297" spans="1:15" x14ac:dyDescent="0.35">
      <c r="A297" t="s">
        <v>75</v>
      </c>
      <c r="B297" t="s">
        <v>772</v>
      </c>
      <c r="C297" s="22" t="str">
        <f t="shared" si="4"/>
        <v>DHM72 360W</v>
      </c>
      <c r="D297" t="s">
        <v>1052</v>
      </c>
      <c r="N297" s="5">
        <f>IF(B297="","",MATCH(B297,'Lista - Placas'!$2:$2,0)-1)</f>
        <v>16</v>
      </c>
      <c r="O297" s="5">
        <f>IF(D297="","",MATCH(D297,'Lista - Placas'!$Q:$Q,0)-2)</f>
        <v>5</v>
      </c>
    </row>
    <row r="298" spans="1:15" x14ac:dyDescent="0.35">
      <c r="A298" t="s">
        <v>75</v>
      </c>
      <c r="B298" t="s">
        <v>772</v>
      </c>
      <c r="C298" s="22" t="str">
        <f t="shared" si="4"/>
        <v>360</v>
      </c>
      <c r="D298" t="s">
        <v>1096</v>
      </c>
      <c r="N298" s="5">
        <f>IF(B298="","",MATCH(B298,'Lista - Placas'!$2:$2,0)-1)</f>
        <v>16</v>
      </c>
      <c r="O298" s="5">
        <f>IF(D298="","",MATCH(D298,'Lista - Placas'!$Q:$Q,0)-2)</f>
        <v>6</v>
      </c>
    </row>
    <row r="299" spans="1:15" x14ac:dyDescent="0.35">
      <c r="A299" t="s">
        <v>75</v>
      </c>
      <c r="B299" t="s">
        <v>772</v>
      </c>
      <c r="C299" s="22" t="str">
        <f t="shared" si="4"/>
        <v>DHM72 330</v>
      </c>
      <c r="D299" t="s">
        <v>1135</v>
      </c>
      <c r="N299" s="5">
        <f>IF(B299="","",MATCH(B299,'Lista - Placas'!$2:$2,0)-1)</f>
        <v>16</v>
      </c>
      <c r="O299" s="5">
        <f>IF(D299="","",MATCH(D299,'Lista - Placas'!$Q:$Q,0)-2)</f>
        <v>7</v>
      </c>
    </row>
    <row r="300" spans="1:15" x14ac:dyDescent="0.35">
      <c r="A300" t="s">
        <v>75</v>
      </c>
      <c r="B300" t="s">
        <v>772</v>
      </c>
      <c r="C300" s="22" t="str">
        <f t="shared" si="4"/>
        <v>335WP</v>
      </c>
      <c r="D300" t="s">
        <v>1171</v>
      </c>
      <c r="N300" s="5">
        <f>IF(B300="","",MATCH(B300,'Lista - Placas'!$2:$2,0)-1)</f>
        <v>16</v>
      </c>
      <c r="O300" s="5">
        <f>IF(D300="","",MATCH(D300,'Lista - Placas'!$Q:$Q,0)-2)</f>
        <v>8</v>
      </c>
    </row>
    <row r="301" spans="1:15" x14ac:dyDescent="0.35">
      <c r="A301" t="s">
        <v>75</v>
      </c>
      <c r="B301" t="s">
        <v>772</v>
      </c>
      <c r="C301" s="22" t="str">
        <f t="shared" si="4"/>
        <v>DHP72-335W</v>
      </c>
      <c r="D301" t="s">
        <v>1205</v>
      </c>
      <c r="N301" s="5">
        <f>IF(B301="","",MATCH(B301,'Lista - Placas'!$2:$2,0)-1)</f>
        <v>16</v>
      </c>
      <c r="O301" s="5">
        <f>IF(D301="","",MATCH(D301,'Lista - Placas'!$Q:$Q,0)-2)</f>
        <v>9</v>
      </c>
    </row>
    <row r="302" spans="1:15" x14ac:dyDescent="0.35">
      <c r="A302" t="s">
        <v>75</v>
      </c>
      <c r="B302" t="s">
        <v>772</v>
      </c>
      <c r="C302" s="22" t="str">
        <f t="shared" si="4"/>
        <v>DAH SOLAR DS330W</v>
      </c>
      <c r="D302" t="s">
        <v>1237</v>
      </c>
      <c r="N302" s="5">
        <f>IF(B302="","",MATCH(B302,'Lista - Placas'!$2:$2,0)-1)</f>
        <v>16</v>
      </c>
      <c r="O302" s="5">
        <f>IF(D302="","",MATCH(D302,'Lista - Placas'!$Q:$Q,0)-2)</f>
        <v>10</v>
      </c>
    </row>
    <row r="303" spans="1:15" x14ac:dyDescent="0.35">
      <c r="A303" t="s">
        <v>75</v>
      </c>
      <c r="B303" t="s">
        <v>772</v>
      </c>
      <c r="C303" s="22" t="str">
        <f t="shared" si="4"/>
        <v>DHP72 330W</v>
      </c>
      <c r="D303" t="s">
        <v>1265</v>
      </c>
      <c r="N303" s="5">
        <f>IF(B303="","",MATCH(B303,'Lista - Placas'!$2:$2,0)-1)</f>
        <v>16</v>
      </c>
      <c r="O303" s="5">
        <f>IF(D303="","",MATCH(D303,'Lista - Placas'!$Q:$Q,0)-2)</f>
        <v>11</v>
      </c>
    </row>
    <row r="304" spans="1:15" x14ac:dyDescent="0.35">
      <c r="A304" t="s">
        <v>75</v>
      </c>
      <c r="B304" t="s">
        <v>772</v>
      </c>
      <c r="C304" s="22" t="str">
        <f t="shared" si="4"/>
        <v>HCP72X9 355W</v>
      </c>
      <c r="D304" t="s">
        <v>1293</v>
      </c>
      <c r="N304" s="5">
        <f>IF(B304="","",MATCH(B304,'Lista - Placas'!$2:$2,0)-1)</f>
        <v>16</v>
      </c>
      <c r="O304" s="5">
        <f>IF(D304="","",MATCH(D304,'Lista - Placas'!$Q:$Q,0)-2)</f>
        <v>12</v>
      </c>
    </row>
    <row r="305" spans="1:15" x14ac:dyDescent="0.35">
      <c r="A305" t="s">
        <v>75</v>
      </c>
      <c r="B305" t="s">
        <v>772</v>
      </c>
      <c r="C305" s="22" t="str">
        <f t="shared" si="4"/>
        <v xml:space="preserve">HCP72X9-405W </v>
      </c>
      <c r="D305" t="s">
        <v>1321</v>
      </c>
      <c r="N305" s="5">
        <f>IF(B305="","",MATCH(B305,'Lista - Placas'!$2:$2,0)-1)</f>
        <v>16</v>
      </c>
      <c r="O305" s="5">
        <f>IF(D305="","",MATCH(D305,'Lista - Placas'!$Q:$Q,0)-2)</f>
        <v>13</v>
      </c>
    </row>
    <row r="306" spans="1:15" x14ac:dyDescent="0.35">
      <c r="A306" t="s">
        <v>75</v>
      </c>
      <c r="B306" t="s">
        <v>772</v>
      </c>
      <c r="C306" s="22" t="str">
        <f t="shared" si="4"/>
        <v xml:space="preserve">HCP72X9-360W </v>
      </c>
      <c r="D306" t="s">
        <v>1348</v>
      </c>
      <c r="E306" s="12">
        <v>0.36</v>
      </c>
      <c r="F306" s="12">
        <v>2.012</v>
      </c>
      <c r="G306" s="12" t="s">
        <v>76</v>
      </c>
      <c r="H306" s="12" t="s">
        <v>77</v>
      </c>
      <c r="I306" s="12" t="s">
        <v>78</v>
      </c>
      <c r="J306" s="12" t="s">
        <v>79</v>
      </c>
      <c r="K306" s="12" t="s">
        <v>80</v>
      </c>
      <c r="L306" s="12">
        <v>0.03</v>
      </c>
      <c r="M306" s="12" t="s">
        <v>81</v>
      </c>
      <c r="N306" s="5">
        <f>IF(B306="","",MATCH(B306,'Lista - Placas'!$2:$2,0)-1)</f>
        <v>16</v>
      </c>
      <c r="O306" s="5">
        <f>IF(D306="","",MATCH(D306,'Lista - Placas'!$Q:$Q,0)-2)</f>
        <v>14</v>
      </c>
    </row>
    <row r="307" spans="1:15" x14ac:dyDescent="0.35">
      <c r="A307" t="s">
        <v>75</v>
      </c>
      <c r="B307" t="s">
        <v>772</v>
      </c>
      <c r="C307" s="22" t="str">
        <f t="shared" si="4"/>
        <v>HCP72X9 365W</v>
      </c>
      <c r="D307" t="s">
        <v>1374</v>
      </c>
      <c r="E307" s="12">
        <v>0.36499999999999999</v>
      </c>
      <c r="F307" s="12">
        <v>2.012</v>
      </c>
      <c r="G307" s="12" t="s">
        <v>82</v>
      </c>
      <c r="H307" s="12" t="s">
        <v>83</v>
      </c>
      <c r="I307" s="12" t="s">
        <v>84</v>
      </c>
      <c r="J307" s="12" t="s">
        <v>85</v>
      </c>
      <c r="K307" s="12" t="s">
        <v>86</v>
      </c>
      <c r="L307" s="12">
        <v>0.03</v>
      </c>
      <c r="M307" s="12" t="s">
        <v>81</v>
      </c>
      <c r="N307" s="5">
        <f>IF(B307="","",MATCH(B307,'Lista - Placas'!$2:$2,0)-1)</f>
        <v>16</v>
      </c>
      <c r="O307" s="5">
        <f>IF(D307="","",MATCH(D307,'Lista - Placas'!$Q:$Q,0)-2)</f>
        <v>15</v>
      </c>
    </row>
    <row r="308" spans="1:15" x14ac:dyDescent="0.35">
      <c r="A308" t="s">
        <v>75</v>
      </c>
      <c r="B308" t="s">
        <v>772</v>
      </c>
      <c r="C308" s="22" t="str">
        <f t="shared" si="4"/>
        <v>DHP72X-340W</v>
      </c>
      <c r="D308" t="s">
        <v>1398</v>
      </c>
      <c r="N308" s="5">
        <f>IF(B308="","",MATCH(B308,'Lista - Placas'!$2:$2,0)-1)</f>
        <v>16</v>
      </c>
      <c r="O308" s="5">
        <f>IF(D308="","",MATCH(D308,'Lista - Placas'!$Q:$Q,0)-2)</f>
        <v>16</v>
      </c>
    </row>
    <row r="309" spans="1:15" x14ac:dyDescent="0.35">
      <c r="A309" t="s">
        <v>75</v>
      </c>
      <c r="B309" t="s">
        <v>772</v>
      </c>
      <c r="C309" s="22" t="str">
        <f t="shared" si="4"/>
        <v>HCM72X9-405W</v>
      </c>
      <c r="D309" t="s">
        <v>1420</v>
      </c>
      <c r="N309" s="5">
        <f>IF(B309="","",MATCH(B309,'Lista - Placas'!$2:$2,0)-1)</f>
        <v>16</v>
      </c>
      <c r="O309" s="5">
        <f>IF(D309="","",MATCH(D309,'Lista - Placas'!$Q:$Q,0)-2)</f>
        <v>17</v>
      </c>
    </row>
    <row r="310" spans="1:15" x14ac:dyDescent="0.35">
      <c r="A310" t="s">
        <v>75</v>
      </c>
      <c r="B310" t="s">
        <v>772</v>
      </c>
      <c r="C310" s="22" t="str">
        <f t="shared" si="4"/>
        <v>DHM72-335</v>
      </c>
      <c r="D310" t="s">
        <v>1441</v>
      </c>
      <c r="N310" s="5">
        <f>IF(B310="","",MATCH(B310,'Lista - Placas'!$2:$2,0)-1)</f>
        <v>16</v>
      </c>
      <c r="O310" s="5">
        <f>IF(D310="","",MATCH(D310,'Lista - Placas'!$Q:$Q,0)-2)</f>
        <v>18</v>
      </c>
    </row>
    <row r="311" spans="1:15" x14ac:dyDescent="0.35">
      <c r="A311" t="s">
        <v>75</v>
      </c>
      <c r="B311" t="s">
        <v>772</v>
      </c>
      <c r="C311" s="22" t="str">
        <f t="shared" si="4"/>
        <v>DHP72-310W</v>
      </c>
      <c r="D311" t="s">
        <v>1459</v>
      </c>
      <c r="N311" s="5">
        <f>IF(B311="","",MATCH(B311,'Lista - Placas'!$2:$2,0)-1)</f>
        <v>16</v>
      </c>
      <c r="O311" s="5">
        <f>IF(D311="","",MATCH(D311,'Lista - Placas'!$Q:$Q,0)-2)</f>
        <v>19</v>
      </c>
    </row>
    <row r="312" spans="1:15" x14ac:dyDescent="0.35">
      <c r="A312" t="s">
        <v>75</v>
      </c>
      <c r="B312" t="s">
        <v>772</v>
      </c>
      <c r="C312" s="22" t="str">
        <f t="shared" si="4"/>
        <v>HCM60X9-335W</v>
      </c>
      <c r="D312" t="s">
        <v>1477</v>
      </c>
      <c r="N312" s="5">
        <f>IF(B312="","",MATCH(B312,'Lista - Placas'!$2:$2,0)-1)</f>
        <v>16</v>
      </c>
      <c r="O312" s="5">
        <f>IF(D312="","",MATCH(D312,'Lista - Placas'!$Q:$Q,0)-2)</f>
        <v>20</v>
      </c>
    </row>
    <row r="313" spans="1:15" x14ac:dyDescent="0.35">
      <c r="A313" t="s">
        <v>75</v>
      </c>
      <c r="B313" t="s">
        <v>772</v>
      </c>
      <c r="C313" s="22" t="str">
        <f t="shared" si="4"/>
        <v>HCM78X9-445W</v>
      </c>
      <c r="D313" t="s">
        <v>1493</v>
      </c>
      <c r="N313" s="5">
        <f>IF(B313="","",MATCH(B313,'Lista - Placas'!$2:$2,0)-1)</f>
        <v>16</v>
      </c>
      <c r="O313" s="5">
        <f>IF(D313="","",MATCH(D313,'Lista - Placas'!$Q:$Q,0)-2)</f>
        <v>21</v>
      </c>
    </row>
    <row r="314" spans="1:15" x14ac:dyDescent="0.35">
      <c r="A314" t="s">
        <v>75</v>
      </c>
      <c r="B314" t="s">
        <v>772</v>
      </c>
      <c r="C314" s="22" t="str">
        <f t="shared" si="4"/>
        <v>HCP78X9-400</v>
      </c>
      <c r="D314" t="s">
        <v>1507</v>
      </c>
      <c r="E314" s="12">
        <v>0.4</v>
      </c>
      <c r="F314" s="12">
        <v>2</v>
      </c>
      <c r="G314" s="5" t="s">
        <v>119</v>
      </c>
      <c r="H314" s="5" t="s">
        <v>120</v>
      </c>
      <c r="I314" s="5" t="s">
        <v>121</v>
      </c>
      <c r="J314" s="5" t="s">
        <v>122</v>
      </c>
      <c r="K314" s="5" t="s">
        <v>123</v>
      </c>
      <c r="L314" s="5" t="s">
        <v>118</v>
      </c>
      <c r="M314" s="12" t="s">
        <v>81</v>
      </c>
      <c r="N314" s="5">
        <f>IF(B314="","",MATCH(B314,'Lista - Placas'!$2:$2,0)-1)</f>
        <v>16</v>
      </c>
      <c r="O314" s="5">
        <f>IF(D314="","",MATCH(D314,'Lista - Placas'!$Q:$Q,0)-2)</f>
        <v>22</v>
      </c>
    </row>
    <row r="315" spans="1:15" x14ac:dyDescent="0.35">
      <c r="A315" t="s">
        <v>75</v>
      </c>
      <c r="B315" t="s">
        <v>772</v>
      </c>
      <c r="C315" s="22" t="str">
        <f t="shared" si="4"/>
        <v>HCP72X9-370W</v>
      </c>
      <c r="D315" t="s">
        <v>1521</v>
      </c>
      <c r="E315" s="12">
        <v>0.37</v>
      </c>
      <c r="F315" s="12">
        <v>2.012</v>
      </c>
      <c r="G315" s="12" t="s">
        <v>87</v>
      </c>
      <c r="H315" s="12" t="s">
        <v>88</v>
      </c>
      <c r="I315" s="12" t="s">
        <v>89</v>
      </c>
      <c r="J315" s="12" t="s">
        <v>90</v>
      </c>
      <c r="K315" s="12" t="s">
        <v>91</v>
      </c>
      <c r="L315" s="12">
        <v>0.03</v>
      </c>
      <c r="M315" s="12" t="s">
        <v>81</v>
      </c>
      <c r="N315" s="5">
        <f>IF(B315="","",MATCH(B315,'Lista - Placas'!$2:$2,0)-1)</f>
        <v>16</v>
      </c>
      <c r="O315" s="5">
        <f>IF(D315="","",MATCH(D315,'Lista - Placas'!$Q:$Q,0)-2)</f>
        <v>23</v>
      </c>
    </row>
    <row r="316" spans="1:15" x14ac:dyDescent="0.35">
      <c r="A316" t="s">
        <v>75</v>
      </c>
      <c r="B316" t="s">
        <v>772</v>
      </c>
      <c r="C316" s="22" t="str">
        <f t="shared" si="4"/>
        <v>HCM72X9 - 400W</v>
      </c>
      <c r="D316" t="s">
        <v>1535</v>
      </c>
      <c r="N316" s="5">
        <f>IF(B316="","",MATCH(B316,'Lista - Placas'!$2:$2,0)-1)</f>
        <v>16</v>
      </c>
      <c r="O316" s="5">
        <f>IF(D316="","",MATCH(D316,'Lista - Placas'!$Q:$Q,0)-2)</f>
        <v>24</v>
      </c>
    </row>
    <row r="317" spans="1:15" x14ac:dyDescent="0.35">
      <c r="A317" t="s">
        <v>75</v>
      </c>
      <c r="B317" t="s">
        <v>772</v>
      </c>
      <c r="C317" s="22" t="str">
        <f t="shared" si="4"/>
        <v>HCP78X9 410W</v>
      </c>
      <c r="D317" t="s">
        <v>1549</v>
      </c>
      <c r="N317" s="5">
        <f>IF(B317="","",MATCH(B317,'Lista - Placas'!$2:$2,0)-1)</f>
        <v>16</v>
      </c>
      <c r="O317" s="5">
        <f>IF(D317="","",MATCH(D317,'Lista - Placas'!$Q:$Q,0)-2)</f>
        <v>25</v>
      </c>
    </row>
    <row r="318" spans="1:15" x14ac:dyDescent="0.35">
      <c r="A318" t="s">
        <v>75</v>
      </c>
      <c r="B318" t="s">
        <v>772</v>
      </c>
      <c r="C318" s="22" t="str">
        <f t="shared" si="4"/>
        <v>HCM72X9-410W</v>
      </c>
      <c r="D318" t="s">
        <v>1562</v>
      </c>
      <c r="N318" s="5">
        <f>IF(B318="","",MATCH(B318,'Lista - Placas'!$2:$2,0)-1)</f>
        <v>16</v>
      </c>
      <c r="O318" s="5">
        <f>IF(D318="","",MATCH(D318,'Lista - Placas'!$Q:$Q,0)-2)</f>
        <v>26</v>
      </c>
    </row>
    <row r="319" spans="1:15" x14ac:dyDescent="0.35">
      <c r="A319" t="s">
        <v>75</v>
      </c>
      <c r="B319" t="s">
        <v>772</v>
      </c>
      <c r="C319" s="22" t="str">
        <f t="shared" si="4"/>
        <v>HCM78X9 - 440W</v>
      </c>
      <c r="D319" t="s">
        <v>1574</v>
      </c>
      <c r="N319" s="5">
        <f>IF(B319="","",MATCH(B319,'Lista - Placas'!$2:$2,0)-1)</f>
        <v>16</v>
      </c>
      <c r="O319" s="5">
        <f>IF(D319="","",MATCH(D319,'Lista - Placas'!$Q:$Q,0)-2)</f>
        <v>27</v>
      </c>
    </row>
    <row r="320" spans="1:15" x14ac:dyDescent="0.35">
      <c r="A320" t="s">
        <v>75</v>
      </c>
      <c r="B320" t="s">
        <v>772</v>
      </c>
      <c r="C320" s="22" t="str">
        <f t="shared" si="4"/>
        <v>DHM72-365</v>
      </c>
      <c r="D320" t="s">
        <v>1585</v>
      </c>
      <c r="N320" s="5">
        <f>IF(B320="","",MATCH(B320,'Lista - Placas'!$2:$2,0)-1)</f>
        <v>16</v>
      </c>
      <c r="O320" s="5">
        <f>IF(D320="","",MATCH(D320,'Lista - Placas'!$Q:$Q,0)-2)</f>
        <v>28</v>
      </c>
    </row>
    <row r="321" spans="1:15" x14ac:dyDescent="0.35">
      <c r="A321" t="s">
        <v>75</v>
      </c>
      <c r="B321" t="s">
        <v>772</v>
      </c>
      <c r="C321" s="22" t="str">
        <f t="shared" si="4"/>
        <v>HCP78X9 360W</v>
      </c>
      <c r="D321" t="s">
        <v>1596</v>
      </c>
      <c r="N321" s="5">
        <f>IF(B321="","",MATCH(B321,'Lista - Placas'!$2:$2,0)-1)</f>
        <v>16</v>
      </c>
      <c r="O321" s="5">
        <f>IF(D321="","",MATCH(D321,'Lista - Placas'!$Q:$Q,0)-2)</f>
        <v>29</v>
      </c>
    </row>
    <row r="322" spans="1:15" x14ac:dyDescent="0.35">
      <c r="A322" t="s">
        <v>75</v>
      </c>
      <c r="B322" t="s">
        <v>772</v>
      </c>
      <c r="C322" s="22" t="str">
        <f t="shared" si="4"/>
        <v>HCP78X9-405W</v>
      </c>
      <c r="D322" t="s">
        <v>1607</v>
      </c>
      <c r="E322" s="12">
        <v>0.40500000000000003</v>
      </c>
      <c r="F322" s="12">
        <v>2</v>
      </c>
      <c r="G322" s="5" t="s">
        <v>124</v>
      </c>
      <c r="H322" s="5" t="s">
        <v>125</v>
      </c>
      <c r="I322" s="5" t="s">
        <v>126</v>
      </c>
      <c r="J322" s="5" t="s">
        <v>127</v>
      </c>
      <c r="K322" s="5" t="s">
        <v>128</v>
      </c>
      <c r="L322" s="5" t="s">
        <v>118</v>
      </c>
      <c r="M322" s="12" t="s">
        <v>81</v>
      </c>
      <c r="N322" s="5">
        <f>IF(B322="","",MATCH(B322,'Lista - Placas'!$2:$2,0)-1)</f>
        <v>16</v>
      </c>
      <c r="O322" s="5">
        <f>IF(D322="","",MATCH(D322,'Lista - Placas'!$Q:$Q,0)-2)</f>
        <v>30</v>
      </c>
    </row>
    <row r="323" spans="1:15" x14ac:dyDescent="0.35">
      <c r="A323" t="s">
        <v>75</v>
      </c>
      <c r="B323" t="s">
        <v>772</v>
      </c>
      <c r="C323" s="22" t="str">
        <f t="shared" ref="C323:C364" si="5">RIGHT(D323,LEN(D323)-(FIND(" - ", D323)+2))</f>
        <v xml:space="preserve">HCM72X9-405W </v>
      </c>
      <c r="D323" t="s">
        <v>1617</v>
      </c>
      <c r="E323" s="12">
        <v>0.40500000000000003</v>
      </c>
      <c r="F323" s="12">
        <v>1.98</v>
      </c>
      <c r="G323" s="12" t="s">
        <v>129</v>
      </c>
      <c r="H323" s="5" t="s">
        <v>93</v>
      </c>
      <c r="I323" s="12" t="s">
        <v>130</v>
      </c>
      <c r="J323" s="12" t="s">
        <v>131</v>
      </c>
      <c r="K323" s="5" t="s">
        <v>132</v>
      </c>
      <c r="L323" s="5" t="s">
        <v>118</v>
      </c>
      <c r="M323" s="12" t="s">
        <v>102</v>
      </c>
      <c r="N323" s="5">
        <f>IF(B323="","",MATCH(B323,'Lista - Placas'!$2:$2,0)-1)</f>
        <v>16</v>
      </c>
      <c r="O323" s="5">
        <f>IF(D323="","",MATCH(D323,'Lista - Placas'!$Q:$Q,0)-2)</f>
        <v>31</v>
      </c>
    </row>
    <row r="324" spans="1:15" x14ac:dyDescent="0.35">
      <c r="A324" t="s">
        <v>75</v>
      </c>
      <c r="B324" t="s">
        <v>772</v>
      </c>
      <c r="C324" s="22" t="str">
        <f t="shared" si="5"/>
        <v>HCM72X9-415W</v>
      </c>
      <c r="D324" t="s">
        <v>1626</v>
      </c>
      <c r="N324" s="5">
        <f>IF(B324="","",MATCH(B324,'Lista - Placas'!$2:$2,0)-1)</f>
        <v>16</v>
      </c>
      <c r="O324" s="5">
        <f>IF(D324="","",MATCH(D324,'Lista - Placas'!$Q:$Q,0)-2)</f>
        <v>32</v>
      </c>
    </row>
    <row r="325" spans="1:15" x14ac:dyDescent="0.35">
      <c r="A325" t="s">
        <v>75</v>
      </c>
      <c r="B325" t="s">
        <v>772</v>
      </c>
      <c r="C325" s="22" t="str">
        <f t="shared" si="5"/>
        <v>HCP72X9-380W</v>
      </c>
      <c r="D325" t="s">
        <v>1635</v>
      </c>
      <c r="N325" s="5">
        <f>IF(B325="","",MATCH(B325,'Lista - Placas'!$2:$2,0)-1)</f>
        <v>16</v>
      </c>
      <c r="O325" s="5">
        <f>IF(D325="","",MATCH(D325,'Lista - Placas'!$Q:$Q,0)-2)</f>
        <v>33</v>
      </c>
    </row>
    <row r="326" spans="1:15" x14ac:dyDescent="0.35">
      <c r="A326" t="s">
        <v>75</v>
      </c>
      <c r="B326" t="s">
        <v>772</v>
      </c>
      <c r="C326" s="22" t="str">
        <f t="shared" si="5"/>
        <v>HCP78X9-415W</v>
      </c>
      <c r="D326" t="s">
        <v>1644</v>
      </c>
      <c r="N326" s="5">
        <f>IF(B326="","",MATCH(B326,'Lista - Placas'!$2:$2,0)-1)</f>
        <v>16</v>
      </c>
      <c r="O326" s="5">
        <f>IF(D326="","",MATCH(D326,'Lista - Placas'!$Q:$Q,0)-2)</f>
        <v>34</v>
      </c>
    </row>
    <row r="327" spans="1:15" x14ac:dyDescent="0.35">
      <c r="A327" t="s">
        <v>75</v>
      </c>
      <c r="B327" t="s">
        <v>772</v>
      </c>
      <c r="C327" s="22" t="str">
        <f t="shared" si="5"/>
        <v>HCP72X9-375W</v>
      </c>
      <c r="D327" t="s">
        <v>1653</v>
      </c>
      <c r="E327" s="12">
        <v>0.375</v>
      </c>
      <c r="F327" s="12">
        <v>2.012</v>
      </c>
      <c r="G327" s="12" t="s">
        <v>92</v>
      </c>
      <c r="H327" s="12" t="s">
        <v>93</v>
      </c>
      <c r="I327" s="12" t="s">
        <v>94</v>
      </c>
      <c r="J327" s="12" t="s">
        <v>95</v>
      </c>
      <c r="K327" s="12" t="s">
        <v>96</v>
      </c>
      <c r="L327" s="12">
        <v>0.03</v>
      </c>
      <c r="M327" s="12" t="s">
        <v>81</v>
      </c>
      <c r="N327" s="5">
        <f>IF(B327="","",MATCH(B327,'Lista - Placas'!$2:$2,0)-1)</f>
        <v>16</v>
      </c>
      <c r="O327" s="5">
        <f>IF(D327="","",MATCH(D327,'Lista - Placas'!$Q:$Q,0)-2)</f>
        <v>35</v>
      </c>
    </row>
    <row r="328" spans="1:15" x14ac:dyDescent="0.35">
      <c r="A328" t="s">
        <v>75</v>
      </c>
      <c r="B328" t="s">
        <v>772</v>
      </c>
      <c r="C328" s="22" t="str">
        <f t="shared" si="5"/>
        <v>DHM-72L9 445W</v>
      </c>
      <c r="D328" t="s">
        <v>1661</v>
      </c>
      <c r="E328" s="5">
        <v>0.44500000000000001</v>
      </c>
      <c r="F328" s="5">
        <v>2.17</v>
      </c>
      <c r="G328" s="5" t="s">
        <v>153</v>
      </c>
      <c r="H328" s="5" t="s">
        <v>154</v>
      </c>
      <c r="I328" s="5" t="s">
        <v>155</v>
      </c>
      <c r="J328" s="5" t="s">
        <v>156</v>
      </c>
      <c r="K328" s="5" t="s">
        <v>157</v>
      </c>
      <c r="L328" s="5" t="s">
        <v>118</v>
      </c>
      <c r="M328" s="12" t="s">
        <v>102</v>
      </c>
      <c r="N328" s="5">
        <f>IF(B328="","",MATCH(B328,'Lista - Placas'!$2:$2,0)-1)</f>
        <v>16</v>
      </c>
      <c r="O328" s="5">
        <f>IF(D328="","",MATCH(D328,'Lista - Placas'!$Q:$Q,0)-2)</f>
        <v>36</v>
      </c>
    </row>
    <row r="329" spans="1:15" x14ac:dyDescent="0.35">
      <c r="A329" t="s">
        <v>75</v>
      </c>
      <c r="B329" t="s">
        <v>772</v>
      </c>
      <c r="C329" s="22" t="str">
        <f t="shared" si="5"/>
        <v>DHM-72L9 - 440W</v>
      </c>
      <c r="D329" t="s">
        <v>1669</v>
      </c>
      <c r="N329" s="5">
        <f>IF(B329="","",MATCH(B329,'Lista - Placas'!$2:$2,0)-1)</f>
        <v>16</v>
      </c>
      <c r="O329" s="5">
        <f>IF(D329="","",MATCH(D329,'Lista - Placas'!$Q:$Q,0)-2)</f>
        <v>37</v>
      </c>
    </row>
    <row r="330" spans="1:15" x14ac:dyDescent="0.35">
      <c r="A330" t="s">
        <v>75</v>
      </c>
      <c r="B330" t="s">
        <v>772</v>
      </c>
      <c r="C330" s="22" t="str">
        <f t="shared" si="5"/>
        <v>DHM-72L9 - 440W</v>
      </c>
      <c r="D330" t="s">
        <v>1676</v>
      </c>
      <c r="N330" s="5">
        <f>IF(B330="","",MATCH(B330,'Lista - Placas'!$2:$2,0)-1)</f>
        <v>16</v>
      </c>
      <c r="O330" s="5">
        <f>IF(D330="","",MATCH(D330,'Lista - Placas'!$Q:$Q,0)-2)</f>
        <v>38</v>
      </c>
    </row>
    <row r="331" spans="1:15" x14ac:dyDescent="0.35">
      <c r="A331" t="s">
        <v>75</v>
      </c>
      <c r="B331" t="s">
        <v>772</v>
      </c>
      <c r="C331" s="22" t="str">
        <f t="shared" si="5"/>
        <v>DHM-72L9/BF-450W</v>
      </c>
      <c r="D331" t="s">
        <v>1683</v>
      </c>
      <c r="E331" s="5">
        <v>0.45</v>
      </c>
      <c r="F331" s="5">
        <v>2.17</v>
      </c>
      <c r="G331" s="5" t="s">
        <v>158</v>
      </c>
      <c r="H331" s="5" t="s">
        <v>159</v>
      </c>
      <c r="I331" s="5" t="s">
        <v>160</v>
      </c>
      <c r="J331" s="5" t="s">
        <v>161</v>
      </c>
      <c r="K331" s="5" t="s">
        <v>162</v>
      </c>
      <c r="L331" s="5" t="s">
        <v>118</v>
      </c>
      <c r="M331" s="12" t="s">
        <v>102</v>
      </c>
      <c r="N331" s="5">
        <f>IF(B331="","",MATCH(B331,'Lista - Placas'!$2:$2,0)-1)</f>
        <v>16</v>
      </c>
      <c r="O331" s="5">
        <f>IF(D331="","",MATCH(D331,'Lista - Placas'!$Q:$Q,0)-2)</f>
        <v>39</v>
      </c>
    </row>
    <row r="332" spans="1:15" x14ac:dyDescent="0.35">
      <c r="A332" t="s">
        <v>75</v>
      </c>
      <c r="B332" t="s">
        <v>772</v>
      </c>
      <c r="C332" s="22" t="str">
        <f t="shared" si="5"/>
        <v>DHM-72X10 - 530</v>
      </c>
      <c r="D332" t="s">
        <v>1690</v>
      </c>
      <c r="N332" s="5">
        <f>IF(B332="","",MATCH(B332,'Lista - Placas'!$2:$2,0)-1)</f>
        <v>16</v>
      </c>
      <c r="O332" s="5">
        <f>IF(D332="","",MATCH(D332,'Lista - Placas'!$Q:$Q,0)-2)</f>
        <v>40</v>
      </c>
    </row>
    <row r="333" spans="1:15" x14ac:dyDescent="0.35">
      <c r="A333" t="s">
        <v>75</v>
      </c>
      <c r="B333" t="s">
        <v>772</v>
      </c>
      <c r="C333" s="22" t="str">
        <f t="shared" si="5"/>
        <v>DHM-72X10-540W</v>
      </c>
      <c r="D333" t="s">
        <v>1697</v>
      </c>
      <c r="N333" s="5">
        <f>IF(B333="","",MATCH(B333,'Lista - Placas'!$2:$2,0)-1)</f>
        <v>16</v>
      </c>
      <c r="O333" s="5">
        <f>IF(D333="","",MATCH(D333,'Lista - Placas'!$Q:$Q,0)-2)</f>
        <v>41</v>
      </c>
    </row>
    <row r="334" spans="1:15" x14ac:dyDescent="0.35">
      <c r="A334" t="s">
        <v>75</v>
      </c>
      <c r="B334" t="s">
        <v>772</v>
      </c>
      <c r="C334" s="22" t="str">
        <f t="shared" si="5"/>
        <v>HCM78X9-445</v>
      </c>
      <c r="D334" t="s">
        <v>1704</v>
      </c>
      <c r="N334" s="5">
        <f>IF(B334="","",MATCH(B334,'Lista - Placas'!$2:$2,0)-1)</f>
        <v>16</v>
      </c>
      <c r="O334" s="5">
        <f>IF(D334="","",MATCH(D334,'Lista - Placas'!$Q:$Q,0)-2)</f>
        <v>42</v>
      </c>
    </row>
    <row r="335" spans="1:15" x14ac:dyDescent="0.35">
      <c r="A335" t="s">
        <v>75</v>
      </c>
      <c r="B335" t="s">
        <v>772</v>
      </c>
      <c r="C335" s="22" t="str">
        <f t="shared" si="5"/>
        <v>DHM-72-10- 545W</v>
      </c>
      <c r="D335" t="s">
        <v>1711</v>
      </c>
      <c r="E335" s="5">
        <v>0.54500000000000004</v>
      </c>
      <c r="F335" s="5">
        <v>2.58</v>
      </c>
      <c r="G335" t="s">
        <v>3804</v>
      </c>
      <c r="H335" t="s">
        <v>3806</v>
      </c>
      <c r="I335" t="s">
        <v>3807</v>
      </c>
      <c r="J335" t="s">
        <v>3805</v>
      </c>
      <c r="K335" t="s">
        <v>3808</v>
      </c>
      <c r="L335" s="22" t="s">
        <v>118</v>
      </c>
      <c r="M335" s="12" t="s">
        <v>102</v>
      </c>
      <c r="N335" s="5">
        <f>IF(B335="","",MATCH(B335,'Lista - Placas'!$2:$2,0)-1)</f>
        <v>16</v>
      </c>
      <c r="O335" s="5">
        <f>IF(D335="","",MATCH(D335,'Lista - Placas'!$Q:$Q,0)-2)</f>
        <v>43</v>
      </c>
    </row>
    <row r="336" spans="1:15" x14ac:dyDescent="0.35">
      <c r="A336" t="s">
        <v>75</v>
      </c>
      <c r="B336" t="s">
        <v>772</v>
      </c>
      <c r="C336" s="22" t="str">
        <f t="shared" si="5"/>
        <v>DHM-72L9-450W</v>
      </c>
      <c r="D336" t="s">
        <v>1718</v>
      </c>
      <c r="N336" s="5">
        <f>IF(B336="","",MATCH(B336,'Lista - Placas'!$2:$2,0)-1)</f>
        <v>16</v>
      </c>
      <c r="O336" s="5">
        <f>IF(D336="","",MATCH(D336,'Lista - Placas'!$Q:$Q,0)-2)</f>
        <v>44</v>
      </c>
    </row>
    <row r="337" spans="1:15" x14ac:dyDescent="0.35">
      <c r="A337" t="s">
        <v>75</v>
      </c>
      <c r="B337" t="s">
        <v>772</v>
      </c>
      <c r="C337" s="22" t="str">
        <f t="shared" si="5"/>
        <v>DHM-60X10 445W</v>
      </c>
      <c r="D337" t="s">
        <v>1725</v>
      </c>
      <c r="N337" s="5">
        <f>IF(B337="","",MATCH(B337,'Lista - Placas'!$2:$2,0)-1)</f>
        <v>16</v>
      </c>
      <c r="O337" s="5">
        <f>IF(D337="","",MATCH(D337,'Lista - Placas'!$Q:$Q,0)-2)</f>
        <v>45</v>
      </c>
    </row>
    <row r="338" spans="1:15" x14ac:dyDescent="0.35">
      <c r="A338" t="s">
        <v>75</v>
      </c>
      <c r="B338" t="s">
        <v>772</v>
      </c>
      <c r="C338" s="22" t="str">
        <f t="shared" si="5"/>
        <v>DHM-72X10/DG - 545W</v>
      </c>
      <c r="D338" t="s">
        <v>1732</v>
      </c>
      <c r="N338" s="5">
        <f>IF(B338="","",MATCH(B338,'Lista - Placas'!$2:$2,0)-1)</f>
        <v>16</v>
      </c>
      <c r="O338" s="5">
        <f>IF(D338="","",MATCH(D338,'Lista - Placas'!$Q:$Q,0)-2)</f>
        <v>46</v>
      </c>
    </row>
    <row r="339" spans="1:15" x14ac:dyDescent="0.35">
      <c r="A339" t="s">
        <v>75</v>
      </c>
      <c r="B339" t="s">
        <v>772</v>
      </c>
      <c r="C339" s="22" t="str">
        <f t="shared" si="5"/>
        <v>DHM-60L9-360W</v>
      </c>
      <c r="D339" t="s">
        <v>1739</v>
      </c>
      <c r="N339" s="5">
        <f>IF(B339="","",MATCH(B339,'Lista - Placas'!$2:$2,0)-1)</f>
        <v>16</v>
      </c>
      <c r="O339" s="5">
        <f>IF(D339="","",MATCH(D339,'Lista - Placas'!$Q:$Q,0)-2)</f>
        <v>47</v>
      </c>
    </row>
    <row r="340" spans="1:15" x14ac:dyDescent="0.35">
      <c r="A340" t="s">
        <v>75</v>
      </c>
      <c r="B340" t="s">
        <v>772</v>
      </c>
      <c r="C340" s="22" t="str">
        <f t="shared" si="5"/>
        <v>DHM-72L9/BF-545W</v>
      </c>
      <c r="D340" t="s">
        <v>1746</v>
      </c>
      <c r="N340" s="5">
        <f>IF(B340="","",MATCH(B340,'Lista - Placas'!$2:$2,0)-1)</f>
        <v>16</v>
      </c>
      <c r="O340" s="5">
        <f>IF(D340="","",MATCH(D340,'Lista - Placas'!$Q:$Q,0)-2)</f>
        <v>48</v>
      </c>
    </row>
    <row r="341" spans="1:15" x14ac:dyDescent="0.35">
      <c r="A341" t="s">
        <v>75</v>
      </c>
      <c r="B341" t="s">
        <v>772</v>
      </c>
      <c r="C341" s="22" t="str">
        <f t="shared" si="5"/>
        <v>DHT-M72X10/BF-545</v>
      </c>
      <c r="D341" t="s">
        <v>1753</v>
      </c>
      <c r="N341" s="5">
        <f>IF(B341="","",MATCH(B341,'Lista - Placas'!$2:$2,0)-1)</f>
        <v>16</v>
      </c>
      <c r="O341" s="5">
        <f>IF(D341="","",MATCH(D341,'Lista - Placas'!$Q:$Q,0)-2)</f>
        <v>49</v>
      </c>
    </row>
    <row r="342" spans="1:15" x14ac:dyDescent="0.35">
      <c r="A342" t="s">
        <v>75</v>
      </c>
      <c r="B342" t="s">
        <v>772</v>
      </c>
      <c r="C342" s="22" t="str">
        <f t="shared" si="5"/>
        <v>DHM-60X10-445W</v>
      </c>
      <c r="D342" t="s">
        <v>1759</v>
      </c>
      <c r="N342" s="5">
        <f>IF(B342="","",MATCH(B342,'Lista - Placas'!$2:$2,0)-1)</f>
        <v>16</v>
      </c>
      <c r="O342" s="5">
        <f>IF(D342="","",MATCH(D342,'Lista - Placas'!$Q:$Q,0)-2)</f>
        <v>50</v>
      </c>
    </row>
    <row r="343" spans="1:15" x14ac:dyDescent="0.35">
      <c r="A343" t="s">
        <v>75</v>
      </c>
      <c r="B343" t="s">
        <v>772</v>
      </c>
      <c r="C343" s="22" t="str">
        <f t="shared" si="5"/>
        <v>DHM-72L9/BF-450W</v>
      </c>
      <c r="D343" t="s">
        <v>1765</v>
      </c>
      <c r="N343" s="5">
        <f>IF(B343="","",MATCH(B343,'Lista - Placas'!$2:$2,0)-1)</f>
        <v>16</v>
      </c>
      <c r="O343" s="5">
        <f>IF(D343="","",MATCH(D343,'Lista - Placas'!$Q:$Q,0)-2)</f>
        <v>51</v>
      </c>
    </row>
    <row r="344" spans="1:15" x14ac:dyDescent="0.35">
      <c r="A344" t="s">
        <v>75</v>
      </c>
      <c r="B344" t="s">
        <v>772</v>
      </c>
      <c r="C344" s="22" t="str">
        <f t="shared" si="5"/>
        <v>FSM-60X10 - 445W</v>
      </c>
      <c r="D344" t="s">
        <v>1771</v>
      </c>
      <c r="N344" s="5">
        <f>IF(B344="","",MATCH(B344,'Lista - Placas'!$2:$2,0)-1)</f>
        <v>16</v>
      </c>
      <c r="O344" s="5">
        <f>IF(D344="","",MATCH(D344,'Lista - Placas'!$Q:$Q,0)-2)</f>
        <v>52</v>
      </c>
    </row>
    <row r="345" spans="1:15" x14ac:dyDescent="0.35">
      <c r="A345" t="s">
        <v>75</v>
      </c>
      <c r="B345" t="s">
        <v>772</v>
      </c>
      <c r="C345" s="22" t="str">
        <f t="shared" si="5"/>
        <v>DHT-M72X10</v>
      </c>
      <c r="D345" t="s">
        <v>1777</v>
      </c>
      <c r="N345" s="5">
        <f>IF(B345="","",MATCH(B345,'Lista - Placas'!$2:$2,0)-1)</f>
        <v>16</v>
      </c>
      <c r="O345" s="5">
        <f>IF(D345="","",MATCH(D345,'Lista - Placas'!$Q:$Q,0)-2)</f>
        <v>53</v>
      </c>
    </row>
    <row r="346" spans="1:15" x14ac:dyDescent="0.35">
      <c r="A346" t="s">
        <v>75</v>
      </c>
      <c r="B346" t="s">
        <v>772</v>
      </c>
      <c r="C346" s="22" t="str">
        <f t="shared" si="5"/>
        <v>DHM-72L9-BF/440</v>
      </c>
      <c r="D346" t="s">
        <v>1783</v>
      </c>
      <c r="N346" s="5">
        <f>IF(B346="","",MATCH(B346,'Lista - Placas'!$2:$2,0)-1)</f>
        <v>16</v>
      </c>
      <c r="O346" s="5">
        <f>IF(D346="","",MATCH(D346,'Lista - Placas'!$Q:$Q,0)-2)</f>
        <v>54</v>
      </c>
    </row>
    <row r="347" spans="1:15" x14ac:dyDescent="0.35">
      <c r="A347" t="s">
        <v>75</v>
      </c>
      <c r="B347" t="s">
        <v>772</v>
      </c>
      <c r="C347" s="22" t="str">
        <f t="shared" si="5"/>
        <v>DHM-72X10-545W</v>
      </c>
      <c r="D347" t="s">
        <v>1789</v>
      </c>
      <c r="N347" s="5">
        <f>IF(B347="","",MATCH(B347,'Lista - Placas'!$2:$2,0)-1)</f>
        <v>16</v>
      </c>
      <c r="O347" s="5">
        <f>IF(D347="","",MATCH(D347,'Lista - Placas'!$Q:$Q,0)-2)</f>
        <v>55</v>
      </c>
    </row>
    <row r="348" spans="1:15" x14ac:dyDescent="0.35">
      <c r="A348" t="s">
        <v>75</v>
      </c>
      <c r="B348" t="s">
        <v>772</v>
      </c>
      <c r="C348" s="22" t="str">
        <f t="shared" si="5"/>
        <v>DHM-72X10/BF 545W</v>
      </c>
      <c r="D348" t="s">
        <v>1795</v>
      </c>
      <c r="N348" s="5">
        <f>IF(B348="","",MATCH(B348,'Lista - Placas'!$2:$2,0)-1)</f>
        <v>16</v>
      </c>
      <c r="O348" s="5">
        <f>IF(D348="","",MATCH(D348,'Lista - Placas'!$Q:$Q,0)-2)</f>
        <v>56</v>
      </c>
    </row>
    <row r="349" spans="1:15" x14ac:dyDescent="0.35">
      <c r="A349" t="s">
        <v>75</v>
      </c>
      <c r="B349" t="s">
        <v>772</v>
      </c>
      <c r="C349" s="22" t="str">
        <f t="shared" si="5"/>
        <v>FSM-60X10 - 450W</v>
      </c>
      <c r="D349" t="s">
        <v>1801</v>
      </c>
      <c r="N349" s="5">
        <f>IF(B349="","",MATCH(B349,'Lista - Placas'!$2:$2,0)-1)</f>
        <v>16</v>
      </c>
      <c r="O349" s="5">
        <f>IF(D349="","",MATCH(D349,'Lista - Placas'!$Q:$Q,0)-2)</f>
        <v>57</v>
      </c>
    </row>
    <row r="350" spans="1:15" x14ac:dyDescent="0.35">
      <c r="A350" t="s">
        <v>75</v>
      </c>
      <c r="B350" t="s">
        <v>772</v>
      </c>
      <c r="C350" s="22" t="str">
        <f t="shared" si="5"/>
        <v>HCM-78X9 - 450W</v>
      </c>
      <c r="D350" t="s">
        <v>1807</v>
      </c>
      <c r="N350" s="5">
        <f>IF(B350="","",MATCH(B350,'Lista - Placas'!$2:$2,0)-1)</f>
        <v>16</v>
      </c>
      <c r="O350" s="5">
        <f>IF(D350="","",MATCH(D350,'Lista - Placas'!$Q:$Q,0)-2)</f>
        <v>58</v>
      </c>
    </row>
    <row r="351" spans="1:15" x14ac:dyDescent="0.35">
      <c r="A351" t="s">
        <v>75</v>
      </c>
      <c r="B351" t="s">
        <v>772</v>
      </c>
      <c r="C351" s="22" t="str">
        <f t="shared" si="5"/>
        <v>DHM72L9 530W</v>
      </c>
      <c r="D351" t="s">
        <v>1813</v>
      </c>
      <c r="N351" s="5">
        <f>IF(B351="","",MATCH(B351,'Lista - Placas'!$2:$2,0)-1)</f>
        <v>16</v>
      </c>
      <c r="O351" s="5">
        <f>IF(D351="","",MATCH(D351,'Lista - Placas'!$Q:$Q,0)-2)</f>
        <v>59</v>
      </c>
    </row>
    <row r="352" spans="1:15" x14ac:dyDescent="0.35">
      <c r="A352" t="s">
        <v>75</v>
      </c>
      <c r="B352" t="s">
        <v>772</v>
      </c>
      <c r="C352" s="22" t="str">
        <f t="shared" si="5"/>
        <v>FSM-60X10 460W</v>
      </c>
      <c r="D352" t="s">
        <v>1819</v>
      </c>
      <c r="N352" s="5">
        <f>IF(B352="","",MATCH(B352,'Lista - Placas'!$2:$2,0)-1)</f>
        <v>16</v>
      </c>
      <c r="O352" s="5">
        <f>IF(D352="","",MATCH(D352,'Lista - Placas'!$Q:$Q,0)-2)</f>
        <v>60</v>
      </c>
    </row>
    <row r="353" spans="1:15" x14ac:dyDescent="0.35">
      <c r="A353" t="s">
        <v>75</v>
      </c>
      <c r="B353" t="s">
        <v>772</v>
      </c>
      <c r="C353" s="22" t="str">
        <f t="shared" si="5"/>
        <v>AE460HM6L-60</v>
      </c>
      <c r="D353" t="s">
        <v>1824</v>
      </c>
      <c r="N353" s="5">
        <f>IF(B353="","",MATCH(B353,'Lista - Placas'!$2:$2,0)-1)</f>
        <v>16</v>
      </c>
      <c r="O353" s="5">
        <f>IF(D353="","",MATCH(D353,'Lista - Placas'!$Q:$Q,0)-2)</f>
        <v>61</v>
      </c>
    </row>
    <row r="354" spans="1:15" x14ac:dyDescent="0.35">
      <c r="A354" t="s">
        <v>75</v>
      </c>
      <c r="B354" t="s">
        <v>772</v>
      </c>
      <c r="C354" s="22" t="str">
        <f t="shared" si="5"/>
        <v>DHM-72X10 550W</v>
      </c>
      <c r="D354" t="s">
        <v>1829</v>
      </c>
      <c r="E354" s="22">
        <v>0.55000000000000004</v>
      </c>
      <c r="F354" s="22">
        <v>2.58</v>
      </c>
      <c r="G354" s="21" t="s">
        <v>3966</v>
      </c>
      <c r="H354" s="21" t="s">
        <v>3967</v>
      </c>
      <c r="I354" s="21" t="s">
        <v>3968</v>
      </c>
      <c r="J354" s="21" t="s">
        <v>3969</v>
      </c>
      <c r="K354" s="21" t="s">
        <v>3970</v>
      </c>
      <c r="L354" s="22" t="s">
        <v>118</v>
      </c>
      <c r="M354" s="12" t="s">
        <v>102</v>
      </c>
      <c r="N354" s="5">
        <f>IF(B354="","",MATCH(B354,'Lista - Placas'!$2:$2,0)-1)</f>
        <v>16</v>
      </c>
      <c r="O354" s="5">
        <f>IF(D354="","",MATCH(D354,'Lista - Placas'!$Q:$Q,0)-2)</f>
        <v>62</v>
      </c>
    </row>
    <row r="355" spans="1:15" x14ac:dyDescent="0.35">
      <c r="A355" t="s">
        <v>75</v>
      </c>
      <c r="B355" t="s">
        <v>772</v>
      </c>
      <c r="C355" s="22" t="str">
        <f t="shared" si="5"/>
        <v>DHM-72X10 535</v>
      </c>
      <c r="D355" t="s">
        <v>1834</v>
      </c>
      <c r="N355" s="5">
        <f>IF(B355="","",MATCH(B355,'Lista - Placas'!$2:$2,0)-1)</f>
        <v>16</v>
      </c>
      <c r="O355" s="5">
        <f>IF(D355="","",MATCH(D355,'Lista - Placas'!$Q:$Q,0)-2)</f>
        <v>63</v>
      </c>
    </row>
    <row r="356" spans="1:15" x14ac:dyDescent="0.35">
      <c r="A356" t="s">
        <v>75</v>
      </c>
      <c r="B356" t="s">
        <v>772</v>
      </c>
      <c r="C356" s="22" t="str">
        <f t="shared" si="5"/>
        <v>DHT-M60X10-460W</v>
      </c>
      <c r="D356" t="s">
        <v>1839</v>
      </c>
      <c r="N356" s="5">
        <f>IF(B356="","",MATCH(B356,'Lista - Placas'!$2:$2,0)-1)</f>
        <v>16</v>
      </c>
      <c r="O356" s="5">
        <f>IF(D356="","",MATCH(D356,'Lista - Placas'!$Q:$Q,0)-2)</f>
        <v>64</v>
      </c>
    </row>
    <row r="357" spans="1:15" x14ac:dyDescent="0.35">
      <c r="A357" t="s">
        <v>75</v>
      </c>
      <c r="B357" t="s">
        <v>772</v>
      </c>
      <c r="C357" s="22" t="str">
        <f t="shared" si="5"/>
        <v>DHM-60X10 440W</v>
      </c>
      <c r="D357" t="s">
        <v>1843</v>
      </c>
      <c r="N357" s="5">
        <f>IF(B357="","",MATCH(B357,'Lista - Placas'!$2:$2,0)-1)</f>
        <v>16</v>
      </c>
      <c r="O357" s="5">
        <f>IF(D357="","",MATCH(D357,'Lista - Placas'!$Q:$Q,0)-2)</f>
        <v>65</v>
      </c>
    </row>
    <row r="358" spans="1:15" x14ac:dyDescent="0.35">
      <c r="A358" t="s">
        <v>75</v>
      </c>
      <c r="B358" t="s">
        <v>772</v>
      </c>
      <c r="C358" s="22" t="str">
        <f t="shared" si="5"/>
        <v>DHP72X-340W</v>
      </c>
      <c r="D358" t="s">
        <v>1847</v>
      </c>
      <c r="N358" s="5">
        <f>IF(B358="","",MATCH(B358,'Lista - Placas'!$2:$2,0)-1)</f>
        <v>16</v>
      </c>
      <c r="O358" s="5">
        <f>IF(D358="","",MATCH(D358,'Lista - Placas'!$Q:$Q,0)-2)</f>
        <v>66</v>
      </c>
    </row>
    <row r="359" spans="1:15" x14ac:dyDescent="0.35">
      <c r="A359" t="s">
        <v>75</v>
      </c>
      <c r="B359" t="s">
        <v>772</v>
      </c>
      <c r="C359" s="22" t="str">
        <f t="shared" si="5"/>
        <v>DHT-M60X10 460W</v>
      </c>
      <c r="D359" t="s">
        <v>1851</v>
      </c>
      <c r="N359" s="5">
        <f>IF(B359="","",MATCH(B359,'Lista - Placas'!$2:$2,0)-1)</f>
        <v>16</v>
      </c>
      <c r="O359" s="5">
        <f>IF(D359="","",MATCH(D359,'Lista - Placas'!$Q:$Q,0)-2)</f>
        <v>67</v>
      </c>
    </row>
    <row r="360" spans="1:15" x14ac:dyDescent="0.35">
      <c r="A360" t="s">
        <v>75</v>
      </c>
      <c r="B360" t="s">
        <v>772</v>
      </c>
      <c r="C360" s="22" t="str">
        <f t="shared" si="5"/>
        <v>DHM-72X10/BF 540W</v>
      </c>
      <c r="D360" t="s">
        <v>1855</v>
      </c>
      <c r="N360" s="5">
        <f>IF(B360="","",MATCH(B360,'Lista - Placas'!$2:$2,0)-1)</f>
        <v>16</v>
      </c>
      <c r="O360" s="5">
        <f>IF(D360="","",MATCH(D360,'Lista - Placas'!$Q:$Q,0)-2)</f>
        <v>68</v>
      </c>
    </row>
    <row r="361" spans="1:15" x14ac:dyDescent="0.35">
      <c r="A361" t="s">
        <v>75</v>
      </c>
      <c r="B361" t="s">
        <v>772</v>
      </c>
      <c r="C361" s="22" t="str">
        <f t="shared" si="5"/>
        <v>DHM-72L9 - 450W</v>
      </c>
      <c r="D361" t="s">
        <v>1859</v>
      </c>
      <c r="N361" s="5">
        <f>IF(B361="","",MATCH(B361,'Lista - Placas'!$2:$2,0)-1)</f>
        <v>16</v>
      </c>
      <c r="O361" s="5">
        <f>IF(D361="","",MATCH(D361,'Lista - Placas'!$Q:$Q,0)-2)</f>
        <v>69</v>
      </c>
    </row>
    <row r="362" spans="1:15" x14ac:dyDescent="0.35">
      <c r="A362" t="s">
        <v>75</v>
      </c>
      <c r="B362" t="s">
        <v>772</v>
      </c>
      <c r="C362" s="22" t="str">
        <f t="shared" si="5"/>
        <v>DHM-72L9/BF 460W</v>
      </c>
      <c r="D362" t="s">
        <v>1863</v>
      </c>
      <c r="E362" s="5">
        <v>0.46</v>
      </c>
      <c r="F362" s="5">
        <v>2.17</v>
      </c>
      <c r="G362" s="5" t="s">
        <v>168</v>
      </c>
      <c r="H362" s="5" t="s">
        <v>169</v>
      </c>
      <c r="I362" s="5" t="s">
        <v>170</v>
      </c>
      <c r="J362" s="5" t="s">
        <v>171</v>
      </c>
      <c r="K362" s="5" t="s">
        <v>172</v>
      </c>
      <c r="L362" s="5" t="s">
        <v>118</v>
      </c>
      <c r="M362" s="12" t="s">
        <v>102</v>
      </c>
      <c r="N362" s="5">
        <f>IF(B362="","",MATCH(B362,'Lista - Placas'!$2:$2,0)-1)</f>
        <v>16</v>
      </c>
      <c r="O362" s="5">
        <f>IF(D362="","",MATCH(D362,'Lista - Placas'!$Q:$Q,0)-2)</f>
        <v>70</v>
      </c>
    </row>
    <row r="363" spans="1:15" x14ac:dyDescent="0.35">
      <c r="A363" t="s">
        <v>75</v>
      </c>
      <c r="B363" t="s">
        <v>772</v>
      </c>
      <c r="C363" s="22" t="str">
        <f t="shared" si="5"/>
        <v>FSM-60X10 - 440W</v>
      </c>
      <c r="D363" t="s">
        <v>1867</v>
      </c>
      <c r="N363" s="5">
        <f>IF(B363="","",MATCH(B363,'Lista - Placas'!$2:$2,0)-1)</f>
        <v>16</v>
      </c>
      <c r="O363" s="5">
        <f>IF(D363="","",MATCH(D363,'Lista - Placas'!$Q:$Q,0)-2)</f>
        <v>71</v>
      </c>
    </row>
    <row r="364" spans="1:15" x14ac:dyDescent="0.35">
      <c r="A364" t="s">
        <v>75</v>
      </c>
      <c r="B364" t="s">
        <v>772</v>
      </c>
      <c r="C364" s="22" t="str">
        <f t="shared" si="5"/>
        <v>DHM-72X10/BF 550W</v>
      </c>
      <c r="D364" t="s">
        <v>1871</v>
      </c>
      <c r="N364" s="5">
        <f>IF(B364="","",MATCH(B364,'Lista - Placas'!$2:$2,0)-1)</f>
        <v>16</v>
      </c>
      <c r="O364" s="5">
        <f>IF(D364="","",MATCH(D364,'Lista - Placas'!$Q:$Q,0)-2)</f>
        <v>72</v>
      </c>
    </row>
    <row r="365" spans="1:15" x14ac:dyDescent="0.35">
      <c r="A365" t="s">
        <v>746</v>
      </c>
      <c r="B365" t="s">
        <v>746</v>
      </c>
      <c r="C365" s="22" t="str">
        <f t="shared" ref="C365:C377" si="6">RIGHT(D365,LEN(D365)-(FIND(" - ", D365)+2))</f>
        <v>320W</v>
      </c>
      <c r="D365" t="s">
        <v>820</v>
      </c>
      <c r="N365" s="5">
        <f>IF(B365="","",MATCH(B365,'Lista - Placas'!$2:$2,0)-1)</f>
        <v>18</v>
      </c>
      <c r="O365" s="5">
        <f>IF(D365="","",MATCH(D365,'Lista - Placas'!$S:$S,0)-2)</f>
        <v>1</v>
      </c>
    </row>
    <row r="366" spans="1:15" x14ac:dyDescent="0.35">
      <c r="A366" t="s">
        <v>746</v>
      </c>
      <c r="B366" t="s">
        <v>746</v>
      </c>
      <c r="C366" s="22" t="str">
        <f t="shared" si="6"/>
        <v>DHP340W</v>
      </c>
      <c r="D366" t="s">
        <v>897</v>
      </c>
      <c r="N366" s="5">
        <f>IF(B366="","",MATCH(B366,'Lista - Placas'!$2:$2,0)-1)</f>
        <v>18</v>
      </c>
      <c r="O366" s="5">
        <f>IF(D366="","",MATCH(D366,'Lista - Placas'!$S:$S,0)-2)</f>
        <v>2</v>
      </c>
    </row>
    <row r="367" spans="1:15" x14ac:dyDescent="0.35">
      <c r="A367" t="s">
        <v>746</v>
      </c>
      <c r="B367" t="s">
        <v>746</v>
      </c>
      <c r="C367" s="22" t="str">
        <f t="shared" si="6"/>
        <v>ELGIM 330W</v>
      </c>
      <c r="D367" t="s">
        <v>955</v>
      </c>
      <c r="N367" s="5">
        <f>IF(B367="","",MATCH(B367,'Lista - Placas'!$2:$2,0)-1)</f>
        <v>18</v>
      </c>
      <c r="O367" s="5">
        <f>IF(D367="","",MATCH(D367,'Lista - Placas'!$S:$S,0)-2)</f>
        <v>3</v>
      </c>
    </row>
    <row r="368" spans="1:15" x14ac:dyDescent="0.35">
      <c r="A368" t="s">
        <v>746</v>
      </c>
      <c r="B368" t="s">
        <v>746</v>
      </c>
      <c r="C368" s="22" t="str">
        <f t="shared" si="6"/>
        <v>ELGIN - 370W</v>
      </c>
      <c r="D368" t="s">
        <v>1007</v>
      </c>
      <c r="N368" s="5">
        <f>IF(B368="","",MATCH(B368,'Lista - Placas'!$2:$2,0)-1)</f>
        <v>18</v>
      </c>
      <c r="O368" s="5">
        <f>IF(D368="","",MATCH(D368,'Lista - Placas'!$S:$S,0)-2)</f>
        <v>4</v>
      </c>
    </row>
    <row r="369" spans="1:15" x14ac:dyDescent="0.35">
      <c r="A369" t="s">
        <v>746</v>
      </c>
      <c r="B369" t="s">
        <v>746</v>
      </c>
      <c r="C369" s="22" t="str">
        <f t="shared" si="6"/>
        <v>ELGIN-380</v>
      </c>
      <c r="D369" t="s">
        <v>1053</v>
      </c>
      <c r="N369" s="5">
        <f>IF(B369="","",MATCH(B369,'Lista - Placas'!$2:$2,0)-1)</f>
        <v>18</v>
      </c>
      <c r="O369" s="5">
        <f>IF(D369="","",MATCH(D369,'Lista - Placas'!$S:$S,0)-2)</f>
        <v>5</v>
      </c>
    </row>
    <row r="370" spans="1:15" x14ac:dyDescent="0.35">
      <c r="A370" t="s">
        <v>746</v>
      </c>
      <c r="B370" t="s">
        <v>746</v>
      </c>
      <c r="C370" s="22" t="str">
        <f t="shared" si="6"/>
        <v>ELGIN 340W</v>
      </c>
      <c r="D370" t="s">
        <v>1097</v>
      </c>
      <c r="N370" s="5">
        <f>IF(B370="","",MATCH(B370,'Lista - Placas'!$2:$2,0)-1)</f>
        <v>18</v>
      </c>
      <c r="O370" s="5">
        <f>IF(D370="","",MATCH(D370,'Lista - Placas'!$S:$S,0)-2)</f>
        <v>6</v>
      </c>
    </row>
    <row r="371" spans="1:15" x14ac:dyDescent="0.35">
      <c r="A371" t="s">
        <v>746</v>
      </c>
      <c r="B371" t="s">
        <v>746</v>
      </c>
      <c r="C371" s="22" t="str">
        <f t="shared" si="6"/>
        <v>ELGIN 400 W</v>
      </c>
      <c r="D371" t="s">
        <v>1136</v>
      </c>
      <c r="N371" s="5">
        <f>IF(B371="","",MATCH(B371,'Lista - Placas'!$2:$2,0)-1)</f>
        <v>18</v>
      </c>
      <c r="O371" s="5">
        <f>IF(D371="","",MATCH(D371,'Lista - Placas'!$S:$S,0)-2)</f>
        <v>7</v>
      </c>
    </row>
    <row r="372" spans="1:15" x14ac:dyDescent="0.35">
      <c r="A372" t="s">
        <v>746</v>
      </c>
      <c r="B372" t="s">
        <v>746</v>
      </c>
      <c r="C372" s="22" t="str">
        <f t="shared" si="6"/>
        <v>ELGIN 450W</v>
      </c>
      <c r="D372" t="s">
        <v>1172</v>
      </c>
      <c r="N372" s="5">
        <f>IF(B372="","",MATCH(B372,'Lista - Placas'!$2:$2,0)-1)</f>
        <v>18</v>
      </c>
      <c r="O372" s="5">
        <f>IF(D372="","",MATCH(D372,'Lista - Placas'!$S:$S,0)-2)</f>
        <v>8</v>
      </c>
    </row>
    <row r="373" spans="1:15" x14ac:dyDescent="0.35">
      <c r="A373" t="s">
        <v>746</v>
      </c>
      <c r="B373" t="s">
        <v>746</v>
      </c>
      <c r="C373" s="22" t="str">
        <f t="shared" si="6"/>
        <v>ELGIN- 335W</v>
      </c>
      <c r="D373" t="s">
        <v>1206</v>
      </c>
      <c r="N373" s="5">
        <f>IF(B373="","",MATCH(B373,'Lista - Placas'!$2:$2,0)-1)</f>
        <v>18</v>
      </c>
      <c r="O373" s="5">
        <f>IF(D373="","",MATCH(D373,'Lista - Placas'!$S:$S,0)-2)</f>
        <v>9</v>
      </c>
    </row>
    <row r="374" spans="1:15" x14ac:dyDescent="0.35">
      <c r="A374" t="s">
        <v>746</v>
      </c>
      <c r="B374" t="s">
        <v>746</v>
      </c>
      <c r="C374" s="22" t="str">
        <f t="shared" si="6"/>
        <v>ELG545-M72HLP</v>
      </c>
      <c r="D374" t="s">
        <v>1238</v>
      </c>
      <c r="N374" s="5">
        <f>IF(B374="","",MATCH(B374,'Lista - Placas'!$2:$2,0)-1)</f>
        <v>18</v>
      </c>
      <c r="O374" s="5">
        <f>IF(D374="","",MATCH(D374,'Lista - Placas'!$S:$S,0)-2)</f>
        <v>10</v>
      </c>
    </row>
    <row r="375" spans="1:15" x14ac:dyDescent="0.35">
      <c r="A375" t="s">
        <v>746</v>
      </c>
      <c r="B375" t="s">
        <v>746</v>
      </c>
      <c r="C375" s="22" t="str">
        <f t="shared" si="6"/>
        <v>545-M72HLP</v>
      </c>
      <c r="D375" t="s">
        <v>1266</v>
      </c>
      <c r="N375" s="5">
        <f>IF(B375="","",MATCH(B375,'Lista - Placas'!$2:$2,0)-1)</f>
        <v>18</v>
      </c>
      <c r="O375" s="5">
        <f>IF(D375="","",MATCH(D375,'Lista - Placas'!$S:$S,0)-2)</f>
        <v>11</v>
      </c>
    </row>
    <row r="376" spans="1:15" x14ac:dyDescent="0.35">
      <c r="A376" t="s">
        <v>746</v>
      </c>
      <c r="B376" t="s">
        <v>746</v>
      </c>
      <c r="C376" s="22" t="str">
        <f t="shared" si="6"/>
        <v>HALF CELL 450W</v>
      </c>
      <c r="D376" t="s">
        <v>1294</v>
      </c>
      <c r="N376" s="5">
        <f>IF(B376="","",MATCH(B376,'Lista - Placas'!$2:$2,0)-1)</f>
        <v>18</v>
      </c>
      <c r="O376" s="5">
        <f>IF(D376="","",MATCH(D376,'Lista - Placas'!$S:$S,0)-2)</f>
        <v>12</v>
      </c>
    </row>
    <row r="377" spans="1:15" x14ac:dyDescent="0.35">
      <c r="A377" t="s">
        <v>773</v>
      </c>
      <c r="B377" t="s">
        <v>773</v>
      </c>
      <c r="C377" s="22" t="str">
        <f t="shared" si="6"/>
        <v>ODA330W-36-P</v>
      </c>
      <c r="D377" t="s">
        <v>821</v>
      </c>
      <c r="N377" s="5">
        <f>IF(B377="","",MATCH(B377,'Lista - Placas'!$2:$2,0)-1)</f>
        <v>19</v>
      </c>
      <c r="O377" s="5">
        <f>IF(D377="","",MATCH(D377,'Lista - Placas'!$T:$T,0)-2)</f>
        <v>1</v>
      </c>
    </row>
    <row r="378" spans="1:15" x14ac:dyDescent="0.35">
      <c r="A378" t="s">
        <v>773</v>
      </c>
      <c r="B378" t="s">
        <v>773</v>
      </c>
      <c r="C378" s="22" t="str">
        <f t="shared" ref="C378:C441" si="7">RIGHT(D378,LEN(D378)-(FIND(" - ", D378)+2))</f>
        <v>MF00450</v>
      </c>
      <c r="D378" t="s">
        <v>898</v>
      </c>
      <c r="N378" s="5">
        <f>IF(B378="","",MATCH(B378,'Lista - Placas'!$2:$2,0)-1)</f>
        <v>19</v>
      </c>
      <c r="O378" s="5">
        <f>IF(D378="","",MATCH(D378,'Lista - Placas'!$T:$T,0)-2)</f>
        <v>2</v>
      </c>
    </row>
    <row r="379" spans="1:15" x14ac:dyDescent="0.35">
      <c r="A379" t="s">
        <v>773</v>
      </c>
      <c r="B379" t="s">
        <v>773</v>
      </c>
      <c r="C379" s="22" t="str">
        <f t="shared" si="7"/>
        <v>YH450W-36MH</v>
      </c>
      <c r="D379" t="s">
        <v>956</v>
      </c>
      <c r="N379" s="5">
        <f>IF(B379="","",MATCH(B379,'Lista - Placas'!$2:$2,0)-1)</f>
        <v>19</v>
      </c>
      <c r="O379" s="5">
        <f>IF(D379="","",MATCH(D379,'Lista - Placas'!$T:$T,0)-2)</f>
        <v>3</v>
      </c>
    </row>
    <row r="380" spans="1:15" x14ac:dyDescent="0.35">
      <c r="A380" t="s">
        <v>773</v>
      </c>
      <c r="B380" t="s">
        <v>773</v>
      </c>
      <c r="C380" s="22" t="str">
        <f t="shared" si="7"/>
        <v>LF350P6-72</v>
      </c>
      <c r="D380" t="s">
        <v>1008</v>
      </c>
      <c r="N380" s="5">
        <f>IF(B380="","",MATCH(B380,'Lista - Placas'!$2:$2,0)-1)</f>
        <v>19</v>
      </c>
      <c r="O380" s="5">
        <f>IF(D380="","",MATCH(D380,'Lista - Placas'!$T:$T,0)-2)</f>
        <v>4</v>
      </c>
    </row>
    <row r="381" spans="1:15" x14ac:dyDescent="0.35">
      <c r="A381" t="s">
        <v>773</v>
      </c>
      <c r="B381" t="s">
        <v>773</v>
      </c>
      <c r="C381" s="22" t="str">
        <f t="shared" si="7"/>
        <v>MF00350- 350W</v>
      </c>
      <c r="D381" t="s">
        <v>1054</v>
      </c>
      <c r="N381" s="5">
        <f>IF(B381="","",MATCH(B381,'Lista - Placas'!$2:$2,0)-1)</f>
        <v>19</v>
      </c>
      <c r="O381" s="5">
        <f>IF(D381="","",MATCH(D381,'Lista - Placas'!$T:$T,0)-2)</f>
        <v>5</v>
      </c>
    </row>
    <row r="382" spans="1:15" x14ac:dyDescent="0.35">
      <c r="A382" t="s">
        <v>773</v>
      </c>
      <c r="B382" t="s">
        <v>773</v>
      </c>
      <c r="C382" s="22" t="str">
        <f t="shared" si="7"/>
        <v>LF500M8-78H</v>
      </c>
      <c r="D382" t="s">
        <v>1098</v>
      </c>
      <c r="N382" s="5">
        <f>IF(B382="","",MATCH(B382,'Lista - Placas'!$2:$2,0)-1)</f>
        <v>19</v>
      </c>
      <c r="O382" s="5">
        <f>IF(D382="","",MATCH(D382,'Lista - Placas'!$T:$T,0)-2)</f>
        <v>6</v>
      </c>
    </row>
    <row r="383" spans="1:15" x14ac:dyDescent="0.35">
      <c r="A383" t="s">
        <v>773</v>
      </c>
      <c r="B383" t="s">
        <v>773</v>
      </c>
      <c r="C383" s="22" t="str">
        <f t="shared" si="7"/>
        <v xml:space="preserve"> MF00500-500W</v>
      </c>
      <c r="D383" t="s">
        <v>1137</v>
      </c>
      <c r="N383" s="5">
        <f>IF(B383="","",MATCH(B383,'Lista - Placas'!$2:$2,0)-1)</f>
        <v>19</v>
      </c>
      <c r="O383" s="5">
        <f>IF(D383="","",MATCH(D383,'Lista - Placas'!$T:$T,0)-2)</f>
        <v>7</v>
      </c>
    </row>
    <row r="384" spans="1:15" x14ac:dyDescent="0.35">
      <c r="A384" t="s">
        <v>773</v>
      </c>
      <c r="B384" t="s">
        <v>773</v>
      </c>
      <c r="C384" s="22" t="str">
        <f t="shared" si="7"/>
        <v>LF605M12-60</v>
      </c>
      <c r="D384" t="s">
        <v>1173</v>
      </c>
      <c r="N384" s="5">
        <f>IF(B384="","",MATCH(B384,'Lista - Placas'!$2:$2,0)-1)</f>
        <v>19</v>
      </c>
      <c r="O384" s="5">
        <f>IF(D384="","",MATCH(D384,'Lista - Placas'!$T:$T,0)-2)</f>
        <v>8</v>
      </c>
    </row>
    <row r="385" spans="1:15" x14ac:dyDescent="0.35">
      <c r="A385" t="s">
        <v>773</v>
      </c>
      <c r="B385" t="s">
        <v>773</v>
      </c>
      <c r="C385" s="22" t="str">
        <f t="shared" si="7"/>
        <v>MF 00605</v>
      </c>
      <c r="D385" t="s">
        <v>1207</v>
      </c>
      <c r="N385" s="5">
        <f>IF(B385="","",MATCH(B385,'Lista - Placas'!$2:$2,0)-1)</f>
        <v>19</v>
      </c>
      <c r="O385" s="5">
        <f>IF(D385="","",MATCH(D385,'Lista - Placas'!$T:$T,0)-2)</f>
        <v>9</v>
      </c>
    </row>
    <row r="386" spans="1:15" x14ac:dyDescent="0.35">
      <c r="A386" t="s">
        <v>774</v>
      </c>
      <c r="B386" t="s">
        <v>774</v>
      </c>
      <c r="C386" s="22" t="str">
        <f t="shared" si="7"/>
        <v>ESPMC335</v>
      </c>
      <c r="D386" t="s">
        <v>822</v>
      </c>
      <c r="N386" s="5">
        <f>IF(B386="","",MATCH(B386,'Lista - Placas'!$2:$2,0)-1)</f>
        <v>20</v>
      </c>
      <c r="O386" s="5">
        <f>IF(D386="","",MATCH(D386,'Lista - Placas'!$U:$U,0)-2)</f>
        <v>1</v>
      </c>
    </row>
    <row r="387" spans="1:15" x14ac:dyDescent="0.35">
      <c r="A387" t="s">
        <v>774</v>
      </c>
      <c r="B387" t="s">
        <v>774</v>
      </c>
      <c r="C387" s="22" t="str">
        <f t="shared" si="7"/>
        <v>ESPMC370</v>
      </c>
      <c r="D387" t="s">
        <v>899</v>
      </c>
      <c r="N387" s="5">
        <f>IF(B387="","",MATCH(B387,'Lista - Placas'!$2:$2,0)-1)</f>
        <v>20</v>
      </c>
      <c r="O387" s="5">
        <f>IF(D387="","",MATCH(D387,'Lista - Placas'!$U:$U,0)-2)</f>
        <v>2</v>
      </c>
    </row>
    <row r="388" spans="1:15" x14ac:dyDescent="0.35">
      <c r="A388" t="s">
        <v>774</v>
      </c>
      <c r="B388" t="s">
        <v>774</v>
      </c>
      <c r="C388" s="22" t="str">
        <f t="shared" si="7"/>
        <v>ESPSC370</v>
      </c>
      <c r="D388" t="s">
        <v>957</v>
      </c>
      <c r="N388" s="5">
        <f>IF(B388="","",MATCH(B388,'Lista - Placas'!$2:$2,0)-1)</f>
        <v>20</v>
      </c>
      <c r="O388" s="5">
        <f>IF(D388="","",MATCH(D388,'Lista - Placas'!$U:$U,0)-2)</f>
        <v>3</v>
      </c>
    </row>
    <row r="389" spans="1:15" x14ac:dyDescent="0.35">
      <c r="A389" t="s">
        <v>774</v>
      </c>
      <c r="B389" t="s">
        <v>774</v>
      </c>
      <c r="C389" s="22" t="str">
        <f t="shared" si="7"/>
        <v>ESPSC390</v>
      </c>
      <c r="D389" t="s">
        <v>1009</v>
      </c>
      <c r="N389" s="5">
        <f>IF(B389="","",MATCH(B389,'Lista - Placas'!$2:$2,0)-1)</f>
        <v>20</v>
      </c>
      <c r="O389" s="5">
        <f>IF(D389="","",MATCH(D389,'Lista - Placas'!$U:$U,0)-2)</f>
        <v>4</v>
      </c>
    </row>
    <row r="390" spans="1:15" x14ac:dyDescent="0.35">
      <c r="A390" t="s">
        <v>774</v>
      </c>
      <c r="B390" t="s">
        <v>774</v>
      </c>
      <c r="C390" s="22" t="str">
        <f t="shared" si="7"/>
        <v>ESPMC 335</v>
      </c>
      <c r="D390" t="s">
        <v>1055</v>
      </c>
      <c r="N390" s="5">
        <f>IF(B390="","",MATCH(B390,'Lista - Placas'!$2:$2,0)-1)</f>
        <v>20</v>
      </c>
      <c r="O390" s="5">
        <f>IF(D390="","",MATCH(D390,'Lista - Placas'!$U:$U,0)-2)</f>
        <v>5</v>
      </c>
    </row>
    <row r="391" spans="1:15" x14ac:dyDescent="0.35">
      <c r="A391" t="s">
        <v>774</v>
      </c>
      <c r="B391" t="s">
        <v>774</v>
      </c>
      <c r="C391" s="22" t="str">
        <f t="shared" si="7"/>
        <v>ESPHSC440</v>
      </c>
      <c r="D391" t="s">
        <v>1099</v>
      </c>
      <c r="N391" s="5">
        <f>IF(B391="","",MATCH(B391,'Lista - Placas'!$2:$2,0)-1)</f>
        <v>20</v>
      </c>
      <c r="O391" s="5">
        <f>IF(D391="","",MATCH(D391,'Lista - Placas'!$U:$U,0)-2)</f>
        <v>6</v>
      </c>
    </row>
    <row r="392" spans="1:15" x14ac:dyDescent="0.35">
      <c r="A392" t="s">
        <v>774</v>
      </c>
      <c r="B392" t="s">
        <v>774</v>
      </c>
      <c r="C392" s="22" t="str">
        <f t="shared" si="7"/>
        <v>ESPSC-335M</v>
      </c>
      <c r="D392" t="s">
        <v>1138</v>
      </c>
      <c r="N392" s="5">
        <f>IF(B392="","",MATCH(B392,'Lista - Placas'!$2:$2,0)-1)</f>
        <v>20</v>
      </c>
      <c r="O392" s="5">
        <f>IF(D392="","",MATCH(D392,'Lista - Placas'!$U:$U,0)-2)</f>
        <v>7</v>
      </c>
    </row>
    <row r="393" spans="1:15" x14ac:dyDescent="0.35">
      <c r="A393" t="s">
        <v>774</v>
      </c>
      <c r="B393" t="s">
        <v>774</v>
      </c>
      <c r="C393" s="22" t="str">
        <f t="shared" si="7"/>
        <v>ESPHSC-450W</v>
      </c>
      <c r="D393" t="s">
        <v>1174</v>
      </c>
      <c r="N393" s="5">
        <f>IF(B393="","",MATCH(B393,'Lista - Placas'!$2:$2,0)-1)</f>
        <v>20</v>
      </c>
      <c r="O393" s="5">
        <f>IF(D393="","",MATCH(D393,'Lista - Placas'!$U:$U,0)-2)</f>
        <v>8</v>
      </c>
    </row>
    <row r="394" spans="1:15" x14ac:dyDescent="0.35">
      <c r="A394" t="s">
        <v>774</v>
      </c>
      <c r="B394" t="s">
        <v>774</v>
      </c>
      <c r="C394" s="22" t="str">
        <f t="shared" si="7"/>
        <v>ESPHSC 540M</v>
      </c>
      <c r="D394" t="s">
        <v>1208</v>
      </c>
      <c r="N394" s="5">
        <f>IF(B394="","",MATCH(B394,'Lista - Placas'!$2:$2,0)-1)</f>
        <v>20</v>
      </c>
      <c r="O394" s="5">
        <f>IF(D394="","",MATCH(D394,'Lista - Placas'!$U:$U,0)-2)</f>
        <v>9</v>
      </c>
    </row>
    <row r="395" spans="1:15" x14ac:dyDescent="0.35">
      <c r="A395" t="s">
        <v>774</v>
      </c>
      <c r="B395" t="s">
        <v>774</v>
      </c>
      <c r="C395" s="22" t="str">
        <f t="shared" si="7"/>
        <v>ESPSHC-450M</v>
      </c>
      <c r="D395" t="s">
        <v>1239</v>
      </c>
      <c r="N395" s="5">
        <f>IF(B395="","",MATCH(B395,'Lista - Placas'!$2:$2,0)-1)</f>
        <v>20</v>
      </c>
      <c r="O395" s="5">
        <f>IF(D395="","",MATCH(D395,'Lista - Placas'!$U:$U,0)-2)</f>
        <v>10</v>
      </c>
    </row>
    <row r="396" spans="1:15" x14ac:dyDescent="0.35">
      <c r="A396" t="s">
        <v>774</v>
      </c>
      <c r="B396" t="s">
        <v>774</v>
      </c>
      <c r="C396" s="22" t="str">
        <f t="shared" si="7"/>
        <v>BS545-36V-MH</v>
      </c>
      <c r="D396" t="s">
        <v>1267</v>
      </c>
      <c r="N396" s="5">
        <f>IF(B396="","",MATCH(B396,'Lista - Placas'!$2:$2,0)-1)</f>
        <v>20</v>
      </c>
      <c r="O396" s="5">
        <f>IF(D396="","",MATCH(D396,'Lista - Placas'!$U:$U,0)-2)</f>
        <v>11</v>
      </c>
    </row>
    <row r="397" spans="1:15" x14ac:dyDescent="0.35">
      <c r="A397" t="s">
        <v>774</v>
      </c>
      <c r="B397" t="s">
        <v>774</v>
      </c>
      <c r="C397" s="22" t="str">
        <f t="shared" si="7"/>
        <v>894 - BS545-36V-MH</v>
      </c>
      <c r="D397" t="s">
        <v>1295</v>
      </c>
      <c r="N397" s="5">
        <f>IF(B397="","",MATCH(B397,'Lista - Placas'!$2:$2,0)-1)</f>
        <v>20</v>
      </c>
      <c r="O397" s="5">
        <f>IF(D397="","",MATCH(D397,'Lista - Placas'!$U:$U,0)-2)</f>
        <v>12</v>
      </c>
    </row>
    <row r="398" spans="1:15" x14ac:dyDescent="0.35">
      <c r="A398" t="s">
        <v>774</v>
      </c>
      <c r="B398" t="s">
        <v>774</v>
      </c>
      <c r="C398" s="22" t="str">
        <f t="shared" si="7"/>
        <v>ERA-72HC 545M</v>
      </c>
      <c r="D398" t="s">
        <v>1322</v>
      </c>
      <c r="N398" s="5">
        <f>IF(B398="","",MATCH(B398,'Lista - Placas'!$2:$2,0)-1)</f>
        <v>20</v>
      </c>
      <c r="O398" s="5">
        <f>IF(D398="","",MATCH(D398,'Lista - Placas'!$U:$U,0)-2)</f>
        <v>13</v>
      </c>
    </row>
    <row r="399" spans="1:15" x14ac:dyDescent="0.35">
      <c r="A399" t="s">
        <v>774</v>
      </c>
      <c r="B399" t="s">
        <v>774</v>
      </c>
      <c r="C399" s="22" t="str">
        <f t="shared" si="7"/>
        <v>ESPMC-545W</v>
      </c>
      <c r="D399" t="s">
        <v>1349</v>
      </c>
      <c r="N399" s="5">
        <f>IF(B399="","",MATCH(B399,'Lista - Placas'!$2:$2,0)-1)</f>
        <v>20</v>
      </c>
      <c r="O399" s="5">
        <f>IF(D399="","",MATCH(D399,'Lista - Placas'!$U:$U,0)-2)</f>
        <v>14</v>
      </c>
    </row>
    <row r="400" spans="1:15" x14ac:dyDescent="0.35">
      <c r="A400" t="s">
        <v>774</v>
      </c>
      <c r="B400" t="s">
        <v>774</v>
      </c>
      <c r="C400" s="22" t="str">
        <f t="shared" si="7"/>
        <v>ESPHSC 545M</v>
      </c>
      <c r="D400" t="s">
        <v>1375</v>
      </c>
      <c r="N400" s="5">
        <f>IF(B400="","",MATCH(B400,'Lista - Placas'!$2:$2,0)-1)</f>
        <v>20</v>
      </c>
      <c r="O400" s="5">
        <f>IF(D400="","",MATCH(D400,'Lista - Placas'!$U:$U,0)-2)</f>
        <v>15</v>
      </c>
    </row>
    <row r="401" spans="1:15" x14ac:dyDescent="0.35">
      <c r="A401" t="s">
        <v>775</v>
      </c>
      <c r="B401" t="s">
        <v>775</v>
      </c>
      <c r="C401" s="22" t="str">
        <f t="shared" si="7"/>
        <v xml:space="preserve"> EX435-450M(B)-144(HC)(166)(9BB)</v>
      </c>
      <c r="D401" t="s">
        <v>823</v>
      </c>
      <c r="N401" s="5">
        <f>IF(B401="","",MATCH(B401,'Lista - Placas'!$2:$2,0)-1)</f>
        <v>21</v>
      </c>
      <c r="O401" s="5">
        <f>IF(D401="","",MATCH(D401,'Lista - Placas'!$V:$V,0)-2)</f>
        <v>1</v>
      </c>
    </row>
    <row r="402" spans="1:15" x14ac:dyDescent="0.35">
      <c r="A402" t="s">
        <v>775</v>
      </c>
      <c r="B402" t="s">
        <v>775</v>
      </c>
      <c r="C402" s="22" t="str">
        <f t="shared" si="7"/>
        <v>EX545M(B)-144(HC)(182*91BF)</v>
      </c>
      <c r="D402" t="s">
        <v>900</v>
      </c>
      <c r="N402" s="5">
        <f>IF(B402="","",MATCH(B402,'Lista - Placas'!$2:$2,0)-1)</f>
        <v>21</v>
      </c>
      <c r="O402" s="5">
        <f>IF(D402="","",MATCH(D402,'Lista - Placas'!$V:$V,0)-2)</f>
        <v>2</v>
      </c>
    </row>
    <row r="403" spans="1:15" x14ac:dyDescent="0.35">
      <c r="A403" t="s">
        <v>740</v>
      </c>
      <c r="B403" t="s">
        <v>740</v>
      </c>
      <c r="C403" s="22" t="str">
        <f t="shared" si="7"/>
        <v>310</v>
      </c>
      <c r="D403" t="s">
        <v>824</v>
      </c>
      <c r="N403" s="5">
        <f>IF(B403="","",MATCH(B403,'Lista - Placas'!$2:$2,0)-1)</f>
        <v>22</v>
      </c>
      <c r="O403" s="5">
        <f>IF(D403="","",MATCH(D403,'Lista - Placas'!$W:$W,0)-2)</f>
        <v>1</v>
      </c>
    </row>
    <row r="404" spans="1:15" x14ac:dyDescent="0.35">
      <c r="A404" t="s">
        <v>740</v>
      </c>
      <c r="B404" t="s">
        <v>740</v>
      </c>
      <c r="C404" s="22" t="str">
        <f t="shared" si="7"/>
        <v>315</v>
      </c>
      <c r="D404" t="s">
        <v>901</v>
      </c>
      <c r="N404" s="5">
        <f>IF(B404="","",MATCH(B404,'Lista - Placas'!$2:$2,0)-1)</f>
        <v>22</v>
      </c>
      <c r="O404" s="5">
        <f>IF(D404="","",MATCH(D404,'Lista - Placas'!$W:$W,0)-2)</f>
        <v>2</v>
      </c>
    </row>
    <row r="405" spans="1:15" x14ac:dyDescent="0.35">
      <c r="A405" t="s">
        <v>740</v>
      </c>
      <c r="B405" t="s">
        <v>740</v>
      </c>
      <c r="C405" s="22" t="str">
        <f t="shared" si="7"/>
        <v>P6/72H 320</v>
      </c>
      <c r="D405" t="s">
        <v>958</v>
      </c>
      <c r="N405" s="5">
        <f>IF(B405="","",MATCH(B405,'Lista - Placas'!$2:$2,0)-1)</f>
        <v>22</v>
      </c>
      <c r="O405" s="5">
        <f>IF(D405="","",MATCH(D405,'Lista - Placas'!$W:$W,0)-2)</f>
        <v>3</v>
      </c>
    </row>
    <row r="406" spans="1:15" x14ac:dyDescent="0.35">
      <c r="A406" t="s">
        <v>740</v>
      </c>
      <c r="B406" t="s">
        <v>740</v>
      </c>
      <c r="C406" s="22" t="str">
        <f t="shared" si="7"/>
        <v>P6/72H 325</v>
      </c>
      <c r="D406" t="s">
        <v>1010</v>
      </c>
      <c r="N406" s="5">
        <f>IF(B406="","",MATCH(B406,'Lista - Placas'!$2:$2,0)-1)</f>
        <v>22</v>
      </c>
      <c r="O406" s="5">
        <f>IF(D406="","",MATCH(D406,'Lista - Placas'!$W:$W,0)-2)</f>
        <v>4</v>
      </c>
    </row>
    <row r="407" spans="1:15" x14ac:dyDescent="0.35">
      <c r="A407" t="s">
        <v>740</v>
      </c>
      <c r="B407" t="s">
        <v>740</v>
      </c>
      <c r="C407" s="22" t="str">
        <f t="shared" si="7"/>
        <v>P6/72H 330</v>
      </c>
      <c r="D407" t="s">
        <v>1056</v>
      </c>
      <c r="N407" s="5">
        <f>IF(B407="","",MATCH(B407,'Lista - Placas'!$2:$2,0)-1)</f>
        <v>22</v>
      </c>
      <c r="O407" s="5">
        <f>IF(D407="","",MATCH(D407,'Lista - Placas'!$W:$W,0)-2)</f>
        <v>5</v>
      </c>
    </row>
    <row r="408" spans="1:15" x14ac:dyDescent="0.35">
      <c r="A408" t="s">
        <v>740</v>
      </c>
      <c r="B408" t="s">
        <v>740</v>
      </c>
      <c r="C408" s="22" t="str">
        <f t="shared" si="7"/>
        <v>P6/72H 335</v>
      </c>
      <c r="D408" t="s">
        <v>1100</v>
      </c>
      <c r="N408" s="5">
        <f>IF(B408="","",MATCH(B408,'Lista - Placas'!$2:$2,0)-1)</f>
        <v>22</v>
      </c>
      <c r="O408" s="5">
        <f>IF(D408="","",MATCH(D408,'Lista - Placas'!$W:$W,0)-2)</f>
        <v>6</v>
      </c>
    </row>
    <row r="409" spans="1:15" x14ac:dyDescent="0.35">
      <c r="A409" t="s">
        <v>740</v>
      </c>
      <c r="B409" t="s">
        <v>740</v>
      </c>
      <c r="C409" s="22" t="str">
        <f t="shared" si="7"/>
        <v>P6/72H 340</v>
      </c>
      <c r="D409" t="s">
        <v>1139</v>
      </c>
      <c r="N409" s="5">
        <f>IF(B409="","",MATCH(B409,'Lista - Placas'!$2:$2,0)-1)</f>
        <v>22</v>
      </c>
      <c r="O409" s="5">
        <f>IF(D409="","",MATCH(D409,'Lista - Placas'!$W:$W,0)-2)</f>
        <v>7</v>
      </c>
    </row>
    <row r="410" spans="1:15" x14ac:dyDescent="0.35">
      <c r="A410" t="s">
        <v>740</v>
      </c>
      <c r="B410" t="s">
        <v>740</v>
      </c>
      <c r="C410" s="22" t="str">
        <f t="shared" si="7"/>
        <v>P6/72H 365</v>
      </c>
      <c r="D410" t="s">
        <v>1175</v>
      </c>
      <c r="N410" s="5">
        <f>IF(B410="","",MATCH(B410,'Lista - Placas'!$2:$2,0)-1)</f>
        <v>22</v>
      </c>
      <c r="O410" s="5">
        <f>IF(D410="","",MATCH(D410,'Lista - Placas'!$W:$W,0)-2)</f>
        <v>8</v>
      </c>
    </row>
    <row r="411" spans="1:15" x14ac:dyDescent="0.35">
      <c r="A411" t="s">
        <v>740</v>
      </c>
      <c r="B411" t="s">
        <v>740</v>
      </c>
      <c r="C411" s="22" t="str">
        <f t="shared" si="7"/>
        <v>P6/60 270</v>
      </c>
      <c r="D411" t="s">
        <v>1209</v>
      </c>
      <c r="N411" s="5">
        <f>IF(B411="","",MATCH(B411,'Lista - Placas'!$2:$2,0)-1)</f>
        <v>22</v>
      </c>
      <c r="O411" s="5">
        <f>IF(D411="","",MATCH(D411,'Lista - Placas'!$W:$W,0)-2)</f>
        <v>9</v>
      </c>
    </row>
    <row r="412" spans="1:15" x14ac:dyDescent="0.35">
      <c r="A412" t="s">
        <v>740</v>
      </c>
      <c r="B412" t="s">
        <v>740</v>
      </c>
      <c r="C412" s="22" t="str">
        <f t="shared" si="7"/>
        <v xml:space="preserve">GCL-P6/72H 375W </v>
      </c>
      <c r="D412" t="s">
        <v>1240</v>
      </c>
      <c r="N412" s="5">
        <f>IF(B412="","",MATCH(B412,'Lista - Placas'!$2:$2,0)-1)</f>
        <v>22</v>
      </c>
      <c r="O412" s="5">
        <f>IF(D412="","",MATCH(D412,'Lista - Placas'!$W:$W,0)-2)</f>
        <v>10</v>
      </c>
    </row>
    <row r="413" spans="1:15" x14ac:dyDescent="0.35">
      <c r="A413" t="s">
        <v>740</v>
      </c>
      <c r="B413" t="s">
        <v>740</v>
      </c>
      <c r="C413" s="22" t="str">
        <f t="shared" si="7"/>
        <v>P6/72H370</v>
      </c>
      <c r="D413" t="s">
        <v>1268</v>
      </c>
      <c r="N413" s="5">
        <f>IF(B413="","",MATCH(B413,'Lista - Placas'!$2:$2,0)-1)</f>
        <v>22</v>
      </c>
      <c r="O413" s="5">
        <f>IF(D413="","",MATCH(D413,'Lista - Placas'!$W:$W,0)-2)</f>
        <v>11</v>
      </c>
    </row>
    <row r="414" spans="1:15" x14ac:dyDescent="0.35">
      <c r="A414" t="s">
        <v>740</v>
      </c>
      <c r="B414" t="s">
        <v>740</v>
      </c>
      <c r="C414" s="22" t="str">
        <f t="shared" si="7"/>
        <v>P6/72 345W</v>
      </c>
      <c r="D414" t="s">
        <v>1296</v>
      </c>
      <c r="N414" s="5">
        <f>IF(B414="","",MATCH(B414,'Lista - Placas'!$2:$2,0)-1)</f>
        <v>22</v>
      </c>
      <c r="O414" s="5">
        <f>IF(D414="","",MATCH(D414,'Lista - Placas'!$W:$W,0)-2)</f>
        <v>12</v>
      </c>
    </row>
    <row r="415" spans="1:15" x14ac:dyDescent="0.35">
      <c r="A415" t="s">
        <v>740</v>
      </c>
      <c r="B415" t="s">
        <v>740</v>
      </c>
      <c r="C415" s="22" t="str">
        <f t="shared" si="7"/>
        <v>GCL-M6/72H-375</v>
      </c>
      <c r="D415" t="s">
        <v>1323</v>
      </c>
      <c r="N415" s="5">
        <f>IF(B415="","",MATCH(B415,'Lista - Placas'!$2:$2,0)-1)</f>
        <v>22</v>
      </c>
      <c r="O415" s="5">
        <f>IF(D415="","",MATCH(D415,'Lista - Placas'!$W:$W,0)-2)</f>
        <v>13</v>
      </c>
    </row>
    <row r="416" spans="1:15" x14ac:dyDescent="0.35">
      <c r="A416" t="s">
        <v>740</v>
      </c>
      <c r="B416" t="s">
        <v>740</v>
      </c>
      <c r="C416" s="22" t="str">
        <f t="shared" si="7"/>
        <v>GCL-M3/72 375W</v>
      </c>
      <c r="D416" t="s">
        <v>1350</v>
      </c>
      <c r="N416" s="5">
        <f>IF(B416="","",MATCH(B416,'Lista - Placas'!$2:$2,0)-1)</f>
        <v>22</v>
      </c>
      <c r="O416" s="5">
        <f>IF(D416="","",MATCH(D416,'Lista - Placas'!$W:$W,0)-2)</f>
        <v>14</v>
      </c>
    </row>
    <row r="417" spans="1:15" x14ac:dyDescent="0.35">
      <c r="A417" t="s">
        <v>740</v>
      </c>
      <c r="B417" t="s">
        <v>740</v>
      </c>
      <c r="C417" s="22" t="str">
        <f t="shared" si="7"/>
        <v>GCL P3/72 345W</v>
      </c>
      <c r="D417" t="s">
        <v>1376</v>
      </c>
      <c r="N417" s="5">
        <f>IF(B417="","",MATCH(B417,'Lista - Placas'!$2:$2,0)-1)</f>
        <v>22</v>
      </c>
      <c r="O417" s="5">
        <f>IF(D417="","",MATCH(D417,'Lista - Placas'!$W:$W,0)-2)</f>
        <v>15</v>
      </c>
    </row>
    <row r="418" spans="1:15" x14ac:dyDescent="0.35">
      <c r="A418" t="s">
        <v>740</v>
      </c>
      <c r="B418" t="s">
        <v>740</v>
      </c>
      <c r="C418" s="22" t="str">
        <f t="shared" si="7"/>
        <v>GCL-M3/72H - 400W</v>
      </c>
      <c r="D418" t="s">
        <v>1399</v>
      </c>
      <c r="N418" s="5">
        <f>IF(B418="","",MATCH(B418,'Lista - Placas'!$2:$2,0)-1)</f>
        <v>22</v>
      </c>
      <c r="O418" s="5">
        <f>IF(D418="","",MATCH(D418,'Lista - Placas'!$W:$W,0)-2)</f>
        <v>16</v>
      </c>
    </row>
    <row r="419" spans="1:15" x14ac:dyDescent="0.35">
      <c r="A419" t="s">
        <v>740</v>
      </c>
      <c r="B419" t="s">
        <v>740</v>
      </c>
      <c r="C419" s="22" t="str">
        <f t="shared" si="7"/>
        <v>GCL-P6/72H - 345W</v>
      </c>
      <c r="D419" t="s">
        <v>1421</v>
      </c>
      <c r="N419" s="5">
        <f>IF(B419="","",MATCH(B419,'Lista - Placas'!$2:$2,0)-1)</f>
        <v>22</v>
      </c>
      <c r="O419" s="5">
        <f>IF(D419="","",MATCH(D419,'Lista - Placas'!$W:$W,0)-2)</f>
        <v>17</v>
      </c>
    </row>
    <row r="420" spans="1:15" x14ac:dyDescent="0.35">
      <c r="A420" t="s">
        <v>740</v>
      </c>
      <c r="B420" t="s">
        <v>740</v>
      </c>
      <c r="C420" s="22" t="str">
        <f t="shared" si="7"/>
        <v xml:space="preserve"> GCL-P3/72H345</v>
      </c>
      <c r="D420" t="s">
        <v>1442</v>
      </c>
      <c r="N420" s="5">
        <f>IF(B420="","",MATCH(B420,'Lista - Placas'!$2:$2,0)-1)</f>
        <v>22</v>
      </c>
      <c r="O420" s="5">
        <f>IF(D420="","",MATCH(D420,'Lista - Placas'!$W:$W,0)-2)</f>
        <v>18</v>
      </c>
    </row>
    <row r="421" spans="1:15" x14ac:dyDescent="0.35">
      <c r="A421" t="s">
        <v>740</v>
      </c>
      <c r="B421" t="s">
        <v>740</v>
      </c>
      <c r="C421" s="22" t="str">
        <f t="shared" si="7"/>
        <v>GCL-M3/72H-405W</v>
      </c>
      <c r="D421" t="s">
        <v>1460</v>
      </c>
      <c r="N421" s="5">
        <f>IF(B421="","",MATCH(B421,'Lista - Placas'!$2:$2,0)-1)</f>
        <v>22</v>
      </c>
      <c r="O421" s="5">
        <f>IF(D421="","",MATCH(D421,'Lista - Placas'!$W:$W,0)-2)</f>
        <v>19</v>
      </c>
    </row>
    <row r="422" spans="1:15" x14ac:dyDescent="0.35">
      <c r="A422" t="s">
        <v>740</v>
      </c>
      <c r="B422" t="s">
        <v>740</v>
      </c>
      <c r="C422" s="22" t="str">
        <f t="shared" si="7"/>
        <v>GCL-P6/72 330</v>
      </c>
      <c r="D422" t="s">
        <v>1478</v>
      </c>
      <c r="N422" s="5">
        <f>IF(B422="","",MATCH(B422,'Lista - Placas'!$2:$2,0)-1)</f>
        <v>22</v>
      </c>
      <c r="O422" s="5">
        <f>IF(D422="","",MATCH(D422,'Lista - Placas'!$W:$W,0)-2)</f>
        <v>20</v>
      </c>
    </row>
    <row r="423" spans="1:15" x14ac:dyDescent="0.35">
      <c r="A423" t="s">
        <v>739</v>
      </c>
      <c r="B423" t="s">
        <v>739</v>
      </c>
      <c r="C423" s="22" t="str">
        <f t="shared" si="7"/>
        <v>GRB330P</v>
      </c>
      <c r="D423" t="s">
        <v>825</v>
      </c>
      <c r="N423" s="5">
        <f>IF(B423="","",MATCH(B423,'Lista - Placas'!$2:$2,0)-1)</f>
        <v>23</v>
      </c>
      <c r="O423" s="5">
        <f>IF(D423="","",MATCH(D423,'Lista - Placas'!$X:$X,0)-2)</f>
        <v>1</v>
      </c>
    </row>
    <row r="424" spans="1:15" x14ac:dyDescent="0.35">
      <c r="A424" t="s">
        <v>739</v>
      </c>
      <c r="B424" t="s">
        <v>739</v>
      </c>
      <c r="C424" s="22" t="str">
        <f t="shared" si="7"/>
        <v>GBR320P</v>
      </c>
      <c r="D424" t="s">
        <v>902</v>
      </c>
      <c r="N424" s="5">
        <f>IF(B424="","",MATCH(B424,'Lista - Placas'!$2:$2,0)-1)</f>
        <v>23</v>
      </c>
      <c r="O424" s="5">
        <f>IF(D424="","",MATCH(D424,'Lista - Placas'!$X:$X,0)-2)</f>
        <v>2</v>
      </c>
    </row>
    <row r="425" spans="1:15" x14ac:dyDescent="0.35">
      <c r="A425" t="s">
        <v>713</v>
      </c>
      <c r="B425" t="s">
        <v>713</v>
      </c>
      <c r="C425" s="22" t="str">
        <f t="shared" si="7"/>
        <v>HMF72PH- 335A</v>
      </c>
      <c r="D425" t="s">
        <v>826</v>
      </c>
      <c r="N425" s="5">
        <f>IF(B425="","",MATCH(B425,'Lista - Placas'!$2:$2,0)-1)</f>
        <v>24</v>
      </c>
      <c r="O425" s="5">
        <f>IF(D425="","",MATCH(D425,'Lista - Placas'!$Y:$Y,0)-2)</f>
        <v>1</v>
      </c>
    </row>
    <row r="426" spans="1:15" x14ac:dyDescent="0.35">
      <c r="A426" t="s">
        <v>713</v>
      </c>
      <c r="B426" t="s">
        <v>713</v>
      </c>
      <c r="C426" s="22" t="str">
        <f t="shared" si="7"/>
        <v>HMF144M-410W</v>
      </c>
      <c r="D426" t="s">
        <v>903</v>
      </c>
      <c r="N426" s="5">
        <f>IF(B426="","",MATCH(B426,'Lista - Placas'!$2:$2,0)-1)</f>
        <v>24</v>
      </c>
      <c r="O426" s="5">
        <f>IF(D426="","",MATCH(D426,'Lista - Placas'!$Y:$Y,0)-2)</f>
        <v>2</v>
      </c>
    </row>
    <row r="427" spans="1:15" x14ac:dyDescent="0.35">
      <c r="A427" t="s">
        <v>713</v>
      </c>
      <c r="B427" t="s">
        <v>713</v>
      </c>
      <c r="C427" s="22" t="str">
        <f t="shared" si="7"/>
        <v>HMF144M 400W</v>
      </c>
      <c r="D427" t="s">
        <v>959</v>
      </c>
      <c r="N427" s="5">
        <f>IF(B427="","",MATCH(B427,'Lista - Placas'!$2:$2,0)-1)</f>
        <v>24</v>
      </c>
      <c r="O427" s="5">
        <f>IF(D427="","",MATCH(D427,'Lista - Placas'!$Y:$Y,0)-2)</f>
        <v>3</v>
      </c>
    </row>
    <row r="428" spans="1:15" x14ac:dyDescent="0.35">
      <c r="A428" t="s">
        <v>713</v>
      </c>
      <c r="B428" t="s">
        <v>713</v>
      </c>
      <c r="C428" s="22" t="str">
        <f t="shared" si="7"/>
        <v>HMF72P-335A</v>
      </c>
      <c r="D428" t="s">
        <v>1011</v>
      </c>
      <c r="N428" s="5">
        <f>IF(B428="","",MATCH(B428,'Lista - Placas'!$2:$2,0)-1)</f>
        <v>24</v>
      </c>
      <c r="O428" s="5">
        <f>IF(D428="","",MATCH(D428,'Lista - Placas'!$Y:$Y,0)-2)</f>
        <v>4</v>
      </c>
    </row>
    <row r="429" spans="1:15" x14ac:dyDescent="0.35">
      <c r="A429" t="s">
        <v>713</v>
      </c>
      <c r="B429" t="s">
        <v>713</v>
      </c>
      <c r="C429" s="22" t="str">
        <f t="shared" si="7"/>
        <v>HMF144M 465HL</v>
      </c>
      <c r="D429" t="s">
        <v>1057</v>
      </c>
      <c r="N429" s="5">
        <f>IF(B429="","",MATCH(B429,'Lista - Placas'!$2:$2,0)-1)</f>
        <v>24</v>
      </c>
      <c r="O429" s="5">
        <f>IF(D429="","",MATCH(D429,'Lista - Placas'!$Y:$Y,0)-2)</f>
        <v>5</v>
      </c>
    </row>
    <row r="430" spans="1:15" x14ac:dyDescent="0.35">
      <c r="A430" t="s">
        <v>776</v>
      </c>
      <c r="B430" t="s">
        <v>776</v>
      </c>
      <c r="C430" s="22" t="str">
        <f t="shared" si="7"/>
        <v>HS-72HB-450W</v>
      </c>
      <c r="D430" t="s">
        <v>827</v>
      </c>
      <c r="N430" s="5">
        <f>IF(B430="","",MATCH(B430,'Lista - Placas'!$2:$2,0)-1)</f>
        <v>25</v>
      </c>
      <c r="O430" s="5">
        <f>IF(D430="","",MATCH(D430,'Lista - Placas'!$Z:$Z,0)-2)</f>
        <v>1</v>
      </c>
    </row>
    <row r="431" spans="1:15" x14ac:dyDescent="0.35">
      <c r="A431" t="s">
        <v>777</v>
      </c>
      <c r="B431" t="s">
        <v>777</v>
      </c>
      <c r="C431" s="22" t="str">
        <f t="shared" si="7"/>
        <v>HY-M10/144H 550W</v>
      </c>
      <c r="D431" t="s">
        <v>828</v>
      </c>
      <c r="N431" s="5">
        <f>IF(B431="","",MATCH(B431,'Lista - Placas'!$2:$2,0)-1)</f>
        <v>26</v>
      </c>
      <c r="O431" s="5">
        <f>IF(D431="","",MATCH(D431,'Lista - Placas'!$AA:$AA,0)-2)</f>
        <v>1</v>
      </c>
    </row>
    <row r="432" spans="1:15" x14ac:dyDescent="0.35">
      <c r="A432" t="s">
        <v>777</v>
      </c>
      <c r="B432" t="s">
        <v>777</v>
      </c>
      <c r="C432" s="22" t="str">
        <f t="shared" si="7"/>
        <v>HY-M10/144H 530W</v>
      </c>
      <c r="D432" t="s">
        <v>904</v>
      </c>
      <c r="N432" s="5">
        <f>IF(B432="","",MATCH(B432,'Lista - Placas'!$2:$2,0)-1)</f>
        <v>26</v>
      </c>
      <c r="O432" s="5">
        <f>IF(D432="","",MATCH(D432,'Lista - Placas'!$AA:$AA,0)-2)</f>
        <v>2</v>
      </c>
    </row>
    <row r="433" spans="1:15" x14ac:dyDescent="0.35">
      <c r="A433" t="s">
        <v>777</v>
      </c>
      <c r="B433" t="s">
        <v>777</v>
      </c>
      <c r="C433" s="22" t="str">
        <f t="shared" si="7"/>
        <v>HY-M10/144H 535W</v>
      </c>
      <c r="D433" t="s">
        <v>960</v>
      </c>
      <c r="N433" s="5">
        <f>IF(B433="","",MATCH(B433,'Lista - Placas'!$2:$2,0)-1)</f>
        <v>26</v>
      </c>
      <c r="O433" s="5">
        <f>IF(D433="","",MATCH(D433,'Lista - Placas'!$AA:$AA,0)-2)</f>
        <v>3</v>
      </c>
    </row>
    <row r="434" spans="1:15" x14ac:dyDescent="0.35">
      <c r="A434" t="s">
        <v>777</v>
      </c>
      <c r="B434" t="s">
        <v>777</v>
      </c>
      <c r="C434" s="22" t="str">
        <f t="shared" si="7"/>
        <v>HY-M10/144H 540W</v>
      </c>
      <c r="D434" t="s">
        <v>1012</v>
      </c>
      <c r="N434" s="5">
        <f>IF(B434="","",MATCH(B434,'Lista - Placas'!$2:$2,0)-1)</f>
        <v>26</v>
      </c>
      <c r="O434" s="5">
        <f>IF(D434="","",MATCH(D434,'Lista - Placas'!$AA:$AA,0)-2)</f>
        <v>4</v>
      </c>
    </row>
    <row r="435" spans="1:15" x14ac:dyDescent="0.35">
      <c r="A435" t="s">
        <v>777</v>
      </c>
      <c r="B435" t="s">
        <v>777</v>
      </c>
      <c r="C435" s="22" t="str">
        <f t="shared" si="7"/>
        <v>HY-M10/144H 545W</v>
      </c>
      <c r="D435" t="s">
        <v>1058</v>
      </c>
      <c r="N435" s="5">
        <f>IF(B435="","",MATCH(B435,'Lista - Placas'!$2:$2,0)-1)</f>
        <v>26</v>
      </c>
      <c r="O435" s="5">
        <f>IF(D435="","",MATCH(D435,'Lista - Placas'!$AA:$AA,0)-2)</f>
        <v>5</v>
      </c>
    </row>
    <row r="436" spans="1:15" x14ac:dyDescent="0.35">
      <c r="A436" t="s">
        <v>778</v>
      </c>
      <c r="B436" t="s">
        <v>778</v>
      </c>
      <c r="C436" s="22" t="str">
        <f t="shared" si="7"/>
        <v>HT72-156M-C 405W</v>
      </c>
      <c r="D436" t="s">
        <v>829</v>
      </c>
      <c r="N436" s="5">
        <f>IF(B436="","",MATCH(B436,'Lista - Placas'!$2:$2,0)-1)</f>
        <v>27</v>
      </c>
      <c r="O436" s="5">
        <f>IF(D436="","",MATCH(D436,'Lista - Placas'!$AB:$AB,0)-2)</f>
        <v>1</v>
      </c>
    </row>
    <row r="437" spans="1:15" x14ac:dyDescent="0.35">
      <c r="A437" t="s">
        <v>778</v>
      </c>
      <c r="B437" t="s">
        <v>778</v>
      </c>
      <c r="C437" s="22" t="str">
        <f t="shared" si="7"/>
        <v>HT72-166M-450W</v>
      </c>
      <c r="D437" t="s">
        <v>905</v>
      </c>
      <c r="N437" s="5">
        <f>IF(B437="","",MATCH(B437,'Lista - Placas'!$2:$2,0)-1)</f>
        <v>27</v>
      </c>
      <c r="O437" s="5">
        <f>IF(D437="","",MATCH(D437,'Lista - Placas'!$AB:$AB,0)-2)</f>
        <v>2</v>
      </c>
    </row>
    <row r="438" spans="1:15" x14ac:dyDescent="0.35">
      <c r="A438" t="s">
        <v>778</v>
      </c>
      <c r="B438" t="s">
        <v>778</v>
      </c>
      <c r="C438" s="22" t="str">
        <f t="shared" si="7"/>
        <v>HT72-156P-330W</v>
      </c>
      <c r="D438" t="s">
        <v>961</v>
      </c>
      <c r="N438" s="5">
        <f>IF(B438="","",MATCH(B438,'Lista - Placas'!$2:$2,0)-1)</f>
        <v>27</v>
      </c>
      <c r="O438" s="5">
        <f>IF(D438="","",MATCH(D438,'Lista - Placas'!$AB:$AB,0)-2)</f>
        <v>3</v>
      </c>
    </row>
    <row r="439" spans="1:15" x14ac:dyDescent="0.35">
      <c r="A439" t="s">
        <v>778</v>
      </c>
      <c r="B439" t="s">
        <v>778</v>
      </c>
      <c r="C439" s="22" t="str">
        <f t="shared" si="7"/>
        <v>HT66-18X - 505W</v>
      </c>
      <c r="D439" t="s">
        <v>1013</v>
      </c>
      <c r="N439" s="5">
        <f>IF(B439="","",MATCH(B439,'Lista - Placas'!$2:$2,0)-1)</f>
        <v>27</v>
      </c>
      <c r="O439" s="5">
        <f>IF(D439="","",MATCH(D439,'Lista - Placas'!$AB:$AB,0)-2)</f>
        <v>4</v>
      </c>
    </row>
    <row r="440" spans="1:15" x14ac:dyDescent="0.35">
      <c r="A440" t="s">
        <v>778</v>
      </c>
      <c r="B440" t="s">
        <v>778</v>
      </c>
      <c r="C440" s="22" t="str">
        <f t="shared" si="7"/>
        <v>HT66-18X - 500W</v>
      </c>
      <c r="D440" t="s">
        <v>1059</v>
      </c>
      <c r="N440" s="5">
        <f>IF(B440="","",MATCH(B440,'Lista - Placas'!$2:$2,0)-1)</f>
        <v>27</v>
      </c>
      <c r="O440" s="5">
        <f>IF(D440="","",MATCH(D440,'Lista - Placas'!$AB:$AB,0)-2)</f>
        <v>5</v>
      </c>
    </row>
    <row r="441" spans="1:15" x14ac:dyDescent="0.35">
      <c r="A441" t="s">
        <v>698</v>
      </c>
      <c r="B441" t="s">
        <v>698</v>
      </c>
      <c r="C441" s="22" t="str">
        <f t="shared" si="7"/>
        <v>EMS 330P</v>
      </c>
      <c r="D441" t="s">
        <v>830</v>
      </c>
      <c r="N441" s="5">
        <f>IF(B441="","",MATCH(B441,'Lista - Placas'!$2:$2,0)-1)</f>
        <v>28</v>
      </c>
      <c r="O441" s="5">
        <f>IF(D441="","",MATCH(D441,'Lista - Placas'!$AC:$AC,0)-2)</f>
        <v>1</v>
      </c>
    </row>
    <row r="442" spans="1:15" x14ac:dyDescent="0.35">
      <c r="A442" t="s">
        <v>698</v>
      </c>
      <c r="B442" t="s">
        <v>698</v>
      </c>
      <c r="C442" s="22" t="str">
        <f t="shared" ref="C442:C505" si="8">RIGHT(D442,LEN(D442)-(FIND(" - ", D442)+2))</f>
        <v>EMSZ 345P DG</v>
      </c>
      <c r="D442" t="s">
        <v>906</v>
      </c>
      <c r="N442" s="5">
        <f>IF(B442="","",MATCH(B442,'Lista - Placas'!$2:$2,0)-1)</f>
        <v>28</v>
      </c>
      <c r="O442" s="5">
        <f>IF(D442="","",MATCH(D442,'Lista - Placas'!$AC:$AC,0)-2)</f>
        <v>2</v>
      </c>
    </row>
    <row r="443" spans="1:15" x14ac:dyDescent="0.35">
      <c r="A443" t="s">
        <v>698</v>
      </c>
      <c r="B443" t="s">
        <v>698</v>
      </c>
      <c r="C443" s="22" t="str">
        <f t="shared" si="8"/>
        <v>EMSC 330P</v>
      </c>
      <c r="D443" t="s">
        <v>962</v>
      </c>
      <c r="N443" s="5">
        <f>IF(B443="","",MATCH(B443,'Lista - Placas'!$2:$2,0)-1)</f>
        <v>28</v>
      </c>
      <c r="O443" s="5">
        <f>IF(D443="","",MATCH(D443,'Lista - Placas'!$AC:$AC,0)-2)</f>
        <v>3</v>
      </c>
    </row>
    <row r="444" spans="1:15" x14ac:dyDescent="0.35">
      <c r="A444" t="s">
        <v>698</v>
      </c>
      <c r="B444" t="s">
        <v>698</v>
      </c>
      <c r="C444" s="22" t="str">
        <f t="shared" si="8"/>
        <v>EMSZ 420M</v>
      </c>
      <c r="D444" t="s">
        <v>1014</v>
      </c>
      <c r="N444" s="5">
        <f>IF(B444="","",MATCH(B444,'Lista - Placas'!$2:$2,0)-1)</f>
        <v>28</v>
      </c>
      <c r="O444" s="5">
        <f>IF(D444="","",MATCH(D444,'Lista - Placas'!$AC:$AC,0)-2)</f>
        <v>4</v>
      </c>
    </row>
    <row r="445" spans="1:15" x14ac:dyDescent="0.35">
      <c r="A445" t="s">
        <v>698</v>
      </c>
      <c r="B445" t="s">
        <v>698</v>
      </c>
      <c r="C445" s="22" t="str">
        <f t="shared" si="8"/>
        <v>EMSZ-425M HC</v>
      </c>
      <c r="D445" t="s">
        <v>1060</v>
      </c>
      <c r="N445" s="5">
        <f>IF(B445="","",MATCH(B445,'Lista - Placas'!$2:$2,0)-1)</f>
        <v>28</v>
      </c>
      <c r="O445" s="5">
        <f>IF(D445="","",MATCH(D445,'Lista - Placas'!$AC:$AC,0)-2)</f>
        <v>5</v>
      </c>
    </row>
    <row r="446" spans="1:15" x14ac:dyDescent="0.35">
      <c r="A446" t="s">
        <v>698</v>
      </c>
      <c r="B446" t="s">
        <v>698</v>
      </c>
      <c r="C446" s="22" t="str">
        <f t="shared" si="8"/>
        <v>EMSZ-430M HC</v>
      </c>
      <c r="D446" t="s">
        <v>1101</v>
      </c>
      <c r="N446" s="5">
        <f>IF(B446="","",MATCH(B446,'Lista - Placas'!$2:$2,0)-1)</f>
        <v>28</v>
      </c>
      <c r="O446" s="5">
        <f>IF(D446="","",MATCH(D446,'Lista - Placas'!$AC:$AC,0)-2)</f>
        <v>6</v>
      </c>
    </row>
    <row r="447" spans="1:15" x14ac:dyDescent="0.35">
      <c r="A447" t="s">
        <v>698</v>
      </c>
      <c r="B447" t="s">
        <v>698</v>
      </c>
      <c r="C447" s="22" t="str">
        <f t="shared" si="8"/>
        <v>EMSZ 335P DG</v>
      </c>
      <c r="D447" t="s">
        <v>1140</v>
      </c>
      <c r="N447" s="5">
        <f>IF(B447="","",MATCH(B447,'Lista - Placas'!$2:$2,0)-1)</f>
        <v>28</v>
      </c>
      <c r="O447" s="5">
        <f>IF(D447="","",MATCH(D447,'Lista - Placas'!$AC:$AC,0)-2)</f>
        <v>7</v>
      </c>
    </row>
    <row r="448" spans="1:15" x14ac:dyDescent="0.35">
      <c r="A448" t="s">
        <v>698</v>
      </c>
      <c r="B448" t="s">
        <v>698</v>
      </c>
      <c r="C448" s="22" t="str">
        <f t="shared" si="8"/>
        <v>EMSJ-445M HC</v>
      </c>
      <c r="D448" t="s">
        <v>1176</v>
      </c>
      <c r="N448" s="5">
        <f>IF(B448="","",MATCH(B448,'Lista - Placas'!$2:$2,0)-1)</f>
        <v>28</v>
      </c>
      <c r="O448" s="5">
        <f>IF(D448="","",MATCH(D448,'Lista - Placas'!$AC:$AC,0)-2)</f>
        <v>8</v>
      </c>
    </row>
    <row r="449" spans="1:15" x14ac:dyDescent="0.35">
      <c r="A449" t="s">
        <v>698</v>
      </c>
      <c r="B449" t="s">
        <v>698</v>
      </c>
      <c r="C449" s="22" t="str">
        <f t="shared" si="8"/>
        <v>EMSJ 340P</v>
      </c>
      <c r="D449" t="s">
        <v>1210</v>
      </c>
      <c r="N449" s="5">
        <f>IF(B449="","",MATCH(B449,'Lista - Placas'!$2:$2,0)-1)</f>
        <v>28</v>
      </c>
      <c r="O449" s="5">
        <f>IF(D449="","",MATCH(D449,'Lista - Placas'!$AC:$AC,0)-2)</f>
        <v>9</v>
      </c>
    </row>
    <row r="450" spans="1:15" x14ac:dyDescent="0.35">
      <c r="A450" t="s">
        <v>698</v>
      </c>
      <c r="B450" t="s">
        <v>698</v>
      </c>
      <c r="C450" s="22" t="str">
        <f t="shared" si="8"/>
        <v xml:space="preserve"> EMSC 415M HC</v>
      </c>
      <c r="D450" t="s">
        <v>1241</v>
      </c>
      <c r="N450" s="5">
        <f>IF(B450="","",MATCH(B450,'Lista - Placas'!$2:$2,0)-1)</f>
        <v>28</v>
      </c>
      <c r="O450" s="5">
        <f>IF(D450="","",MATCH(D450,'Lista - Placas'!$AC:$AC,0)-2)</f>
        <v>10</v>
      </c>
    </row>
    <row r="451" spans="1:15" x14ac:dyDescent="0.35">
      <c r="A451" t="s">
        <v>698</v>
      </c>
      <c r="B451" t="s">
        <v>698</v>
      </c>
      <c r="C451" s="22" t="str">
        <f t="shared" si="8"/>
        <v>EMST-340P HC</v>
      </c>
      <c r="D451" t="s">
        <v>1269</v>
      </c>
      <c r="N451" s="5">
        <f>IF(B451="","",MATCH(B451,'Lista - Placas'!$2:$2,0)-1)</f>
        <v>28</v>
      </c>
      <c r="O451" s="5">
        <f>IF(D451="","",MATCH(D451,'Lista - Placas'!$AC:$AC,0)-2)</f>
        <v>11</v>
      </c>
    </row>
    <row r="452" spans="1:15" x14ac:dyDescent="0.35">
      <c r="A452" t="s">
        <v>698</v>
      </c>
      <c r="B452" t="s">
        <v>698</v>
      </c>
      <c r="C452" s="22" t="str">
        <f t="shared" si="8"/>
        <v>EMSL-590M HC</v>
      </c>
      <c r="D452" t="s">
        <v>1297</v>
      </c>
      <c r="N452" s="5">
        <f>IF(B452="","",MATCH(B452,'Lista - Placas'!$2:$2,0)-1)</f>
        <v>28</v>
      </c>
      <c r="O452" s="5">
        <f>IF(D452="","",MATCH(D452,'Lista - Placas'!$AC:$AC,0)-2)</f>
        <v>12</v>
      </c>
    </row>
    <row r="453" spans="1:15" x14ac:dyDescent="0.35">
      <c r="A453" t="s">
        <v>698</v>
      </c>
      <c r="B453" t="s">
        <v>698</v>
      </c>
      <c r="C453" s="22" t="str">
        <f t="shared" si="8"/>
        <v>EMSH 335P</v>
      </c>
      <c r="D453" t="s">
        <v>1324</v>
      </c>
      <c r="N453" s="5">
        <f>IF(B453="","",MATCH(B453,'Lista - Placas'!$2:$2,0)-1)</f>
        <v>28</v>
      </c>
      <c r="O453" s="5">
        <f>IF(D453="","",MATCH(D453,'Lista - Placas'!$AC:$AC,0)-2)</f>
        <v>13</v>
      </c>
    </row>
    <row r="454" spans="1:15" x14ac:dyDescent="0.35">
      <c r="A454" t="s">
        <v>698</v>
      </c>
      <c r="B454" t="s">
        <v>698</v>
      </c>
      <c r="C454" s="22" t="str">
        <f t="shared" si="8"/>
        <v>EMSB-535M HC</v>
      </c>
      <c r="D454" t="s">
        <v>1351</v>
      </c>
      <c r="N454" s="5">
        <f>IF(B454="","",MATCH(B454,'Lista - Placas'!$2:$2,0)-1)</f>
        <v>28</v>
      </c>
      <c r="O454" s="5">
        <f>IF(D454="","",MATCH(D454,'Lista - Placas'!$AC:$AC,0)-2)</f>
        <v>14</v>
      </c>
    </row>
    <row r="455" spans="1:15" x14ac:dyDescent="0.35">
      <c r="A455" t="s">
        <v>698</v>
      </c>
      <c r="B455" t="s">
        <v>698</v>
      </c>
      <c r="C455" s="22" t="str">
        <f t="shared" si="8"/>
        <v>ESPMC-545W</v>
      </c>
      <c r="D455" t="s">
        <v>1377</v>
      </c>
      <c r="N455" s="5">
        <f>IF(B455="","",MATCH(B455,'Lista - Placas'!$2:$2,0)-1)</f>
        <v>28</v>
      </c>
      <c r="O455" s="5">
        <f>IF(D455="","",MATCH(D455,'Lista - Placas'!$AC:$AC,0)-2)</f>
        <v>15</v>
      </c>
    </row>
    <row r="456" spans="1:15" x14ac:dyDescent="0.35">
      <c r="A456" t="s">
        <v>779</v>
      </c>
      <c r="B456" t="s">
        <v>779</v>
      </c>
      <c r="C456" s="22" t="str">
        <f t="shared" si="8"/>
        <v>JAP6-72-305/4BB-1</v>
      </c>
      <c r="D456" t="s">
        <v>831</v>
      </c>
      <c r="N456" s="5">
        <f>IF(B456="","",MATCH(B456,'Lista - Placas'!$2:$2,0)-1)</f>
        <v>29</v>
      </c>
      <c r="O456" s="5">
        <f>IF(D456="","",MATCH(D456,'Lista - Placas'!$AD:$AD,0)-2)</f>
        <v>1</v>
      </c>
    </row>
    <row r="457" spans="1:15" x14ac:dyDescent="0.35">
      <c r="A457" t="s">
        <v>779</v>
      </c>
      <c r="B457" t="s">
        <v>779</v>
      </c>
      <c r="C457" s="22" t="str">
        <f t="shared" si="8"/>
        <v>JAP6-72-310/4BB-1</v>
      </c>
      <c r="D457" t="s">
        <v>907</v>
      </c>
      <c r="N457" s="5">
        <f>IF(B457="","",MATCH(B457,'Lista - Placas'!$2:$2,0)-1)</f>
        <v>29</v>
      </c>
      <c r="O457" s="5">
        <f>IF(D457="","",MATCH(D457,'Lista - Placas'!$AD:$AD,0)-2)</f>
        <v>2</v>
      </c>
    </row>
    <row r="458" spans="1:15" x14ac:dyDescent="0.35">
      <c r="A458" t="s">
        <v>779</v>
      </c>
      <c r="B458" t="s">
        <v>779</v>
      </c>
      <c r="C458" s="22" t="str">
        <f t="shared" si="8"/>
        <v>JAP6-72-315/4BB-1</v>
      </c>
      <c r="D458" t="s">
        <v>963</v>
      </c>
      <c r="N458" s="5">
        <f>IF(B458="","",MATCH(B458,'Lista - Placas'!$2:$2,0)-1)</f>
        <v>29</v>
      </c>
      <c r="O458" s="5">
        <f>IF(D458="","",MATCH(D458,'Lista - Placas'!$AD:$AD,0)-2)</f>
        <v>3</v>
      </c>
    </row>
    <row r="459" spans="1:15" x14ac:dyDescent="0.35">
      <c r="A459" t="s">
        <v>779</v>
      </c>
      <c r="B459" t="s">
        <v>779</v>
      </c>
      <c r="C459" s="22" t="str">
        <f t="shared" si="8"/>
        <v>JAP6-72-320/4BB-1</v>
      </c>
      <c r="D459" t="s">
        <v>1015</v>
      </c>
      <c r="N459" s="5">
        <f>IF(B459="","",MATCH(B459,'Lista - Placas'!$2:$2,0)-1)</f>
        <v>29</v>
      </c>
      <c r="O459" s="5">
        <f>IF(D459="","",MATCH(D459,'Lista - Placas'!$AD:$AD,0)-2)</f>
        <v>4</v>
      </c>
    </row>
    <row r="460" spans="1:15" x14ac:dyDescent="0.35">
      <c r="A460" t="s">
        <v>779</v>
      </c>
      <c r="B460" t="s">
        <v>779</v>
      </c>
      <c r="C460" s="22" t="str">
        <f t="shared" si="8"/>
        <v>JAP6-72-325/4BB-1</v>
      </c>
      <c r="D460" t="s">
        <v>1061</v>
      </c>
      <c r="N460" s="5">
        <f>IF(B460="","",MATCH(B460,'Lista - Placas'!$2:$2,0)-1)</f>
        <v>29</v>
      </c>
      <c r="O460" s="5">
        <f>IF(D460="","",MATCH(D460,'Lista - Placas'!$AD:$AD,0)-2)</f>
        <v>5</v>
      </c>
    </row>
    <row r="461" spans="1:15" x14ac:dyDescent="0.35">
      <c r="A461" t="s">
        <v>779</v>
      </c>
      <c r="B461" t="s">
        <v>779</v>
      </c>
      <c r="C461" s="22" t="str">
        <f t="shared" si="8"/>
        <v>JAM6-72-340</v>
      </c>
      <c r="D461" t="s">
        <v>1102</v>
      </c>
      <c r="N461" s="5">
        <f>IF(B461="","",MATCH(B461,'Lista - Placas'!$2:$2,0)-1)</f>
        <v>29</v>
      </c>
      <c r="O461" s="5">
        <f>IF(D461="","",MATCH(D461,'Lista - Placas'!$AD:$AD,0)-2)</f>
        <v>6</v>
      </c>
    </row>
    <row r="462" spans="1:15" x14ac:dyDescent="0.35">
      <c r="A462" t="s">
        <v>779</v>
      </c>
      <c r="B462" t="s">
        <v>779</v>
      </c>
      <c r="C462" s="22" t="str">
        <f t="shared" si="8"/>
        <v>JAM6-72-345</v>
      </c>
      <c r="D462" t="s">
        <v>1141</v>
      </c>
      <c r="N462" s="5">
        <f>IF(B462="","",MATCH(B462,'Lista - Placas'!$2:$2,0)-1)</f>
        <v>29</v>
      </c>
      <c r="O462" s="5">
        <f>IF(D462="","",MATCH(D462,'Lista - Placas'!$AD:$AD,0)-2)</f>
        <v>7</v>
      </c>
    </row>
    <row r="463" spans="1:15" x14ac:dyDescent="0.35">
      <c r="A463" t="s">
        <v>779</v>
      </c>
      <c r="B463" t="s">
        <v>779</v>
      </c>
      <c r="C463" s="22" t="str">
        <f t="shared" si="8"/>
        <v>JAM6-72-350</v>
      </c>
      <c r="D463" t="s">
        <v>1177</v>
      </c>
      <c r="N463" s="5">
        <f>IF(B463="","",MATCH(B463,'Lista - Placas'!$2:$2,0)-1)</f>
        <v>29</v>
      </c>
      <c r="O463" s="5">
        <f>IF(D463="","",MATCH(D463,'Lista - Placas'!$AD:$AD,0)-2)</f>
        <v>8</v>
      </c>
    </row>
    <row r="464" spans="1:15" x14ac:dyDescent="0.35">
      <c r="A464" t="s">
        <v>779</v>
      </c>
      <c r="B464" t="s">
        <v>779</v>
      </c>
      <c r="C464" s="22" t="str">
        <f t="shared" si="8"/>
        <v>JAM6-72-355</v>
      </c>
      <c r="D464" t="s">
        <v>1211</v>
      </c>
      <c r="N464" s="5">
        <f>IF(B464="","",MATCH(B464,'Lista - Placas'!$2:$2,0)-1)</f>
        <v>29</v>
      </c>
      <c r="O464" s="5">
        <f>IF(D464="","",MATCH(D464,'Lista - Placas'!$AD:$AD,0)-2)</f>
        <v>9</v>
      </c>
    </row>
    <row r="465" spans="1:15" x14ac:dyDescent="0.35">
      <c r="A465" t="s">
        <v>779</v>
      </c>
      <c r="B465" t="s">
        <v>779</v>
      </c>
      <c r="C465" s="22" t="str">
        <f t="shared" si="8"/>
        <v>JAM6-72-360</v>
      </c>
      <c r="D465" t="s">
        <v>1242</v>
      </c>
      <c r="N465" s="5">
        <f>IF(B465="","",MATCH(B465,'Lista - Placas'!$2:$2,0)-1)</f>
        <v>29</v>
      </c>
      <c r="O465" s="5">
        <f>IF(D465="","",MATCH(D465,'Lista - Placas'!$AD:$AD,0)-2)</f>
        <v>10</v>
      </c>
    </row>
    <row r="466" spans="1:15" x14ac:dyDescent="0.35">
      <c r="A466" t="s">
        <v>779</v>
      </c>
      <c r="B466" t="s">
        <v>779</v>
      </c>
      <c r="C466" s="22" t="str">
        <f t="shared" si="8"/>
        <v>JAP72S03-335/SC</v>
      </c>
      <c r="D466" t="s">
        <v>1270</v>
      </c>
      <c r="N466" s="5">
        <f>IF(B466="","",MATCH(B466,'Lista - Placas'!$2:$2,0)-1)</f>
        <v>29</v>
      </c>
      <c r="O466" s="5">
        <f>IF(D466="","",MATCH(D466,'Lista - Placas'!$AD:$AD,0)-2)</f>
        <v>11</v>
      </c>
    </row>
    <row r="467" spans="1:15" x14ac:dyDescent="0.35">
      <c r="A467" t="s">
        <v>779</v>
      </c>
      <c r="B467" t="s">
        <v>779</v>
      </c>
      <c r="C467" s="22" t="str">
        <f t="shared" si="8"/>
        <v>JAM72S01-355</v>
      </c>
      <c r="D467" t="s">
        <v>1298</v>
      </c>
      <c r="N467" s="5">
        <f>IF(B467="","",MATCH(B467,'Lista - Placas'!$2:$2,0)-1)</f>
        <v>29</v>
      </c>
      <c r="O467" s="5">
        <f>IF(D467="","",MATCH(D467,'Lista - Placas'!$AD:$AD,0)-2)</f>
        <v>12</v>
      </c>
    </row>
    <row r="468" spans="1:15" x14ac:dyDescent="0.35">
      <c r="A468" t="s">
        <v>779</v>
      </c>
      <c r="B468" t="s">
        <v>779</v>
      </c>
      <c r="C468" s="22" t="str">
        <f t="shared" si="8"/>
        <v>JAM72S01-360</v>
      </c>
      <c r="D468" t="s">
        <v>1325</v>
      </c>
      <c r="N468" s="5">
        <f>IF(B468="","",MATCH(B468,'Lista - Placas'!$2:$2,0)-1)</f>
        <v>29</v>
      </c>
      <c r="O468" s="5">
        <f>IF(D468="","",MATCH(D468,'Lista - Placas'!$AD:$AD,0)-2)</f>
        <v>13</v>
      </c>
    </row>
    <row r="469" spans="1:15" x14ac:dyDescent="0.35">
      <c r="A469" t="s">
        <v>779</v>
      </c>
      <c r="B469" t="s">
        <v>779</v>
      </c>
      <c r="C469" s="22" t="str">
        <f t="shared" si="8"/>
        <v>JAM72S01-365</v>
      </c>
      <c r="D469" t="s">
        <v>1352</v>
      </c>
      <c r="N469" s="5">
        <f>IF(B469="","",MATCH(B469,'Lista - Placas'!$2:$2,0)-1)</f>
        <v>29</v>
      </c>
      <c r="O469" s="5">
        <f>IF(D469="","",MATCH(D469,'Lista - Placas'!$AD:$AD,0)-2)</f>
        <v>14</v>
      </c>
    </row>
    <row r="470" spans="1:15" x14ac:dyDescent="0.35">
      <c r="A470" t="s">
        <v>779</v>
      </c>
      <c r="B470" t="s">
        <v>779</v>
      </c>
      <c r="C470" s="22" t="str">
        <f t="shared" si="8"/>
        <v>JAM72S01-370</v>
      </c>
      <c r="D470" t="s">
        <v>1378</v>
      </c>
      <c r="N470" s="5">
        <f>IF(B470="","",MATCH(B470,'Lista - Placas'!$2:$2,0)-1)</f>
        <v>29</v>
      </c>
      <c r="O470" s="5">
        <f>IF(D470="","",MATCH(D470,'Lista - Placas'!$AD:$AD,0)-2)</f>
        <v>15</v>
      </c>
    </row>
    <row r="471" spans="1:15" x14ac:dyDescent="0.35">
      <c r="A471" t="s">
        <v>779</v>
      </c>
      <c r="B471" t="s">
        <v>779</v>
      </c>
      <c r="C471" s="22" t="str">
        <f t="shared" si="8"/>
        <v>JAM72S01-370</v>
      </c>
      <c r="D471" t="s">
        <v>1400</v>
      </c>
      <c r="N471" s="5">
        <f>IF(B471="","",MATCH(B471,'Lista - Placas'!$2:$2,0)-1)</f>
        <v>29</v>
      </c>
      <c r="O471" s="5">
        <f>IF(D471="","",MATCH(D471,'Lista - Placas'!$AD:$AD,0)-2)</f>
        <v>16</v>
      </c>
    </row>
    <row r="472" spans="1:15" x14ac:dyDescent="0.35">
      <c r="A472" t="s">
        <v>779</v>
      </c>
      <c r="B472" t="s">
        <v>779</v>
      </c>
      <c r="C472" s="22" t="str">
        <f t="shared" si="8"/>
        <v>JAM72S01-375</v>
      </c>
      <c r="D472" t="s">
        <v>1422</v>
      </c>
      <c r="N472" s="5">
        <f>IF(B472="","",MATCH(B472,'Lista - Placas'!$2:$2,0)-1)</f>
        <v>29</v>
      </c>
      <c r="O472" s="5">
        <f>IF(D472="","",MATCH(D472,'Lista - Placas'!$AD:$AD,0)-2)</f>
        <v>17</v>
      </c>
    </row>
    <row r="473" spans="1:15" x14ac:dyDescent="0.35">
      <c r="A473" t="s">
        <v>779</v>
      </c>
      <c r="B473" t="s">
        <v>779</v>
      </c>
      <c r="C473" s="22" t="str">
        <f t="shared" si="8"/>
        <v>JAP72S01-330</v>
      </c>
      <c r="D473" t="s">
        <v>1443</v>
      </c>
      <c r="N473" s="5">
        <f>IF(B473="","",MATCH(B473,'Lista - Placas'!$2:$2,0)-1)</f>
        <v>29</v>
      </c>
      <c r="O473" s="5">
        <f>IF(D473="","",MATCH(D473,'Lista - Placas'!$AD:$AD,0)-2)</f>
        <v>18</v>
      </c>
    </row>
    <row r="474" spans="1:15" x14ac:dyDescent="0.35">
      <c r="A474" t="s">
        <v>779</v>
      </c>
      <c r="B474" t="s">
        <v>779</v>
      </c>
      <c r="C474" s="22" t="str">
        <f t="shared" si="8"/>
        <v>JAP6(K)-72-330</v>
      </c>
      <c r="D474" t="s">
        <v>1461</v>
      </c>
      <c r="N474" s="5">
        <f>IF(B474="","",MATCH(B474,'Lista - Placas'!$2:$2,0)-1)</f>
        <v>29</v>
      </c>
      <c r="O474" s="5">
        <f>IF(D474="","",MATCH(D474,'Lista - Placas'!$AD:$AD,0)-2)</f>
        <v>19</v>
      </c>
    </row>
    <row r="475" spans="1:15" x14ac:dyDescent="0.35">
      <c r="A475" t="s">
        <v>779</v>
      </c>
      <c r="B475" t="s">
        <v>779</v>
      </c>
      <c r="C475" s="22" t="str">
        <f t="shared" si="8"/>
        <v>JAP72S01-335/SC</v>
      </c>
      <c r="D475" t="s">
        <v>1479</v>
      </c>
      <c r="N475" s="5">
        <f>IF(B475="","",MATCH(B475,'Lista - Placas'!$2:$2,0)-1)</f>
        <v>29</v>
      </c>
      <c r="O475" s="5">
        <f>IF(D475="","",MATCH(D475,'Lista - Placas'!$AD:$AD,0)-2)</f>
        <v>20</v>
      </c>
    </row>
    <row r="476" spans="1:15" x14ac:dyDescent="0.35">
      <c r="A476" t="s">
        <v>779</v>
      </c>
      <c r="B476" t="s">
        <v>779</v>
      </c>
      <c r="C476" s="22" t="str">
        <f t="shared" si="8"/>
        <v xml:space="preserve">JAM72S01-340/PR </v>
      </c>
      <c r="D476" t="s">
        <v>1494</v>
      </c>
      <c r="N476" s="5">
        <f>IF(B476="","",MATCH(B476,'Lista - Placas'!$2:$2,0)-1)</f>
        <v>29</v>
      </c>
      <c r="O476" s="5">
        <f>IF(D476="","",MATCH(D476,'Lista - Placas'!$AD:$AD,0)-2)</f>
        <v>21</v>
      </c>
    </row>
    <row r="477" spans="1:15" x14ac:dyDescent="0.35">
      <c r="A477" t="s">
        <v>779</v>
      </c>
      <c r="B477" t="s">
        <v>779</v>
      </c>
      <c r="C477" s="22" t="str">
        <f t="shared" si="8"/>
        <v>JAM72S10-405/PR</v>
      </c>
      <c r="D477" t="s">
        <v>1508</v>
      </c>
      <c r="N477" s="5">
        <f>IF(B477="","",MATCH(B477,'Lista - Placas'!$2:$2,0)-1)</f>
        <v>29</v>
      </c>
      <c r="O477" s="5">
        <f>IF(D477="","",MATCH(D477,'Lista - Placas'!$AD:$AD,0)-2)</f>
        <v>22</v>
      </c>
    </row>
    <row r="478" spans="1:15" x14ac:dyDescent="0.35">
      <c r="A478" t="s">
        <v>779</v>
      </c>
      <c r="B478" t="s">
        <v>779</v>
      </c>
      <c r="C478" s="22" t="str">
        <f t="shared" si="8"/>
        <v>JAP72S01-335W</v>
      </c>
      <c r="D478" t="s">
        <v>1522</v>
      </c>
      <c r="N478" s="5">
        <f>IF(B478="","",MATCH(B478,'Lista - Placas'!$2:$2,0)-1)</f>
        <v>29</v>
      </c>
      <c r="O478" s="5">
        <f>IF(D478="","",MATCH(D478,'Lista - Placas'!$AD:$AD,0)-2)</f>
        <v>23</v>
      </c>
    </row>
    <row r="479" spans="1:15" x14ac:dyDescent="0.35">
      <c r="A479" t="s">
        <v>779</v>
      </c>
      <c r="B479" t="s">
        <v>779</v>
      </c>
      <c r="C479" s="22" t="str">
        <f t="shared" si="8"/>
        <v>JAP72S03-335W</v>
      </c>
      <c r="D479" t="s">
        <v>1536</v>
      </c>
      <c r="N479" s="5">
        <f>IF(B479="","",MATCH(B479,'Lista - Placas'!$2:$2,0)-1)</f>
        <v>29</v>
      </c>
      <c r="O479" s="5">
        <f>IF(D479="","",MATCH(D479,'Lista - Placas'!$AD:$AD,0)-2)</f>
        <v>24</v>
      </c>
    </row>
    <row r="480" spans="1:15" x14ac:dyDescent="0.35">
      <c r="A480" t="s">
        <v>779</v>
      </c>
      <c r="B480" t="s">
        <v>779</v>
      </c>
      <c r="C480" s="22" t="str">
        <f t="shared" si="8"/>
        <v>JAP72S03-335/SC</v>
      </c>
      <c r="D480" t="s">
        <v>1550</v>
      </c>
      <c r="N480" s="5">
        <f>IF(B480="","",MATCH(B480,'Lista - Placas'!$2:$2,0)-1)</f>
        <v>29</v>
      </c>
      <c r="O480" s="5">
        <f>IF(D480="","",MATCH(D480,'Lista - Placas'!$AD:$AD,0)-2)</f>
        <v>25</v>
      </c>
    </row>
    <row r="481" spans="1:15" x14ac:dyDescent="0.35">
      <c r="A481" t="s">
        <v>779</v>
      </c>
      <c r="B481" t="s">
        <v>779</v>
      </c>
      <c r="C481" s="22" t="str">
        <f t="shared" si="8"/>
        <v>JAP72S03 325</v>
      </c>
      <c r="D481" t="s">
        <v>1563</v>
      </c>
      <c r="N481" s="5">
        <f>IF(B481="","",MATCH(B481,'Lista - Placas'!$2:$2,0)-1)</f>
        <v>29</v>
      </c>
      <c r="O481" s="5">
        <f>IF(D481="","",MATCH(D481,'Lista - Placas'!$AD:$AD,0)-2)</f>
        <v>26</v>
      </c>
    </row>
    <row r="482" spans="1:15" x14ac:dyDescent="0.35">
      <c r="A482" t="s">
        <v>779</v>
      </c>
      <c r="B482" t="s">
        <v>779</v>
      </c>
      <c r="C482" s="22" t="str">
        <f t="shared" si="8"/>
        <v>JAM78S10-440W</v>
      </c>
      <c r="D482" t="s">
        <v>1575</v>
      </c>
      <c r="N482" s="5">
        <f>IF(B482="","",MATCH(B482,'Lista - Placas'!$2:$2,0)-1)</f>
        <v>29</v>
      </c>
      <c r="O482" s="5">
        <f>IF(D482="","",MATCH(D482,'Lista - Placas'!$AD:$AD,0)-2)</f>
        <v>27</v>
      </c>
    </row>
    <row r="483" spans="1:15" x14ac:dyDescent="0.35">
      <c r="A483" t="s">
        <v>779</v>
      </c>
      <c r="B483" t="s">
        <v>779</v>
      </c>
      <c r="C483" s="22" t="str">
        <f t="shared" si="8"/>
        <v>JAM72S09-390/PR-390W</v>
      </c>
      <c r="D483" t="s">
        <v>1586</v>
      </c>
      <c r="N483" s="5">
        <f>IF(B483="","",MATCH(B483,'Lista - Placas'!$2:$2,0)-1)</f>
        <v>29</v>
      </c>
      <c r="O483" s="5">
        <f>IF(D483="","",MATCH(D483,'Lista - Placas'!$AD:$AD,0)-2)</f>
        <v>28</v>
      </c>
    </row>
    <row r="484" spans="1:15" x14ac:dyDescent="0.35">
      <c r="A484" t="s">
        <v>779</v>
      </c>
      <c r="B484" t="s">
        <v>779</v>
      </c>
      <c r="C484" s="22" t="str">
        <f t="shared" si="8"/>
        <v>JAP72S10-335/SC</v>
      </c>
      <c r="D484" t="s">
        <v>1597</v>
      </c>
      <c r="N484" s="5">
        <f>IF(B484="","",MATCH(B484,'Lista - Placas'!$2:$2,0)-1)</f>
        <v>29</v>
      </c>
      <c r="O484" s="5">
        <f>IF(D484="","",MATCH(D484,'Lista - Placas'!$AD:$AD,0)-2)</f>
        <v>29</v>
      </c>
    </row>
    <row r="485" spans="1:15" x14ac:dyDescent="0.35">
      <c r="A485" t="s">
        <v>779</v>
      </c>
      <c r="B485" t="s">
        <v>779</v>
      </c>
      <c r="C485" s="22" t="str">
        <f t="shared" si="8"/>
        <v>JAP72S09 330/SC</v>
      </c>
      <c r="D485" t="s">
        <v>1608</v>
      </c>
      <c r="N485" s="5">
        <f>IF(B485="","",MATCH(B485,'Lista - Placas'!$2:$2,0)-1)</f>
        <v>29</v>
      </c>
      <c r="O485" s="5">
        <f>IF(D485="","",MATCH(D485,'Lista - Placas'!$AD:$AD,0)-2)</f>
        <v>30</v>
      </c>
    </row>
    <row r="486" spans="1:15" x14ac:dyDescent="0.35">
      <c r="A486" t="s">
        <v>779</v>
      </c>
      <c r="B486" t="s">
        <v>779</v>
      </c>
      <c r="C486" s="22" t="str">
        <f t="shared" si="8"/>
        <v>JAM72S10-405/MR</v>
      </c>
      <c r="D486" t="s">
        <v>1618</v>
      </c>
      <c r="N486" s="5">
        <f>IF(B486="","",MATCH(B486,'Lista - Placas'!$2:$2,0)-1)</f>
        <v>29</v>
      </c>
      <c r="O486" s="5">
        <f>IF(D486="","",MATCH(D486,'Lista - Placas'!$AD:$AD,0)-2)</f>
        <v>31</v>
      </c>
    </row>
    <row r="487" spans="1:15" x14ac:dyDescent="0.35">
      <c r="A487" t="s">
        <v>779</v>
      </c>
      <c r="B487" t="s">
        <v>779</v>
      </c>
      <c r="C487" s="22" t="str">
        <f t="shared" si="8"/>
        <v>JAM72S09-385/PR</v>
      </c>
      <c r="D487" t="s">
        <v>1627</v>
      </c>
      <c r="N487" s="5">
        <f>IF(B487="","",MATCH(B487,'Lista - Placas'!$2:$2,0)-1)</f>
        <v>29</v>
      </c>
      <c r="O487" s="5">
        <f>IF(D487="","",MATCH(D487,'Lista - Placas'!$AD:$AD,0)-2)</f>
        <v>32</v>
      </c>
    </row>
    <row r="488" spans="1:15" x14ac:dyDescent="0.35">
      <c r="A488" t="s">
        <v>779</v>
      </c>
      <c r="B488" t="s">
        <v>779</v>
      </c>
      <c r="C488" s="22" t="str">
        <f t="shared" si="8"/>
        <v>JAM78S10-440/MR</v>
      </c>
      <c r="D488" t="s">
        <v>1636</v>
      </c>
      <c r="N488" s="5">
        <f>IF(B488="","",MATCH(B488,'Lista - Placas'!$2:$2,0)-1)</f>
        <v>29</v>
      </c>
      <c r="O488" s="5">
        <f>IF(D488="","",MATCH(D488,'Lista - Placas'!$AD:$AD,0)-2)</f>
        <v>33</v>
      </c>
    </row>
    <row r="489" spans="1:15" x14ac:dyDescent="0.35">
      <c r="A489" t="s">
        <v>779</v>
      </c>
      <c r="B489" t="s">
        <v>779</v>
      </c>
      <c r="C489" s="22" t="str">
        <f t="shared" si="8"/>
        <v>JAM72S10-400/PR</v>
      </c>
      <c r="D489" t="s">
        <v>1645</v>
      </c>
      <c r="N489" s="5">
        <f>IF(B489="","",MATCH(B489,'Lista - Placas'!$2:$2,0)-1)</f>
        <v>29</v>
      </c>
      <c r="O489" s="5">
        <f>IF(D489="","",MATCH(D489,'Lista - Placas'!$AD:$AD,0)-2)</f>
        <v>34</v>
      </c>
    </row>
    <row r="490" spans="1:15" x14ac:dyDescent="0.35">
      <c r="A490" t="s">
        <v>779</v>
      </c>
      <c r="B490" t="s">
        <v>779</v>
      </c>
      <c r="C490" s="22" t="str">
        <f t="shared" si="8"/>
        <v>JAM72S10-400/MR</v>
      </c>
      <c r="D490" t="s">
        <v>1654</v>
      </c>
      <c r="N490" s="5">
        <f>IF(B490="","",MATCH(B490,'Lista - Placas'!$2:$2,0)-1)</f>
        <v>29</v>
      </c>
      <c r="O490" s="5">
        <f>IF(D490="","",MATCH(D490,'Lista - Placas'!$AD:$AD,0)-2)</f>
        <v>35</v>
      </c>
    </row>
    <row r="491" spans="1:15" x14ac:dyDescent="0.35">
      <c r="A491" t="s">
        <v>779</v>
      </c>
      <c r="B491" t="s">
        <v>779</v>
      </c>
      <c r="C491" s="22" t="str">
        <f t="shared" si="8"/>
        <v>JAM72S20-450/MR</v>
      </c>
      <c r="D491" t="s">
        <v>1662</v>
      </c>
      <c r="N491" s="5">
        <f>IF(B491="","",MATCH(B491,'Lista - Placas'!$2:$2,0)-1)</f>
        <v>29</v>
      </c>
      <c r="O491" s="5">
        <f>IF(D491="","",MATCH(D491,'Lista - Placas'!$AD:$AD,0)-2)</f>
        <v>36</v>
      </c>
    </row>
    <row r="492" spans="1:15" x14ac:dyDescent="0.35">
      <c r="A492" t="s">
        <v>779</v>
      </c>
      <c r="B492" t="s">
        <v>779</v>
      </c>
      <c r="C492" s="22" t="str">
        <f t="shared" si="8"/>
        <v>JAM72S10-395/PR</v>
      </c>
      <c r="D492" t="s">
        <v>1670</v>
      </c>
      <c r="N492" s="5">
        <f>IF(B492="","",MATCH(B492,'Lista - Placas'!$2:$2,0)-1)</f>
        <v>29</v>
      </c>
      <c r="O492" s="5">
        <f>IF(D492="","",MATCH(D492,'Lista - Placas'!$AD:$AD,0)-2)</f>
        <v>37</v>
      </c>
    </row>
    <row r="493" spans="1:15" x14ac:dyDescent="0.35">
      <c r="A493" t="s">
        <v>779</v>
      </c>
      <c r="B493" t="s">
        <v>779</v>
      </c>
      <c r="C493" s="22" t="str">
        <f t="shared" si="8"/>
        <v xml:space="preserve"> JAM72D10-400/MB</v>
      </c>
      <c r="D493" t="s">
        <v>1677</v>
      </c>
      <c r="N493" s="5">
        <f>IF(B493="","",MATCH(B493,'Lista - Placas'!$2:$2,0)-1)</f>
        <v>29</v>
      </c>
      <c r="O493" s="5">
        <f>IF(D493="","",MATCH(D493,'Lista - Placas'!$AD:$AD,0)-2)</f>
        <v>38</v>
      </c>
    </row>
    <row r="494" spans="1:15" x14ac:dyDescent="0.35">
      <c r="A494" t="s">
        <v>779</v>
      </c>
      <c r="B494" t="s">
        <v>779</v>
      </c>
      <c r="C494" s="22" t="str">
        <f t="shared" si="8"/>
        <v>JAM72S03-395/PR</v>
      </c>
      <c r="D494" t="s">
        <v>1684</v>
      </c>
      <c r="N494" s="5">
        <f>IF(B494="","",MATCH(B494,'Lista - Placas'!$2:$2,0)-1)</f>
        <v>29</v>
      </c>
      <c r="O494" s="5">
        <f>IF(D494="","",MATCH(D494,'Lista - Placas'!$AD:$AD,0)-2)</f>
        <v>39</v>
      </c>
    </row>
    <row r="495" spans="1:15" x14ac:dyDescent="0.35">
      <c r="A495" t="s">
        <v>779</v>
      </c>
      <c r="B495" t="s">
        <v>779</v>
      </c>
      <c r="C495" s="22" t="str">
        <f t="shared" si="8"/>
        <v>JAM72S30-535/MR</v>
      </c>
      <c r="D495" t="s">
        <v>1691</v>
      </c>
      <c r="N495" s="5">
        <f>IF(B495="","",MATCH(B495,'Lista - Placas'!$2:$2,0)-1)</f>
        <v>29</v>
      </c>
      <c r="O495" s="5">
        <f>IF(D495="","",MATCH(D495,'Lista - Placas'!$AD:$AD,0)-2)</f>
        <v>40</v>
      </c>
    </row>
    <row r="496" spans="1:15" x14ac:dyDescent="0.35">
      <c r="A496" t="s">
        <v>779</v>
      </c>
      <c r="B496" t="s">
        <v>779</v>
      </c>
      <c r="C496" s="22" t="str">
        <f t="shared" si="8"/>
        <v>JAM78S10-445/MR</v>
      </c>
      <c r="D496" t="s">
        <v>1698</v>
      </c>
      <c r="N496" s="5">
        <f>IF(B496="","",MATCH(B496,'Lista - Placas'!$2:$2,0)-1)</f>
        <v>29</v>
      </c>
      <c r="O496" s="5">
        <f>IF(D496="","",MATCH(D496,'Lista - Placas'!$AD:$AD,0)-2)</f>
        <v>41</v>
      </c>
    </row>
    <row r="497" spans="1:15" x14ac:dyDescent="0.35">
      <c r="A497" t="s">
        <v>779</v>
      </c>
      <c r="B497" t="s">
        <v>779</v>
      </c>
      <c r="C497" s="22" t="str">
        <f t="shared" si="8"/>
        <v>JAP72S03-330/SC</v>
      </c>
      <c r="D497" t="s">
        <v>1705</v>
      </c>
      <c r="N497" s="5">
        <f>IF(B497="","",MATCH(B497,'Lista - Placas'!$2:$2,0)-1)</f>
        <v>29</v>
      </c>
      <c r="O497" s="5">
        <f>IF(D497="","",MATCH(D497,'Lista - Placas'!$AD:$AD,0)-2)</f>
        <v>42</v>
      </c>
    </row>
    <row r="498" spans="1:15" x14ac:dyDescent="0.35">
      <c r="A498" t="s">
        <v>779</v>
      </c>
      <c r="B498" t="s">
        <v>779</v>
      </c>
      <c r="C498" s="22" t="str">
        <f t="shared" si="8"/>
        <v>JAM 72S03-390/PR</v>
      </c>
      <c r="D498" t="s">
        <v>1712</v>
      </c>
      <c r="N498" s="5">
        <f>IF(B498="","",MATCH(B498,'Lista - Placas'!$2:$2,0)-1)</f>
        <v>29</v>
      </c>
      <c r="O498" s="5">
        <f>IF(D498="","",MATCH(D498,'Lista - Placas'!$AD:$AD,0)-2)</f>
        <v>43</v>
      </c>
    </row>
    <row r="499" spans="1:15" x14ac:dyDescent="0.35">
      <c r="A499" t="s">
        <v>779</v>
      </c>
      <c r="B499" t="s">
        <v>779</v>
      </c>
      <c r="C499" s="22" t="str">
        <f t="shared" si="8"/>
        <v>JAM72S30-535/MR</v>
      </c>
      <c r="D499" t="s">
        <v>1719</v>
      </c>
      <c r="N499" s="5">
        <f>IF(B499="","",MATCH(B499,'Lista - Placas'!$2:$2,0)-1)</f>
        <v>29</v>
      </c>
      <c r="O499" s="5">
        <f>IF(D499="","",MATCH(D499,'Lista - Placas'!$AD:$AD,0)-2)</f>
        <v>44</v>
      </c>
    </row>
    <row r="500" spans="1:15" x14ac:dyDescent="0.35">
      <c r="A500" t="s">
        <v>779</v>
      </c>
      <c r="B500" t="s">
        <v>779</v>
      </c>
      <c r="C500" s="22" t="str">
        <f t="shared" si="8"/>
        <v>JAM72S09-390/PR</v>
      </c>
      <c r="D500" t="s">
        <v>1726</v>
      </c>
      <c r="N500" s="5">
        <f>IF(B500="","",MATCH(B500,'Lista - Placas'!$2:$2,0)-1)</f>
        <v>29</v>
      </c>
      <c r="O500" s="5">
        <f>IF(D500="","",MATCH(D500,'Lista - Placas'!$AD:$AD,0)-2)</f>
        <v>45</v>
      </c>
    </row>
    <row r="501" spans="1:15" x14ac:dyDescent="0.35">
      <c r="A501" t="s">
        <v>779</v>
      </c>
      <c r="B501" t="s">
        <v>779</v>
      </c>
      <c r="C501" s="22" t="str">
        <f t="shared" si="8"/>
        <v>JAM72S20-440-MR</v>
      </c>
      <c r="D501" t="s">
        <v>1733</v>
      </c>
      <c r="N501" s="5">
        <f>IF(B501="","",MATCH(B501,'Lista - Placas'!$2:$2,0)-1)</f>
        <v>29</v>
      </c>
      <c r="O501" s="5">
        <f>IF(D501="","",MATCH(D501,'Lista - Placas'!$AD:$AD,0)-2)</f>
        <v>46</v>
      </c>
    </row>
    <row r="502" spans="1:15" x14ac:dyDescent="0.35">
      <c r="A502" t="s">
        <v>779</v>
      </c>
      <c r="B502" t="s">
        <v>779</v>
      </c>
      <c r="C502" s="22" t="str">
        <f t="shared" si="8"/>
        <v>JAM72S20-455/MR/1000V</v>
      </c>
      <c r="D502" t="s">
        <v>1740</v>
      </c>
      <c r="N502" s="5">
        <f>IF(B502="","",MATCH(B502,'Lista - Placas'!$2:$2,0)-1)</f>
        <v>29</v>
      </c>
      <c r="O502" s="5">
        <f>IF(D502="","",MATCH(D502,'Lista - Placas'!$AD:$AD,0)-2)</f>
        <v>47</v>
      </c>
    </row>
    <row r="503" spans="1:15" x14ac:dyDescent="0.35">
      <c r="A503" t="s">
        <v>779</v>
      </c>
      <c r="B503" t="s">
        <v>779</v>
      </c>
      <c r="C503" s="22" t="str">
        <f t="shared" si="8"/>
        <v>JAM72S03 400/PR</v>
      </c>
      <c r="D503" t="s">
        <v>1747</v>
      </c>
      <c r="N503" s="5">
        <f>IF(B503="","",MATCH(B503,'Lista - Placas'!$2:$2,0)-1)</f>
        <v>29</v>
      </c>
      <c r="O503" s="5">
        <f>IF(D503="","",MATCH(D503,'Lista - Placas'!$AD:$AD,0)-2)</f>
        <v>48</v>
      </c>
    </row>
    <row r="504" spans="1:15" x14ac:dyDescent="0.35">
      <c r="A504" t="s">
        <v>779</v>
      </c>
      <c r="B504" t="s">
        <v>779</v>
      </c>
      <c r="C504" s="22" t="str">
        <f t="shared" si="8"/>
        <v>JAP72S01-325/SC</v>
      </c>
      <c r="D504" t="s">
        <v>1754</v>
      </c>
      <c r="N504" s="5">
        <f>IF(B504="","",MATCH(B504,'Lista - Placas'!$2:$2,0)-1)</f>
        <v>29</v>
      </c>
      <c r="O504" s="5">
        <f>IF(D504="","",MATCH(D504,'Lista - Placas'!$AD:$AD,0)-2)</f>
        <v>49</v>
      </c>
    </row>
    <row r="505" spans="1:15" x14ac:dyDescent="0.35">
      <c r="A505" t="s">
        <v>779</v>
      </c>
      <c r="B505" t="s">
        <v>779</v>
      </c>
      <c r="C505" s="22" t="str">
        <f t="shared" si="8"/>
        <v>JAM78S10-450/MR</v>
      </c>
      <c r="D505" t="s">
        <v>1760</v>
      </c>
      <c r="N505" s="5">
        <f>IF(B505="","",MATCH(B505,'Lista - Placas'!$2:$2,0)-1)</f>
        <v>29</v>
      </c>
      <c r="O505" s="5">
        <f>IF(D505="","",MATCH(D505,'Lista - Placas'!$AD:$AD,0)-2)</f>
        <v>50</v>
      </c>
    </row>
    <row r="506" spans="1:15" x14ac:dyDescent="0.35">
      <c r="A506" t="s">
        <v>779</v>
      </c>
      <c r="B506" t="s">
        <v>779</v>
      </c>
      <c r="C506" s="22" t="str">
        <f t="shared" ref="C506:C569" si="9">RIGHT(D506,LEN(D506)-(FIND(" - ", D506)+2))</f>
        <v>JAM72S30 535W</v>
      </c>
      <c r="D506" t="s">
        <v>1766</v>
      </c>
      <c r="N506" s="5">
        <f>IF(B506="","",MATCH(B506,'Lista - Placas'!$2:$2,0)-1)</f>
        <v>29</v>
      </c>
      <c r="O506" s="5">
        <f>IF(D506="","",MATCH(D506,'Lista - Placas'!$AD:$AD,0)-2)</f>
        <v>51</v>
      </c>
    </row>
    <row r="507" spans="1:15" x14ac:dyDescent="0.35">
      <c r="A507" t="s">
        <v>779</v>
      </c>
      <c r="B507" t="s">
        <v>779</v>
      </c>
      <c r="C507" s="22" t="str">
        <f t="shared" si="9"/>
        <v>JAM72S10-395/MR</v>
      </c>
      <c r="D507" t="s">
        <v>1772</v>
      </c>
      <c r="N507" s="5">
        <f>IF(B507="","",MATCH(B507,'Lista - Placas'!$2:$2,0)-1)</f>
        <v>29</v>
      </c>
      <c r="O507" s="5">
        <f>IF(D507="","",MATCH(D507,'Lista - Placas'!$AD:$AD,0)-2)</f>
        <v>52</v>
      </c>
    </row>
    <row r="508" spans="1:15" x14ac:dyDescent="0.35">
      <c r="A508" t="s">
        <v>779</v>
      </c>
      <c r="B508" t="s">
        <v>779</v>
      </c>
      <c r="C508" s="22" t="str">
        <f t="shared" si="9"/>
        <v>JAM72S30- 540/MR</v>
      </c>
      <c r="D508" t="s">
        <v>1778</v>
      </c>
      <c r="N508" s="5">
        <f>IF(B508="","",MATCH(B508,'Lista - Placas'!$2:$2,0)-1)</f>
        <v>29</v>
      </c>
      <c r="O508" s="5">
        <f>IF(D508="","",MATCH(D508,'Lista - Placas'!$AD:$AD,0)-2)</f>
        <v>53</v>
      </c>
    </row>
    <row r="509" spans="1:15" x14ac:dyDescent="0.35">
      <c r="A509" t="s">
        <v>779</v>
      </c>
      <c r="B509" t="s">
        <v>779</v>
      </c>
      <c r="C509" s="22" t="str">
        <f t="shared" si="9"/>
        <v>JAM72S10- 410/PR</v>
      </c>
      <c r="D509" t="s">
        <v>1784</v>
      </c>
      <c r="N509" s="5">
        <f>IF(B509="","",MATCH(B509,'Lista - Placas'!$2:$2,0)-1)</f>
        <v>29</v>
      </c>
      <c r="O509" s="5">
        <f>IF(D509="","",MATCH(D509,'Lista - Placas'!$AD:$AD,0)-2)</f>
        <v>54</v>
      </c>
    </row>
    <row r="510" spans="1:15" x14ac:dyDescent="0.35">
      <c r="A510" t="s">
        <v>779</v>
      </c>
      <c r="B510" t="s">
        <v>779</v>
      </c>
      <c r="C510" s="22" t="str">
        <f t="shared" si="9"/>
        <v>JAM72S30-545/MR</v>
      </c>
      <c r="D510" t="s">
        <v>1790</v>
      </c>
      <c r="N510" s="5">
        <f>IF(B510="","",MATCH(B510,'Lista - Placas'!$2:$2,0)-1)</f>
        <v>29</v>
      </c>
      <c r="O510" s="5">
        <f>IF(D510="","",MATCH(D510,'Lista - Placas'!$AD:$AD,0)-2)</f>
        <v>55</v>
      </c>
    </row>
    <row r="511" spans="1:15" x14ac:dyDescent="0.35">
      <c r="A511" t="s">
        <v>779</v>
      </c>
      <c r="B511" t="s">
        <v>779</v>
      </c>
      <c r="C511" s="22" t="str">
        <f t="shared" si="9"/>
        <v>JAM78S10-455/MR</v>
      </c>
      <c r="D511" t="s">
        <v>1796</v>
      </c>
      <c r="N511" s="5">
        <f>IF(B511="","",MATCH(B511,'Lista - Placas'!$2:$2,0)-1)</f>
        <v>29</v>
      </c>
      <c r="O511" s="5">
        <f>IF(D511="","",MATCH(D511,'Lista - Placas'!$AD:$AD,0)-2)</f>
        <v>56</v>
      </c>
    </row>
    <row r="512" spans="1:15" x14ac:dyDescent="0.35">
      <c r="A512" t="s">
        <v>779</v>
      </c>
      <c r="B512" t="s">
        <v>779</v>
      </c>
      <c r="C512" s="22" t="str">
        <f t="shared" si="9"/>
        <v>JAM72S30-540/MR</v>
      </c>
      <c r="D512" t="s">
        <v>1802</v>
      </c>
      <c r="N512" s="5">
        <f>IF(B512="","",MATCH(B512,'Lista - Placas'!$2:$2,0)-1)</f>
        <v>29</v>
      </c>
      <c r="O512" s="5">
        <f>IF(D512="","",MATCH(D512,'Lista - Placas'!$AD:$AD,0)-2)</f>
        <v>57</v>
      </c>
    </row>
    <row r="513" spans="1:15" x14ac:dyDescent="0.35">
      <c r="A513" t="s">
        <v>779</v>
      </c>
      <c r="B513" t="s">
        <v>779</v>
      </c>
      <c r="C513" s="22" t="str">
        <f t="shared" si="9"/>
        <v>JAM72D30-540MB</v>
      </c>
      <c r="D513" t="s">
        <v>1808</v>
      </c>
      <c r="N513" s="5">
        <f>IF(B513="","",MATCH(B513,'Lista - Placas'!$2:$2,0)-1)</f>
        <v>29</v>
      </c>
      <c r="O513" s="5">
        <f>IF(D513="","",MATCH(D513,'Lista - Placas'!$AD:$AD,0)-2)</f>
        <v>58</v>
      </c>
    </row>
    <row r="514" spans="1:15" x14ac:dyDescent="0.35">
      <c r="A514" t="s">
        <v>779</v>
      </c>
      <c r="B514" t="s">
        <v>779</v>
      </c>
      <c r="C514" s="22" t="str">
        <f t="shared" si="9"/>
        <v>JAN72S30-550-MR</v>
      </c>
      <c r="D514" t="s">
        <v>1814</v>
      </c>
      <c r="N514" s="5">
        <f>IF(B514="","",MATCH(B514,'Lista - Placas'!$2:$2,0)-1)</f>
        <v>29</v>
      </c>
      <c r="O514" s="5">
        <f>IF(D514="","",MATCH(D514,'Lista - Placas'!$AD:$AD,0)-2)</f>
        <v>59</v>
      </c>
    </row>
    <row r="515" spans="1:15" x14ac:dyDescent="0.35">
      <c r="A515" t="s">
        <v>779</v>
      </c>
      <c r="B515" t="s">
        <v>779</v>
      </c>
      <c r="C515" s="22" t="str">
        <f t="shared" si="9"/>
        <v>JAM72-D30-540W</v>
      </c>
      <c r="D515" t="s">
        <v>1820</v>
      </c>
      <c r="N515" s="5">
        <f>IF(B515="","",MATCH(B515,'Lista - Placas'!$2:$2,0)-1)</f>
        <v>29</v>
      </c>
      <c r="O515" s="5">
        <f>IF(D515="","",MATCH(D515,'Lista - Placas'!$AD:$AD,0)-2)</f>
        <v>60</v>
      </c>
    </row>
    <row r="516" spans="1:15" x14ac:dyDescent="0.35">
      <c r="A516" t="s">
        <v>779</v>
      </c>
      <c r="B516" t="s">
        <v>779</v>
      </c>
      <c r="C516" s="22" t="str">
        <f t="shared" si="9"/>
        <v>JAM66S30-500/MR</v>
      </c>
      <c r="D516" t="s">
        <v>1825</v>
      </c>
      <c r="N516" s="5">
        <f>IF(B516="","",MATCH(B516,'Lista - Placas'!$2:$2,0)-1)</f>
        <v>29</v>
      </c>
      <c r="O516" s="5">
        <f>IF(D516="","",MATCH(D516,'Lista - Placas'!$AD:$AD,0)-2)</f>
        <v>61</v>
      </c>
    </row>
    <row r="517" spans="1:15" x14ac:dyDescent="0.35">
      <c r="A517" t="s">
        <v>779</v>
      </c>
      <c r="B517" t="s">
        <v>779</v>
      </c>
      <c r="C517" s="22" t="str">
        <f t="shared" si="9"/>
        <v>JAM72S30-530/MR</v>
      </c>
      <c r="D517" t="s">
        <v>1830</v>
      </c>
      <c r="N517" s="5">
        <f>IF(B517="","",MATCH(B517,'Lista - Placas'!$2:$2,0)-1)</f>
        <v>29</v>
      </c>
      <c r="O517" s="5">
        <f>IF(D517="","",MATCH(D517,'Lista - Placas'!$AD:$AD,0)-2)</f>
        <v>62</v>
      </c>
    </row>
    <row r="518" spans="1:15" x14ac:dyDescent="0.35">
      <c r="A518" t="s">
        <v>779</v>
      </c>
      <c r="B518" t="s">
        <v>779</v>
      </c>
      <c r="C518" s="22" t="str">
        <f t="shared" si="9"/>
        <v>JAM72S20-455/MR</v>
      </c>
      <c r="D518" t="s">
        <v>1835</v>
      </c>
      <c r="N518" s="5">
        <f>IF(B518="","",MATCH(B518,'Lista - Placas'!$2:$2,0)-1)</f>
        <v>29</v>
      </c>
      <c r="O518" s="5">
        <f>IF(D518="","",MATCH(D518,'Lista - Placas'!$AD:$AD,0)-2)</f>
        <v>63</v>
      </c>
    </row>
    <row r="519" spans="1:15" x14ac:dyDescent="0.35">
      <c r="A519" s="21" t="s">
        <v>738</v>
      </c>
      <c r="B519" s="21" t="s">
        <v>738</v>
      </c>
      <c r="C519" s="22" t="str">
        <f t="shared" si="9"/>
        <v>JKM245P</v>
      </c>
      <c r="D519" t="s">
        <v>834</v>
      </c>
      <c r="N519" s="22">
        <f>IF(B519="","",MATCH(B519,'Lista - Placas'!$2:$2,0)-1)</f>
        <v>32</v>
      </c>
      <c r="O519" s="22">
        <f>IF(D519="","",MATCH(D519,'Lista - Placas'!$AG:$AG,0)-2)</f>
        <v>1</v>
      </c>
    </row>
    <row r="520" spans="1:15" x14ac:dyDescent="0.35">
      <c r="A520" s="21" t="s">
        <v>738</v>
      </c>
      <c r="B520" s="21" t="s">
        <v>738</v>
      </c>
      <c r="C520" s="22" t="str">
        <f t="shared" si="9"/>
        <v>JKM250P</v>
      </c>
      <c r="D520" t="s">
        <v>909</v>
      </c>
      <c r="N520" s="22">
        <f>IF(B520="","",MATCH(B520,'Lista - Placas'!$2:$2,0)-1)</f>
        <v>32</v>
      </c>
      <c r="O520" s="22">
        <f>IF(D520="","",MATCH(D520,'Lista - Placas'!$AG:$AG,0)-2)</f>
        <v>2</v>
      </c>
    </row>
    <row r="521" spans="1:15" x14ac:dyDescent="0.35">
      <c r="A521" s="21" t="s">
        <v>738</v>
      </c>
      <c r="B521" s="21" t="s">
        <v>738</v>
      </c>
      <c r="C521" s="22" t="str">
        <f t="shared" si="9"/>
        <v>JKM255P</v>
      </c>
      <c r="D521" t="s">
        <v>965</v>
      </c>
      <c r="N521" s="22">
        <f>IF(B521="","",MATCH(B521,'Lista - Placas'!$2:$2,0)-1)</f>
        <v>32</v>
      </c>
      <c r="O521" s="22">
        <f>IF(D521="","",MATCH(D521,'Lista - Placas'!$AG:$AG,0)-2)</f>
        <v>3</v>
      </c>
    </row>
    <row r="522" spans="1:15" x14ac:dyDescent="0.35">
      <c r="A522" s="21" t="s">
        <v>738</v>
      </c>
      <c r="B522" s="21" t="s">
        <v>738</v>
      </c>
      <c r="C522" s="22" t="str">
        <f t="shared" si="9"/>
        <v>JKM260P</v>
      </c>
      <c r="D522" t="s">
        <v>1016</v>
      </c>
      <c r="N522" s="22">
        <f>IF(B522="","",MATCH(B522,'Lista - Placas'!$2:$2,0)-1)</f>
        <v>32</v>
      </c>
      <c r="O522" s="22">
        <f>IF(D522="","",MATCH(D522,'Lista - Placas'!$AG:$AG,0)-2)</f>
        <v>4</v>
      </c>
    </row>
    <row r="523" spans="1:15" x14ac:dyDescent="0.35">
      <c r="A523" s="21" t="s">
        <v>738</v>
      </c>
      <c r="B523" s="21" t="s">
        <v>738</v>
      </c>
      <c r="C523" s="22" t="str">
        <f t="shared" si="9"/>
        <v>JKM265P</v>
      </c>
      <c r="D523" t="s">
        <v>1062</v>
      </c>
      <c r="E523" s="5">
        <v>0.26500000000000001</v>
      </c>
      <c r="F523" s="5">
        <v>1.5</v>
      </c>
      <c r="G523" t="s">
        <v>85</v>
      </c>
      <c r="H523" t="s">
        <v>4083</v>
      </c>
      <c r="I523" t="s">
        <v>4084</v>
      </c>
      <c r="J523" t="s">
        <v>4085</v>
      </c>
      <c r="K523" t="s">
        <v>4086</v>
      </c>
      <c r="L523" t="s">
        <v>4087</v>
      </c>
      <c r="M523" s="12" t="s">
        <v>81</v>
      </c>
      <c r="N523" s="22">
        <f>IF(B523="","",MATCH(B523,'Lista - Placas'!$2:$2,0)-1)</f>
        <v>32</v>
      </c>
      <c r="O523" s="22">
        <f>IF(D523="","",MATCH(D523,'Lista - Placas'!$AG:$AG,0)-2)</f>
        <v>5</v>
      </c>
    </row>
    <row r="524" spans="1:15" x14ac:dyDescent="0.35">
      <c r="A524" s="21" t="s">
        <v>738</v>
      </c>
      <c r="B524" s="21" t="s">
        <v>738</v>
      </c>
      <c r="C524" s="22" t="str">
        <f t="shared" si="9"/>
        <v>JKM305PP</v>
      </c>
      <c r="D524" t="s">
        <v>1103</v>
      </c>
      <c r="N524" s="22">
        <f>IF(B524="","",MATCH(B524,'Lista - Placas'!$2:$2,0)-1)</f>
        <v>32</v>
      </c>
      <c r="O524" s="22">
        <f>IF(D524="","",MATCH(D524,'Lista - Placas'!$AG:$AG,0)-2)</f>
        <v>6</v>
      </c>
    </row>
    <row r="525" spans="1:15" x14ac:dyDescent="0.35">
      <c r="A525" s="21" t="s">
        <v>738</v>
      </c>
      <c r="B525" s="21" t="s">
        <v>738</v>
      </c>
      <c r="C525" s="22" t="str">
        <f t="shared" si="9"/>
        <v>JKM310PP</v>
      </c>
      <c r="D525" t="s">
        <v>1142</v>
      </c>
      <c r="N525" s="22">
        <f>IF(B525="","",MATCH(B525,'Lista - Placas'!$2:$2,0)-1)</f>
        <v>32</v>
      </c>
      <c r="O525" s="22">
        <f>IF(D525="","",MATCH(D525,'Lista - Placas'!$AG:$AG,0)-2)</f>
        <v>7</v>
      </c>
    </row>
    <row r="526" spans="1:15" x14ac:dyDescent="0.35">
      <c r="A526" s="21" t="s">
        <v>738</v>
      </c>
      <c r="B526" s="21" t="s">
        <v>738</v>
      </c>
      <c r="C526" s="22" t="str">
        <f t="shared" si="9"/>
        <v>JKM315PP</v>
      </c>
      <c r="D526" t="s">
        <v>1178</v>
      </c>
      <c r="N526" s="22">
        <f>IF(B526="","",MATCH(B526,'Lista - Placas'!$2:$2,0)-1)</f>
        <v>32</v>
      </c>
      <c r="O526" s="22">
        <f>IF(D526="","",MATCH(D526,'Lista - Placas'!$AG:$AG,0)-2)</f>
        <v>8</v>
      </c>
    </row>
    <row r="527" spans="1:15" x14ac:dyDescent="0.35">
      <c r="A527" s="21" t="s">
        <v>738</v>
      </c>
      <c r="B527" s="21" t="s">
        <v>738</v>
      </c>
      <c r="C527" s="22" t="str">
        <f t="shared" si="9"/>
        <v>JKM320PP</v>
      </c>
      <c r="D527" t="s">
        <v>1212</v>
      </c>
      <c r="N527" s="22">
        <f>IF(B527="","",MATCH(B527,'Lista - Placas'!$2:$2,0)-1)</f>
        <v>32</v>
      </c>
      <c r="O527" s="22">
        <f>IF(D527="","",MATCH(D527,'Lista - Placas'!$AG:$AG,0)-2)</f>
        <v>9</v>
      </c>
    </row>
    <row r="528" spans="1:15" x14ac:dyDescent="0.35">
      <c r="A528" s="21" t="s">
        <v>738</v>
      </c>
      <c r="B528" s="21" t="s">
        <v>738</v>
      </c>
      <c r="C528" s="22" t="str">
        <f t="shared" si="9"/>
        <v>JKM325PP</v>
      </c>
      <c r="D528" t="s">
        <v>1243</v>
      </c>
      <c r="N528" s="22">
        <f>IF(B528="","",MATCH(B528,'Lista - Placas'!$2:$2,0)-1)</f>
        <v>32</v>
      </c>
      <c r="O528" s="22">
        <f>IF(D528="","",MATCH(D528,'Lista - Placas'!$AG:$AG,0)-2)</f>
        <v>10</v>
      </c>
    </row>
    <row r="529" spans="1:15" x14ac:dyDescent="0.35">
      <c r="A529" s="21" t="s">
        <v>738</v>
      </c>
      <c r="B529" s="21" t="s">
        <v>738</v>
      </c>
      <c r="C529" s="22" t="str">
        <f t="shared" si="9"/>
        <v>JKM330PP-72</v>
      </c>
      <c r="D529" t="s">
        <v>1271</v>
      </c>
      <c r="N529" s="22">
        <f>IF(B529="","",MATCH(B529,'Lista - Placas'!$2:$2,0)-1)</f>
        <v>32</v>
      </c>
      <c r="O529" s="22">
        <f>IF(D529="","",MATCH(D529,'Lista - Placas'!$AG:$AG,0)-2)</f>
        <v>11</v>
      </c>
    </row>
    <row r="530" spans="1:15" x14ac:dyDescent="0.35">
      <c r="A530" s="21" t="s">
        <v>738</v>
      </c>
      <c r="B530" s="21" t="s">
        <v>738</v>
      </c>
      <c r="C530" s="22" t="str">
        <f t="shared" si="9"/>
        <v>JKM335PP</v>
      </c>
      <c r="D530" t="s">
        <v>1299</v>
      </c>
      <c r="N530" s="22">
        <f>IF(B530="","",MATCH(B530,'Lista - Placas'!$2:$2,0)-1)</f>
        <v>32</v>
      </c>
      <c r="O530" s="22">
        <f>IF(D530="","",MATCH(D530,'Lista - Placas'!$AG:$AG,0)-2)</f>
        <v>12</v>
      </c>
    </row>
    <row r="531" spans="1:15" x14ac:dyDescent="0.35">
      <c r="A531" s="21" t="s">
        <v>738</v>
      </c>
      <c r="B531" s="21" t="s">
        <v>738</v>
      </c>
      <c r="C531" s="22" t="str">
        <f t="shared" si="9"/>
        <v>JKM340PP-72H</v>
      </c>
      <c r="D531" t="s">
        <v>1326</v>
      </c>
      <c r="N531" s="22">
        <f>IF(B531="","",MATCH(B531,'Lista - Placas'!$2:$2,0)-1)</f>
        <v>32</v>
      </c>
      <c r="O531" s="22">
        <f>IF(D531="","",MATCH(D531,'Lista - Placas'!$AG:$AG,0)-2)</f>
        <v>13</v>
      </c>
    </row>
    <row r="532" spans="1:15" x14ac:dyDescent="0.35">
      <c r="A532" s="21" t="s">
        <v>738</v>
      </c>
      <c r="B532" s="21" t="s">
        <v>738</v>
      </c>
      <c r="C532" s="22" t="str">
        <f t="shared" si="9"/>
        <v>JKM365M-72</v>
      </c>
      <c r="D532" t="s">
        <v>1353</v>
      </c>
      <c r="N532" s="22">
        <f>IF(B532="","",MATCH(B532,'Lista - Placas'!$2:$2,0)-1)</f>
        <v>32</v>
      </c>
      <c r="O532" s="22">
        <f>IF(D532="","",MATCH(D532,'Lista - Placas'!$AG:$AG,0)-2)</f>
        <v>14</v>
      </c>
    </row>
    <row r="533" spans="1:15" x14ac:dyDescent="0.35">
      <c r="A533" s="21" t="s">
        <v>738</v>
      </c>
      <c r="B533" s="21" t="s">
        <v>738</v>
      </c>
      <c r="C533" s="22" t="str">
        <f t="shared" si="9"/>
        <v>JKM390M-72-V</v>
      </c>
      <c r="D533" t="s">
        <v>1379</v>
      </c>
      <c r="N533" s="22">
        <f>IF(B533="","",MATCH(B533,'Lista - Placas'!$2:$2,0)-1)</f>
        <v>32</v>
      </c>
      <c r="O533" s="22">
        <f>IF(D533="","",MATCH(D533,'Lista - Placas'!$AG:$AG,0)-2)</f>
        <v>15</v>
      </c>
    </row>
    <row r="534" spans="1:15" x14ac:dyDescent="0.35">
      <c r="A534" s="21" t="s">
        <v>738</v>
      </c>
      <c r="B534" s="21" t="s">
        <v>738</v>
      </c>
      <c r="C534" s="22" t="str">
        <f t="shared" si="9"/>
        <v>JKM335PP-72H-V</v>
      </c>
      <c r="D534" t="s">
        <v>1401</v>
      </c>
      <c r="N534" s="22">
        <f>IF(B534="","",MATCH(B534,'Lista - Placas'!$2:$2,0)-1)</f>
        <v>32</v>
      </c>
      <c r="O534" s="22">
        <f>IF(D534="","",MATCH(D534,'Lista - Placas'!$AG:$AG,0)-2)</f>
        <v>16</v>
      </c>
    </row>
    <row r="535" spans="1:15" x14ac:dyDescent="0.35">
      <c r="A535" s="21" t="s">
        <v>738</v>
      </c>
      <c r="B535" s="21" t="s">
        <v>738</v>
      </c>
      <c r="C535" s="22" t="str">
        <f t="shared" si="9"/>
        <v>JKM270PP</v>
      </c>
      <c r="D535" t="s">
        <v>1423</v>
      </c>
      <c r="N535" s="22">
        <f>IF(B535="","",MATCH(B535,'Lista - Placas'!$2:$2,0)-1)</f>
        <v>32</v>
      </c>
      <c r="O535" s="22">
        <f>IF(D535="","",MATCH(D535,'Lista - Placas'!$AG:$AG,0)-2)</f>
        <v>17</v>
      </c>
    </row>
    <row r="536" spans="1:15" x14ac:dyDescent="0.35">
      <c r="A536" s="21" t="s">
        <v>738</v>
      </c>
      <c r="B536" s="21" t="s">
        <v>738</v>
      </c>
      <c r="C536" s="22" t="str">
        <f t="shared" si="9"/>
        <v>JKM330M</v>
      </c>
      <c r="D536" t="s">
        <v>1444</v>
      </c>
      <c r="N536" s="22">
        <f>IF(B536="","",MATCH(B536,'Lista - Placas'!$2:$2,0)-1)</f>
        <v>32</v>
      </c>
      <c r="O536" s="22">
        <f>IF(D536="","",MATCH(D536,'Lista - Placas'!$AG:$AG,0)-2)</f>
        <v>18</v>
      </c>
    </row>
    <row r="537" spans="1:15" x14ac:dyDescent="0.35">
      <c r="A537" s="21" t="s">
        <v>738</v>
      </c>
      <c r="B537" s="21" t="s">
        <v>738</v>
      </c>
      <c r="C537" s="22" t="str">
        <f t="shared" si="9"/>
        <v>CHEETAH 72M-V</v>
      </c>
      <c r="D537" t="s">
        <v>1462</v>
      </c>
      <c r="N537" s="22">
        <f>IF(B537="","",MATCH(B537,'Lista - Placas'!$2:$2,0)-1)</f>
        <v>32</v>
      </c>
      <c r="O537" s="22">
        <f>IF(D537="","",MATCH(D537,'Lista - Placas'!$AG:$AG,0)-2)</f>
        <v>19</v>
      </c>
    </row>
    <row r="538" spans="1:15" x14ac:dyDescent="0.35">
      <c r="A538" s="21" t="s">
        <v>738</v>
      </c>
      <c r="B538" s="21" t="s">
        <v>738</v>
      </c>
      <c r="C538" s="22" t="str">
        <f t="shared" si="9"/>
        <v>JKM335PP-72</v>
      </c>
      <c r="D538" t="s">
        <v>1480</v>
      </c>
      <c r="N538" s="22">
        <f>IF(B538="","",MATCH(B538,'Lista - Placas'!$2:$2,0)-1)</f>
        <v>32</v>
      </c>
      <c r="O538" s="22">
        <f>IF(D538="","",MATCH(D538,'Lista - Placas'!$AG:$AG,0)-2)</f>
        <v>20</v>
      </c>
    </row>
    <row r="539" spans="1:15" x14ac:dyDescent="0.35">
      <c r="A539" s="21" t="s">
        <v>738</v>
      </c>
      <c r="B539" s="21" t="s">
        <v>738</v>
      </c>
      <c r="C539" s="22" t="str">
        <f t="shared" si="9"/>
        <v>JKM400M-72H</v>
      </c>
      <c r="D539" t="s">
        <v>1495</v>
      </c>
      <c r="N539" s="22">
        <f>IF(B539="","",MATCH(B539,'Lista - Placas'!$2:$2,0)-1)</f>
        <v>32</v>
      </c>
      <c r="O539" s="22">
        <f>IF(D539="","",MATCH(D539,'Lista - Placas'!$AG:$AG,0)-2)</f>
        <v>21</v>
      </c>
    </row>
    <row r="540" spans="1:15" x14ac:dyDescent="0.35">
      <c r="A540" s="21" t="s">
        <v>738</v>
      </c>
      <c r="B540" s="21" t="s">
        <v>738</v>
      </c>
      <c r="C540" s="22" t="str">
        <f t="shared" si="9"/>
        <v>JKM400M-72HL-V</v>
      </c>
      <c r="D540" t="s">
        <v>1509</v>
      </c>
      <c r="N540" s="22">
        <f>IF(B540="","",MATCH(B540,'Lista - Placas'!$2:$2,0)-1)</f>
        <v>32</v>
      </c>
      <c r="O540" s="22">
        <f>IF(D540="","",MATCH(D540,'Lista - Placas'!$AG:$AG,0)-2)</f>
        <v>22</v>
      </c>
    </row>
    <row r="541" spans="1:15" x14ac:dyDescent="0.35">
      <c r="A541" s="21" t="s">
        <v>738</v>
      </c>
      <c r="B541" s="21" t="s">
        <v>738</v>
      </c>
      <c r="C541" s="22" t="str">
        <f t="shared" si="9"/>
        <v>JKM400M-72H-V</v>
      </c>
      <c r="D541" t="s">
        <v>1523</v>
      </c>
      <c r="N541" s="22">
        <f>IF(B541="","",MATCH(B541,'Lista - Placas'!$2:$2,0)-1)</f>
        <v>32</v>
      </c>
      <c r="O541" s="22">
        <f>IF(D541="","",MATCH(D541,'Lista - Placas'!$AG:$AG,0)-2)</f>
        <v>23</v>
      </c>
    </row>
    <row r="542" spans="1:15" x14ac:dyDescent="0.35">
      <c r="A542" s="21" t="s">
        <v>738</v>
      </c>
      <c r="B542" s="21" t="s">
        <v>738</v>
      </c>
      <c r="C542" s="22" t="str">
        <f t="shared" si="9"/>
        <v>JKM335PP-J4</v>
      </c>
      <c r="D542" t="s">
        <v>1537</v>
      </c>
      <c r="N542" s="22">
        <f>IF(B542="","",MATCH(B542,'Lista - Placas'!$2:$2,0)-1)</f>
        <v>32</v>
      </c>
      <c r="O542" s="22">
        <f>IF(D542="","",MATCH(D542,'Lista - Placas'!$AG:$AG,0)-2)</f>
        <v>24</v>
      </c>
    </row>
    <row r="543" spans="1:15" x14ac:dyDescent="0.35">
      <c r="A543" s="21" t="s">
        <v>738</v>
      </c>
      <c r="B543" s="21" t="s">
        <v>738</v>
      </c>
      <c r="C543" s="22" t="str">
        <f t="shared" si="9"/>
        <v>JKM390M-72HL-V</v>
      </c>
      <c r="D543" t="s">
        <v>1551</v>
      </c>
      <c r="N543" s="22">
        <f>IF(B543="","",MATCH(B543,'Lista - Placas'!$2:$2,0)-1)</f>
        <v>32</v>
      </c>
      <c r="O543" s="22">
        <f>IF(D543="","",MATCH(D543,'Lista - Placas'!$AG:$AG,0)-2)</f>
        <v>25</v>
      </c>
    </row>
    <row r="544" spans="1:15" x14ac:dyDescent="0.35">
      <c r="A544" s="21" t="s">
        <v>738</v>
      </c>
      <c r="B544" s="21" t="s">
        <v>738</v>
      </c>
      <c r="C544" s="22" t="str">
        <f t="shared" si="9"/>
        <v>JKM335PP-72-V</v>
      </c>
      <c r="D544" t="s">
        <v>1564</v>
      </c>
      <c r="N544" s="22">
        <f>IF(B544="","",MATCH(B544,'Lista - Placas'!$2:$2,0)-1)</f>
        <v>32</v>
      </c>
      <c r="O544" s="22">
        <f>IF(D544="","",MATCH(D544,'Lista - Placas'!$AG:$AG,0)-2)</f>
        <v>26</v>
      </c>
    </row>
    <row r="545" spans="1:15" x14ac:dyDescent="0.35">
      <c r="A545" s="21" t="s">
        <v>738</v>
      </c>
      <c r="B545" s="21" t="s">
        <v>738</v>
      </c>
      <c r="C545" s="22" t="str">
        <f t="shared" si="9"/>
        <v>JKM390M-72H</v>
      </c>
      <c r="D545" t="s">
        <v>1576</v>
      </c>
      <c r="N545" s="22">
        <f>IF(B545="","",MATCH(B545,'Lista - Placas'!$2:$2,0)-1)</f>
        <v>32</v>
      </c>
      <c r="O545" s="22">
        <f>IF(D545="","",MATCH(D545,'Lista - Placas'!$AG:$AG,0)-2)</f>
        <v>27</v>
      </c>
    </row>
    <row r="546" spans="1:15" x14ac:dyDescent="0.35">
      <c r="A546" s="21" t="s">
        <v>738</v>
      </c>
      <c r="B546" s="21" t="s">
        <v>738</v>
      </c>
      <c r="C546" s="22" t="str">
        <f t="shared" si="9"/>
        <v>JKM400M-72-V</v>
      </c>
      <c r="D546" t="s">
        <v>1587</v>
      </c>
      <c r="N546" s="22">
        <f>IF(B546="","",MATCH(B546,'Lista - Placas'!$2:$2,0)-1)</f>
        <v>32</v>
      </c>
      <c r="O546" s="22">
        <f>IF(D546="","",MATCH(D546,'Lista - Placas'!$AG:$AG,0)-2)</f>
        <v>28</v>
      </c>
    </row>
    <row r="547" spans="1:15" x14ac:dyDescent="0.35">
      <c r="A547" s="21" t="s">
        <v>738</v>
      </c>
      <c r="B547" s="21" t="s">
        <v>738</v>
      </c>
      <c r="C547" s="22" t="str">
        <f t="shared" si="9"/>
        <v>JKM400M-72H-V</v>
      </c>
      <c r="D547" t="s">
        <v>1598</v>
      </c>
      <c r="N547" s="22">
        <f>IF(B547="","",MATCH(B547,'Lista - Placas'!$2:$2,0)-1)</f>
        <v>32</v>
      </c>
      <c r="O547" s="22">
        <f>IF(D547="","",MATCH(D547,'Lista - Placas'!$AG:$AG,0)-2)</f>
        <v>29</v>
      </c>
    </row>
    <row r="548" spans="1:15" x14ac:dyDescent="0.35">
      <c r="A548" s="21" t="s">
        <v>738</v>
      </c>
      <c r="B548" s="21" t="s">
        <v>738</v>
      </c>
      <c r="C548" s="22" t="str">
        <f t="shared" si="9"/>
        <v xml:space="preserve"> JKM 390M-72H-V</v>
      </c>
      <c r="D548" t="s">
        <v>1609</v>
      </c>
      <c r="N548" s="22">
        <f>IF(B548="","",MATCH(B548,'Lista - Placas'!$2:$2,0)-1)</f>
        <v>32</v>
      </c>
      <c r="O548" s="22">
        <f>IF(D548="","",MATCH(D548,'Lista - Placas'!$AG:$AG,0)-2)</f>
        <v>30</v>
      </c>
    </row>
    <row r="549" spans="1:15" x14ac:dyDescent="0.35">
      <c r="A549" s="21" t="s">
        <v>738</v>
      </c>
      <c r="B549" s="21" t="s">
        <v>738</v>
      </c>
      <c r="C549" s="22" t="str">
        <f t="shared" si="9"/>
        <v>JKM340PP-72</v>
      </c>
      <c r="D549" t="s">
        <v>1619</v>
      </c>
      <c r="N549" s="22">
        <f>IF(B549="","",MATCH(B549,'Lista - Placas'!$2:$2,0)-1)</f>
        <v>32</v>
      </c>
      <c r="O549" s="22">
        <f>IF(D549="","",MATCH(D549,'Lista - Placas'!$AG:$AG,0)-2)</f>
        <v>31</v>
      </c>
    </row>
    <row r="550" spans="1:15" x14ac:dyDescent="0.35">
      <c r="A550" s="21" t="s">
        <v>738</v>
      </c>
      <c r="B550" s="21" t="s">
        <v>738</v>
      </c>
      <c r="C550" s="22" t="str">
        <f t="shared" si="9"/>
        <v>JKM410M-72H-V</v>
      </c>
      <c r="D550" t="s">
        <v>1628</v>
      </c>
      <c r="N550" s="22">
        <f>IF(B550="","",MATCH(B550,'Lista - Placas'!$2:$2,0)-1)</f>
        <v>32</v>
      </c>
      <c r="O550" s="22">
        <f>IF(D550="","",MATCH(D550,'Lista - Placas'!$AG:$AG,0)-2)</f>
        <v>32</v>
      </c>
    </row>
    <row r="551" spans="1:15" x14ac:dyDescent="0.35">
      <c r="A551" s="21" t="s">
        <v>738</v>
      </c>
      <c r="B551" s="21" t="s">
        <v>738</v>
      </c>
      <c r="C551" s="22" t="str">
        <f t="shared" si="9"/>
        <v>JKM340PP-72-V</v>
      </c>
      <c r="D551" t="s">
        <v>1637</v>
      </c>
      <c r="N551" s="22">
        <f>IF(B551="","",MATCH(B551,'Lista - Placas'!$2:$2,0)-1)</f>
        <v>32</v>
      </c>
      <c r="O551" s="22">
        <f>IF(D551="","",MATCH(D551,'Lista - Placas'!$AG:$AG,0)-2)</f>
        <v>33</v>
      </c>
    </row>
    <row r="552" spans="1:15" x14ac:dyDescent="0.35">
      <c r="A552" s="21" t="s">
        <v>738</v>
      </c>
      <c r="B552" s="21" t="s">
        <v>738</v>
      </c>
      <c r="C552" s="22" t="str">
        <f t="shared" si="9"/>
        <v>JKM340PP-72H-V</v>
      </c>
      <c r="D552" t="s">
        <v>1646</v>
      </c>
      <c r="N552" s="22">
        <f>IF(B552="","",MATCH(B552,'Lista - Placas'!$2:$2,0)-1)</f>
        <v>32</v>
      </c>
      <c r="O552" s="22">
        <f>IF(D552="","",MATCH(D552,'Lista - Placas'!$AG:$AG,0)-2)</f>
        <v>34</v>
      </c>
    </row>
    <row r="553" spans="1:15" x14ac:dyDescent="0.35">
      <c r="A553" s="21" t="s">
        <v>738</v>
      </c>
      <c r="B553" s="21" t="s">
        <v>738</v>
      </c>
      <c r="C553" s="22" t="str">
        <f t="shared" si="9"/>
        <v>JKM440M-6TL4-V</v>
      </c>
      <c r="D553" t="s">
        <v>1655</v>
      </c>
      <c r="N553" s="22">
        <f>IF(B553="","",MATCH(B553,'Lista - Placas'!$2:$2,0)-1)</f>
        <v>32</v>
      </c>
      <c r="O553" s="22">
        <f>IF(D553="","",MATCH(D553,'Lista - Placas'!$AG:$AG,0)-2)</f>
        <v>35</v>
      </c>
    </row>
    <row r="554" spans="1:15" x14ac:dyDescent="0.35">
      <c r="A554" s="21" t="s">
        <v>738</v>
      </c>
      <c r="B554" s="21" t="s">
        <v>738</v>
      </c>
      <c r="C554" s="22" t="str">
        <f t="shared" si="9"/>
        <v>JKM435M-6TL4</v>
      </c>
      <c r="D554" t="s">
        <v>1663</v>
      </c>
      <c r="N554" s="22">
        <f>IF(B554="","",MATCH(B554,'Lista - Placas'!$2:$2,0)-1)</f>
        <v>32</v>
      </c>
      <c r="O554" s="22">
        <f>IF(D554="","",MATCH(D554,'Lista - Placas'!$AG:$AG,0)-2)</f>
        <v>36</v>
      </c>
    </row>
    <row r="555" spans="1:15" x14ac:dyDescent="0.35">
      <c r="A555" s="21" t="s">
        <v>738</v>
      </c>
      <c r="B555" s="21" t="s">
        <v>738</v>
      </c>
      <c r="C555" s="22" t="str">
        <f t="shared" si="9"/>
        <v>JKM440M-6TL4</v>
      </c>
      <c r="D555" t="s">
        <v>1671</v>
      </c>
      <c r="N555" s="22">
        <f>IF(B555="","",MATCH(B555,'Lista - Placas'!$2:$2,0)-1)</f>
        <v>32</v>
      </c>
      <c r="O555" s="22">
        <f>IF(D555="","",MATCH(D555,'Lista - Placas'!$AG:$AG,0)-2)</f>
        <v>37</v>
      </c>
    </row>
    <row r="556" spans="1:15" x14ac:dyDescent="0.35">
      <c r="A556" s="21" t="s">
        <v>738</v>
      </c>
      <c r="B556" s="21" t="s">
        <v>738</v>
      </c>
      <c r="C556" s="22" t="str">
        <f t="shared" si="9"/>
        <v>JKM440M-78H-V</v>
      </c>
      <c r="D556" t="s">
        <v>1678</v>
      </c>
      <c r="N556" s="22">
        <f>IF(B556="","",MATCH(B556,'Lista - Placas'!$2:$2,0)-1)</f>
        <v>32</v>
      </c>
      <c r="O556" s="22">
        <f>IF(D556="","",MATCH(D556,'Lista - Placas'!$AG:$AG,0)-2)</f>
        <v>38</v>
      </c>
    </row>
    <row r="557" spans="1:15" x14ac:dyDescent="0.35">
      <c r="A557" s="21" t="s">
        <v>738</v>
      </c>
      <c r="B557" s="21" t="s">
        <v>738</v>
      </c>
      <c r="C557" s="22" t="str">
        <f t="shared" si="9"/>
        <v xml:space="preserve">JKM340M-60H </v>
      </c>
      <c r="D557" t="s">
        <v>1685</v>
      </c>
      <c r="N557" s="22">
        <f>IF(B557="","",MATCH(B557,'Lista - Placas'!$2:$2,0)-1)</f>
        <v>32</v>
      </c>
      <c r="O557" s="22">
        <f>IF(D557="","",MATCH(D557,'Lista - Placas'!$AG:$AG,0)-2)</f>
        <v>39</v>
      </c>
    </row>
    <row r="558" spans="1:15" x14ac:dyDescent="0.35">
      <c r="A558" s="21" t="s">
        <v>738</v>
      </c>
      <c r="B558" s="21" t="s">
        <v>738</v>
      </c>
      <c r="C558" s="22" t="str">
        <f t="shared" si="9"/>
        <v>JKM335M-60-V</v>
      </c>
      <c r="D558" t="s">
        <v>1692</v>
      </c>
      <c r="N558" s="22">
        <f>IF(B558="","",MATCH(B558,'Lista - Placas'!$2:$2,0)-1)</f>
        <v>32</v>
      </c>
      <c r="O558" s="22">
        <f>IF(D558="","",MATCH(D558,'Lista - Placas'!$AG:$AG,0)-2)</f>
        <v>40</v>
      </c>
    </row>
    <row r="559" spans="1:15" x14ac:dyDescent="0.35">
      <c r="A559" s="21" t="s">
        <v>738</v>
      </c>
      <c r="B559" s="21" t="s">
        <v>738</v>
      </c>
      <c r="C559" s="22" t="str">
        <f t="shared" si="9"/>
        <v>JKM465M-7RL3</v>
      </c>
      <c r="D559" t="s">
        <v>1699</v>
      </c>
      <c r="N559" s="22">
        <f>IF(B559="","",MATCH(B559,'Lista - Placas'!$2:$2,0)-1)</f>
        <v>32</v>
      </c>
      <c r="O559" s="22">
        <f>IF(D559="","",MATCH(D559,'Lista - Placas'!$AG:$AG,0)-2)</f>
        <v>41</v>
      </c>
    </row>
    <row r="560" spans="1:15" x14ac:dyDescent="0.35">
      <c r="A560" s="21" t="s">
        <v>738</v>
      </c>
      <c r="B560" s="21" t="s">
        <v>738</v>
      </c>
      <c r="C560" s="22" t="str">
        <f t="shared" si="9"/>
        <v>JKM410M-72H-MBB-BDVP</v>
      </c>
      <c r="D560" t="s">
        <v>1706</v>
      </c>
      <c r="N560" s="22">
        <f>IF(B560="","",MATCH(B560,'Lista - Placas'!$2:$2,0)-1)</f>
        <v>32</v>
      </c>
      <c r="O560" s="22">
        <f>IF(D560="","",MATCH(D560,'Lista - Placas'!$AG:$AG,0)-2)</f>
        <v>42</v>
      </c>
    </row>
    <row r="561" spans="1:15" x14ac:dyDescent="0.35">
      <c r="A561" s="21" t="s">
        <v>738</v>
      </c>
      <c r="B561" s="21" t="s">
        <v>738</v>
      </c>
      <c r="C561" s="22" t="str">
        <f t="shared" si="9"/>
        <v>JKM400M-72H-MBB-BDVP</v>
      </c>
      <c r="D561" t="s">
        <v>1713</v>
      </c>
      <c r="N561" s="22">
        <f>IF(B561="","",MATCH(B561,'Lista - Placas'!$2:$2,0)-1)</f>
        <v>32</v>
      </c>
      <c r="O561" s="22">
        <f>IF(D561="","",MATCH(D561,'Lista - Placas'!$AG:$AG,0)-2)</f>
        <v>43</v>
      </c>
    </row>
    <row r="562" spans="1:15" x14ac:dyDescent="0.35">
      <c r="A562" s="21" t="s">
        <v>738</v>
      </c>
      <c r="B562" s="21" t="s">
        <v>738</v>
      </c>
      <c r="C562" s="22" t="str">
        <f t="shared" si="9"/>
        <v>JKM410M-72H-MBB-BDVP</v>
      </c>
      <c r="D562" t="s">
        <v>1720</v>
      </c>
      <c r="N562" s="22">
        <f>IF(B562="","",MATCH(B562,'Lista - Placas'!$2:$2,0)-1)</f>
        <v>32</v>
      </c>
      <c r="O562" s="22">
        <f>IF(D562="","",MATCH(D562,'Lista - Placas'!$AG:$AG,0)-2)</f>
        <v>44</v>
      </c>
    </row>
    <row r="563" spans="1:15" x14ac:dyDescent="0.35">
      <c r="A563" s="21" t="s">
        <v>738</v>
      </c>
      <c r="B563" s="21" t="s">
        <v>738</v>
      </c>
      <c r="C563" s="22" t="str">
        <f t="shared" si="9"/>
        <v>JKM440M-78H</v>
      </c>
      <c r="D563" t="s">
        <v>1727</v>
      </c>
      <c r="N563" s="22">
        <f>IF(B563="","",MATCH(B563,'Lista - Placas'!$2:$2,0)-1)</f>
        <v>32</v>
      </c>
      <c r="O563" s="22">
        <f>IF(D563="","",MATCH(D563,'Lista - Placas'!$AG:$AG,0)-2)</f>
        <v>45</v>
      </c>
    </row>
    <row r="564" spans="1:15" x14ac:dyDescent="0.35">
      <c r="A564" s="21" t="s">
        <v>738</v>
      </c>
      <c r="B564" s="21" t="s">
        <v>738</v>
      </c>
      <c r="C564" s="22" t="str">
        <f t="shared" si="9"/>
        <v>JKM405M-72H-V</v>
      </c>
      <c r="D564" t="s">
        <v>1734</v>
      </c>
      <c r="N564" s="22">
        <f>IF(B564="","",MATCH(B564,'Lista - Placas'!$2:$2,0)-1)</f>
        <v>32</v>
      </c>
      <c r="O564" s="22">
        <f>IF(D564="","",MATCH(D564,'Lista - Placas'!$AG:$AG,0)-2)</f>
        <v>46</v>
      </c>
    </row>
    <row r="565" spans="1:15" x14ac:dyDescent="0.35">
      <c r="A565" s="21" t="s">
        <v>738</v>
      </c>
      <c r="B565" s="21" t="s">
        <v>738</v>
      </c>
      <c r="C565" s="22" t="str">
        <f t="shared" si="9"/>
        <v>JKM410M-72H-V</v>
      </c>
      <c r="D565" t="s">
        <v>1741</v>
      </c>
      <c r="N565" s="22">
        <f>IF(B565="","",MATCH(B565,'Lista - Placas'!$2:$2,0)-1)</f>
        <v>32</v>
      </c>
      <c r="O565" s="22">
        <f>IF(D565="","",MATCH(D565,'Lista - Placas'!$AG:$AG,0)-2)</f>
        <v>47</v>
      </c>
    </row>
    <row r="566" spans="1:15" x14ac:dyDescent="0.35">
      <c r="A566" s="21" t="s">
        <v>738</v>
      </c>
      <c r="B566" s="21" t="s">
        <v>738</v>
      </c>
      <c r="C566" s="22" t="str">
        <f t="shared" si="9"/>
        <v>JKM440M-6TL4-V</v>
      </c>
      <c r="D566" t="s">
        <v>1748</v>
      </c>
      <c r="N566" s="22">
        <f>IF(B566="","",MATCH(B566,'Lista - Placas'!$2:$2,0)-1)</f>
        <v>32</v>
      </c>
      <c r="O566" s="22">
        <f>IF(D566="","",MATCH(D566,'Lista - Placas'!$AG:$AG,0)-2)</f>
        <v>48</v>
      </c>
    </row>
    <row r="567" spans="1:15" x14ac:dyDescent="0.35">
      <c r="A567" s="21" t="s">
        <v>738</v>
      </c>
      <c r="B567" s="21" t="s">
        <v>738</v>
      </c>
      <c r="C567" s="22" t="str">
        <f t="shared" si="9"/>
        <v>JKM410M-72H</v>
      </c>
      <c r="D567" t="s">
        <v>1755</v>
      </c>
      <c r="N567" s="22">
        <f>IF(B567="","",MATCH(B567,'Lista - Placas'!$2:$2,0)-1)</f>
        <v>32</v>
      </c>
      <c r="O567" s="22">
        <f>IF(D567="","",MATCH(D567,'Lista - Placas'!$AG:$AG,0)-2)</f>
        <v>49</v>
      </c>
    </row>
    <row r="568" spans="1:15" x14ac:dyDescent="0.35">
      <c r="A568" s="21" t="s">
        <v>738</v>
      </c>
      <c r="B568" s="21" t="s">
        <v>738</v>
      </c>
      <c r="C568" s="22" t="str">
        <f t="shared" si="9"/>
        <v>JKM340M-72-V</v>
      </c>
      <c r="D568" t="s">
        <v>1761</v>
      </c>
      <c r="N568" s="22">
        <f>IF(B568="","",MATCH(B568,'Lista - Placas'!$2:$2,0)-1)</f>
        <v>32</v>
      </c>
      <c r="O568" s="22">
        <f>IF(D568="","",MATCH(D568,'Lista - Placas'!$AG:$AG,0)-2)</f>
        <v>50</v>
      </c>
    </row>
    <row r="569" spans="1:15" x14ac:dyDescent="0.35">
      <c r="A569" s="21" t="s">
        <v>738</v>
      </c>
      <c r="B569" s="21" t="s">
        <v>738</v>
      </c>
      <c r="C569" s="22" t="str">
        <f t="shared" si="9"/>
        <v>JKM465M-7RL3-V</v>
      </c>
      <c r="D569" t="s">
        <v>1767</v>
      </c>
      <c r="N569" s="22">
        <f>IF(B569="","",MATCH(B569,'Lista - Placas'!$2:$2,0)-1)</f>
        <v>32</v>
      </c>
      <c r="O569" s="22">
        <f>IF(D569="","",MATCH(D569,'Lista - Placas'!$AG:$AG,0)-2)</f>
        <v>51</v>
      </c>
    </row>
    <row r="570" spans="1:15" x14ac:dyDescent="0.35">
      <c r="A570" s="21" t="s">
        <v>738</v>
      </c>
      <c r="B570" s="21" t="s">
        <v>738</v>
      </c>
      <c r="C570" s="22" t="str">
        <f t="shared" ref="C570:C605" si="10">RIGHT(D570,LEN(D570)-(FIND(" - ", D570)+2))</f>
        <v>JKM380M-72-V</v>
      </c>
      <c r="D570" t="s">
        <v>1773</v>
      </c>
      <c r="N570" s="22">
        <f>IF(B570="","",MATCH(B570,'Lista - Placas'!$2:$2,0)-1)</f>
        <v>32</v>
      </c>
      <c r="O570" s="22">
        <f>IF(D570="","",MATCH(D570,'Lista - Placas'!$AG:$AG,0)-2)</f>
        <v>52</v>
      </c>
    </row>
    <row r="571" spans="1:15" x14ac:dyDescent="0.35">
      <c r="A571" s="21" t="s">
        <v>738</v>
      </c>
      <c r="B571" s="21" t="s">
        <v>738</v>
      </c>
      <c r="C571" s="22" t="str">
        <f t="shared" si="10"/>
        <v>JKM535M-72HL4-V</v>
      </c>
      <c r="D571" t="s">
        <v>1779</v>
      </c>
      <c r="N571" s="22">
        <f>IF(B571="","",MATCH(B571,'Lista - Placas'!$2:$2,0)-1)</f>
        <v>32</v>
      </c>
      <c r="O571" s="22">
        <f>IF(D571="","",MATCH(D571,'Lista - Placas'!$AG:$AG,0)-2)</f>
        <v>53</v>
      </c>
    </row>
    <row r="572" spans="1:15" x14ac:dyDescent="0.35">
      <c r="A572" s="21" t="s">
        <v>738</v>
      </c>
      <c r="B572" s="21" t="s">
        <v>738</v>
      </c>
      <c r="C572" s="22" t="str">
        <f t="shared" si="10"/>
        <v>JKM440M-60HL4-V</v>
      </c>
      <c r="D572" t="s">
        <v>1785</v>
      </c>
      <c r="N572" s="22">
        <f>IF(B572="","",MATCH(B572,'Lista - Placas'!$2:$2,0)-1)</f>
        <v>32</v>
      </c>
      <c r="O572" s="22">
        <f>IF(D572="","",MATCH(D572,'Lista - Placas'!$AG:$AG,0)-2)</f>
        <v>54</v>
      </c>
    </row>
    <row r="573" spans="1:15" x14ac:dyDescent="0.35">
      <c r="A573" s="21" t="s">
        <v>738</v>
      </c>
      <c r="B573" s="21" t="s">
        <v>738</v>
      </c>
      <c r="C573" s="22" t="str">
        <f t="shared" si="10"/>
        <v>CHEETAH HC 72M 390W</v>
      </c>
      <c r="D573" t="s">
        <v>1791</v>
      </c>
      <c r="N573" s="22">
        <f>IF(B573="","",MATCH(B573,'Lista - Placas'!$2:$2,0)-1)</f>
        <v>32</v>
      </c>
      <c r="O573" s="22">
        <f>IF(D573="","",MATCH(D573,'Lista - Placas'!$AG:$AG,0)-2)</f>
        <v>55</v>
      </c>
    </row>
    <row r="574" spans="1:15" x14ac:dyDescent="0.35">
      <c r="A574" s="21" t="s">
        <v>738</v>
      </c>
      <c r="B574" s="21" t="s">
        <v>738</v>
      </c>
      <c r="C574" s="22" t="str">
        <f t="shared" si="10"/>
        <v>JKM440M-6HL4-V</v>
      </c>
      <c r="D574" t="s">
        <v>1797</v>
      </c>
      <c r="N574" s="22">
        <f>IF(B574="","",MATCH(B574,'Lista - Placas'!$2:$2,0)-1)</f>
        <v>32</v>
      </c>
      <c r="O574" s="22">
        <f>IF(D574="","",MATCH(D574,'Lista - Placas'!$AG:$AG,0)-2)</f>
        <v>56</v>
      </c>
    </row>
    <row r="575" spans="1:15" x14ac:dyDescent="0.35">
      <c r="A575" s="21" t="s">
        <v>738</v>
      </c>
      <c r="B575" s="21" t="s">
        <v>738</v>
      </c>
      <c r="C575" s="22" t="str">
        <f t="shared" si="10"/>
        <v>JKM435M-6TL4-V</v>
      </c>
      <c r="D575" t="s">
        <v>1803</v>
      </c>
      <c r="N575" s="22">
        <f>IF(B575="","",MATCH(B575,'Lista - Placas'!$2:$2,0)-1)</f>
        <v>32</v>
      </c>
      <c r="O575" s="22">
        <f>IF(D575="","",MATCH(D575,'Lista - Placas'!$AG:$AG,0)-2)</f>
        <v>57</v>
      </c>
    </row>
    <row r="576" spans="1:15" x14ac:dyDescent="0.35">
      <c r="A576" s="21" t="s">
        <v>738</v>
      </c>
      <c r="B576" s="21" t="s">
        <v>738</v>
      </c>
      <c r="C576" s="22" t="str">
        <f t="shared" si="10"/>
        <v>JKM525M-7TL4-V</v>
      </c>
      <c r="D576" t="s">
        <v>1809</v>
      </c>
      <c r="N576" s="22">
        <f>IF(B576="","",MATCH(B576,'Lista - Placas'!$2:$2,0)-1)</f>
        <v>32</v>
      </c>
      <c r="O576" s="22">
        <f>IF(D576="","",MATCH(D576,'Lista - Placas'!$AG:$AG,0)-2)</f>
        <v>58</v>
      </c>
    </row>
    <row r="577" spans="1:15" x14ac:dyDescent="0.35">
      <c r="A577" s="21" t="s">
        <v>738</v>
      </c>
      <c r="B577" s="21" t="s">
        <v>738</v>
      </c>
      <c r="C577" s="22" t="str">
        <f t="shared" si="10"/>
        <v>JKM450M-60HL4-V</v>
      </c>
      <c r="D577" t="s">
        <v>1815</v>
      </c>
      <c r="N577" s="22">
        <f>IF(B577="","",MATCH(B577,'Lista - Placas'!$2:$2,0)-1)</f>
        <v>32</v>
      </c>
      <c r="O577" s="22">
        <f>IF(D577="","",MATCH(D577,'Lista - Placas'!$AG:$AG,0)-2)</f>
        <v>59</v>
      </c>
    </row>
    <row r="578" spans="1:15" x14ac:dyDescent="0.35">
      <c r="A578" s="21" t="s">
        <v>738</v>
      </c>
      <c r="B578" s="21" t="s">
        <v>738</v>
      </c>
      <c r="C578" s="22" t="str">
        <f t="shared" si="10"/>
        <v>JKM450M-6TL4-V</v>
      </c>
      <c r="D578" t="s">
        <v>1821</v>
      </c>
      <c r="N578" s="22">
        <f>IF(B578="","",MATCH(B578,'Lista - Placas'!$2:$2,0)-1)</f>
        <v>32</v>
      </c>
      <c r="O578" s="22">
        <f>IF(D578="","",MATCH(D578,'Lista - Placas'!$AG:$AG,0)-2)</f>
        <v>60</v>
      </c>
    </row>
    <row r="579" spans="1:15" x14ac:dyDescent="0.35">
      <c r="A579" s="21" t="s">
        <v>738</v>
      </c>
      <c r="B579" s="21" t="s">
        <v>738</v>
      </c>
      <c r="C579" s="22" t="str">
        <f t="shared" si="10"/>
        <v>JKM460M-7RL3V</v>
      </c>
      <c r="D579" t="s">
        <v>1826</v>
      </c>
      <c r="N579" s="22">
        <f>IF(B579="","",MATCH(B579,'Lista - Placas'!$2:$2,0)-1)</f>
        <v>32</v>
      </c>
      <c r="O579" s="22">
        <f>IF(D579="","",MATCH(D579,'Lista - Placas'!$AG:$AG,0)-2)</f>
        <v>61</v>
      </c>
    </row>
    <row r="580" spans="1:15" x14ac:dyDescent="0.35">
      <c r="A580" s="21" t="s">
        <v>738</v>
      </c>
      <c r="B580" s="21" t="s">
        <v>738</v>
      </c>
      <c r="C580" s="22" t="str">
        <f t="shared" si="10"/>
        <v>JKM530M-72HL4-V</v>
      </c>
      <c r="D580" t="s">
        <v>1831</v>
      </c>
      <c r="N580" s="22">
        <f>IF(B580="","",MATCH(B580,'Lista - Placas'!$2:$2,0)-1)</f>
        <v>32</v>
      </c>
      <c r="O580" s="22">
        <f>IF(D580="","",MATCH(D580,'Lista - Placas'!$AG:$AG,0)-2)</f>
        <v>62</v>
      </c>
    </row>
    <row r="581" spans="1:15" x14ac:dyDescent="0.35">
      <c r="A581" s="21" t="s">
        <v>738</v>
      </c>
      <c r="B581" s="21" t="s">
        <v>738</v>
      </c>
      <c r="C581" s="22" t="str">
        <f t="shared" si="10"/>
        <v>JKM450M-7RL3</v>
      </c>
      <c r="D581" t="s">
        <v>1836</v>
      </c>
      <c r="N581" s="22">
        <f>IF(B581="","",MATCH(B581,'Lista - Placas'!$2:$2,0)-1)</f>
        <v>32</v>
      </c>
      <c r="O581" s="22">
        <f>IF(D581="","",MATCH(D581,'Lista - Placas'!$AG:$AG,0)-2)</f>
        <v>63</v>
      </c>
    </row>
    <row r="582" spans="1:15" x14ac:dyDescent="0.35">
      <c r="A582" s="21" t="s">
        <v>738</v>
      </c>
      <c r="B582" s="21" t="s">
        <v>738</v>
      </c>
      <c r="C582" s="22" t="str">
        <f t="shared" si="10"/>
        <v>JKM525M-72HL4-TV</v>
      </c>
      <c r="D582" t="s">
        <v>1840</v>
      </c>
      <c r="N582" s="22">
        <f>IF(B582="","",MATCH(B582,'Lista - Placas'!$2:$2,0)-1)</f>
        <v>32</v>
      </c>
      <c r="O582" s="22">
        <f>IF(D582="","",MATCH(D582,'Lista - Placas'!$AG:$AG,0)-2)</f>
        <v>64</v>
      </c>
    </row>
    <row r="583" spans="1:15" x14ac:dyDescent="0.35">
      <c r="A583" s="21" t="s">
        <v>738</v>
      </c>
      <c r="B583" s="21" t="s">
        <v>738</v>
      </c>
      <c r="C583" s="22" t="str">
        <f t="shared" si="10"/>
        <v>JKM530M-7TL4-V</v>
      </c>
      <c r="D583" t="s">
        <v>1844</v>
      </c>
      <c r="N583" s="22">
        <f>IF(B583="","",MATCH(B583,'Lista - Placas'!$2:$2,0)-1)</f>
        <v>32</v>
      </c>
      <c r="O583" s="22">
        <f>IF(D583="","",MATCH(D583,'Lista - Placas'!$AG:$AG,0)-2)</f>
        <v>65</v>
      </c>
    </row>
    <row r="584" spans="1:15" x14ac:dyDescent="0.35">
      <c r="A584" s="21" t="s">
        <v>738</v>
      </c>
      <c r="B584" s="21" t="s">
        <v>738</v>
      </c>
      <c r="C584" s="22" t="str">
        <f t="shared" si="10"/>
        <v>JKM525M-72HL4-TV</v>
      </c>
      <c r="D584" t="s">
        <v>1848</v>
      </c>
      <c r="N584" s="22">
        <f>IF(B584="","",MATCH(B584,'Lista - Placas'!$2:$2,0)-1)</f>
        <v>32</v>
      </c>
      <c r="O584" s="22">
        <f>IF(D584="","",MATCH(D584,'Lista - Placas'!$AG:$AG,0)-2)</f>
        <v>66</v>
      </c>
    </row>
    <row r="585" spans="1:15" x14ac:dyDescent="0.35">
      <c r="A585" s="21" t="s">
        <v>738</v>
      </c>
      <c r="B585" s="21" t="s">
        <v>738</v>
      </c>
      <c r="C585" s="22" t="str">
        <f t="shared" si="10"/>
        <v>JKM445M-60HL4-V</v>
      </c>
      <c r="D585" t="s">
        <v>1852</v>
      </c>
      <c r="N585" s="22">
        <f>IF(B585="","",MATCH(B585,'Lista - Placas'!$2:$2,0)-1)</f>
        <v>32</v>
      </c>
      <c r="O585" s="22">
        <f>IF(D585="","",MATCH(D585,'Lista - Placas'!$AG:$AG,0)-2)</f>
        <v>67</v>
      </c>
    </row>
    <row r="586" spans="1:15" x14ac:dyDescent="0.35">
      <c r="A586" s="21" t="s">
        <v>738</v>
      </c>
      <c r="B586" s="21" t="s">
        <v>738</v>
      </c>
      <c r="C586" s="22" t="str">
        <f t="shared" si="10"/>
        <v>JKM540M-7TL4-V</v>
      </c>
      <c r="D586" t="s">
        <v>1856</v>
      </c>
      <c r="N586" s="22">
        <f>IF(B586="","",MATCH(B586,'Lista - Placas'!$2:$2,0)-1)</f>
        <v>32</v>
      </c>
      <c r="O586" s="22">
        <f>IF(D586="","",MATCH(D586,'Lista - Placas'!$AG:$AG,0)-2)</f>
        <v>68</v>
      </c>
    </row>
    <row r="587" spans="1:15" x14ac:dyDescent="0.35">
      <c r="A587" s="21" t="s">
        <v>738</v>
      </c>
      <c r="B587" s="21" t="s">
        <v>738</v>
      </c>
      <c r="C587" s="22" t="str">
        <f t="shared" si="10"/>
        <v>JKM-535M-72HL4-TV</v>
      </c>
      <c r="D587" t="s">
        <v>1860</v>
      </c>
      <c r="N587" s="22">
        <f>IF(B587="","",MATCH(B587,'Lista - Placas'!$2:$2,0)-1)</f>
        <v>32</v>
      </c>
      <c r="O587" s="22">
        <f>IF(D587="","",MATCH(D587,'Lista - Placas'!$AG:$AG,0)-2)</f>
        <v>69</v>
      </c>
    </row>
    <row r="588" spans="1:15" x14ac:dyDescent="0.35">
      <c r="A588" s="21" t="s">
        <v>738</v>
      </c>
      <c r="B588" s="21" t="s">
        <v>738</v>
      </c>
      <c r="C588" s="22" t="str">
        <f t="shared" si="10"/>
        <v>JKM530M-72HL4-TV</v>
      </c>
      <c r="D588" t="s">
        <v>1864</v>
      </c>
      <c r="N588" s="22">
        <f>IF(B588="","",MATCH(B588,'Lista - Placas'!$2:$2,0)-1)</f>
        <v>32</v>
      </c>
      <c r="O588" s="22">
        <f>IF(D588="","",MATCH(D588,'Lista - Placas'!$AG:$AG,0)-2)</f>
        <v>70</v>
      </c>
    </row>
    <row r="589" spans="1:15" x14ac:dyDescent="0.35">
      <c r="A589" s="21" t="s">
        <v>738</v>
      </c>
      <c r="B589" s="21" t="s">
        <v>738</v>
      </c>
      <c r="C589" s="22" t="str">
        <f t="shared" si="10"/>
        <v>JKM455M-7RL3-V</v>
      </c>
      <c r="D589" t="s">
        <v>1868</v>
      </c>
      <c r="N589" s="22">
        <f>IF(B589="","",MATCH(B589,'Lista - Placas'!$2:$2,0)-1)</f>
        <v>32</v>
      </c>
      <c r="O589" s="22">
        <f>IF(D589="","",MATCH(D589,'Lista - Placas'!$AG:$AG,0)-2)</f>
        <v>71</v>
      </c>
    </row>
    <row r="590" spans="1:15" x14ac:dyDescent="0.35">
      <c r="A590" s="21" t="s">
        <v>738</v>
      </c>
      <c r="B590" s="21" t="s">
        <v>738</v>
      </c>
      <c r="C590" s="22" t="str">
        <f t="shared" si="10"/>
        <v>JKM455M -60HL4-V</v>
      </c>
      <c r="D590" t="s">
        <v>1872</v>
      </c>
      <c r="N590" s="22">
        <f>IF(B590="","",MATCH(B590,'Lista - Placas'!$2:$2,0)-1)</f>
        <v>32</v>
      </c>
      <c r="O590" s="22">
        <f>IF(D590="","",MATCH(D590,'Lista - Placas'!$AG:$AG,0)-2)</f>
        <v>72</v>
      </c>
    </row>
    <row r="591" spans="1:15" x14ac:dyDescent="0.35">
      <c r="A591" s="21" t="s">
        <v>738</v>
      </c>
      <c r="B591" s="21" t="s">
        <v>738</v>
      </c>
      <c r="C591" s="22" t="str">
        <f t="shared" si="10"/>
        <v>JKM460M-60HL4-V</v>
      </c>
      <c r="D591" t="s">
        <v>1875</v>
      </c>
      <c r="N591" s="22">
        <f>IF(B591="","",MATCH(B591,'Lista - Placas'!$2:$2,0)-1)</f>
        <v>32</v>
      </c>
      <c r="O591" s="22">
        <f>IF(D591="","",MATCH(D591,'Lista - Placas'!$AG:$AG,0)-2)</f>
        <v>73</v>
      </c>
    </row>
    <row r="592" spans="1:15" x14ac:dyDescent="0.35">
      <c r="A592" s="21" t="s">
        <v>738</v>
      </c>
      <c r="B592" s="21" t="s">
        <v>738</v>
      </c>
      <c r="C592" s="22" t="str">
        <f t="shared" si="10"/>
        <v>JKM445M-7RL3-V</v>
      </c>
      <c r="D592" t="s">
        <v>1878</v>
      </c>
      <c r="N592" s="22">
        <f>IF(B592="","",MATCH(B592,'Lista - Placas'!$2:$2,0)-1)</f>
        <v>32</v>
      </c>
      <c r="O592" s="22">
        <f>IF(D592="","",MATCH(D592,'Lista - Placas'!$AG:$AG,0)-2)</f>
        <v>74</v>
      </c>
    </row>
    <row r="593" spans="1:15" x14ac:dyDescent="0.35">
      <c r="A593" s="21" t="s">
        <v>738</v>
      </c>
      <c r="B593" s="21" t="s">
        <v>738</v>
      </c>
      <c r="C593" s="22" t="str">
        <f t="shared" si="10"/>
        <v>JKM-460M-7RL3</v>
      </c>
      <c r="D593" t="s">
        <v>1881</v>
      </c>
      <c r="N593" s="22">
        <f>IF(B593="","",MATCH(B593,'Lista - Placas'!$2:$2,0)-1)</f>
        <v>32</v>
      </c>
      <c r="O593" s="22">
        <f>IF(D593="","",MATCH(D593,'Lista - Placas'!$AG:$AG,0)-2)</f>
        <v>75</v>
      </c>
    </row>
    <row r="594" spans="1:15" x14ac:dyDescent="0.35">
      <c r="A594" s="21" t="s">
        <v>738</v>
      </c>
      <c r="B594" s="21" t="s">
        <v>738</v>
      </c>
      <c r="C594" s="22" t="str">
        <f t="shared" si="10"/>
        <v>JKM450M-6HL4</v>
      </c>
      <c r="D594" t="s">
        <v>1884</v>
      </c>
      <c r="N594" s="22">
        <f>IF(B594="","",MATCH(B594,'Lista - Placas'!$2:$2,0)-1)</f>
        <v>32</v>
      </c>
      <c r="O594" s="22">
        <f>IF(D594="","",MATCH(D594,'Lista - Placas'!$AG:$AG,0)-2)</f>
        <v>76</v>
      </c>
    </row>
    <row r="595" spans="1:15" x14ac:dyDescent="0.35">
      <c r="A595" s="21" t="s">
        <v>738</v>
      </c>
      <c r="B595" s="21" t="s">
        <v>738</v>
      </c>
      <c r="C595" s="22" t="str">
        <f t="shared" si="10"/>
        <v>JKM450M-60HL4-V</v>
      </c>
      <c r="D595" t="s">
        <v>1887</v>
      </c>
      <c r="N595" s="22">
        <f>IF(B595="","",MATCH(B595,'Lista - Placas'!$2:$2,0)-1)</f>
        <v>32</v>
      </c>
      <c r="O595" s="22">
        <f>IF(D595="","",MATCH(D595,'Lista - Placas'!$AG:$AG,0)-2)</f>
        <v>77</v>
      </c>
    </row>
    <row r="596" spans="1:15" x14ac:dyDescent="0.35">
      <c r="A596" s="21" t="s">
        <v>738</v>
      </c>
      <c r="B596" s="21" t="s">
        <v>738</v>
      </c>
      <c r="C596" s="22" t="str">
        <f t="shared" si="10"/>
        <v>JKM460M-6HL4-V - 460 W</v>
      </c>
      <c r="D596" t="s">
        <v>1890</v>
      </c>
      <c r="N596" s="22">
        <f>IF(B596="","",MATCH(B596,'Lista - Placas'!$2:$2,0)-1)</f>
        <v>32</v>
      </c>
      <c r="O596" s="22">
        <f>IF(D596="","",MATCH(D596,'Lista - Placas'!$AG:$AG,0)-2)</f>
        <v>78</v>
      </c>
    </row>
    <row r="597" spans="1:15" x14ac:dyDescent="0.35">
      <c r="A597" s="21" t="s">
        <v>738</v>
      </c>
      <c r="B597" s="21" t="s">
        <v>738</v>
      </c>
      <c r="C597" s="22" t="str">
        <f t="shared" si="10"/>
        <v>JKM525M-7TL4-BDVP</v>
      </c>
      <c r="D597" t="s">
        <v>1893</v>
      </c>
      <c r="N597" s="22">
        <f>IF(B597="","",MATCH(B597,'Lista - Placas'!$2:$2,0)-1)</f>
        <v>32</v>
      </c>
      <c r="O597" s="22">
        <f>IF(D597="","",MATCH(D597,'Lista - Placas'!$AG:$AG,0)-2)</f>
        <v>79</v>
      </c>
    </row>
    <row r="598" spans="1:15" x14ac:dyDescent="0.35">
      <c r="A598" s="21" t="s">
        <v>738</v>
      </c>
      <c r="B598" s="21" t="s">
        <v>738</v>
      </c>
      <c r="C598" s="22" t="str">
        <f t="shared" si="10"/>
        <v>JKM545M-72HL4</v>
      </c>
      <c r="D598" t="s">
        <v>1896</v>
      </c>
      <c r="N598" s="22">
        <f>IF(B598="","",MATCH(B598,'Lista - Placas'!$2:$2,0)-1)</f>
        <v>32</v>
      </c>
      <c r="O598" s="22">
        <f>IF(D598="","",MATCH(D598,'Lista - Placas'!$AG:$AG,0)-2)</f>
        <v>80</v>
      </c>
    </row>
    <row r="599" spans="1:15" x14ac:dyDescent="0.35">
      <c r="A599" s="21" t="s">
        <v>738</v>
      </c>
      <c r="B599" s="21" t="s">
        <v>738</v>
      </c>
      <c r="C599" s="22" t="str">
        <f t="shared" si="10"/>
        <v>JKM340M-72HL4-TV</v>
      </c>
      <c r="D599" t="s">
        <v>1899</v>
      </c>
      <c r="N599" s="22">
        <f>IF(B599="","",MATCH(B599,'Lista - Placas'!$2:$2,0)-1)</f>
        <v>32</v>
      </c>
      <c r="O599" s="22">
        <f>IF(D599="","",MATCH(D599,'Lista - Placas'!$AG:$AG,0)-2)</f>
        <v>81</v>
      </c>
    </row>
    <row r="600" spans="1:15" x14ac:dyDescent="0.35">
      <c r="A600" s="21" t="s">
        <v>738</v>
      </c>
      <c r="B600" s="21" t="s">
        <v>738</v>
      </c>
      <c r="C600" s="22" t="str">
        <f t="shared" si="10"/>
        <v>JKM540M-60HL4-V</v>
      </c>
      <c r="D600" t="s">
        <v>1902</v>
      </c>
      <c r="N600" s="22">
        <f>IF(B600="","",MATCH(B600,'Lista - Placas'!$2:$2,0)-1)</f>
        <v>32</v>
      </c>
      <c r="O600" s="22">
        <f>IF(D600="","",MATCH(D600,'Lista - Placas'!$AG:$AG,0)-2)</f>
        <v>82</v>
      </c>
    </row>
    <row r="601" spans="1:15" x14ac:dyDescent="0.35">
      <c r="A601" s="21" t="s">
        <v>738</v>
      </c>
      <c r="B601" s="21" t="s">
        <v>738</v>
      </c>
      <c r="C601" s="22" t="str">
        <f t="shared" si="10"/>
        <v>JKM540M-72HL4-TV</v>
      </c>
      <c r="D601" t="s">
        <v>1905</v>
      </c>
      <c r="N601" s="22">
        <f>IF(B601="","",MATCH(B601,'Lista - Placas'!$2:$2,0)-1)</f>
        <v>32</v>
      </c>
      <c r="O601" s="22">
        <f>IF(D601="","",MATCH(D601,'Lista - Placas'!$AG:$AG,0)-2)</f>
        <v>83</v>
      </c>
    </row>
    <row r="602" spans="1:15" x14ac:dyDescent="0.35">
      <c r="A602" s="21" t="s">
        <v>738</v>
      </c>
      <c r="B602" s="21" t="s">
        <v>738</v>
      </c>
      <c r="C602" s="22" t="str">
        <f t="shared" si="10"/>
        <v>JKM430M-78H-V</v>
      </c>
      <c r="D602" t="s">
        <v>1908</v>
      </c>
      <c r="N602" s="22">
        <f>IF(B602="","",MATCH(B602,'Lista - Placas'!$2:$2,0)-1)</f>
        <v>32</v>
      </c>
      <c r="O602" s="22">
        <f>IF(D602="","",MATCH(D602,'Lista - Placas'!$AG:$AG,0)-2)</f>
        <v>84</v>
      </c>
    </row>
    <row r="603" spans="1:15" x14ac:dyDescent="0.35">
      <c r="A603" s="21" t="s">
        <v>738</v>
      </c>
      <c r="B603" s="21" t="s">
        <v>738</v>
      </c>
      <c r="C603" s="22" t="str">
        <f t="shared" si="10"/>
        <v>DHM-72-10- 545W</v>
      </c>
      <c r="D603" t="s">
        <v>1911</v>
      </c>
      <c r="N603" s="22">
        <f>IF(B603="","",MATCH(B603,'Lista - Placas'!$2:$2,0)-1)</f>
        <v>32</v>
      </c>
      <c r="O603" s="22">
        <f>IF(D603="","",MATCH(D603,'Lista - Placas'!$AG:$AG,0)-2)</f>
        <v>85</v>
      </c>
    </row>
    <row r="604" spans="1:15" x14ac:dyDescent="0.35">
      <c r="A604" s="21" t="s">
        <v>738</v>
      </c>
      <c r="B604" s="21" t="s">
        <v>738</v>
      </c>
      <c r="C604" s="22" t="str">
        <f t="shared" si="10"/>
        <v>JKM540M-72HL4-V</v>
      </c>
      <c r="D604" t="s">
        <v>1914</v>
      </c>
      <c r="N604" s="22">
        <f>IF(B604="","",MATCH(B604,'Lista - Placas'!$2:$2,0)-1)</f>
        <v>32</v>
      </c>
      <c r="O604" s="22">
        <f>IF(D604="","",MATCH(D604,'Lista - Placas'!$AG:$AG,0)-2)</f>
        <v>86</v>
      </c>
    </row>
    <row r="605" spans="1:15" x14ac:dyDescent="0.35">
      <c r="A605" s="21" t="s">
        <v>738</v>
      </c>
      <c r="B605" s="21" t="s">
        <v>738</v>
      </c>
      <c r="C605" s="22" t="str">
        <f t="shared" si="10"/>
        <v>JKM550M-72HL4-V</v>
      </c>
      <c r="D605" t="s">
        <v>1917</v>
      </c>
      <c r="N605" s="22">
        <f>IF(B605="","",MATCH(B605,'Lista - Placas'!$2:$2,0)-1)</f>
        <v>32</v>
      </c>
      <c r="O605" s="22">
        <f>IF(D605="","",MATCH(D605,'Lista - Placas'!$AG:$AG,0)-2)</f>
        <v>87</v>
      </c>
    </row>
    <row r="606" spans="1:15" x14ac:dyDescent="0.35">
      <c r="A606" t="s">
        <v>783</v>
      </c>
      <c r="B606" t="s">
        <v>783</v>
      </c>
      <c r="C606" s="22" t="str">
        <f t="shared" ref="C606:C641" si="11">RIGHT(D606,LEN(D606)-(FIND(" - ", D606)+2))</f>
        <v>LP158*158-M-72-H/MH</v>
      </c>
      <c r="D606" t="s">
        <v>837</v>
      </c>
      <c r="N606" s="5">
        <f>IF(B606="","",MATCH(B606,'Lista - Placas'!$2:$2,0)-1)</f>
        <v>35</v>
      </c>
      <c r="O606" s="5">
        <f>IF(D606="","",MATCH(D606,'Lista - Placas'!$AJ:$AJ,0)-2)</f>
        <v>1</v>
      </c>
    </row>
    <row r="607" spans="1:15" x14ac:dyDescent="0.35">
      <c r="A607" t="s">
        <v>783</v>
      </c>
      <c r="B607" t="s">
        <v>783</v>
      </c>
      <c r="C607" s="22" t="str">
        <f t="shared" si="11"/>
        <v xml:space="preserve"> LP210*210-M-60-MH 590W</v>
      </c>
      <c r="D607" t="s">
        <v>912</v>
      </c>
      <c r="N607" s="5">
        <f>IF(B607="","",MATCH(B607,'Lista - Placas'!$2:$2,0)-1)</f>
        <v>35</v>
      </c>
      <c r="O607" s="5">
        <f>IF(D607="","",MATCH(D607,'Lista - Placas'!$AJ:$AJ,0)-2)</f>
        <v>2</v>
      </c>
    </row>
    <row r="608" spans="1:15" x14ac:dyDescent="0.35">
      <c r="A608" t="s">
        <v>783</v>
      </c>
      <c r="B608" t="s">
        <v>783</v>
      </c>
      <c r="C608" s="22" t="str">
        <f t="shared" si="11"/>
        <v>LP182*182-M-78-MH</v>
      </c>
      <c r="D608" t="s">
        <v>967</v>
      </c>
      <c r="E608" s="5">
        <v>0.59</v>
      </c>
      <c r="F608" s="5">
        <v>2.78</v>
      </c>
      <c r="G608" t="s">
        <v>248</v>
      </c>
      <c r="H608" t="s">
        <v>249</v>
      </c>
      <c r="I608" t="s">
        <v>250</v>
      </c>
      <c r="J608" t="s">
        <v>251</v>
      </c>
      <c r="K608" t="s">
        <v>252</v>
      </c>
      <c r="L608" s="5" t="s">
        <v>191</v>
      </c>
      <c r="M608" s="12" t="s">
        <v>102</v>
      </c>
      <c r="N608" s="5">
        <f>IF(B608="","",MATCH(B608,'Lista - Placas'!$2:$2,0)-1)</f>
        <v>35</v>
      </c>
      <c r="O608" s="5">
        <f>IF(D608="","",MATCH(D608,'Lista - Placas'!$AJ:$AJ,0)-2)</f>
        <v>3</v>
      </c>
    </row>
    <row r="609" spans="1:15" x14ac:dyDescent="0.35">
      <c r="A609" t="s">
        <v>783</v>
      </c>
      <c r="B609" t="s">
        <v>783</v>
      </c>
      <c r="C609" s="22" t="str">
        <f t="shared" si="11"/>
        <v>LP182*182-M-72-MH-540WP</v>
      </c>
      <c r="D609" t="s">
        <v>1017</v>
      </c>
      <c r="N609" s="5">
        <f>IF(B609="","",MATCH(B609,'Lista - Placas'!$2:$2,0)-1)</f>
        <v>35</v>
      </c>
      <c r="O609" s="5">
        <f>IF(D609="","",MATCH(D609,'Lista - Placas'!$AJ:$AJ,0)-2)</f>
        <v>4</v>
      </c>
    </row>
    <row r="610" spans="1:15" x14ac:dyDescent="0.35">
      <c r="A610" t="s">
        <v>783</v>
      </c>
      <c r="B610" t="s">
        <v>783</v>
      </c>
      <c r="C610" s="22" t="str">
        <f t="shared" si="11"/>
        <v>LP166-M-72-MH-450W</v>
      </c>
      <c r="D610" t="s">
        <v>1063</v>
      </c>
      <c r="N610" s="5">
        <f>IF(B610="","",MATCH(B610,'Lista - Placas'!$2:$2,0)-1)</f>
        <v>35</v>
      </c>
      <c r="O610" s="5">
        <f>IF(D610="","",MATCH(D610,'Lista - Placas'!$AJ:$AJ,0)-2)</f>
        <v>5</v>
      </c>
    </row>
    <row r="611" spans="1:15" x14ac:dyDescent="0.35">
      <c r="A611" t="s">
        <v>783</v>
      </c>
      <c r="B611" t="s">
        <v>783</v>
      </c>
      <c r="C611" s="22" t="str">
        <f t="shared" si="11"/>
        <v>LP182*182-M-60-MH-460W</v>
      </c>
      <c r="D611" t="s">
        <v>1104</v>
      </c>
      <c r="N611" s="5">
        <f>IF(B611="","",MATCH(B611,'Lista - Placas'!$2:$2,0)-1)</f>
        <v>35</v>
      </c>
      <c r="O611" s="5">
        <f>IF(D611="","",MATCH(D611,'Lista - Placas'!$AJ:$AJ,0)-2)</f>
        <v>6</v>
      </c>
    </row>
    <row r="612" spans="1:15" x14ac:dyDescent="0.35">
      <c r="A612" t="s">
        <v>783</v>
      </c>
      <c r="B612" t="s">
        <v>783</v>
      </c>
      <c r="C612" s="22" t="str">
        <f t="shared" si="11"/>
        <v>LP210*210-M-66-MH-665W</v>
      </c>
      <c r="D612" t="s">
        <v>1143</v>
      </c>
      <c r="N612" s="5">
        <f>IF(B612="","",MATCH(B612,'Lista - Placas'!$2:$2,0)-1)</f>
        <v>35</v>
      </c>
      <c r="O612" s="5">
        <f>IF(D612="","",MATCH(D612,'Lista - Placas'!$AJ:$AJ,0)-2)</f>
        <v>7</v>
      </c>
    </row>
    <row r="613" spans="1:15" x14ac:dyDescent="0.35">
      <c r="A613" s="21" t="s">
        <v>736</v>
      </c>
      <c r="B613" s="21" t="s">
        <v>736</v>
      </c>
      <c r="C613" s="22" t="str">
        <f t="shared" si="11"/>
        <v>LR6-720PH-400M</v>
      </c>
      <c r="D613" s="21" t="s">
        <v>838</v>
      </c>
      <c r="N613" s="22">
        <f>IF(B613="","",MATCH(B613,'Lista - Placas'!$2:$2,0)-1)</f>
        <v>36</v>
      </c>
      <c r="O613" s="22">
        <f>IF(D613="","",MATCH(D613,'Lista - Placas'!$AK:$AK,0)-2)</f>
        <v>1</v>
      </c>
    </row>
    <row r="614" spans="1:15" x14ac:dyDescent="0.35">
      <c r="A614" s="21" t="s">
        <v>736</v>
      </c>
      <c r="B614" s="21" t="s">
        <v>736</v>
      </c>
      <c r="C614" s="22" t="str">
        <f t="shared" si="11"/>
        <v>LR6-72HPH-385M</v>
      </c>
      <c r="D614" s="21" t="s">
        <v>913</v>
      </c>
      <c r="N614" s="22">
        <f>IF(B614="","",MATCH(B614,'Lista - Placas'!$2:$2,0)-1)</f>
        <v>36</v>
      </c>
      <c r="O614" s="22">
        <f>IF(D614="","",MATCH(D614,'Lista - Placas'!$AK:$AK,0)-2)</f>
        <v>2</v>
      </c>
    </row>
    <row r="615" spans="1:15" x14ac:dyDescent="0.35">
      <c r="A615" s="21" t="s">
        <v>736</v>
      </c>
      <c r="B615" s="21" t="s">
        <v>736</v>
      </c>
      <c r="C615" s="22" t="str">
        <f t="shared" si="11"/>
        <v>LR4-72HBD-430M</v>
      </c>
      <c r="D615" s="21" t="s">
        <v>968</v>
      </c>
      <c r="N615" s="22">
        <f>IF(B615="","",MATCH(B615,'Lista - Placas'!$2:$2,0)-1)</f>
        <v>36</v>
      </c>
      <c r="O615" s="22">
        <f>IF(D615="","",MATCH(D615,'Lista - Placas'!$AK:$AK,0)-2)</f>
        <v>3</v>
      </c>
    </row>
    <row r="616" spans="1:15" x14ac:dyDescent="0.35">
      <c r="A616" s="21" t="s">
        <v>736</v>
      </c>
      <c r="B616" s="21" t="s">
        <v>736</v>
      </c>
      <c r="C616" s="22" t="str">
        <f t="shared" si="11"/>
        <v xml:space="preserve"> LR4-72HPH-435M</v>
      </c>
      <c r="D616" s="21" t="s">
        <v>1018</v>
      </c>
      <c r="E616" s="5">
        <v>0.435</v>
      </c>
      <c r="F616" s="5">
        <v>2.23</v>
      </c>
      <c r="G616" s="5" t="s">
        <v>3858</v>
      </c>
      <c r="H616" s="5" t="s">
        <v>3860</v>
      </c>
      <c r="I616" s="5" t="s">
        <v>3859</v>
      </c>
      <c r="J616" s="5" t="s">
        <v>3861</v>
      </c>
      <c r="K616" s="15">
        <v>0.19600000000000001</v>
      </c>
      <c r="L616" s="22" t="s">
        <v>191</v>
      </c>
      <c r="M616" s="12" t="s">
        <v>102</v>
      </c>
      <c r="N616" s="22">
        <f>IF(B616="","",MATCH(B616,'Lista - Placas'!$2:$2,0)-1)</f>
        <v>36</v>
      </c>
      <c r="O616" s="22">
        <f>IF(D616="","",MATCH(D616,'Lista - Placas'!$AK:$AK,0)-2)</f>
        <v>4</v>
      </c>
    </row>
    <row r="617" spans="1:15" x14ac:dyDescent="0.35">
      <c r="A617" s="21" t="s">
        <v>736</v>
      </c>
      <c r="B617" s="21" t="s">
        <v>736</v>
      </c>
      <c r="C617" s="22" t="str">
        <f t="shared" si="11"/>
        <v>LR4-72HBD-435M</v>
      </c>
      <c r="D617" s="21" t="s">
        <v>1064</v>
      </c>
      <c r="N617" s="22">
        <f>IF(B617="","",MATCH(B617,'Lista - Placas'!$2:$2,0)-1)</f>
        <v>36</v>
      </c>
      <c r="O617" s="22">
        <f>IF(D617="","",MATCH(D617,'Lista - Placas'!$AK:$AK,0)-2)</f>
        <v>5</v>
      </c>
    </row>
    <row r="618" spans="1:15" x14ac:dyDescent="0.35">
      <c r="A618" s="21" t="s">
        <v>736</v>
      </c>
      <c r="B618" s="21" t="s">
        <v>736</v>
      </c>
      <c r="C618" s="22" t="str">
        <f t="shared" si="11"/>
        <v>LR6-72OPH-400M</v>
      </c>
      <c r="D618" s="21" t="s">
        <v>1105</v>
      </c>
      <c r="N618" s="22">
        <f>IF(B618="","",MATCH(B618,'Lista - Placas'!$2:$2,0)-1)</f>
        <v>36</v>
      </c>
      <c r="O618" s="22">
        <f>IF(D618="","",MATCH(D618,'Lista - Placas'!$AK:$AK,0)-2)</f>
        <v>6</v>
      </c>
    </row>
    <row r="619" spans="1:15" x14ac:dyDescent="0.35">
      <c r="A619" s="21" t="s">
        <v>736</v>
      </c>
      <c r="B619" s="21" t="s">
        <v>736</v>
      </c>
      <c r="C619" s="22" t="str">
        <f t="shared" si="11"/>
        <v>LR4-72HPH_440M</v>
      </c>
      <c r="D619" s="21" t="s">
        <v>1144</v>
      </c>
      <c r="N619" s="22">
        <f>IF(B619="","",MATCH(B619,'Lista - Placas'!$2:$2,0)-1)</f>
        <v>36</v>
      </c>
      <c r="O619" s="22">
        <f>IF(D619="","",MATCH(D619,'Lista - Placas'!$AK:$AK,0)-2)</f>
        <v>7</v>
      </c>
    </row>
    <row r="620" spans="1:15" x14ac:dyDescent="0.35">
      <c r="A620" s="21" t="s">
        <v>736</v>
      </c>
      <c r="B620" s="21" t="s">
        <v>736</v>
      </c>
      <c r="C620" s="22" t="str">
        <f t="shared" si="11"/>
        <v>LR6-72OPH-405M</v>
      </c>
      <c r="D620" s="21" t="s">
        <v>1179</v>
      </c>
      <c r="N620" s="22">
        <f>IF(B620="","",MATCH(B620,'Lista - Placas'!$2:$2,0)-1)</f>
        <v>36</v>
      </c>
      <c r="O620" s="22">
        <f>IF(D620="","",MATCH(D620,'Lista - Placas'!$AK:$AK,0)-2)</f>
        <v>8</v>
      </c>
    </row>
    <row r="621" spans="1:15" x14ac:dyDescent="0.35">
      <c r="A621" s="21" t="s">
        <v>736</v>
      </c>
      <c r="B621" s="21" t="s">
        <v>736</v>
      </c>
      <c r="C621" s="22" t="str">
        <f t="shared" si="11"/>
        <v>LR4-72HPH-450M</v>
      </c>
      <c r="D621" s="21" t="s">
        <v>1213</v>
      </c>
      <c r="N621" s="22">
        <f>IF(B621="","",MATCH(B621,'Lista - Placas'!$2:$2,0)-1)</f>
        <v>36</v>
      </c>
      <c r="O621" s="22">
        <f>IF(D621="","",MATCH(D621,'Lista - Placas'!$AK:$AK,0)-2)</f>
        <v>9</v>
      </c>
    </row>
    <row r="622" spans="1:15" x14ac:dyDescent="0.35">
      <c r="A622" s="21" t="s">
        <v>736</v>
      </c>
      <c r="B622" s="21" t="s">
        <v>736</v>
      </c>
      <c r="C622" s="22" t="str">
        <f t="shared" si="11"/>
        <v>LR4-72HBD-440M</v>
      </c>
      <c r="D622" s="21" t="s">
        <v>1244</v>
      </c>
      <c r="N622" s="22">
        <f>IF(B622="","",MATCH(B622,'Lista - Placas'!$2:$2,0)-1)</f>
        <v>36</v>
      </c>
      <c r="O622" s="22">
        <f>IF(D622="","",MATCH(D622,'Lista - Placas'!$AK:$AK,0)-2)</f>
        <v>10</v>
      </c>
    </row>
    <row r="623" spans="1:15" x14ac:dyDescent="0.35">
      <c r="A623" s="21" t="s">
        <v>736</v>
      </c>
      <c r="B623" s="21" t="s">
        <v>736</v>
      </c>
      <c r="C623" s="22" t="str">
        <f t="shared" si="11"/>
        <v>LR6-72OPH-385M</v>
      </c>
      <c r="D623" s="21" t="s">
        <v>1272</v>
      </c>
      <c r="N623" s="22">
        <f>IF(B623="","",MATCH(B623,'Lista - Placas'!$2:$2,0)-1)</f>
        <v>36</v>
      </c>
      <c r="O623" s="22">
        <f>IF(D623="","",MATCH(D623,'Lista - Placas'!$AK:$AK,0)-2)</f>
        <v>11</v>
      </c>
    </row>
    <row r="624" spans="1:15" x14ac:dyDescent="0.35">
      <c r="A624" s="21" t="s">
        <v>736</v>
      </c>
      <c r="B624" s="21" t="s">
        <v>736</v>
      </c>
      <c r="C624" s="22" t="str">
        <f t="shared" si="11"/>
        <v>LR6-720PH-380M</v>
      </c>
      <c r="D624" s="21" t="s">
        <v>1300</v>
      </c>
      <c r="N624" s="22">
        <f>IF(B624="","",MATCH(B624,'Lista - Placas'!$2:$2,0)-1)</f>
        <v>36</v>
      </c>
      <c r="O624" s="22">
        <f>IF(D624="","",MATCH(D624,'Lista - Placas'!$AK:$AK,0)-2)</f>
        <v>12</v>
      </c>
    </row>
    <row r="625" spans="1:15" x14ac:dyDescent="0.35">
      <c r="A625" s="21" t="s">
        <v>736</v>
      </c>
      <c r="B625" s="21" t="s">
        <v>736</v>
      </c>
      <c r="C625" s="22" t="str">
        <f t="shared" si="11"/>
        <v>LR5-72HBD-530M</v>
      </c>
      <c r="D625" s="21" t="s">
        <v>1327</v>
      </c>
      <c r="N625" s="22">
        <f>IF(B625="","",MATCH(B625,'Lista - Placas'!$2:$2,0)-1)</f>
        <v>36</v>
      </c>
      <c r="O625" s="22">
        <f>IF(D625="","",MATCH(D625,'Lista - Placas'!$AK:$AK,0)-2)</f>
        <v>13</v>
      </c>
    </row>
    <row r="626" spans="1:15" x14ac:dyDescent="0.35">
      <c r="A626" s="21" t="s">
        <v>736</v>
      </c>
      <c r="B626" s="21" t="s">
        <v>736</v>
      </c>
      <c r="C626" s="22" t="str">
        <f t="shared" si="11"/>
        <v>LR4-72HPH-430M</v>
      </c>
      <c r="D626" s="21" t="s">
        <v>1354</v>
      </c>
      <c r="N626" s="22">
        <f>IF(B626="","",MATCH(B626,'Lista - Placas'!$2:$2,0)-1)</f>
        <v>36</v>
      </c>
      <c r="O626" s="22">
        <f>IF(D626="","",MATCH(D626,'Lista - Placas'!$AK:$AK,0)-2)</f>
        <v>14</v>
      </c>
    </row>
    <row r="627" spans="1:15" x14ac:dyDescent="0.35">
      <c r="A627" s="21" t="s">
        <v>736</v>
      </c>
      <c r="B627" s="21" t="s">
        <v>736</v>
      </c>
      <c r="C627" s="22" t="str">
        <f t="shared" si="11"/>
        <v>LR4-72HBD-445</v>
      </c>
      <c r="D627" s="21" t="s">
        <v>1380</v>
      </c>
      <c r="N627" s="22">
        <f>IF(B627="","",MATCH(B627,'Lista - Placas'!$2:$2,0)-1)</f>
        <v>36</v>
      </c>
      <c r="O627" s="22">
        <f>IF(D627="","",MATCH(D627,'Lista - Placas'!$AK:$AK,0)-2)</f>
        <v>15</v>
      </c>
    </row>
    <row r="628" spans="1:15" x14ac:dyDescent="0.35">
      <c r="A628" s="21" t="s">
        <v>736</v>
      </c>
      <c r="B628" s="21" t="s">
        <v>736</v>
      </c>
      <c r="C628" s="22" t="str">
        <f t="shared" si="11"/>
        <v>LR4-72HPH-445M</v>
      </c>
      <c r="D628" s="21" t="s">
        <v>1402</v>
      </c>
      <c r="N628" s="22">
        <f>IF(B628="","",MATCH(B628,'Lista - Placas'!$2:$2,0)-1)</f>
        <v>36</v>
      </c>
      <c r="O628" s="22">
        <f>IF(D628="","",MATCH(D628,'Lista - Placas'!$AK:$AK,0)-2)</f>
        <v>16</v>
      </c>
    </row>
    <row r="629" spans="1:15" x14ac:dyDescent="0.35">
      <c r="A629" s="21" t="s">
        <v>736</v>
      </c>
      <c r="B629" s="21" t="s">
        <v>736</v>
      </c>
      <c r="C629" s="22" t="str">
        <f t="shared" si="11"/>
        <v xml:space="preserve"> LR5-72HBD545W</v>
      </c>
      <c r="D629" s="21" t="s">
        <v>1424</v>
      </c>
      <c r="N629" s="22">
        <f>IF(B629="","",MATCH(B629,'Lista - Placas'!$2:$2,0)-1)</f>
        <v>36</v>
      </c>
      <c r="O629" s="22">
        <f>IF(D629="","",MATCH(D629,'Lista - Placas'!$AK:$AK,0)-2)</f>
        <v>17</v>
      </c>
    </row>
    <row r="630" spans="1:15" x14ac:dyDescent="0.35">
      <c r="A630" s="21" t="s">
        <v>736</v>
      </c>
      <c r="B630" s="21" t="s">
        <v>736</v>
      </c>
      <c r="C630" s="22" t="str">
        <f t="shared" si="11"/>
        <v>LR4-72HBD-450M</v>
      </c>
      <c r="D630" s="21" t="s">
        <v>1445</v>
      </c>
      <c r="N630" s="22">
        <f>IF(B630="","",MATCH(B630,'Lista - Placas'!$2:$2,0)-1)</f>
        <v>36</v>
      </c>
      <c r="O630" s="22">
        <f>IF(D630="","",MATCH(D630,'Lista - Placas'!$AK:$AK,0)-2)</f>
        <v>18</v>
      </c>
    </row>
    <row r="631" spans="1:15" x14ac:dyDescent="0.35">
      <c r="A631" s="21" t="s">
        <v>736</v>
      </c>
      <c r="B631" s="21" t="s">
        <v>736</v>
      </c>
      <c r="C631" s="22" t="str">
        <f t="shared" si="11"/>
        <v>LR4-72HBS-450M</v>
      </c>
      <c r="D631" s="21" t="s">
        <v>1463</v>
      </c>
      <c r="N631" s="22">
        <f>IF(B631="","",MATCH(B631,'Lista - Placas'!$2:$2,0)-1)</f>
        <v>36</v>
      </c>
      <c r="O631" s="22">
        <f>IF(D631="","",MATCH(D631,'Lista - Placas'!$AK:$AK,0)-2)</f>
        <v>19</v>
      </c>
    </row>
    <row r="632" spans="1:15" x14ac:dyDescent="0.35">
      <c r="A632" s="21" t="s">
        <v>736</v>
      </c>
      <c r="B632" s="21" t="s">
        <v>736</v>
      </c>
      <c r="C632" s="22" t="str">
        <f t="shared" si="11"/>
        <v>LR5-72HPH-550M</v>
      </c>
      <c r="D632" s="21" t="s">
        <v>1481</v>
      </c>
      <c r="N632" s="22">
        <f>IF(B632="","",MATCH(B632,'Lista - Placas'!$2:$2,0)-1)</f>
        <v>36</v>
      </c>
      <c r="O632" s="22">
        <f>IF(D632="","",MATCH(D632,'Lista - Placas'!$AK:$AK,0)-2)</f>
        <v>20</v>
      </c>
    </row>
    <row r="633" spans="1:15" x14ac:dyDescent="0.35">
      <c r="A633" s="21" t="s">
        <v>736</v>
      </c>
      <c r="B633" s="21" t="s">
        <v>736</v>
      </c>
      <c r="C633" s="22" t="str">
        <f t="shared" si="11"/>
        <v xml:space="preserve"> LR4-72HPH 460M</v>
      </c>
      <c r="D633" s="21" t="s">
        <v>1496</v>
      </c>
      <c r="N633" s="22">
        <f>IF(B633="","",MATCH(B633,'Lista - Placas'!$2:$2,0)-1)</f>
        <v>36</v>
      </c>
      <c r="O633" s="22">
        <f>IF(D633="","",MATCH(D633,'Lista - Placas'!$AK:$AK,0)-2)</f>
        <v>21</v>
      </c>
    </row>
    <row r="634" spans="1:15" x14ac:dyDescent="0.35">
      <c r="A634" s="21" t="s">
        <v>736</v>
      </c>
      <c r="B634" s="21" t="s">
        <v>736</v>
      </c>
      <c r="C634" s="22" t="str">
        <f t="shared" si="11"/>
        <v>LR5-72HPH-540M</v>
      </c>
      <c r="D634" s="21" t="s">
        <v>1510</v>
      </c>
      <c r="N634" s="22">
        <f>IF(B634="","",MATCH(B634,'Lista - Placas'!$2:$2,0)-1)</f>
        <v>36</v>
      </c>
      <c r="O634" s="22">
        <f>IF(D634="","",MATCH(D634,'Lista - Placas'!$AK:$AK,0)-2)</f>
        <v>22</v>
      </c>
    </row>
    <row r="635" spans="1:15" x14ac:dyDescent="0.35">
      <c r="A635" s="21" t="s">
        <v>736</v>
      </c>
      <c r="B635" s="21" t="s">
        <v>736</v>
      </c>
      <c r="C635" s="22" t="str">
        <f t="shared" si="11"/>
        <v>LR5-72HBD 535W</v>
      </c>
      <c r="D635" s="21" t="s">
        <v>1524</v>
      </c>
      <c r="N635" s="22">
        <f>IF(B635="","",MATCH(B635,'Lista - Placas'!$2:$2,0)-1)</f>
        <v>36</v>
      </c>
      <c r="O635" s="22">
        <f>IF(D635="","",MATCH(D635,'Lista - Placas'!$AK:$AK,0)-2)</f>
        <v>23</v>
      </c>
    </row>
    <row r="636" spans="1:15" x14ac:dyDescent="0.35">
      <c r="A636" s="21" t="s">
        <v>736</v>
      </c>
      <c r="B636" s="21" t="s">
        <v>736</v>
      </c>
      <c r="C636" s="22" t="str">
        <f t="shared" si="11"/>
        <v>LR5-66HBD-500W</v>
      </c>
      <c r="D636" s="21" t="s">
        <v>1538</v>
      </c>
      <c r="N636" s="22">
        <f>IF(B636="","",MATCH(B636,'Lista - Placas'!$2:$2,0)-1)</f>
        <v>36</v>
      </c>
      <c r="O636" s="22">
        <f>IF(D636="","",MATCH(D636,'Lista - Placas'!$AK:$AK,0)-2)</f>
        <v>24</v>
      </c>
    </row>
    <row r="637" spans="1:15" x14ac:dyDescent="0.35">
      <c r="A637" s="21" t="s">
        <v>736</v>
      </c>
      <c r="B637" s="21" t="s">
        <v>736</v>
      </c>
      <c r="C637" s="22" t="str">
        <f t="shared" si="11"/>
        <v>LR5-72HPH-540M</v>
      </c>
      <c r="D637" s="21" t="s">
        <v>1552</v>
      </c>
      <c r="N637" s="22">
        <f>IF(B637="","",MATCH(B637,'Lista - Placas'!$2:$2,0)-1)</f>
        <v>36</v>
      </c>
      <c r="O637" s="22">
        <f>IF(D637="","",MATCH(D637,'Lista - Placas'!$AK:$AK,0)-2)</f>
        <v>25</v>
      </c>
    </row>
    <row r="638" spans="1:15" x14ac:dyDescent="0.35">
      <c r="A638" s="21" t="s">
        <v>736</v>
      </c>
      <c r="B638" s="21" t="s">
        <v>736</v>
      </c>
      <c r="C638" s="22" t="str">
        <f t="shared" si="11"/>
        <v>LR5-72HPH-545M</v>
      </c>
      <c r="D638" s="21" t="s">
        <v>1565</v>
      </c>
      <c r="N638" s="22">
        <f>IF(B638="","",MATCH(B638,'Lista - Placas'!$2:$2,0)-1)</f>
        <v>36</v>
      </c>
      <c r="O638" s="22">
        <f>IF(D638="","",MATCH(D638,'Lista - Placas'!$AK:$AK,0)-2)</f>
        <v>26</v>
      </c>
    </row>
    <row r="639" spans="1:15" x14ac:dyDescent="0.35">
      <c r="A639" s="21" t="s">
        <v>736</v>
      </c>
      <c r="B639" s="21" t="s">
        <v>736</v>
      </c>
      <c r="C639" s="22" t="str">
        <f t="shared" si="11"/>
        <v>LR5-72HPH-540M</v>
      </c>
      <c r="D639" s="21" t="s">
        <v>1577</v>
      </c>
      <c r="N639" s="22">
        <f>IF(B639="","",MATCH(B639,'Lista - Placas'!$2:$2,0)-1)</f>
        <v>36</v>
      </c>
      <c r="O639" s="22">
        <f>IF(D639="","",MATCH(D639,'Lista - Placas'!$AK:$AK,0)-2)</f>
        <v>27</v>
      </c>
    </row>
    <row r="640" spans="1:15" x14ac:dyDescent="0.35">
      <c r="A640" s="21" t="s">
        <v>736</v>
      </c>
      <c r="B640" s="21" t="s">
        <v>736</v>
      </c>
      <c r="C640" s="22" t="str">
        <f t="shared" si="11"/>
        <v>LR5-72HBD-545M</v>
      </c>
      <c r="D640" s="21" t="s">
        <v>1588</v>
      </c>
      <c r="N640" s="22">
        <f>IF(B640="","",MATCH(B640,'Lista - Placas'!$2:$2,0)-1)</f>
        <v>36</v>
      </c>
      <c r="O640" s="22">
        <f>IF(D640="","",MATCH(D640,'Lista - Placas'!$AK:$AK,0)-2)</f>
        <v>28</v>
      </c>
    </row>
    <row r="641" spans="1:15" x14ac:dyDescent="0.35">
      <c r="A641" s="21" t="s">
        <v>736</v>
      </c>
      <c r="B641" s="21" t="s">
        <v>736</v>
      </c>
      <c r="C641" s="22" t="str">
        <f t="shared" si="11"/>
        <v>LR4-72HPH-450M</v>
      </c>
      <c r="D641" s="21" t="s">
        <v>1599</v>
      </c>
      <c r="N641" s="22">
        <f>IF(B641="","",MATCH(B641,'Lista - Placas'!$2:$2,0)-1)</f>
        <v>36</v>
      </c>
      <c r="O641" s="22">
        <f>IF(D641="","",MATCH(D641,'Lista - Placas'!$AK:$AK,0)-2)</f>
        <v>29</v>
      </c>
    </row>
    <row r="642" spans="1:15" x14ac:dyDescent="0.35">
      <c r="A642" t="s">
        <v>725</v>
      </c>
      <c r="B642" t="s">
        <v>725</v>
      </c>
      <c r="C642" s="22" t="str">
        <f t="shared" ref="C642:C683" si="12">RIGHT(D642,LEN(D642)-(FIND(" - ", D642)+2))</f>
        <v>SRP-325-6PA</v>
      </c>
      <c r="D642" t="s">
        <v>857</v>
      </c>
      <c r="N642" s="5">
        <f>IF(B642="","",MATCH(B642,'Lista - Placas'!$2:$2,0)-1)</f>
        <v>55</v>
      </c>
      <c r="O642" s="5">
        <f>IF(D642="","",MATCH(D642,'Lista - Placas'!$BD:$BD,0)-3)</f>
        <v>0</v>
      </c>
    </row>
    <row r="643" spans="1:15" x14ac:dyDescent="0.35">
      <c r="A643" t="s">
        <v>725</v>
      </c>
      <c r="B643" t="s">
        <v>725</v>
      </c>
      <c r="C643" s="22" t="str">
        <f t="shared" si="12"/>
        <v>SRP-330-6PA</v>
      </c>
      <c r="D643" t="s">
        <v>926</v>
      </c>
      <c r="N643" s="5">
        <f>IF(B643="","",MATCH(B643,'Lista - Placas'!$2:$2,0)-1)</f>
        <v>55</v>
      </c>
      <c r="O643" s="22">
        <f>IF(D643="","",MATCH(D643,'Lista - Placas'!$BD:$BD,0)-3)</f>
        <v>1</v>
      </c>
    </row>
    <row r="644" spans="1:15" x14ac:dyDescent="0.35">
      <c r="A644" t="s">
        <v>725</v>
      </c>
      <c r="B644" t="s">
        <v>725</v>
      </c>
      <c r="C644" s="22" t="str">
        <f t="shared" si="12"/>
        <v>SRP-335-6PA</v>
      </c>
      <c r="D644" t="s">
        <v>980</v>
      </c>
      <c r="N644" s="5">
        <f>IF(B644="","",MATCH(B644,'Lista - Placas'!$2:$2,0)-1)</f>
        <v>55</v>
      </c>
      <c r="O644" s="22">
        <f>IF(D644="","",MATCH(D644,'Lista - Placas'!$BD:$BD,0)-3)</f>
        <v>2</v>
      </c>
    </row>
    <row r="645" spans="1:15" x14ac:dyDescent="0.35">
      <c r="A645" t="s">
        <v>725</v>
      </c>
      <c r="B645" t="s">
        <v>725</v>
      </c>
      <c r="C645" s="22" t="str">
        <f t="shared" si="12"/>
        <v>SRP-340-6PA</v>
      </c>
      <c r="D645" t="s">
        <v>1029</v>
      </c>
      <c r="N645" s="5">
        <f>IF(B645="","",MATCH(B645,'Lista - Placas'!$2:$2,0)-1)</f>
        <v>55</v>
      </c>
      <c r="O645" s="22">
        <f>IF(D645="","",MATCH(D645,'Lista - Placas'!$BD:$BD,0)-3)</f>
        <v>3</v>
      </c>
    </row>
    <row r="646" spans="1:15" x14ac:dyDescent="0.35">
      <c r="A646" t="s">
        <v>725</v>
      </c>
      <c r="B646" t="s">
        <v>725</v>
      </c>
      <c r="C646" s="22" t="str">
        <f t="shared" si="12"/>
        <v>SRP-315-6MB</v>
      </c>
      <c r="D646" t="s">
        <v>1075</v>
      </c>
      <c r="N646" s="5">
        <f>IF(B646="","",MATCH(B646,'Lista - Placas'!$2:$2,0)-1)</f>
        <v>55</v>
      </c>
      <c r="O646" s="22">
        <f>IF(D646="","",MATCH(D646,'Lista - Placas'!$BD:$BD,0)-3)</f>
        <v>4</v>
      </c>
    </row>
    <row r="647" spans="1:15" x14ac:dyDescent="0.35">
      <c r="A647" t="s">
        <v>725</v>
      </c>
      <c r="B647" t="s">
        <v>725</v>
      </c>
      <c r="C647" s="22" t="str">
        <f t="shared" si="12"/>
        <v>SRP-400-BMA-HV</v>
      </c>
      <c r="D647" t="s">
        <v>1116</v>
      </c>
      <c r="N647" s="5">
        <f>IF(B647="","",MATCH(B647,'Lista - Placas'!$2:$2,0)-1)</f>
        <v>55</v>
      </c>
      <c r="O647" s="22">
        <f>IF(D647="","",MATCH(D647,'Lista - Placas'!$BD:$BD,0)-3)</f>
        <v>5</v>
      </c>
    </row>
    <row r="648" spans="1:15" x14ac:dyDescent="0.35">
      <c r="A648" t="s">
        <v>725</v>
      </c>
      <c r="B648" t="s">
        <v>725</v>
      </c>
      <c r="C648" s="22" t="str">
        <f t="shared" si="12"/>
        <v>SRP-400-BMA</v>
      </c>
      <c r="D648" t="s">
        <v>1154</v>
      </c>
      <c r="N648" s="5">
        <f>IF(B648="","",MATCH(B648,'Lista - Placas'!$2:$2,0)-1)</f>
        <v>55</v>
      </c>
      <c r="O648" s="22">
        <f>IF(D648="","",MATCH(D648,'Lista - Placas'!$BD:$BD,0)-3)</f>
        <v>6</v>
      </c>
    </row>
    <row r="649" spans="1:15" x14ac:dyDescent="0.35">
      <c r="A649" t="s">
        <v>725</v>
      </c>
      <c r="B649" t="s">
        <v>725</v>
      </c>
      <c r="C649" s="22" t="str">
        <f t="shared" si="12"/>
        <v>SRP-335-BMB</v>
      </c>
      <c r="D649" t="s">
        <v>1189</v>
      </c>
      <c r="N649" s="5">
        <f>IF(B649="","",MATCH(B649,'Lista - Placas'!$2:$2,0)-1)</f>
        <v>55</v>
      </c>
      <c r="O649" s="22">
        <f>IF(D649="","",MATCH(D649,'Lista - Placas'!$BD:$BD,0)-3)</f>
        <v>7</v>
      </c>
    </row>
    <row r="650" spans="1:15" x14ac:dyDescent="0.35">
      <c r="A650" t="s">
        <v>725</v>
      </c>
      <c r="B650" t="s">
        <v>725</v>
      </c>
      <c r="C650" s="22" t="str">
        <f t="shared" si="12"/>
        <v>SRP-335-BPA</v>
      </c>
      <c r="D650" t="s">
        <v>1221</v>
      </c>
      <c r="N650" s="5">
        <f>IF(B650="","",MATCH(B650,'Lista - Placas'!$2:$2,0)-1)</f>
        <v>55</v>
      </c>
      <c r="O650" s="22">
        <f>IF(D650="","",MATCH(D650,'Lista - Placas'!$BD:$BD,0)-3)</f>
        <v>8</v>
      </c>
    </row>
    <row r="651" spans="1:15" x14ac:dyDescent="0.35">
      <c r="A651" t="s">
        <v>725</v>
      </c>
      <c r="B651" t="s">
        <v>725</v>
      </c>
      <c r="C651" s="22" t="str">
        <f t="shared" si="12"/>
        <v>SRP-335-BPA-HV</v>
      </c>
      <c r="D651" t="s">
        <v>1252</v>
      </c>
      <c r="N651" s="5">
        <f>IF(B651="","",MATCH(B651,'Lista - Placas'!$2:$2,0)-1)</f>
        <v>55</v>
      </c>
      <c r="O651" s="22">
        <f>IF(D651="","",MATCH(D651,'Lista - Placas'!$BD:$BD,0)-3)</f>
        <v>9</v>
      </c>
    </row>
    <row r="652" spans="1:15" x14ac:dyDescent="0.35">
      <c r="A652" t="s">
        <v>725</v>
      </c>
      <c r="B652" t="s">
        <v>725</v>
      </c>
      <c r="C652" s="22" t="str">
        <f t="shared" si="12"/>
        <v>SRP-330-6PA</v>
      </c>
      <c r="D652" t="s">
        <v>1280</v>
      </c>
      <c r="N652" s="5">
        <f>IF(B652="","",MATCH(B652,'Lista - Placas'!$2:$2,0)-1)</f>
        <v>55</v>
      </c>
      <c r="O652" s="22">
        <f>IF(D652="","",MATCH(D652,'Lista - Placas'!$BD:$BD,0)-3)</f>
        <v>10</v>
      </c>
    </row>
    <row r="653" spans="1:15" x14ac:dyDescent="0.35">
      <c r="A653" t="s">
        <v>725</v>
      </c>
      <c r="B653" t="s">
        <v>725</v>
      </c>
      <c r="C653" s="22" t="str">
        <f t="shared" si="12"/>
        <v>SRP-335-6PA-HV</v>
      </c>
      <c r="D653" t="s">
        <v>1308</v>
      </c>
      <c r="E653" s="12">
        <v>0.33500000000000002</v>
      </c>
      <c r="F653" s="12">
        <v>1.94</v>
      </c>
      <c r="G653" s="12" t="s">
        <v>186</v>
      </c>
      <c r="H653" s="12" t="s">
        <v>187</v>
      </c>
      <c r="I653" s="12" t="s">
        <v>188</v>
      </c>
      <c r="J653" s="5" t="s">
        <v>189</v>
      </c>
      <c r="K653" s="5" t="s">
        <v>185</v>
      </c>
      <c r="L653" s="5" t="s">
        <v>184</v>
      </c>
      <c r="M653" s="12" t="s">
        <v>81</v>
      </c>
      <c r="N653" s="5">
        <f>IF(B653="","",MATCH(B653,'Lista - Placas'!$2:$2,0)-1)</f>
        <v>55</v>
      </c>
      <c r="O653" s="22">
        <f>IF(D653="","",MATCH(D653,'Lista - Placas'!$BD:$BD,0)-3)</f>
        <v>11</v>
      </c>
    </row>
    <row r="654" spans="1:15" x14ac:dyDescent="0.35">
      <c r="A654" t="s">
        <v>725</v>
      </c>
      <c r="B654" t="s">
        <v>725</v>
      </c>
      <c r="C654" s="22" t="str">
        <f t="shared" si="12"/>
        <v>SRP-330-6MB-BG</v>
      </c>
      <c r="D654" t="s">
        <v>1335</v>
      </c>
      <c r="E654" s="5">
        <v>0.33</v>
      </c>
      <c r="F654" s="12">
        <v>1.7</v>
      </c>
      <c r="G654" t="s">
        <v>3809</v>
      </c>
      <c r="H654" t="s">
        <v>3811</v>
      </c>
      <c r="I654" t="s">
        <v>3812</v>
      </c>
      <c r="J654" t="s">
        <v>3810</v>
      </c>
      <c r="K654" t="s">
        <v>3813</v>
      </c>
      <c r="L654" s="22" t="s">
        <v>184</v>
      </c>
      <c r="M654" s="12" t="s">
        <v>81</v>
      </c>
      <c r="N654" s="5">
        <f>IF(B654="","",MATCH(B654,'Lista - Placas'!$2:$2,0)-1)</f>
        <v>55</v>
      </c>
      <c r="O654" s="22">
        <f>IF(D654="","",MATCH(D654,'Lista - Placas'!$BD:$BD,0)-3)</f>
        <v>12</v>
      </c>
    </row>
    <row r="655" spans="1:15" x14ac:dyDescent="0.35">
      <c r="A655" t="s">
        <v>725</v>
      </c>
      <c r="B655" t="s">
        <v>725</v>
      </c>
      <c r="C655" s="22" t="str">
        <f t="shared" si="12"/>
        <v>SRP-330-6MB-BG</v>
      </c>
      <c r="D655" t="s">
        <v>1362</v>
      </c>
      <c r="N655" s="5">
        <f>IF(B655="","",MATCH(B655,'Lista - Placas'!$2:$2,0)-1)</f>
        <v>55</v>
      </c>
      <c r="O655" s="22">
        <f>IF(D655="","",MATCH(D655,'Lista - Placas'!$BD:$BD,0)-3)</f>
        <v>13</v>
      </c>
    </row>
    <row r="656" spans="1:15" x14ac:dyDescent="0.35">
      <c r="A656" t="s">
        <v>725</v>
      </c>
      <c r="B656" t="s">
        <v>725</v>
      </c>
      <c r="C656" s="22" t="str">
        <f t="shared" si="12"/>
        <v>SRP-330-BPA</v>
      </c>
      <c r="D656" t="s">
        <v>1387</v>
      </c>
      <c r="N656" s="5">
        <f>IF(B656="","",MATCH(B656,'Lista - Placas'!$2:$2,0)-1)</f>
        <v>55</v>
      </c>
      <c r="O656" s="22">
        <f>IF(D656="","",MATCH(D656,'Lista - Placas'!$BD:$BD,0)-3)</f>
        <v>14</v>
      </c>
    </row>
    <row r="657" spans="1:15" x14ac:dyDescent="0.35">
      <c r="A657" t="s">
        <v>725</v>
      </c>
      <c r="B657" t="s">
        <v>725</v>
      </c>
      <c r="C657" s="22" t="str">
        <f t="shared" si="12"/>
        <v>SRP-335-6PA-HV</v>
      </c>
      <c r="D657" t="s">
        <v>1409</v>
      </c>
      <c r="N657" s="5">
        <f>IF(B657="","",MATCH(B657,'Lista - Placas'!$2:$2,0)-1)</f>
        <v>55</v>
      </c>
      <c r="O657" s="22">
        <f>IF(D657="","",MATCH(D657,'Lista - Placas'!$BD:$BD,0)-3)</f>
        <v>15</v>
      </c>
    </row>
    <row r="658" spans="1:15" x14ac:dyDescent="0.35">
      <c r="A658" s="21" t="s">
        <v>721</v>
      </c>
      <c r="B658" s="21" t="s">
        <v>721</v>
      </c>
      <c r="C658" s="22" t="str">
        <f t="shared" si="12"/>
        <v>260 TP660P</v>
      </c>
      <c r="D658" s="21" t="s">
        <v>870</v>
      </c>
      <c r="N658" s="22">
        <f>IF(B658="","",MATCH(B658,'Lista - Placas'!$2:$2,0)-1)</f>
        <v>68</v>
      </c>
      <c r="O658" s="22">
        <f>IF(D658="","",MATCH(D658,'Lista - Placas'!$BQ:$BQ,0)-3)</f>
        <v>0</v>
      </c>
    </row>
    <row r="659" spans="1:15" x14ac:dyDescent="0.35">
      <c r="A659" s="21" t="s">
        <v>721</v>
      </c>
      <c r="B659" s="21" t="s">
        <v>721</v>
      </c>
      <c r="C659" s="22" t="str">
        <f t="shared" si="12"/>
        <v>265 TP660P</v>
      </c>
      <c r="D659" s="21" t="s">
        <v>936</v>
      </c>
      <c r="N659" s="22">
        <f>IF(B659="","",MATCH(B659,'Lista - Placas'!$2:$2,0)-1)</f>
        <v>68</v>
      </c>
      <c r="O659" s="22">
        <f>IF(D659="","",MATCH(D659,'Lista - Placas'!$BQ:$BQ,0)-3)</f>
        <v>1</v>
      </c>
    </row>
    <row r="660" spans="1:15" x14ac:dyDescent="0.35">
      <c r="A660" s="21" t="s">
        <v>721</v>
      </c>
      <c r="B660" s="21" t="s">
        <v>721</v>
      </c>
      <c r="C660" s="22" t="str">
        <f t="shared" si="12"/>
        <v>TP660P 270</v>
      </c>
      <c r="D660" s="21" t="s">
        <v>989</v>
      </c>
      <c r="N660" s="22">
        <f>IF(B660="","",MATCH(B660,'Lista - Placas'!$2:$2,0)-1)</f>
        <v>68</v>
      </c>
      <c r="O660" s="22">
        <f>IF(D660="","",MATCH(D660,'Lista - Placas'!$BQ:$BQ,0)-3)</f>
        <v>2</v>
      </c>
    </row>
    <row r="661" spans="1:15" x14ac:dyDescent="0.35">
      <c r="A661" s="21" t="s">
        <v>721</v>
      </c>
      <c r="B661" s="21" t="s">
        <v>721</v>
      </c>
      <c r="C661" s="22" t="str">
        <f t="shared" si="12"/>
        <v>275 TP660P</v>
      </c>
      <c r="D661" s="21" t="s">
        <v>1037</v>
      </c>
      <c r="E661" s="5">
        <v>0.27500000000000002</v>
      </c>
      <c r="F661" s="5">
        <v>1.63</v>
      </c>
      <c r="G661" t="s">
        <v>3986</v>
      </c>
      <c r="H661" t="s">
        <v>3987</v>
      </c>
      <c r="I661" t="s">
        <v>3985</v>
      </c>
      <c r="J661" t="s">
        <v>3984</v>
      </c>
      <c r="K661" t="s">
        <v>3988</v>
      </c>
      <c r="L661" s="22" t="s">
        <v>184</v>
      </c>
      <c r="M661" s="12" t="s">
        <v>81</v>
      </c>
      <c r="N661" s="22">
        <f>IF(B661="","",MATCH(B661,'Lista - Placas'!$2:$2,0)-1)</f>
        <v>68</v>
      </c>
      <c r="O661" s="22">
        <f>IF(D661="","",MATCH(D661,'Lista - Placas'!$BQ:$BQ,0)-3)</f>
        <v>3</v>
      </c>
    </row>
    <row r="662" spans="1:15" x14ac:dyDescent="0.35">
      <c r="A662" s="21" t="s">
        <v>721</v>
      </c>
      <c r="B662" s="21" t="s">
        <v>721</v>
      </c>
      <c r="C662" s="22" t="str">
        <f t="shared" si="12"/>
        <v>TP672P 315</v>
      </c>
      <c r="D662" s="21" t="s">
        <v>1082</v>
      </c>
      <c r="N662" s="22">
        <f>IF(B662="","",MATCH(B662,'Lista - Placas'!$2:$2,0)-1)</f>
        <v>68</v>
      </c>
      <c r="O662" s="22">
        <f>IF(D662="","",MATCH(D662,'Lista - Placas'!$BQ:$BQ,0)-3)</f>
        <v>4</v>
      </c>
    </row>
    <row r="663" spans="1:15" x14ac:dyDescent="0.35">
      <c r="A663" s="21" t="s">
        <v>721</v>
      </c>
      <c r="B663" s="21" t="s">
        <v>721</v>
      </c>
      <c r="C663" s="22" t="str">
        <f t="shared" si="12"/>
        <v>TP672P 320</v>
      </c>
      <c r="D663" s="21" t="s">
        <v>1123</v>
      </c>
      <c r="N663" s="22">
        <f>IF(B663="","",MATCH(B663,'Lista - Placas'!$2:$2,0)-1)</f>
        <v>68</v>
      </c>
      <c r="O663" s="22">
        <f>IF(D663="","",MATCH(D663,'Lista - Placas'!$BQ:$BQ,0)-3)</f>
        <v>5</v>
      </c>
    </row>
    <row r="664" spans="1:15" x14ac:dyDescent="0.35">
      <c r="A664" s="21" t="s">
        <v>721</v>
      </c>
      <c r="B664" s="21" t="s">
        <v>721</v>
      </c>
      <c r="C664" s="22" t="str">
        <f t="shared" si="12"/>
        <v>TP672P 325</v>
      </c>
      <c r="D664" s="21" t="s">
        <v>1159</v>
      </c>
      <c r="N664" s="22">
        <f>IF(B664="","",MATCH(B664,'Lista - Placas'!$2:$2,0)-1)</f>
        <v>68</v>
      </c>
      <c r="O664" s="22">
        <f>IF(D664="","",MATCH(D664,'Lista - Placas'!$BQ:$BQ,0)-3)</f>
        <v>6</v>
      </c>
    </row>
    <row r="665" spans="1:15" x14ac:dyDescent="0.35">
      <c r="A665" s="21" t="s">
        <v>721</v>
      </c>
      <c r="B665" s="21" t="s">
        <v>721</v>
      </c>
      <c r="C665" s="22" t="str">
        <f t="shared" si="12"/>
        <v>TP672P 330</v>
      </c>
      <c r="D665" s="21" t="s">
        <v>1193</v>
      </c>
      <c r="E665" s="5">
        <v>0.33</v>
      </c>
      <c r="F665" s="5">
        <v>1.94</v>
      </c>
      <c r="G665" s="5" t="s">
        <v>4101</v>
      </c>
      <c r="H665" s="5" t="s">
        <v>4103</v>
      </c>
      <c r="I665" s="5" t="s">
        <v>4102</v>
      </c>
      <c r="J665" s="5" t="s">
        <v>189</v>
      </c>
      <c r="K665" s="5">
        <v>17</v>
      </c>
      <c r="L665" s="22" t="s">
        <v>184</v>
      </c>
      <c r="M665" s="12" t="s">
        <v>81</v>
      </c>
      <c r="N665" s="22">
        <f>IF(B665="","",MATCH(B665,'Lista - Placas'!$2:$2,0)-1)</f>
        <v>68</v>
      </c>
      <c r="O665" s="22">
        <f>IF(D665="","",MATCH(D665,'Lista - Placas'!$BQ:$BQ,0)-3)</f>
        <v>7</v>
      </c>
    </row>
    <row r="666" spans="1:15" x14ac:dyDescent="0.35">
      <c r="A666" s="21" t="s">
        <v>721</v>
      </c>
      <c r="B666" s="21" t="s">
        <v>721</v>
      </c>
      <c r="C666" s="22" t="str">
        <f t="shared" si="12"/>
        <v>TP672P-340</v>
      </c>
      <c r="D666" s="21" t="s">
        <v>1225</v>
      </c>
      <c r="N666" s="22">
        <f>IF(B666="","",MATCH(B666,'Lista - Placas'!$2:$2,0)-1)</f>
        <v>68</v>
      </c>
      <c r="O666" s="22">
        <f>IF(D666="","",MATCH(D666,'Lista - Placas'!$BQ:$BQ,0)-3)</f>
        <v>8</v>
      </c>
    </row>
    <row r="667" spans="1:15" x14ac:dyDescent="0.35">
      <c r="A667" s="21" t="s">
        <v>721</v>
      </c>
      <c r="B667" s="21" t="s">
        <v>721</v>
      </c>
      <c r="C667" s="22" t="str">
        <f t="shared" si="12"/>
        <v>TPM672M - 375</v>
      </c>
      <c r="D667" s="21" t="s">
        <v>1255</v>
      </c>
      <c r="N667" s="22">
        <f>IF(B667="","",MATCH(B667,'Lista - Placas'!$2:$2,0)-1)</f>
        <v>68</v>
      </c>
      <c r="O667" s="22">
        <f>IF(D667="","",MATCH(D667,'Lista - Placas'!$BQ:$BQ,0)-3)</f>
        <v>9</v>
      </c>
    </row>
    <row r="668" spans="1:15" x14ac:dyDescent="0.35">
      <c r="A668" s="21" t="s">
        <v>721</v>
      </c>
      <c r="B668" s="21" t="s">
        <v>721</v>
      </c>
      <c r="C668" s="22" t="str">
        <f t="shared" si="12"/>
        <v>TP672M-375W</v>
      </c>
      <c r="D668" s="21" t="s">
        <v>1283</v>
      </c>
      <c r="N668" s="22">
        <f>IF(B668="","",MATCH(B668,'Lista - Placas'!$2:$2,0)-1)</f>
        <v>68</v>
      </c>
      <c r="O668" s="22">
        <f>IF(D668="","",MATCH(D668,'Lista - Placas'!$BQ:$BQ,0)-3)</f>
        <v>10</v>
      </c>
    </row>
    <row r="669" spans="1:15" x14ac:dyDescent="0.35">
      <c r="A669" s="21" t="s">
        <v>721</v>
      </c>
      <c r="B669" s="21" t="s">
        <v>721</v>
      </c>
      <c r="C669" s="22" t="str">
        <f t="shared" si="12"/>
        <v>TP6H72M(H) - 400</v>
      </c>
      <c r="D669" s="21" t="s">
        <v>1311</v>
      </c>
      <c r="N669" s="22">
        <f>IF(B669="","",MATCH(B669,'Lista - Placas'!$2:$2,0)-1)</f>
        <v>68</v>
      </c>
      <c r="O669" s="22">
        <f>IF(D669="","",MATCH(D669,'Lista - Placas'!$BQ:$BQ,0)-3)</f>
        <v>11</v>
      </c>
    </row>
    <row r="670" spans="1:15" x14ac:dyDescent="0.35">
      <c r="A670" s="21" t="s">
        <v>721</v>
      </c>
      <c r="B670" s="21" t="s">
        <v>721</v>
      </c>
      <c r="C670" s="22" t="str">
        <f t="shared" si="12"/>
        <v>TP6H72P-350W</v>
      </c>
      <c r="D670" s="21" t="s">
        <v>1338</v>
      </c>
      <c r="N670" s="22">
        <f>IF(B670="","",MATCH(B670,'Lista - Placas'!$2:$2,0)-1)</f>
        <v>68</v>
      </c>
      <c r="O670" s="22">
        <f>IF(D670="","",MATCH(D670,'Lista - Placas'!$BQ:$BQ,0)-3)</f>
        <v>12</v>
      </c>
    </row>
    <row r="671" spans="1:15" x14ac:dyDescent="0.35">
      <c r="A671" s="21" t="s">
        <v>721</v>
      </c>
      <c r="B671" s="21" t="s">
        <v>721</v>
      </c>
      <c r="C671" s="22" t="str">
        <f t="shared" si="12"/>
        <v>TP6F72M 400W</v>
      </c>
      <c r="D671" s="21" t="s">
        <v>1365</v>
      </c>
      <c r="N671" s="22">
        <f>IF(B671="","",MATCH(B671,'Lista - Placas'!$2:$2,0)-1)</f>
        <v>68</v>
      </c>
      <c r="O671" s="22">
        <f>IF(D671="","",MATCH(D671,'Lista - Placas'!$BQ:$BQ,0)-3)</f>
        <v>13</v>
      </c>
    </row>
    <row r="672" spans="1:15" x14ac:dyDescent="0.35">
      <c r="A672" s="21" t="s">
        <v>721</v>
      </c>
      <c r="B672" s="21" t="s">
        <v>721</v>
      </c>
      <c r="C672" s="22" t="str">
        <f t="shared" si="12"/>
        <v>TP6H72M-375W</v>
      </c>
      <c r="D672" s="21" t="s">
        <v>1390</v>
      </c>
      <c r="N672" s="22">
        <f>IF(B672="","",MATCH(B672,'Lista - Placas'!$2:$2,0)-1)</f>
        <v>68</v>
      </c>
      <c r="O672" s="22">
        <f>IF(D672="","",MATCH(D672,'Lista - Placas'!$BQ:$BQ,0)-3)</f>
        <v>14</v>
      </c>
    </row>
    <row r="673" spans="1:15" x14ac:dyDescent="0.35">
      <c r="A673" s="21" t="s">
        <v>721</v>
      </c>
      <c r="B673" s="21" t="s">
        <v>721</v>
      </c>
      <c r="C673" s="22" t="str">
        <f t="shared" si="12"/>
        <v>TP6H72M-400W</v>
      </c>
      <c r="D673" s="21" t="s">
        <v>1412</v>
      </c>
      <c r="N673" s="22">
        <f>IF(B673="","",MATCH(B673,'Lista - Placas'!$2:$2,0)-1)</f>
        <v>68</v>
      </c>
      <c r="O673" s="22">
        <f>IF(D673="","",MATCH(D673,'Lista - Placas'!$BQ:$BQ,0)-3)</f>
        <v>15</v>
      </c>
    </row>
    <row r="674" spans="1:15" x14ac:dyDescent="0.35">
      <c r="A674" s="21" t="s">
        <v>721</v>
      </c>
      <c r="B674" s="21" t="s">
        <v>721</v>
      </c>
      <c r="C674" s="22" t="str">
        <f t="shared" si="12"/>
        <v>TD672M-375W</v>
      </c>
      <c r="D674" s="21" t="s">
        <v>1433</v>
      </c>
      <c r="N674" s="22">
        <f>IF(B674="","",MATCH(B674,'Lista - Placas'!$2:$2,0)-1)</f>
        <v>68</v>
      </c>
      <c r="O674" s="22">
        <f>IF(D674="","",MATCH(D674,'Lista - Placas'!$BQ:$BQ,0)-3)</f>
        <v>16</v>
      </c>
    </row>
    <row r="675" spans="1:15" x14ac:dyDescent="0.35">
      <c r="A675" s="21" t="s">
        <v>721</v>
      </c>
      <c r="B675" s="21" t="s">
        <v>721</v>
      </c>
      <c r="C675" s="22" t="str">
        <f t="shared" si="12"/>
        <v>TP6H72M(H)-405</v>
      </c>
      <c r="D675" s="21" t="s">
        <v>1451</v>
      </c>
      <c r="N675" s="22">
        <f>IF(B675="","",MATCH(B675,'Lista - Placas'!$2:$2,0)-1)</f>
        <v>68</v>
      </c>
      <c r="O675" s="22">
        <f>IF(D675="","",MATCH(D675,'Lista - Placas'!$BQ:$BQ,0)-3)</f>
        <v>17</v>
      </c>
    </row>
    <row r="676" spans="1:15" x14ac:dyDescent="0.35">
      <c r="A676" s="21" t="s">
        <v>721</v>
      </c>
      <c r="B676" s="21" t="s">
        <v>721</v>
      </c>
      <c r="C676" s="22" t="str">
        <f t="shared" si="12"/>
        <v>TS450M12-45H - 450</v>
      </c>
      <c r="D676" s="21" t="s">
        <v>1469</v>
      </c>
      <c r="N676" s="22">
        <f>IF(B676="","",MATCH(B676,'Lista - Placas'!$2:$2,0)-1)</f>
        <v>68</v>
      </c>
      <c r="O676" s="22">
        <f>IF(D676="","",MATCH(D676,'Lista - Placas'!$BQ:$BQ,0)-3)</f>
        <v>18</v>
      </c>
    </row>
    <row r="677" spans="1:15" x14ac:dyDescent="0.35">
      <c r="A677" s="21" t="s">
        <v>721</v>
      </c>
      <c r="B677" s="21" t="s">
        <v>721</v>
      </c>
      <c r="C677" s="22" t="str">
        <f t="shared" si="12"/>
        <v>TP7F72M(H) - 550</v>
      </c>
      <c r="D677" s="21" t="s">
        <v>1486</v>
      </c>
      <c r="N677" s="22">
        <f>IF(B677="","",MATCH(B677,'Lista - Placas'!$2:$2,0)-1)</f>
        <v>68</v>
      </c>
      <c r="O677" s="22">
        <f>IF(D677="","",MATCH(D677,'Lista - Placas'!$BQ:$BQ,0)-3)</f>
        <v>19</v>
      </c>
    </row>
    <row r="678" spans="1:15" x14ac:dyDescent="0.35">
      <c r="A678" s="21" t="s">
        <v>721</v>
      </c>
      <c r="B678" s="21" t="s">
        <v>721</v>
      </c>
      <c r="C678" s="22" t="str">
        <f t="shared" si="12"/>
        <v>TP6L72M-450W</v>
      </c>
      <c r="D678" s="21" t="s">
        <v>1501</v>
      </c>
      <c r="N678" s="22">
        <f>IF(B678="","",MATCH(B678,'Lista - Placas'!$2:$2,0)-1)</f>
        <v>68</v>
      </c>
      <c r="O678" s="22">
        <f>IF(D678="","",MATCH(D678,'Lista - Placas'!$BQ:$BQ,0)-3)</f>
        <v>20</v>
      </c>
    </row>
    <row r="679" spans="1:15" x14ac:dyDescent="0.35">
      <c r="A679" s="21" t="s">
        <v>721</v>
      </c>
      <c r="B679" s="21" t="s">
        <v>721</v>
      </c>
      <c r="C679" s="22" t="str">
        <f t="shared" si="12"/>
        <v>TP6H72M(H)-550</v>
      </c>
      <c r="D679" s="21" t="s">
        <v>1515</v>
      </c>
      <c r="N679" s="22">
        <f>IF(B679="","",MATCH(B679,'Lista - Placas'!$2:$2,0)-1)</f>
        <v>68</v>
      </c>
      <c r="O679" s="22">
        <f>IF(D679="","",MATCH(D679,'Lista - Placas'!$BQ:$BQ,0)-3)</f>
        <v>21</v>
      </c>
    </row>
    <row r="680" spans="1:15" x14ac:dyDescent="0.35">
      <c r="A680" s="21" t="s">
        <v>721</v>
      </c>
      <c r="B680" s="21" t="s">
        <v>721</v>
      </c>
      <c r="C680" s="22" t="str">
        <f t="shared" si="12"/>
        <v>TP6L72M(H)-440</v>
      </c>
      <c r="D680" s="21" t="s">
        <v>1529</v>
      </c>
      <c r="N680" s="22">
        <f>IF(B680="","",MATCH(B680,'Lista - Placas'!$2:$2,0)-1)</f>
        <v>68</v>
      </c>
      <c r="O680" s="22">
        <f>IF(D680="","",MATCH(D680,'Lista - Placas'!$BQ:$BQ,0)-3)</f>
        <v>22</v>
      </c>
    </row>
    <row r="681" spans="1:15" x14ac:dyDescent="0.35">
      <c r="A681" s="21" t="s">
        <v>721</v>
      </c>
      <c r="B681" s="21" t="s">
        <v>721</v>
      </c>
      <c r="C681" s="22" t="str">
        <f t="shared" si="12"/>
        <v>TP7F72M 535W</v>
      </c>
      <c r="D681" s="21" t="s">
        <v>1543</v>
      </c>
      <c r="N681" s="22">
        <f>IF(B681="","",MATCH(B681,'Lista - Placas'!$2:$2,0)-1)</f>
        <v>68</v>
      </c>
      <c r="O681" s="22">
        <f>IF(D681="","",MATCH(D681,'Lista - Placas'!$BQ:$BQ,0)-3)</f>
        <v>23</v>
      </c>
    </row>
    <row r="682" spans="1:15" x14ac:dyDescent="0.35">
      <c r="A682" s="21" t="s">
        <v>721</v>
      </c>
      <c r="B682" s="21" t="s">
        <v>721</v>
      </c>
      <c r="C682" s="22" t="str">
        <f t="shared" si="12"/>
        <v>TD7G72M 550W</v>
      </c>
      <c r="D682" s="21" t="s">
        <v>1556</v>
      </c>
      <c r="N682" s="22">
        <f>IF(B682="","",MATCH(B682,'Lista - Placas'!$2:$2,0)-1)</f>
        <v>68</v>
      </c>
      <c r="O682" s="22">
        <f>IF(D682="","",MATCH(D682,'Lista - Placas'!$BQ:$BQ,0)-3)</f>
        <v>24</v>
      </c>
    </row>
    <row r="683" spans="1:15" x14ac:dyDescent="0.35">
      <c r="A683" s="21" t="s">
        <v>721</v>
      </c>
      <c r="B683" s="21" t="s">
        <v>721</v>
      </c>
      <c r="C683" s="22" t="str">
        <f t="shared" si="12"/>
        <v>TD6G72M 400W</v>
      </c>
      <c r="D683" s="21" t="s">
        <v>1568</v>
      </c>
      <c r="N683" s="22">
        <f>IF(B683="","",MATCH(B683,'Lista - Placas'!$2:$2,0)-1)</f>
        <v>68</v>
      </c>
      <c r="O683" s="22">
        <f>IF(D683="","",MATCH(D683,'Lista - Placas'!$BQ:$BQ,0)-3)</f>
        <v>25</v>
      </c>
    </row>
    <row r="684" spans="1:15" x14ac:dyDescent="0.35">
      <c r="A684" s="21" t="s">
        <v>720</v>
      </c>
      <c r="B684" s="21" t="s">
        <v>720</v>
      </c>
      <c r="C684" s="22" t="str">
        <f t="shared" ref="C684:C725" si="13">RIGHT(D684,LEN(D684)-(FIND(" - ", D684)+2))</f>
        <v>TSM-335-PE14A</v>
      </c>
      <c r="D684" s="21" t="s">
        <v>871</v>
      </c>
      <c r="N684" s="22">
        <f>IF(B684="","",MATCH(B684,'Lista - Placas'!$2:$2,0)-1)</f>
        <v>69</v>
      </c>
      <c r="O684" s="22">
        <f>IF(D684="","",MATCH(D684,'Lista - Placas'!$BR:$BR,0)-3)</f>
        <v>0</v>
      </c>
    </row>
    <row r="685" spans="1:15" x14ac:dyDescent="0.35">
      <c r="A685" s="21" t="s">
        <v>720</v>
      </c>
      <c r="B685" s="21" t="s">
        <v>720</v>
      </c>
      <c r="C685" s="22" t="str">
        <f t="shared" si="13"/>
        <v>TSM-PE14A 320</v>
      </c>
      <c r="D685" s="21" t="s">
        <v>937</v>
      </c>
      <c r="E685" s="12">
        <v>0.32</v>
      </c>
      <c r="F685" s="5">
        <v>1.95</v>
      </c>
      <c r="G685" t="s">
        <v>3787</v>
      </c>
      <c r="H685" t="s">
        <v>3795</v>
      </c>
      <c r="I685" t="s">
        <v>3789</v>
      </c>
      <c r="J685" t="s">
        <v>3788</v>
      </c>
      <c r="K685" t="s">
        <v>3790</v>
      </c>
      <c r="L685" s="22" t="s">
        <v>3791</v>
      </c>
      <c r="M685" s="12" t="s">
        <v>81</v>
      </c>
      <c r="N685" s="22">
        <f>IF(B685="","",MATCH(B685,'Lista - Placas'!$2:$2,0)-1)</f>
        <v>69</v>
      </c>
      <c r="O685" s="22">
        <f>IF(D685="","",MATCH(D685,'Lista - Placas'!$BR:$BR,0)-3)</f>
        <v>1</v>
      </c>
    </row>
    <row r="686" spans="1:15" x14ac:dyDescent="0.35">
      <c r="A686" s="21" t="s">
        <v>720</v>
      </c>
      <c r="B686" s="21" t="s">
        <v>720</v>
      </c>
      <c r="C686" s="22" t="str">
        <f t="shared" si="13"/>
        <v>TSM-PE14A 325</v>
      </c>
      <c r="D686" s="21" t="s">
        <v>990</v>
      </c>
      <c r="N686" s="22">
        <f>IF(B686="","",MATCH(B686,'Lista - Placas'!$2:$2,0)-1)</f>
        <v>69</v>
      </c>
      <c r="O686" s="22">
        <f>IF(D686="","",MATCH(D686,'Lista - Placas'!$BR:$BR,0)-3)</f>
        <v>2</v>
      </c>
    </row>
    <row r="687" spans="1:15" x14ac:dyDescent="0.35">
      <c r="A687" s="21" t="s">
        <v>720</v>
      </c>
      <c r="B687" s="21" t="s">
        <v>720</v>
      </c>
      <c r="C687" s="22" t="str">
        <f t="shared" si="13"/>
        <v>TSM-PE14A 330</v>
      </c>
      <c r="D687" s="21" t="s">
        <v>1038</v>
      </c>
      <c r="E687" s="5">
        <v>0.33</v>
      </c>
      <c r="F687" s="22">
        <v>1.95</v>
      </c>
      <c r="G687" t="s">
        <v>3792</v>
      </c>
      <c r="H687" t="s">
        <v>3794</v>
      </c>
      <c r="I687" t="s">
        <v>3793</v>
      </c>
      <c r="J687" t="s">
        <v>3796</v>
      </c>
      <c r="K687" t="s">
        <v>3797</v>
      </c>
      <c r="L687" t="s">
        <v>3798</v>
      </c>
      <c r="M687" s="12" t="s">
        <v>81</v>
      </c>
      <c r="N687" s="22">
        <f>IF(B687="","",MATCH(B687,'Lista - Placas'!$2:$2,0)-1)</f>
        <v>69</v>
      </c>
      <c r="O687" s="22">
        <f>IF(D687="","",MATCH(D687,'Lista - Placas'!$BR:$BR,0)-3)</f>
        <v>3</v>
      </c>
    </row>
    <row r="688" spans="1:15" x14ac:dyDescent="0.35">
      <c r="A688" s="21" t="s">
        <v>720</v>
      </c>
      <c r="B688" s="21" t="s">
        <v>720</v>
      </c>
      <c r="C688" s="22" t="str">
        <f t="shared" si="13"/>
        <v>TSM-PE14A 335</v>
      </c>
      <c r="D688" s="21" t="s">
        <v>1083</v>
      </c>
      <c r="E688" s="5">
        <v>0.33500000000000002</v>
      </c>
      <c r="F688" s="5">
        <v>1.95</v>
      </c>
      <c r="G688" s="5" t="s">
        <v>3862</v>
      </c>
      <c r="H688" s="5" t="s">
        <v>3863</v>
      </c>
      <c r="I688" s="5" t="s">
        <v>3864</v>
      </c>
      <c r="J688" s="5" t="s">
        <v>3865</v>
      </c>
      <c r="K688" s="15">
        <v>0.17199999999999999</v>
      </c>
      <c r="L688" s="21" t="s">
        <v>3798</v>
      </c>
      <c r="M688" s="12" t="s">
        <v>81</v>
      </c>
      <c r="N688" s="22">
        <f>IF(B688="","",MATCH(B688,'Lista - Placas'!$2:$2,0)-1)</f>
        <v>69</v>
      </c>
      <c r="O688" s="22">
        <f>IF(D688="","",MATCH(D688,'Lista - Placas'!$BR:$BR,0)-3)</f>
        <v>4</v>
      </c>
    </row>
    <row r="689" spans="1:15" x14ac:dyDescent="0.35">
      <c r="A689" s="21" t="s">
        <v>720</v>
      </c>
      <c r="B689" s="21" t="s">
        <v>720</v>
      </c>
      <c r="C689" s="22" t="str">
        <f t="shared" si="13"/>
        <v>TSM-DE15M 400</v>
      </c>
      <c r="D689" s="21" t="s">
        <v>1124</v>
      </c>
      <c r="N689" s="22">
        <f>IF(B689="","",MATCH(B689,'Lista - Placas'!$2:$2,0)-1)</f>
        <v>69</v>
      </c>
      <c r="O689" s="22">
        <f>IF(D689="","",MATCH(D689,'Lista - Placas'!$BR:$BR,0)-3)</f>
        <v>5</v>
      </c>
    </row>
    <row r="690" spans="1:15" x14ac:dyDescent="0.35">
      <c r="A690" s="21" t="s">
        <v>720</v>
      </c>
      <c r="B690" s="21" t="s">
        <v>720</v>
      </c>
      <c r="C690" s="22" t="str">
        <f t="shared" si="13"/>
        <v>TRINA SOLAR 330W</v>
      </c>
      <c r="D690" s="21" t="s">
        <v>1160</v>
      </c>
      <c r="N690" s="22">
        <f>IF(B690="","",MATCH(B690,'Lista - Placas'!$2:$2,0)-1)</f>
        <v>69</v>
      </c>
      <c r="O690" s="22">
        <f>IF(D690="","",MATCH(D690,'Lista - Placas'!$BR:$BR,0)-3)</f>
        <v>6</v>
      </c>
    </row>
    <row r="691" spans="1:15" x14ac:dyDescent="0.35">
      <c r="A691" s="21" t="s">
        <v>720</v>
      </c>
      <c r="B691" s="21" t="s">
        <v>720</v>
      </c>
      <c r="C691" s="22" t="str">
        <f t="shared" si="13"/>
        <v>TSM-DE15H(II) 390W</v>
      </c>
      <c r="D691" s="21" t="s">
        <v>1194</v>
      </c>
      <c r="N691" s="22">
        <f>IF(B691="","",MATCH(B691,'Lista - Placas'!$2:$2,0)-1)</f>
        <v>69</v>
      </c>
      <c r="O691" s="22">
        <f>IF(D691="","",MATCH(D691,'Lista - Placas'!$BR:$BR,0)-3)</f>
        <v>7</v>
      </c>
    </row>
    <row r="692" spans="1:15" x14ac:dyDescent="0.35">
      <c r="A692" s="21" t="s">
        <v>720</v>
      </c>
      <c r="B692" s="21" t="s">
        <v>720</v>
      </c>
      <c r="C692" s="22" t="str">
        <f t="shared" si="13"/>
        <v>TSM-PE15H</v>
      </c>
      <c r="D692" s="21" t="s">
        <v>1226</v>
      </c>
      <c r="N692" s="22">
        <f>IF(B692="","",MATCH(B692,'Lista - Placas'!$2:$2,0)-1)</f>
        <v>69</v>
      </c>
      <c r="O692" s="22">
        <f>IF(D692="","",MATCH(D692,'Lista - Placas'!$BR:$BR,0)-3)</f>
        <v>8</v>
      </c>
    </row>
    <row r="693" spans="1:15" x14ac:dyDescent="0.35">
      <c r="A693" s="21" t="s">
        <v>720</v>
      </c>
      <c r="B693" s="21" t="s">
        <v>720</v>
      </c>
      <c r="C693" s="22" t="str">
        <f t="shared" si="13"/>
        <v>TSM-PE15H 345</v>
      </c>
      <c r="D693" s="21" t="s">
        <v>1256</v>
      </c>
      <c r="N693" s="22">
        <f>IF(B693="","",MATCH(B693,'Lista - Placas'!$2:$2,0)-1)</f>
        <v>69</v>
      </c>
      <c r="O693" s="22">
        <f>IF(D693="","",MATCH(D693,'Lista - Placas'!$BR:$BR,0)-3)</f>
        <v>9</v>
      </c>
    </row>
    <row r="694" spans="1:15" x14ac:dyDescent="0.35">
      <c r="A694" s="21" t="s">
        <v>720</v>
      </c>
      <c r="B694" s="21" t="s">
        <v>720</v>
      </c>
      <c r="C694" s="22" t="str">
        <f t="shared" si="13"/>
        <v>TSM-DE15M (II) 400W</v>
      </c>
      <c r="D694" s="21" t="s">
        <v>1284</v>
      </c>
      <c r="N694" s="22">
        <f>IF(B694="","",MATCH(B694,'Lista - Placas'!$2:$2,0)-1)</f>
        <v>69</v>
      </c>
      <c r="O694" s="22">
        <f>IF(D694="","",MATCH(D694,'Lista - Placas'!$BR:$BR,0)-3)</f>
        <v>10</v>
      </c>
    </row>
    <row r="695" spans="1:15" x14ac:dyDescent="0.35">
      <c r="A695" s="21" t="s">
        <v>720</v>
      </c>
      <c r="B695" s="21" t="s">
        <v>720</v>
      </c>
      <c r="C695" s="22" t="str">
        <f t="shared" si="13"/>
        <v>TSM-PE15H 340W</v>
      </c>
      <c r="D695" s="21" t="s">
        <v>1312</v>
      </c>
      <c r="N695" s="22">
        <f>IF(B695="","",MATCH(B695,'Lista - Placas'!$2:$2,0)-1)</f>
        <v>69</v>
      </c>
      <c r="O695" s="22">
        <f>IF(D695="","",MATCH(D695,'Lista - Placas'!$BR:$BR,0)-3)</f>
        <v>11</v>
      </c>
    </row>
    <row r="696" spans="1:15" x14ac:dyDescent="0.35">
      <c r="A696" s="21" t="s">
        <v>720</v>
      </c>
      <c r="B696" s="21" t="s">
        <v>720</v>
      </c>
      <c r="C696" s="22" t="str">
        <f t="shared" si="13"/>
        <v>TSM-DE15M (II) 400</v>
      </c>
      <c r="D696" s="21" t="s">
        <v>1339</v>
      </c>
      <c r="N696" s="22">
        <f>IF(B696="","",MATCH(B696,'Lista - Placas'!$2:$2,0)-1)</f>
        <v>69</v>
      </c>
      <c r="O696" s="22">
        <f>IF(D696="","",MATCH(D696,'Lista - Placas'!$BR:$BR,0)-3)</f>
        <v>12</v>
      </c>
    </row>
    <row r="697" spans="1:15" x14ac:dyDescent="0.35">
      <c r="A697" s="21" t="s">
        <v>720</v>
      </c>
      <c r="B697" s="21" t="s">
        <v>720</v>
      </c>
      <c r="C697" s="22" t="str">
        <f t="shared" si="13"/>
        <v>TSM-330 PD14</v>
      </c>
      <c r="D697" s="21" t="s">
        <v>1366</v>
      </c>
      <c r="N697" s="22">
        <f>IF(B697="","",MATCH(B697,'Lista - Placas'!$2:$2,0)-1)</f>
        <v>69</v>
      </c>
      <c r="O697" s="22">
        <f>IF(D697="","",MATCH(D697,'Lista - Placas'!$BR:$BR,0)-3)</f>
        <v>13</v>
      </c>
    </row>
    <row r="698" spans="1:15" x14ac:dyDescent="0.35">
      <c r="A698" s="21" t="s">
        <v>720</v>
      </c>
      <c r="B698" s="21" t="s">
        <v>720</v>
      </c>
      <c r="C698" s="22" t="str">
        <f t="shared" si="13"/>
        <v>TSM-DE15H(II) - 395W</v>
      </c>
      <c r="D698" s="21" t="s">
        <v>1391</v>
      </c>
      <c r="N698" s="22">
        <f>IF(B698="","",MATCH(B698,'Lista - Placas'!$2:$2,0)-1)</f>
        <v>69</v>
      </c>
      <c r="O698" s="22">
        <f>IF(D698="","",MATCH(D698,'Lista - Placas'!$BR:$BR,0)-3)</f>
        <v>14</v>
      </c>
    </row>
    <row r="699" spans="1:15" x14ac:dyDescent="0.35">
      <c r="A699" s="21" t="s">
        <v>720</v>
      </c>
      <c r="B699" s="21" t="s">
        <v>720</v>
      </c>
      <c r="C699" s="22" t="str">
        <f t="shared" si="13"/>
        <v>TSM 340 -PE14A</v>
      </c>
      <c r="D699" s="21" t="s">
        <v>1413</v>
      </c>
      <c r="N699" s="22">
        <f>IF(B699="","",MATCH(B699,'Lista - Placas'!$2:$2,0)-1)</f>
        <v>69</v>
      </c>
      <c r="O699" s="22">
        <f>IF(D699="","",MATCH(D699,'Lista - Placas'!$BR:$BR,0)-3)</f>
        <v>15</v>
      </c>
    </row>
    <row r="700" spans="1:15" x14ac:dyDescent="0.35">
      <c r="A700" s="21" t="s">
        <v>720</v>
      </c>
      <c r="B700" s="21" t="s">
        <v>720</v>
      </c>
      <c r="C700" s="22" t="str">
        <f t="shared" si="13"/>
        <v>TSM-DE14H.08(345)</v>
      </c>
      <c r="D700" s="21" t="s">
        <v>1434</v>
      </c>
      <c r="N700" s="22">
        <f>IF(B700="","",MATCH(B700,'Lista - Placas'!$2:$2,0)-1)</f>
        <v>69</v>
      </c>
      <c r="O700" s="22">
        <f>IF(D700="","",MATCH(D700,'Lista - Placas'!$BR:$BR,0)-3)</f>
        <v>16</v>
      </c>
    </row>
    <row r="701" spans="1:15" x14ac:dyDescent="0.35">
      <c r="A701" s="21" t="s">
        <v>720</v>
      </c>
      <c r="B701" s="21" t="s">
        <v>720</v>
      </c>
      <c r="C701" s="22" t="str">
        <f t="shared" si="13"/>
        <v>TSM-400 DE15H(II)</v>
      </c>
      <c r="D701" s="21" t="s">
        <v>1452</v>
      </c>
      <c r="N701" s="22">
        <f>IF(B701="","",MATCH(B701,'Lista - Placas'!$2:$2,0)-1)</f>
        <v>69</v>
      </c>
      <c r="O701" s="22">
        <f>IF(D701="","",MATCH(D701,'Lista - Placas'!$BR:$BR,0)-3)</f>
        <v>17</v>
      </c>
    </row>
    <row r="702" spans="1:15" x14ac:dyDescent="0.35">
      <c r="A702" s="21" t="s">
        <v>720</v>
      </c>
      <c r="B702" s="21" t="s">
        <v>720</v>
      </c>
      <c r="C702" s="22" t="str">
        <f t="shared" si="13"/>
        <v>TSM-DE14H(II)-345</v>
      </c>
      <c r="D702" s="21" t="s">
        <v>1470</v>
      </c>
      <c r="N702" s="22">
        <f>IF(B702="","",MATCH(B702,'Lista - Placas'!$2:$2,0)-1)</f>
        <v>69</v>
      </c>
      <c r="O702" s="22">
        <f>IF(D702="","",MATCH(D702,'Lista - Placas'!$BR:$BR,0)-3)</f>
        <v>18</v>
      </c>
    </row>
    <row r="703" spans="1:15" x14ac:dyDescent="0.35">
      <c r="A703" s="21" t="s">
        <v>720</v>
      </c>
      <c r="B703" s="21" t="s">
        <v>720</v>
      </c>
      <c r="C703" s="22" t="str">
        <f t="shared" si="13"/>
        <v>TSM-DE 14A(II) 345W</v>
      </c>
      <c r="D703" s="21" t="s">
        <v>1487</v>
      </c>
      <c r="E703" s="5">
        <v>0.34499999999999997</v>
      </c>
      <c r="F703" s="22">
        <v>1.95</v>
      </c>
      <c r="G703" t="s">
        <v>3820</v>
      </c>
      <c r="H703" t="s">
        <v>3822</v>
      </c>
      <c r="I703" t="s">
        <v>3821</v>
      </c>
      <c r="J703" t="s">
        <v>3819</v>
      </c>
      <c r="K703" t="s">
        <v>3823</v>
      </c>
      <c r="M703" s="12" t="s">
        <v>102</v>
      </c>
      <c r="N703" s="22">
        <f>IF(B703="","",MATCH(B703,'Lista - Placas'!$2:$2,0)-1)</f>
        <v>69</v>
      </c>
      <c r="O703" s="22">
        <f>IF(D703="","",MATCH(D703,'Lista - Placas'!$BR:$BR,0)-3)</f>
        <v>19</v>
      </c>
    </row>
    <row r="704" spans="1:15" x14ac:dyDescent="0.35">
      <c r="A704" s="21" t="s">
        <v>720</v>
      </c>
      <c r="B704" s="21" t="s">
        <v>720</v>
      </c>
      <c r="C704" s="22" t="str">
        <f t="shared" si="13"/>
        <v>TSM-DE15H(II) 400W</v>
      </c>
      <c r="D704" s="21" t="s">
        <v>1502</v>
      </c>
      <c r="N704" s="22">
        <f>IF(B704="","",MATCH(B704,'Lista - Placas'!$2:$2,0)-1)</f>
        <v>69</v>
      </c>
      <c r="O704" s="22">
        <f>IF(D704="","",MATCH(D704,'Lista - Placas'!$BR:$BR,0)-3)</f>
        <v>20</v>
      </c>
    </row>
    <row r="705" spans="1:15" x14ac:dyDescent="0.35">
      <c r="A705" s="21" t="s">
        <v>720</v>
      </c>
      <c r="B705" s="21" t="s">
        <v>720</v>
      </c>
      <c r="C705" s="22" t="str">
        <f t="shared" si="13"/>
        <v>TSM-345PE14H</v>
      </c>
      <c r="D705" s="21" t="s">
        <v>1516</v>
      </c>
      <c r="N705" s="22">
        <f>IF(B705="","",MATCH(B705,'Lista - Placas'!$2:$2,0)-1)</f>
        <v>69</v>
      </c>
      <c r="O705" s="22">
        <f>IF(D705="","",MATCH(D705,'Lista - Placas'!$BR:$BR,0)-3)</f>
        <v>21</v>
      </c>
    </row>
    <row r="706" spans="1:15" x14ac:dyDescent="0.35">
      <c r="A706" s="21" t="s">
        <v>720</v>
      </c>
      <c r="B706" s="21" t="s">
        <v>720</v>
      </c>
      <c r="C706" s="22" t="str">
        <f t="shared" si="13"/>
        <v>TSM-340 DE06M.08</v>
      </c>
      <c r="D706" s="21" t="s">
        <v>1530</v>
      </c>
      <c r="N706" s="22">
        <f>IF(B706="","",MATCH(B706,'Lista - Placas'!$2:$2,0)-1)</f>
        <v>69</v>
      </c>
      <c r="O706" s="22">
        <f>IF(D706="","",MATCH(D706,'Lista - Placas'!$BR:$BR,0)-3)</f>
        <v>22</v>
      </c>
    </row>
    <row r="707" spans="1:15" x14ac:dyDescent="0.35">
      <c r="A707" s="21" t="s">
        <v>720</v>
      </c>
      <c r="B707" s="21" t="s">
        <v>720</v>
      </c>
      <c r="C707" s="22" t="str">
        <f t="shared" si="13"/>
        <v>TSM-DE14A(II) 340W</v>
      </c>
      <c r="D707" s="21" t="s">
        <v>1544</v>
      </c>
      <c r="N707" s="22">
        <f>IF(B707="","",MATCH(B707,'Lista - Placas'!$2:$2,0)-1)</f>
        <v>69</v>
      </c>
      <c r="O707" s="22">
        <f>IF(D707="","",MATCH(D707,'Lista - Placas'!$BR:$BR,0)-3)</f>
        <v>23</v>
      </c>
    </row>
    <row r="708" spans="1:15" x14ac:dyDescent="0.35">
      <c r="A708" s="21" t="s">
        <v>720</v>
      </c>
      <c r="B708" s="21" t="s">
        <v>720</v>
      </c>
      <c r="C708" s="22" t="str">
        <f t="shared" si="13"/>
        <v>TSM-PE15H-350W</v>
      </c>
      <c r="D708" s="21" t="s">
        <v>1557</v>
      </c>
      <c r="N708" s="22">
        <f>IF(B708="","",MATCH(B708,'Lista - Placas'!$2:$2,0)-1)</f>
        <v>69</v>
      </c>
      <c r="O708" s="22">
        <f>IF(D708="","",MATCH(D708,'Lista - Placas'!$BR:$BR,0)-3)</f>
        <v>24</v>
      </c>
    </row>
    <row r="709" spans="1:15" x14ac:dyDescent="0.35">
      <c r="A709" s="21" t="s">
        <v>720</v>
      </c>
      <c r="B709" s="21" t="s">
        <v>720</v>
      </c>
      <c r="C709" s="22" t="str">
        <f t="shared" si="13"/>
        <v>TSM-DE06M.08(II) 340W</v>
      </c>
      <c r="D709" s="21" t="s">
        <v>1569</v>
      </c>
      <c r="N709" s="22">
        <f>IF(B709="","",MATCH(B709,'Lista - Placas'!$2:$2,0)-1)</f>
        <v>69</v>
      </c>
      <c r="O709" s="22">
        <f>IF(D709="","",MATCH(D709,'Lista - Placas'!$BR:$BR,0)-3)</f>
        <v>25</v>
      </c>
    </row>
    <row r="710" spans="1:15" x14ac:dyDescent="0.35">
      <c r="A710" s="21" t="s">
        <v>720</v>
      </c>
      <c r="B710" s="21" t="s">
        <v>720</v>
      </c>
      <c r="C710" s="22" t="str">
        <f t="shared" si="13"/>
        <v>TSM-PE14H 345W</v>
      </c>
      <c r="D710" s="21" t="s">
        <v>1580</v>
      </c>
      <c r="N710" s="22">
        <f>IF(B710="","",MATCH(B710,'Lista - Placas'!$2:$2,0)-1)</f>
        <v>69</v>
      </c>
      <c r="O710" s="22">
        <f>IF(D710="","",MATCH(D710,'Lista - Placas'!$BR:$BR,0)-3)</f>
        <v>26</v>
      </c>
    </row>
    <row r="711" spans="1:15" x14ac:dyDescent="0.35">
      <c r="A711" s="21" t="s">
        <v>720</v>
      </c>
      <c r="B711" s="21" t="s">
        <v>720</v>
      </c>
      <c r="C711" s="22" t="str">
        <f t="shared" si="13"/>
        <v xml:space="preserve">TSM-340 DE06M.08(II) </v>
      </c>
      <c r="D711" s="21" t="s">
        <v>1591</v>
      </c>
      <c r="N711" s="22">
        <f>IF(B711="","",MATCH(B711,'Lista - Placas'!$2:$2,0)-1)</f>
        <v>69</v>
      </c>
      <c r="O711" s="22">
        <f>IF(D711="","",MATCH(D711,'Lista - Placas'!$BR:$BR,0)-3)</f>
        <v>27</v>
      </c>
    </row>
    <row r="712" spans="1:15" x14ac:dyDescent="0.35">
      <c r="A712" s="21" t="s">
        <v>720</v>
      </c>
      <c r="B712" s="21" t="s">
        <v>720</v>
      </c>
      <c r="C712" s="22" t="str">
        <f t="shared" si="13"/>
        <v>TSM-DEG15M.20(II).395W</v>
      </c>
      <c r="D712" s="21" t="s">
        <v>1602</v>
      </c>
      <c r="N712" s="22">
        <f>IF(B712="","",MATCH(B712,'Lista - Placas'!$2:$2,0)-1)</f>
        <v>69</v>
      </c>
      <c r="O712" s="22">
        <f>IF(D712="","",MATCH(D712,'Lista - Placas'!$BR:$BR,0)-3)</f>
        <v>28</v>
      </c>
    </row>
    <row r="713" spans="1:15" x14ac:dyDescent="0.35">
      <c r="A713" s="21" t="s">
        <v>720</v>
      </c>
      <c r="B713" s="21" t="s">
        <v>720</v>
      </c>
      <c r="C713" s="22" t="str">
        <f t="shared" si="13"/>
        <v>TSM-DE15H(II)</v>
      </c>
      <c r="D713" s="21" t="s">
        <v>1612</v>
      </c>
      <c r="N713" s="22">
        <f>IF(B713="","",MATCH(B713,'Lista - Placas'!$2:$2,0)-1)</f>
        <v>69</v>
      </c>
      <c r="O713" s="22">
        <f>IF(D713="","",MATCH(D713,'Lista - Placas'!$BR:$BR,0)-3)</f>
        <v>29</v>
      </c>
    </row>
    <row r="714" spans="1:15" x14ac:dyDescent="0.35">
      <c r="A714" s="21" t="s">
        <v>720</v>
      </c>
      <c r="B714" s="21" t="s">
        <v>720</v>
      </c>
      <c r="C714" s="22" t="str">
        <f t="shared" si="13"/>
        <v>TSM-DE15H(II) - 405W</v>
      </c>
      <c r="D714" s="21" t="s">
        <v>1622</v>
      </c>
      <c r="N714" s="22">
        <f>IF(B714="","",MATCH(B714,'Lista - Placas'!$2:$2,0)-1)</f>
        <v>69</v>
      </c>
      <c r="O714" s="22">
        <f>IF(D714="","",MATCH(D714,'Lista - Placas'!$BR:$BR,0)-3)</f>
        <v>30</v>
      </c>
    </row>
    <row r="715" spans="1:15" x14ac:dyDescent="0.35">
      <c r="A715" s="21" t="s">
        <v>720</v>
      </c>
      <c r="B715" s="21" t="s">
        <v>720</v>
      </c>
      <c r="C715" s="22" t="str">
        <f t="shared" si="13"/>
        <v>TSM-DE14H(II) - 375W</v>
      </c>
      <c r="D715" s="21" t="s">
        <v>1631</v>
      </c>
      <c r="N715" s="22">
        <f>IF(B715="","",MATCH(B715,'Lista - Placas'!$2:$2,0)-1)</f>
        <v>69</v>
      </c>
      <c r="O715" s="22">
        <f>IF(D715="","",MATCH(D715,'Lista - Placas'!$BR:$BR,0)-3)</f>
        <v>31</v>
      </c>
    </row>
    <row r="716" spans="1:15" x14ac:dyDescent="0.35">
      <c r="A716" s="21" t="s">
        <v>720</v>
      </c>
      <c r="B716" s="21" t="s">
        <v>720</v>
      </c>
      <c r="C716" s="22" t="str">
        <f t="shared" si="13"/>
        <v>TSM-PE15H 345</v>
      </c>
      <c r="D716" s="21" t="s">
        <v>1640</v>
      </c>
      <c r="N716" s="22">
        <f>IF(B716="","",MATCH(B716,'Lista - Placas'!$2:$2,0)-1)</f>
        <v>69</v>
      </c>
      <c r="O716" s="22">
        <f>IF(D716="","",MATCH(D716,'Lista - Placas'!$BR:$BR,0)-3)</f>
        <v>32</v>
      </c>
    </row>
    <row r="717" spans="1:15" x14ac:dyDescent="0.35">
      <c r="A717" s="21" t="s">
        <v>720</v>
      </c>
      <c r="B717" s="21" t="s">
        <v>720</v>
      </c>
      <c r="C717" s="22" t="str">
        <f t="shared" si="13"/>
        <v>TSM-PE15H 350W</v>
      </c>
      <c r="D717" s="21" t="s">
        <v>1649</v>
      </c>
      <c r="N717" s="22">
        <f>IF(B717="","",MATCH(B717,'Lista - Placas'!$2:$2,0)-1)</f>
        <v>69</v>
      </c>
      <c r="O717" s="22">
        <f>IF(D717="","",MATCH(D717,'Lista - Placas'!$BR:$BR,0)-3)</f>
        <v>33</v>
      </c>
    </row>
    <row r="718" spans="1:15" x14ac:dyDescent="0.35">
      <c r="A718" s="21" t="s">
        <v>720</v>
      </c>
      <c r="B718" s="21" t="s">
        <v>720</v>
      </c>
      <c r="C718" s="22" t="str">
        <f t="shared" si="13"/>
        <v>TSM-DE-15M(II)-405W</v>
      </c>
      <c r="D718" s="21" t="s">
        <v>1657</v>
      </c>
      <c r="N718" s="22">
        <f>IF(B718="","",MATCH(B718,'Lista - Placas'!$2:$2,0)-1)</f>
        <v>69</v>
      </c>
      <c r="O718" s="22">
        <f>IF(D718="","",MATCH(D718,'Lista - Placas'!$BR:$BR,0)-3)</f>
        <v>34</v>
      </c>
    </row>
    <row r="719" spans="1:15" x14ac:dyDescent="0.35">
      <c r="A719" s="21" t="s">
        <v>720</v>
      </c>
      <c r="B719" s="21" t="s">
        <v>720</v>
      </c>
      <c r="C719" s="22" t="str">
        <f t="shared" si="13"/>
        <v>TSM - 270PD05</v>
      </c>
      <c r="D719" s="21" t="s">
        <v>1665</v>
      </c>
      <c r="N719" s="22">
        <f>IF(B719="","",MATCH(B719,'Lista - Placas'!$2:$2,0)-1)</f>
        <v>69</v>
      </c>
      <c r="O719" s="22">
        <f>IF(D719="","",MATCH(D719,'Lista - Placas'!$BR:$BR,0)-3)</f>
        <v>35</v>
      </c>
    </row>
    <row r="720" spans="1:15" x14ac:dyDescent="0.35">
      <c r="A720" s="21" t="s">
        <v>720</v>
      </c>
      <c r="B720" s="21" t="s">
        <v>720</v>
      </c>
      <c r="C720" s="22" t="str">
        <f t="shared" si="13"/>
        <v>TSM-PEG15H.20-345W</v>
      </c>
      <c r="D720" s="21" t="s">
        <v>1673</v>
      </c>
      <c r="N720" s="22">
        <f>IF(B720="","",MATCH(B720,'Lista - Placas'!$2:$2,0)-1)</f>
        <v>69</v>
      </c>
      <c r="O720" s="22">
        <f>IF(D720="","",MATCH(D720,'Lista - Placas'!$BR:$BR,0)-3)</f>
        <v>36</v>
      </c>
    </row>
    <row r="721" spans="1:15" x14ac:dyDescent="0.35">
      <c r="A721" s="21" t="s">
        <v>720</v>
      </c>
      <c r="B721" s="21" t="s">
        <v>720</v>
      </c>
      <c r="C721" s="22" t="str">
        <f t="shared" si="13"/>
        <v>TSM-DE15M(II)-405W</v>
      </c>
      <c r="D721" s="21" t="s">
        <v>1680</v>
      </c>
      <c r="N721" s="22">
        <f>IF(B721="","",MATCH(B721,'Lista - Placas'!$2:$2,0)-1)</f>
        <v>69</v>
      </c>
      <c r="O721" s="22">
        <f>IF(D721="","",MATCH(D721,'Lista - Placas'!$BR:$BR,0)-3)</f>
        <v>37</v>
      </c>
    </row>
    <row r="722" spans="1:15" x14ac:dyDescent="0.35">
      <c r="A722" s="21" t="s">
        <v>720</v>
      </c>
      <c r="B722" s="21" t="s">
        <v>720</v>
      </c>
      <c r="C722" s="22" t="str">
        <f t="shared" si="13"/>
        <v>TSM-DEG15MC(II) 400W</v>
      </c>
      <c r="D722" s="21" t="s">
        <v>1687</v>
      </c>
      <c r="N722" s="22">
        <f>IF(B722="","",MATCH(B722,'Lista - Placas'!$2:$2,0)-1)</f>
        <v>69</v>
      </c>
      <c r="O722" s="22">
        <f>IF(D722="","",MATCH(D722,'Lista - Placas'!$BR:$BR,0)-3)</f>
        <v>38</v>
      </c>
    </row>
    <row r="723" spans="1:15" x14ac:dyDescent="0.35">
      <c r="A723" s="21" t="s">
        <v>720</v>
      </c>
      <c r="B723" s="21" t="s">
        <v>720</v>
      </c>
      <c r="C723" s="22" t="str">
        <f t="shared" si="13"/>
        <v>TSM-DEG14.40(II)-365W</v>
      </c>
      <c r="D723" s="21" t="s">
        <v>1694</v>
      </c>
      <c r="N723" s="22">
        <f>IF(B723="","",MATCH(B723,'Lista - Placas'!$2:$2,0)-1)</f>
        <v>69</v>
      </c>
      <c r="O723" s="22">
        <f>IF(D723="","",MATCH(D723,'Lista - Placas'!$BR:$BR,0)-3)</f>
        <v>39</v>
      </c>
    </row>
    <row r="724" spans="1:15" x14ac:dyDescent="0.35">
      <c r="A724" s="21" t="s">
        <v>720</v>
      </c>
      <c r="B724" s="21" t="s">
        <v>720</v>
      </c>
      <c r="C724" s="22" t="str">
        <f t="shared" si="13"/>
        <v>TSM-DEG15H.20(II)-405W</v>
      </c>
      <c r="D724" s="21" t="s">
        <v>1701</v>
      </c>
      <c r="N724" s="22">
        <f>IF(B724="","",MATCH(B724,'Lista - Placas'!$2:$2,0)-1)</f>
        <v>69</v>
      </c>
      <c r="O724" s="22">
        <f>IF(D724="","",MATCH(D724,'Lista - Placas'!$BR:$BR,0)-3)</f>
        <v>40</v>
      </c>
    </row>
    <row r="725" spans="1:15" x14ac:dyDescent="0.35">
      <c r="A725" s="21" t="s">
        <v>720</v>
      </c>
      <c r="B725" s="21" t="s">
        <v>720</v>
      </c>
      <c r="C725" s="22" t="str">
        <f t="shared" si="13"/>
        <v>TSM-PD14 330W</v>
      </c>
      <c r="D725" s="21" t="s">
        <v>1708</v>
      </c>
      <c r="N725" s="22">
        <f>IF(B725="","",MATCH(B725,'Lista - Placas'!$2:$2,0)-1)</f>
        <v>69</v>
      </c>
      <c r="O725" s="22">
        <f>IF(D725="","",MATCH(D725,'Lista - Placas'!$BR:$BR,0)-3)</f>
        <v>41</v>
      </c>
    </row>
    <row r="726" spans="1:15" x14ac:dyDescent="0.35">
      <c r="A726" s="21" t="s">
        <v>720</v>
      </c>
      <c r="B726" s="21" t="s">
        <v>720</v>
      </c>
      <c r="C726" s="22" t="str">
        <f t="shared" ref="C726:C789" si="14">RIGHT(D726,LEN(D726)-(FIND(" - ", D726)+2))</f>
        <v>TSM-DD-14A(II)-345</v>
      </c>
      <c r="D726" s="21" t="s">
        <v>1715</v>
      </c>
      <c r="N726" s="22">
        <f>IF(B726="","",MATCH(B726,'Lista - Placas'!$2:$2,0)-1)</f>
        <v>69</v>
      </c>
      <c r="O726" s="22">
        <f>IF(D726="","",MATCH(D726,'Lista - Placas'!$BR:$BR,0)-3)</f>
        <v>42</v>
      </c>
    </row>
    <row r="727" spans="1:15" x14ac:dyDescent="0.35">
      <c r="A727" s="21" t="s">
        <v>720</v>
      </c>
      <c r="B727" s="21" t="s">
        <v>720</v>
      </c>
      <c r="C727" s="22" t="str">
        <f t="shared" si="14"/>
        <v>TSM-345PE15H</v>
      </c>
      <c r="D727" s="21" t="s">
        <v>1722</v>
      </c>
      <c r="N727" s="22">
        <f>IF(B727="","",MATCH(B727,'Lista - Placas'!$2:$2,0)-1)</f>
        <v>69</v>
      </c>
      <c r="O727" s="22">
        <f>IF(D727="","",MATCH(D727,'Lista - Placas'!$BR:$BR,0)-3)</f>
        <v>43</v>
      </c>
    </row>
    <row r="728" spans="1:15" x14ac:dyDescent="0.35">
      <c r="A728" s="21" t="s">
        <v>720</v>
      </c>
      <c r="B728" s="21" t="s">
        <v>720</v>
      </c>
      <c r="C728" s="22" t="str">
        <f t="shared" si="14"/>
        <v>TSM-440DE17M(II)</v>
      </c>
      <c r="D728" s="21" t="s">
        <v>1729</v>
      </c>
      <c r="N728" s="22">
        <f>IF(B728="","",MATCH(B728,'Lista - Placas'!$2:$2,0)-1)</f>
        <v>69</v>
      </c>
      <c r="O728" s="22">
        <f>IF(D728="","",MATCH(D728,'Lista - Placas'!$BR:$BR,0)-3)</f>
        <v>44</v>
      </c>
    </row>
    <row r="729" spans="1:15" x14ac:dyDescent="0.35">
      <c r="A729" s="21" t="s">
        <v>720</v>
      </c>
      <c r="B729" s="21" t="s">
        <v>720</v>
      </c>
      <c r="C729" s="22" t="str">
        <f t="shared" si="14"/>
        <v>TSM-DE15MII-410W</v>
      </c>
      <c r="D729" s="21" t="s">
        <v>1736</v>
      </c>
      <c r="N729" s="22">
        <f>IF(B729="","",MATCH(B729,'Lista - Placas'!$2:$2,0)-1)</f>
        <v>69</v>
      </c>
      <c r="O729" s="22">
        <f>IF(D729="","",MATCH(D729,'Lista - Placas'!$BR:$BR,0)-3)</f>
        <v>45</v>
      </c>
    </row>
    <row r="730" spans="1:15" x14ac:dyDescent="0.35">
      <c r="A730" s="21" t="s">
        <v>720</v>
      </c>
      <c r="B730" s="21" t="s">
        <v>720</v>
      </c>
      <c r="C730" s="22" t="str">
        <f t="shared" si="14"/>
        <v>TSM-DE15M(II) - 410W</v>
      </c>
      <c r="D730" s="21" t="s">
        <v>1743</v>
      </c>
      <c r="N730" s="22">
        <f>IF(B730="","",MATCH(B730,'Lista - Placas'!$2:$2,0)-1)</f>
        <v>69</v>
      </c>
      <c r="O730" s="22">
        <f>IF(D730="","",MATCH(D730,'Lista - Placas'!$BR:$BR,0)-3)</f>
        <v>46</v>
      </c>
    </row>
    <row r="731" spans="1:15" x14ac:dyDescent="0.35">
      <c r="A731" s="21" t="s">
        <v>720</v>
      </c>
      <c r="B731" s="21" t="s">
        <v>720</v>
      </c>
      <c r="C731" s="22" t="str">
        <f t="shared" si="14"/>
        <v>TSM-PD05 270</v>
      </c>
      <c r="D731" s="21" t="s">
        <v>1750</v>
      </c>
      <c r="N731" s="22">
        <f>IF(B731="","",MATCH(B731,'Lista - Placas'!$2:$2,0)-1)</f>
        <v>69</v>
      </c>
      <c r="O731" s="22">
        <f>IF(D731="","",MATCH(D731,'Lista - Placas'!$BR:$BR,0)-3)</f>
        <v>47</v>
      </c>
    </row>
    <row r="732" spans="1:15" x14ac:dyDescent="0.35">
      <c r="A732" s="21" t="s">
        <v>720</v>
      </c>
      <c r="B732" s="21" t="s">
        <v>720</v>
      </c>
      <c r="C732" s="22" t="str">
        <f t="shared" si="14"/>
        <v>TSM-DEG15H.20(II)-400W</v>
      </c>
      <c r="D732" s="21" t="s">
        <v>1757</v>
      </c>
      <c r="N732" s="22">
        <f>IF(B732="","",MATCH(B732,'Lista - Placas'!$2:$2,0)-1)</f>
        <v>69</v>
      </c>
      <c r="O732" s="22">
        <f>IF(D732="","",MATCH(D732,'Lista - Placas'!$BR:$BR,0)-3)</f>
        <v>48</v>
      </c>
    </row>
    <row r="733" spans="1:15" x14ac:dyDescent="0.35">
      <c r="A733" s="21" t="s">
        <v>720</v>
      </c>
      <c r="B733" s="21" t="s">
        <v>720</v>
      </c>
      <c r="C733" s="22" t="str">
        <f t="shared" si="14"/>
        <v>TSM-DEG15M.20(II)-405W</v>
      </c>
      <c r="D733" s="21" t="s">
        <v>1763</v>
      </c>
      <c r="N733" s="22">
        <f>IF(B733="","",MATCH(B733,'Lista - Placas'!$2:$2,0)-1)</f>
        <v>69</v>
      </c>
      <c r="O733" s="22">
        <f>IF(D733="","",MATCH(D733,'Lista - Placas'!$BR:$BR,0)-3)</f>
        <v>49</v>
      </c>
    </row>
    <row r="734" spans="1:15" x14ac:dyDescent="0.35">
      <c r="A734" s="21" t="s">
        <v>720</v>
      </c>
      <c r="B734" s="21" t="s">
        <v>720</v>
      </c>
      <c r="C734" s="22" t="str">
        <f t="shared" si="14"/>
        <v>TSM-PE14H  335</v>
      </c>
      <c r="D734" s="21" t="s">
        <v>1769</v>
      </c>
      <c r="N734" s="22">
        <f>IF(B734="","",MATCH(B734,'Lista - Placas'!$2:$2,0)-1)</f>
        <v>69</v>
      </c>
      <c r="O734" s="22">
        <f>IF(D734="","",MATCH(D734,'Lista - Placas'!$BR:$BR,0)-3)</f>
        <v>50</v>
      </c>
    </row>
    <row r="735" spans="1:15" x14ac:dyDescent="0.35">
      <c r="A735" s="21" t="s">
        <v>720</v>
      </c>
      <c r="B735" s="21" t="s">
        <v>720</v>
      </c>
      <c r="C735" s="22" t="str">
        <f t="shared" si="14"/>
        <v>TSM-DEG15MC.20(II)-410W</v>
      </c>
      <c r="D735" s="21" t="s">
        <v>1775</v>
      </c>
      <c r="N735" s="22">
        <f>IF(B735="","",MATCH(B735,'Lista - Placas'!$2:$2,0)-1)</f>
        <v>69</v>
      </c>
      <c r="O735" s="22">
        <f>IF(D735="","",MATCH(D735,'Lista - Placas'!$BR:$BR,0)-3)</f>
        <v>51</v>
      </c>
    </row>
    <row r="736" spans="1:15" x14ac:dyDescent="0.35">
      <c r="A736" s="21" t="s">
        <v>720</v>
      </c>
      <c r="B736" s="21" t="s">
        <v>720</v>
      </c>
      <c r="C736" s="22" t="str">
        <f t="shared" si="14"/>
        <v>TSM-DEG15M.20(II) - 410W</v>
      </c>
      <c r="D736" s="21" t="s">
        <v>1781</v>
      </c>
      <c r="N736" s="22">
        <f>IF(B736="","",MATCH(B736,'Lista - Placas'!$2:$2,0)-1)</f>
        <v>69</v>
      </c>
      <c r="O736" s="22">
        <f>IF(D736="","",MATCH(D736,'Lista - Placas'!$BR:$BR,0)-3)</f>
        <v>52</v>
      </c>
    </row>
    <row r="737" spans="1:15" x14ac:dyDescent="0.35">
      <c r="A737" s="21" t="s">
        <v>720</v>
      </c>
      <c r="B737" s="21" t="s">
        <v>720</v>
      </c>
      <c r="C737" s="22" t="str">
        <f t="shared" si="14"/>
        <v>TSM-DE17M(II) 435W</v>
      </c>
      <c r="D737" s="21" t="s">
        <v>1787</v>
      </c>
      <c r="N737" s="22">
        <f>IF(B737="","",MATCH(B737,'Lista - Placas'!$2:$2,0)-1)</f>
        <v>69</v>
      </c>
      <c r="O737" s="22">
        <f>IF(D737="","",MATCH(D737,'Lista - Placas'!$BR:$BR,0)-3)</f>
        <v>53</v>
      </c>
    </row>
    <row r="738" spans="1:15" x14ac:dyDescent="0.35">
      <c r="A738" s="21" t="s">
        <v>720</v>
      </c>
      <c r="B738" s="21" t="s">
        <v>720</v>
      </c>
      <c r="C738" s="22" t="str">
        <f t="shared" si="14"/>
        <v>TSM-DEG15MC.20(II) - 400W</v>
      </c>
      <c r="D738" s="21" t="s">
        <v>1793</v>
      </c>
      <c r="N738" s="22">
        <f>IF(B738="","",MATCH(B738,'Lista - Placas'!$2:$2,0)-1)</f>
        <v>69</v>
      </c>
      <c r="O738" s="22">
        <f>IF(D738="","",MATCH(D738,'Lista - Placas'!$BR:$BR,0)-3)</f>
        <v>54</v>
      </c>
    </row>
    <row r="739" spans="1:15" x14ac:dyDescent="0.35">
      <c r="A739" s="21" t="s">
        <v>720</v>
      </c>
      <c r="B739" s="21" t="s">
        <v>720</v>
      </c>
      <c r="C739" s="22" t="str">
        <f t="shared" si="14"/>
        <v>TSM-440DE15M(II)</v>
      </c>
      <c r="D739" s="21" t="s">
        <v>1799</v>
      </c>
      <c r="N739" s="22">
        <f>IF(B739="","",MATCH(B739,'Lista - Placas'!$2:$2,0)-1)</f>
        <v>69</v>
      </c>
      <c r="O739" s="22">
        <f>IF(D739="","",MATCH(D739,'Lista - Placas'!$BR:$BR,0)-3)</f>
        <v>55</v>
      </c>
    </row>
    <row r="740" spans="1:15" x14ac:dyDescent="0.35">
      <c r="A740" s="21" t="s">
        <v>720</v>
      </c>
      <c r="B740" s="21" t="s">
        <v>720</v>
      </c>
      <c r="C740" s="22" t="str">
        <f t="shared" si="14"/>
        <v>TSM-DE14A(II) 350</v>
      </c>
      <c r="D740" s="21" t="s">
        <v>1805</v>
      </c>
      <c r="N740" s="22">
        <f>IF(B740="","",MATCH(B740,'Lista - Placas'!$2:$2,0)-1)</f>
        <v>69</v>
      </c>
      <c r="O740" s="22">
        <f>IF(D740="","",MATCH(D740,'Lista - Placas'!$BR:$BR,0)-3)</f>
        <v>56</v>
      </c>
    </row>
    <row r="741" spans="1:15" x14ac:dyDescent="0.35">
      <c r="A741" s="21" t="s">
        <v>720</v>
      </c>
      <c r="B741" s="21" t="s">
        <v>720</v>
      </c>
      <c r="C741" s="22" t="str">
        <f t="shared" si="14"/>
        <v>TSM-DE17M(II) - 450W</v>
      </c>
      <c r="D741" s="21" t="s">
        <v>1811</v>
      </c>
      <c r="N741" s="22">
        <f>IF(B741="","",MATCH(B741,'Lista - Placas'!$2:$2,0)-1)</f>
        <v>69</v>
      </c>
      <c r="O741" s="22">
        <f>IF(D741="","",MATCH(D741,'Lista - Placas'!$BR:$BR,0)-3)</f>
        <v>57</v>
      </c>
    </row>
    <row r="742" spans="1:15" x14ac:dyDescent="0.35">
      <c r="A742" s="21" t="s">
        <v>720</v>
      </c>
      <c r="B742" s="21" t="s">
        <v>720</v>
      </c>
      <c r="C742" s="22" t="str">
        <f t="shared" si="14"/>
        <v>RSM150-8-500M</v>
      </c>
      <c r="D742" s="21" t="s">
        <v>1817</v>
      </c>
      <c r="N742" s="22">
        <f>IF(B742="","",MATCH(B742,'Lista - Placas'!$2:$2,0)-1)</f>
        <v>69</v>
      </c>
      <c r="O742" s="22">
        <f>IF(D742="","",MATCH(D742,'Lista - Placas'!$BR:$BR,0)-3)</f>
        <v>58</v>
      </c>
    </row>
    <row r="743" spans="1:15" x14ac:dyDescent="0.35">
      <c r="A743" s="21" t="s">
        <v>720</v>
      </c>
      <c r="B743" s="21" t="s">
        <v>720</v>
      </c>
      <c r="C743" s="22" t="str">
        <f t="shared" si="14"/>
        <v>TSM-DE15H(II)-410W</v>
      </c>
      <c r="D743" s="21" t="s">
        <v>1822</v>
      </c>
      <c r="N743" s="22">
        <f>IF(B743="","",MATCH(B743,'Lista - Placas'!$2:$2,0)-1)</f>
        <v>69</v>
      </c>
      <c r="O743" s="22">
        <f>IF(D743="","",MATCH(D743,'Lista - Placas'!$BR:$BR,0)-3)</f>
        <v>59</v>
      </c>
    </row>
    <row r="744" spans="1:15" x14ac:dyDescent="0.35">
      <c r="A744" s="21" t="s">
        <v>720</v>
      </c>
      <c r="B744" s="21" t="s">
        <v>720</v>
      </c>
      <c r="C744" s="22" t="str">
        <f t="shared" si="14"/>
        <v>TSM-DE08(II)</v>
      </c>
      <c r="D744" s="21" t="s">
        <v>1827</v>
      </c>
      <c r="N744" s="22">
        <f>IF(B744="","",MATCH(B744,'Lista - Placas'!$2:$2,0)-1)</f>
        <v>69</v>
      </c>
      <c r="O744" s="22">
        <f>IF(D744="","",MATCH(D744,'Lista - Placas'!$BR:$BR,0)-3)</f>
        <v>60</v>
      </c>
    </row>
    <row r="745" spans="1:15" x14ac:dyDescent="0.35">
      <c r="A745" s="21" t="s">
        <v>720</v>
      </c>
      <c r="B745" s="21" t="s">
        <v>720</v>
      </c>
      <c r="C745" s="22" t="str">
        <f t="shared" si="14"/>
        <v>TSM-DE08M(II)-375W</v>
      </c>
      <c r="D745" s="21" t="s">
        <v>1832</v>
      </c>
      <c r="N745" s="22">
        <f>IF(B745="","",MATCH(B745,'Lista - Placas'!$2:$2,0)-1)</f>
        <v>69</v>
      </c>
      <c r="O745" s="22">
        <f>IF(D745="","",MATCH(D745,'Lista - Placas'!$BR:$BR,0)-3)</f>
        <v>61</v>
      </c>
    </row>
    <row r="746" spans="1:15" x14ac:dyDescent="0.35">
      <c r="A746" s="21" t="s">
        <v>720</v>
      </c>
      <c r="B746" s="21" t="s">
        <v>720</v>
      </c>
      <c r="C746" s="22" t="str">
        <f t="shared" si="14"/>
        <v>TSM-DE17M(II)-455</v>
      </c>
      <c r="D746" s="21" t="s">
        <v>1837</v>
      </c>
      <c r="N746" s="22">
        <f>IF(B746="","",MATCH(B746,'Lista - Placas'!$2:$2,0)-1)</f>
        <v>69</v>
      </c>
      <c r="O746" s="22">
        <f>IF(D746="","",MATCH(D746,'Lista - Placas'!$BR:$BR,0)-3)</f>
        <v>62</v>
      </c>
    </row>
    <row r="747" spans="1:15" x14ac:dyDescent="0.35">
      <c r="A747" s="21" t="s">
        <v>720</v>
      </c>
      <c r="B747" s="21" t="s">
        <v>720</v>
      </c>
      <c r="C747" s="22" t="str">
        <f t="shared" si="14"/>
        <v>TSM-DE15M(II) - 415W</v>
      </c>
      <c r="D747" s="21" t="s">
        <v>1841</v>
      </c>
      <c r="N747" s="22">
        <f>IF(B747="","",MATCH(B747,'Lista - Placas'!$2:$2,0)-1)</f>
        <v>69</v>
      </c>
      <c r="O747" s="22">
        <f>IF(D747="","",MATCH(D747,'Lista - Placas'!$BR:$BR,0)-3)</f>
        <v>63</v>
      </c>
    </row>
    <row r="748" spans="1:15" x14ac:dyDescent="0.35">
      <c r="A748" s="21" t="s">
        <v>720</v>
      </c>
      <c r="B748" s="21" t="s">
        <v>720</v>
      </c>
      <c r="C748" s="22" t="str">
        <f t="shared" si="14"/>
        <v>TSM-DEG15MC.20(II) - 405W</v>
      </c>
      <c r="D748" s="21" t="s">
        <v>1845</v>
      </c>
      <c r="N748" s="22">
        <f>IF(B748="","",MATCH(B748,'Lista - Placas'!$2:$2,0)-1)</f>
        <v>69</v>
      </c>
      <c r="O748" s="22">
        <f>IF(D748="","",MATCH(D748,'Lista - Placas'!$BR:$BR,0)-3)</f>
        <v>64</v>
      </c>
    </row>
    <row r="749" spans="1:15" x14ac:dyDescent="0.35">
      <c r="A749" s="21" t="s">
        <v>720</v>
      </c>
      <c r="B749" s="21" t="s">
        <v>720</v>
      </c>
      <c r="C749" s="22" t="str">
        <f t="shared" si="14"/>
        <v>TSM-DEG17M.20(II)-455W</v>
      </c>
      <c r="D749" s="21" t="s">
        <v>1849</v>
      </c>
      <c r="N749" s="22">
        <f>IF(B749="","",MATCH(B749,'Lista - Placas'!$2:$2,0)-1)</f>
        <v>69</v>
      </c>
      <c r="O749" s="22">
        <f>IF(D749="","",MATCH(D749,'Lista - Placas'!$BR:$BR,0)-3)</f>
        <v>65</v>
      </c>
    </row>
    <row r="750" spans="1:15" x14ac:dyDescent="0.35">
      <c r="A750" s="21" t="s">
        <v>720</v>
      </c>
      <c r="B750" s="21" t="s">
        <v>720</v>
      </c>
      <c r="C750" s="22" t="str">
        <f t="shared" si="14"/>
        <v>TSM-DE14A(II) STD MONO-350W</v>
      </c>
      <c r="D750" s="21" t="s">
        <v>1853</v>
      </c>
      <c r="N750" s="22">
        <f>IF(B750="","",MATCH(B750,'Lista - Placas'!$2:$2,0)-1)</f>
        <v>69</v>
      </c>
      <c r="O750" s="22">
        <f>IF(D750="","",MATCH(D750,'Lista - Placas'!$BR:$BR,0)-3)</f>
        <v>66</v>
      </c>
    </row>
    <row r="751" spans="1:15" x14ac:dyDescent="0.35">
      <c r="A751" s="21" t="s">
        <v>720</v>
      </c>
      <c r="B751" s="21" t="s">
        <v>720</v>
      </c>
      <c r="C751" s="22" t="str">
        <f t="shared" si="14"/>
        <v>TSM-375DE08M(II)</v>
      </c>
      <c r="D751" s="21" t="s">
        <v>1857</v>
      </c>
      <c r="N751" s="22">
        <f>IF(B751="","",MATCH(B751,'Lista - Placas'!$2:$2,0)-1)</f>
        <v>69</v>
      </c>
      <c r="O751" s="22">
        <f>IF(D751="","",MATCH(D751,'Lista - Placas'!$BR:$BR,0)-3)</f>
        <v>67</v>
      </c>
    </row>
    <row r="752" spans="1:15" x14ac:dyDescent="0.35">
      <c r="A752" s="21" t="s">
        <v>720</v>
      </c>
      <c r="B752" s="21" t="s">
        <v>720</v>
      </c>
      <c r="C752" s="22" t="str">
        <f t="shared" si="14"/>
        <v xml:space="preserve">TSM-DE17M(II)-445 </v>
      </c>
      <c r="D752" s="21" t="s">
        <v>1861</v>
      </c>
      <c r="N752" s="22">
        <f>IF(B752="","",MATCH(B752,'Lista - Placas'!$2:$2,0)-1)</f>
        <v>69</v>
      </c>
      <c r="O752" s="22">
        <f>IF(D752="","",MATCH(D752,'Lista - Placas'!$BR:$BR,0)-3)</f>
        <v>68</v>
      </c>
    </row>
    <row r="753" spans="1:15" x14ac:dyDescent="0.35">
      <c r="A753" s="21" t="s">
        <v>720</v>
      </c>
      <c r="B753" s="21" t="s">
        <v>720</v>
      </c>
      <c r="C753" s="22" t="str">
        <f t="shared" si="14"/>
        <v>TSM-DE18M(II)-495W</v>
      </c>
      <c r="D753" s="21" t="s">
        <v>1865</v>
      </c>
      <c r="N753" s="22">
        <f>IF(B753="","",MATCH(B753,'Lista - Placas'!$2:$2,0)-1)</f>
        <v>69</v>
      </c>
      <c r="O753" s="22">
        <f>IF(D753="","",MATCH(D753,'Lista - Placas'!$BR:$BR,0)-3)</f>
        <v>69</v>
      </c>
    </row>
    <row r="754" spans="1:15" x14ac:dyDescent="0.35">
      <c r="A754" s="21" t="s">
        <v>720</v>
      </c>
      <c r="B754" s="21" t="s">
        <v>720</v>
      </c>
      <c r="C754" s="22" t="str">
        <f t="shared" si="14"/>
        <v>TSM-DEG17MC.20(II)-450WP</v>
      </c>
      <c r="D754" s="21" t="s">
        <v>1869</v>
      </c>
      <c r="N754" s="22">
        <f>IF(B754="","",MATCH(B754,'Lista - Placas'!$2:$2,0)-1)</f>
        <v>69</v>
      </c>
      <c r="O754" s="22">
        <f>IF(D754="","",MATCH(D754,'Lista - Placas'!$BR:$BR,0)-3)</f>
        <v>70</v>
      </c>
    </row>
    <row r="755" spans="1:15" x14ac:dyDescent="0.35">
      <c r="A755" s="21" t="s">
        <v>720</v>
      </c>
      <c r="B755" s="21" t="s">
        <v>720</v>
      </c>
      <c r="C755" s="22" t="str">
        <f t="shared" si="14"/>
        <v>TSM-DE18M - 500W</v>
      </c>
      <c r="D755" s="21" t="s">
        <v>1873</v>
      </c>
      <c r="N755" s="22">
        <f>IF(B755="","",MATCH(B755,'Lista - Placas'!$2:$2,0)-1)</f>
        <v>69</v>
      </c>
      <c r="O755" s="22">
        <f>IF(D755="","",MATCH(D755,'Lista - Placas'!$BR:$BR,0)-3)</f>
        <v>71</v>
      </c>
    </row>
    <row r="756" spans="1:15" x14ac:dyDescent="0.35">
      <c r="A756" s="21" t="s">
        <v>720</v>
      </c>
      <c r="B756" s="21" t="s">
        <v>720</v>
      </c>
      <c r="C756" s="22" t="str">
        <f t="shared" si="14"/>
        <v>TSM-DE09-390-450W</v>
      </c>
      <c r="D756" s="21" t="s">
        <v>1876</v>
      </c>
      <c r="N756" s="22">
        <f>IF(B756="","",MATCH(B756,'Lista - Placas'!$2:$2,0)-1)</f>
        <v>69</v>
      </c>
      <c r="O756" s="22">
        <f>IF(D756="","",MATCH(D756,'Lista - Placas'!$BR:$BR,0)-3)</f>
        <v>72</v>
      </c>
    </row>
    <row r="757" spans="1:15" x14ac:dyDescent="0.35">
      <c r="A757" s="21" t="s">
        <v>720</v>
      </c>
      <c r="B757" s="21" t="s">
        <v>720</v>
      </c>
      <c r="C757" s="22" t="str">
        <f t="shared" si="14"/>
        <v>TSM-DE08M(II)</v>
      </c>
      <c r="D757" s="21" t="s">
        <v>1879</v>
      </c>
      <c r="N757" s="22">
        <f>IF(B757="","",MATCH(B757,'Lista - Placas'!$2:$2,0)-1)</f>
        <v>69</v>
      </c>
      <c r="O757" s="22">
        <f>IF(D757="","",MATCH(D757,'Lista - Placas'!$BR:$BR,0)-3)</f>
        <v>73</v>
      </c>
    </row>
    <row r="758" spans="1:15" x14ac:dyDescent="0.35">
      <c r="A758" s="21" t="s">
        <v>720</v>
      </c>
      <c r="B758" s="21" t="s">
        <v>720</v>
      </c>
      <c r="C758" s="22" t="str">
        <f t="shared" si="14"/>
        <v>TSM-DE18M(II) 500W</v>
      </c>
      <c r="D758" s="21" t="s">
        <v>1882</v>
      </c>
      <c r="N758" s="22">
        <f>IF(B758="","",MATCH(B758,'Lista - Placas'!$2:$2,0)-1)</f>
        <v>69</v>
      </c>
      <c r="O758" s="22">
        <f>IF(D758="","",MATCH(D758,'Lista - Placas'!$BR:$BR,0)-3)</f>
        <v>74</v>
      </c>
    </row>
    <row r="759" spans="1:15" x14ac:dyDescent="0.35">
      <c r="A759" s="21" t="s">
        <v>720</v>
      </c>
      <c r="B759" s="21" t="s">
        <v>720</v>
      </c>
      <c r="C759" s="22" t="str">
        <f t="shared" si="14"/>
        <v>TSM-DD08M.08(II) 375W</v>
      </c>
      <c r="D759" s="21" t="s">
        <v>1885</v>
      </c>
      <c r="N759" s="22">
        <f>IF(B759="","",MATCH(B759,'Lista - Placas'!$2:$2,0)-1)</f>
        <v>69</v>
      </c>
      <c r="O759" s="22">
        <f>IF(D759="","",MATCH(D759,'Lista - Placas'!$BR:$BR,0)-3)</f>
        <v>75</v>
      </c>
    </row>
    <row r="760" spans="1:15" x14ac:dyDescent="0.35">
      <c r="A760" s="21" t="s">
        <v>720</v>
      </c>
      <c r="B760" s="21" t="s">
        <v>720</v>
      </c>
      <c r="C760" s="22" t="str">
        <f t="shared" si="14"/>
        <v>TSM-415DE15M(II) - 415W</v>
      </c>
      <c r="D760" s="21" t="s">
        <v>1888</v>
      </c>
      <c r="N760" s="22">
        <f>IF(B760="","",MATCH(B760,'Lista - Placas'!$2:$2,0)-1)</f>
        <v>69</v>
      </c>
      <c r="O760" s="22">
        <f>IF(D760="","",MATCH(D760,'Lista - Placas'!$BR:$BR,0)-3)</f>
        <v>76</v>
      </c>
    </row>
    <row r="761" spans="1:15" x14ac:dyDescent="0.35">
      <c r="A761" s="21" t="s">
        <v>720</v>
      </c>
      <c r="B761" s="21" t="s">
        <v>720</v>
      </c>
      <c r="C761" s="22" t="str">
        <f t="shared" si="14"/>
        <v>TSM-400DE09W</v>
      </c>
      <c r="D761" s="21" t="s">
        <v>1891</v>
      </c>
      <c r="N761" s="22">
        <f>IF(B761="","",MATCH(B761,'Lista - Placas'!$2:$2,0)-1)</f>
        <v>69</v>
      </c>
      <c r="O761" s="22">
        <f>IF(D761="","",MATCH(D761,'Lista - Placas'!$BR:$BR,0)-3)</f>
        <v>77</v>
      </c>
    </row>
    <row r="762" spans="1:15" x14ac:dyDescent="0.35">
      <c r="A762" s="21" t="s">
        <v>720</v>
      </c>
      <c r="B762" s="21" t="s">
        <v>720</v>
      </c>
      <c r="C762" s="22" t="str">
        <f t="shared" si="14"/>
        <v>TSM-DE09-400</v>
      </c>
      <c r="D762" s="21" t="s">
        <v>1894</v>
      </c>
      <c r="N762" s="22">
        <f>IF(B762="","",MATCH(B762,'Lista - Placas'!$2:$2,0)-1)</f>
        <v>69</v>
      </c>
      <c r="O762" s="22">
        <f>IF(D762="","",MATCH(D762,'Lista - Placas'!$BR:$BR,0)-3)</f>
        <v>78</v>
      </c>
    </row>
    <row r="763" spans="1:15" x14ac:dyDescent="0.35">
      <c r="A763" s="21" t="s">
        <v>720</v>
      </c>
      <c r="B763" s="21" t="s">
        <v>720</v>
      </c>
      <c r="C763" s="22" t="str">
        <f t="shared" si="14"/>
        <v>TSM-DEG19C20-540W</v>
      </c>
      <c r="D763" s="21" t="s">
        <v>1897</v>
      </c>
      <c r="N763" s="22">
        <f>IF(B763="","",MATCH(B763,'Lista - Placas'!$2:$2,0)-1)</f>
        <v>69</v>
      </c>
      <c r="O763" s="22">
        <f>IF(D763="","",MATCH(D763,'Lista - Placas'!$BR:$BR,0)-3)</f>
        <v>79</v>
      </c>
    </row>
    <row r="764" spans="1:15" x14ac:dyDescent="0.35">
      <c r="A764" s="21" t="s">
        <v>720</v>
      </c>
      <c r="B764" s="21" t="s">
        <v>720</v>
      </c>
      <c r="C764" s="22" t="str">
        <f t="shared" si="14"/>
        <v>TSM-DE14A (II) - 375W</v>
      </c>
      <c r="D764" s="21" t="s">
        <v>1900</v>
      </c>
      <c r="N764" s="22">
        <f>IF(B764="","",MATCH(B764,'Lista - Placas'!$2:$2,0)-1)</f>
        <v>69</v>
      </c>
      <c r="O764" s="22">
        <f>IF(D764="","",MATCH(D764,'Lista - Placas'!$BR:$BR,0)-3)</f>
        <v>80</v>
      </c>
    </row>
    <row r="765" spans="1:15" x14ac:dyDescent="0.35">
      <c r="A765" s="21" t="s">
        <v>720</v>
      </c>
      <c r="B765" s="21" t="s">
        <v>720</v>
      </c>
      <c r="C765" s="22" t="str">
        <f t="shared" si="14"/>
        <v>TSM-DEG19C.20 540W</v>
      </c>
      <c r="D765" s="21" t="s">
        <v>1903</v>
      </c>
      <c r="N765" s="22">
        <f>IF(B765="","",MATCH(B765,'Lista - Placas'!$2:$2,0)-1)</f>
        <v>69</v>
      </c>
      <c r="O765" s="22">
        <f>IF(D765="","",MATCH(D765,'Lista - Placas'!$BR:$BR,0)-3)</f>
        <v>81</v>
      </c>
    </row>
    <row r="766" spans="1:15" x14ac:dyDescent="0.35">
      <c r="A766" s="21" t="s">
        <v>720</v>
      </c>
      <c r="B766" s="21" t="s">
        <v>720</v>
      </c>
      <c r="C766" s="22" t="str">
        <f t="shared" si="14"/>
        <v>TSM-DE06M.08(II) 330</v>
      </c>
      <c r="D766" s="21" t="s">
        <v>1906</v>
      </c>
      <c r="N766" s="22">
        <f>IF(B766="","",MATCH(B766,'Lista - Placas'!$2:$2,0)-1)</f>
        <v>69</v>
      </c>
      <c r="O766" s="22">
        <f>IF(D766="","",MATCH(D766,'Lista - Placas'!$BR:$BR,0)-3)</f>
        <v>82</v>
      </c>
    </row>
    <row r="767" spans="1:15" x14ac:dyDescent="0.35">
      <c r="A767" s="21" t="s">
        <v>720</v>
      </c>
      <c r="B767" s="21" t="s">
        <v>720</v>
      </c>
      <c r="C767" s="22" t="str">
        <f t="shared" si="14"/>
        <v>TSM-DE14H.08(II) 395W</v>
      </c>
      <c r="D767" s="21" t="s">
        <v>1909</v>
      </c>
      <c r="N767" s="22">
        <f>IF(B767="","",MATCH(B767,'Lista - Placas'!$2:$2,0)-1)</f>
        <v>69</v>
      </c>
      <c r="O767" s="22">
        <f>IF(D767="","",MATCH(D767,'Lista - Placas'!$BR:$BR,0)-3)</f>
        <v>83</v>
      </c>
    </row>
    <row r="768" spans="1:15" x14ac:dyDescent="0.35">
      <c r="A768" s="21" t="s">
        <v>720</v>
      </c>
      <c r="B768" s="21" t="s">
        <v>720</v>
      </c>
      <c r="C768" s="22" t="str">
        <f t="shared" si="14"/>
        <v>TSM-DE18M(II) 505W</v>
      </c>
      <c r="D768" s="21" t="s">
        <v>1912</v>
      </c>
      <c r="N768" s="22">
        <f>IF(B768="","",MATCH(B768,'Lista - Placas'!$2:$2,0)-1)</f>
        <v>69</v>
      </c>
      <c r="O768" s="22">
        <f>IF(D768="","",MATCH(D768,'Lista - Placas'!$BR:$BR,0)-3)</f>
        <v>84</v>
      </c>
    </row>
    <row r="769" spans="1:15" x14ac:dyDescent="0.35">
      <c r="A769" s="21" t="s">
        <v>720</v>
      </c>
      <c r="B769" s="21" t="s">
        <v>720</v>
      </c>
      <c r="C769" s="22" t="str">
        <f t="shared" si="14"/>
        <v>TSM-DE18M(II) 500W</v>
      </c>
      <c r="D769" s="21" t="s">
        <v>1915</v>
      </c>
      <c r="N769" s="22">
        <f>IF(B769="","",MATCH(B769,'Lista - Placas'!$2:$2,0)-1)</f>
        <v>69</v>
      </c>
      <c r="O769" s="22">
        <f>IF(D769="","",MATCH(D769,'Lista - Placas'!$BR:$BR,0)-3)</f>
        <v>85</v>
      </c>
    </row>
    <row r="770" spans="1:15" x14ac:dyDescent="0.35">
      <c r="A770" s="21" t="s">
        <v>720</v>
      </c>
      <c r="B770" s="21" t="s">
        <v>720</v>
      </c>
      <c r="C770" s="22" t="str">
        <f t="shared" si="14"/>
        <v>TSM-DE18M(II) 495W</v>
      </c>
      <c r="D770" s="21" t="s">
        <v>1918</v>
      </c>
      <c r="N770" s="22">
        <f>IF(B770="","",MATCH(B770,'Lista - Placas'!$2:$2,0)-1)</f>
        <v>69</v>
      </c>
      <c r="O770" s="22">
        <f>IF(D770="","",MATCH(D770,'Lista - Placas'!$BR:$BR,0)-3)</f>
        <v>86</v>
      </c>
    </row>
    <row r="771" spans="1:15" x14ac:dyDescent="0.35">
      <c r="A771" s="21" t="s">
        <v>720</v>
      </c>
      <c r="B771" s="21" t="s">
        <v>720</v>
      </c>
      <c r="C771" s="22" t="str">
        <f t="shared" si="14"/>
        <v>TSM-DE18M(II) 490W</v>
      </c>
      <c r="D771" s="21" t="s">
        <v>1920</v>
      </c>
      <c r="N771" s="22">
        <f>IF(B771="","",MATCH(B771,'Lista - Placas'!$2:$2,0)-1)</f>
        <v>69</v>
      </c>
      <c r="O771" s="22">
        <f>IF(D771="","",MATCH(D771,'Lista - Placas'!$BR:$BR,0)-3)</f>
        <v>87</v>
      </c>
    </row>
    <row r="772" spans="1:15" x14ac:dyDescent="0.35">
      <c r="A772" s="21" t="s">
        <v>720</v>
      </c>
      <c r="B772" s="21" t="s">
        <v>720</v>
      </c>
      <c r="C772" s="22" t="str">
        <f t="shared" si="14"/>
        <v>TSM-DE18M(II) 485W</v>
      </c>
      <c r="D772" s="21" t="s">
        <v>1922</v>
      </c>
      <c r="N772" s="22">
        <f>IF(B772="","",MATCH(B772,'Lista - Placas'!$2:$2,0)-1)</f>
        <v>69</v>
      </c>
      <c r="O772" s="22">
        <f>IF(D772="","",MATCH(D772,'Lista - Placas'!$BR:$BR,0)-3)</f>
        <v>88</v>
      </c>
    </row>
    <row r="773" spans="1:15" x14ac:dyDescent="0.35">
      <c r="A773" s="21" t="s">
        <v>720</v>
      </c>
      <c r="B773" s="21" t="s">
        <v>720</v>
      </c>
      <c r="C773" s="22" t="str">
        <f t="shared" si="14"/>
        <v>TSM-DE18M(II) 510W</v>
      </c>
      <c r="D773" s="21" t="s">
        <v>1924</v>
      </c>
      <c r="N773" s="22">
        <f>IF(B773="","",MATCH(B773,'Lista - Placas'!$2:$2,0)-1)</f>
        <v>69</v>
      </c>
      <c r="O773" s="22">
        <f>IF(D773="","",MATCH(D773,'Lista - Placas'!$BR:$BR,0)-3)</f>
        <v>89</v>
      </c>
    </row>
    <row r="774" spans="1:15" x14ac:dyDescent="0.35">
      <c r="A774" s="21" t="s">
        <v>720</v>
      </c>
      <c r="B774" s="21" t="s">
        <v>720</v>
      </c>
      <c r="C774" s="22" t="str">
        <f t="shared" si="14"/>
        <v>TSM-DE14H(II) 395W</v>
      </c>
      <c r="D774" s="21" t="s">
        <v>1926</v>
      </c>
      <c r="N774" s="22">
        <f>IF(B774="","",MATCH(B774,'Lista - Placas'!$2:$2,0)-1)</f>
        <v>69</v>
      </c>
      <c r="O774" s="22">
        <f>IF(D774="","",MATCH(D774,'Lista - Placas'!$BR:$BR,0)-3)</f>
        <v>90</v>
      </c>
    </row>
    <row r="775" spans="1:15" x14ac:dyDescent="0.35">
      <c r="A775" s="21" t="s">
        <v>720</v>
      </c>
      <c r="B775" s="21" t="s">
        <v>720</v>
      </c>
      <c r="C775" s="22" t="str">
        <f t="shared" si="14"/>
        <v>TSM-400DE09</v>
      </c>
      <c r="D775" s="21" t="s">
        <v>1928</v>
      </c>
      <c r="N775" s="22">
        <f>IF(B775="","",MATCH(B775,'Lista - Placas'!$2:$2,0)-1)</f>
        <v>69</v>
      </c>
      <c r="O775" s="22">
        <f>IF(D775="","",MATCH(D775,'Lista - Placas'!$BR:$BR,0)-3)</f>
        <v>91</v>
      </c>
    </row>
    <row r="776" spans="1:15" x14ac:dyDescent="0.35">
      <c r="A776" s="21" t="s">
        <v>720</v>
      </c>
      <c r="B776" s="21" t="s">
        <v>720</v>
      </c>
      <c r="C776" s="22" t="str">
        <f t="shared" si="14"/>
        <v>TSM-510DE18M(II)</v>
      </c>
      <c r="D776" s="21" t="s">
        <v>1930</v>
      </c>
      <c r="N776" s="22">
        <f>IF(B776="","",MATCH(B776,'Lista - Placas'!$2:$2,0)-1)</f>
        <v>69</v>
      </c>
      <c r="O776" s="22">
        <f>IF(D776="","",MATCH(D776,'Lista - Placas'!$BR:$BR,0)-3)</f>
        <v>92</v>
      </c>
    </row>
    <row r="777" spans="1:15" x14ac:dyDescent="0.35">
      <c r="A777" s="21" t="s">
        <v>720</v>
      </c>
      <c r="B777" s="21" t="s">
        <v>720</v>
      </c>
      <c r="C777" s="22" t="str">
        <f t="shared" si="14"/>
        <v>TSM-395DE09</v>
      </c>
      <c r="D777" s="21" t="s">
        <v>1932</v>
      </c>
      <c r="N777" s="22">
        <f>IF(B777="","",MATCH(B777,'Lista - Placas'!$2:$2,0)-1)</f>
        <v>69</v>
      </c>
      <c r="O777" s="22">
        <f>IF(D777="","",MATCH(D777,'Lista - Placas'!$BR:$BR,0)-3)</f>
        <v>93</v>
      </c>
    </row>
    <row r="778" spans="1:15" x14ac:dyDescent="0.35">
      <c r="A778" s="21" t="s">
        <v>720</v>
      </c>
      <c r="B778" s="21" t="s">
        <v>720</v>
      </c>
      <c r="C778" s="22" t="str">
        <f t="shared" si="14"/>
        <v>TSM-505DE18M(II)</v>
      </c>
      <c r="D778" s="21" t="s">
        <v>1934</v>
      </c>
      <c r="N778" s="22">
        <f>IF(B778="","",MATCH(B778,'Lista - Placas'!$2:$2,0)-1)</f>
        <v>69</v>
      </c>
      <c r="O778" s="22">
        <f>IF(D778="","",MATCH(D778,'Lista - Placas'!$BR:$BR,0)-3)</f>
        <v>94</v>
      </c>
    </row>
    <row r="779" spans="1:15" x14ac:dyDescent="0.35">
      <c r="A779" s="21" t="s">
        <v>720</v>
      </c>
      <c r="B779" s="21" t="s">
        <v>720</v>
      </c>
      <c r="C779" s="22" t="str">
        <f t="shared" si="14"/>
        <v>TSM-DE18M(II) 510W</v>
      </c>
      <c r="D779" s="21" t="s">
        <v>1936</v>
      </c>
      <c r="E779" s="5">
        <v>0.51</v>
      </c>
      <c r="F779" s="5">
        <v>2.4</v>
      </c>
      <c r="G779" t="s">
        <v>4116</v>
      </c>
      <c r="H779" t="s">
        <v>4117</v>
      </c>
      <c r="I779" t="s">
        <v>4119</v>
      </c>
      <c r="J779" t="s">
        <v>4118</v>
      </c>
      <c r="K779" t="s">
        <v>4120</v>
      </c>
      <c r="L779" s="21" t="s">
        <v>3798</v>
      </c>
      <c r="M779" s="12" t="s">
        <v>102</v>
      </c>
      <c r="N779" s="22">
        <f>IF(B779="","",MATCH(B779,'Lista - Placas'!$2:$2,0)-1)</f>
        <v>69</v>
      </c>
      <c r="O779" s="22">
        <f>IF(D779="","",MATCH(D779,'Lista - Placas'!$BR:$BR,0)-3)</f>
        <v>95</v>
      </c>
    </row>
    <row r="780" spans="1:15" x14ac:dyDescent="0.35">
      <c r="A780" s="21" t="s">
        <v>190</v>
      </c>
      <c r="B780" s="21" t="s">
        <v>190</v>
      </c>
      <c r="C780" s="22" t="str">
        <f t="shared" si="14"/>
        <v>450 MGK-36</v>
      </c>
      <c r="D780" s="21" t="s">
        <v>4172</v>
      </c>
      <c r="E780" s="22">
        <v>0.45</v>
      </c>
      <c r="F780" s="22">
        <v>2.2000000000000002</v>
      </c>
      <c r="G780" s="21" t="s">
        <v>4173</v>
      </c>
      <c r="H780" s="21" t="s">
        <v>4175</v>
      </c>
      <c r="I780" s="21" t="s">
        <v>4174</v>
      </c>
      <c r="J780" s="21" t="s">
        <v>4176</v>
      </c>
      <c r="K780" s="21" t="s">
        <v>4177</v>
      </c>
      <c r="L780" s="21" t="s">
        <v>3798</v>
      </c>
      <c r="M780" s="12" t="s">
        <v>102</v>
      </c>
      <c r="N780" s="22">
        <v>80</v>
      </c>
      <c r="O780" s="22">
        <v>2</v>
      </c>
    </row>
    <row r="781" spans="1:15" x14ac:dyDescent="0.35">
      <c r="A781" t="s">
        <v>75</v>
      </c>
      <c r="B781" t="s">
        <v>772</v>
      </c>
      <c r="C781" s="22" t="str">
        <f t="shared" si="14"/>
        <v>DHM72X-375</v>
      </c>
      <c r="D781" s="12" t="s">
        <v>4232</v>
      </c>
      <c r="E781" s="12">
        <v>0.375</v>
      </c>
      <c r="F781" s="12">
        <v>1.98</v>
      </c>
      <c r="G781" s="12" t="s">
        <v>97</v>
      </c>
      <c r="H781" s="12" t="s">
        <v>98</v>
      </c>
      <c r="I781" s="12" t="s">
        <v>99</v>
      </c>
      <c r="J781" s="12" t="s">
        <v>100</v>
      </c>
      <c r="K781" s="12" t="s">
        <v>101</v>
      </c>
      <c r="L781" s="12">
        <v>0.03</v>
      </c>
      <c r="M781" s="12" t="s">
        <v>102</v>
      </c>
      <c r="N781" s="22">
        <v>80</v>
      </c>
      <c r="O781" s="22">
        <v>2</v>
      </c>
    </row>
    <row r="782" spans="1:15" x14ac:dyDescent="0.35">
      <c r="A782" t="s">
        <v>75</v>
      </c>
      <c r="B782" t="s">
        <v>772</v>
      </c>
      <c r="C782" s="22" t="str">
        <f t="shared" si="14"/>
        <v>DHM72X-376</v>
      </c>
      <c r="D782" s="12" t="s">
        <v>4233</v>
      </c>
      <c r="E782" s="12">
        <v>0.38</v>
      </c>
      <c r="F782" s="12">
        <v>1.98</v>
      </c>
      <c r="G782" s="12" t="s">
        <v>103</v>
      </c>
      <c r="H782" s="12" t="s">
        <v>104</v>
      </c>
      <c r="I782" s="12" t="s">
        <v>105</v>
      </c>
      <c r="J782" s="12" t="s">
        <v>106</v>
      </c>
      <c r="K782" s="12" t="s">
        <v>107</v>
      </c>
      <c r="L782" s="12">
        <v>0.03</v>
      </c>
      <c r="M782" s="12" t="s">
        <v>102</v>
      </c>
      <c r="N782" s="22">
        <v>80</v>
      </c>
      <c r="O782" s="22">
        <v>2</v>
      </c>
    </row>
    <row r="783" spans="1:15" x14ac:dyDescent="0.35">
      <c r="A783" t="s">
        <v>75</v>
      </c>
      <c r="B783" t="s">
        <v>772</v>
      </c>
      <c r="C783" s="22" t="str">
        <f t="shared" si="14"/>
        <v>DHM72X-377</v>
      </c>
      <c r="D783" s="12" t="s">
        <v>4234</v>
      </c>
      <c r="E783" s="12">
        <v>0.38500000000000001</v>
      </c>
      <c r="F783" s="12">
        <v>1.98</v>
      </c>
      <c r="G783" s="12" t="s">
        <v>108</v>
      </c>
      <c r="H783" s="12" t="s">
        <v>109</v>
      </c>
      <c r="I783" s="12" t="s">
        <v>110</v>
      </c>
      <c r="J783" s="12" t="s">
        <v>111</v>
      </c>
      <c r="K783" s="12" t="s">
        <v>112</v>
      </c>
      <c r="L783" s="12">
        <v>0.03</v>
      </c>
      <c r="M783" s="12" t="s">
        <v>102</v>
      </c>
      <c r="N783" s="22">
        <v>80</v>
      </c>
      <c r="O783" s="22">
        <v>2</v>
      </c>
    </row>
    <row r="784" spans="1:15" x14ac:dyDescent="0.35">
      <c r="A784" t="s">
        <v>75</v>
      </c>
      <c r="B784" t="s">
        <v>772</v>
      </c>
      <c r="C784" s="22" t="str">
        <f t="shared" si="14"/>
        <v>DHM72X-378</v>
      </c>
      <c r="D784" s="12" t="s">
        <v>4235</v>
      </c>
      <c r="E784" s="12">
        <v>0.39500000000000002</v>
      </c>
      <c r="F784" s="12">
        <v>2</v>
      </c>
      <c r="G784" s="5" t="s">
        <v>113</v>
      </c>
      <c r="H784" s="5" t="s">
        <v>114</v>
      </c>
      <c r="I784" s="5" t="s">
        <v>115</v>
      </c>
      <c r="J784" s="5" t="s">
        <v>116</v>
      </c>
      <c r="K784" s="5" t="s">
        <v>117</v>
      </c>
      <c r="L784" s="5" t="s">
        <v>118</v>
      </c>
      <c r="M784" s="12" t="s">
        <v>81</v>
      </c>
      <c r="N784" s="22">
        <v>80</v>
      </c>
      <c r="O784" s="22">
        <v>2</v>
      </c>
    </row>
    <row r="785" spans="1:15" x14ac:dyDescent="0.35">
      <c r="A785" t="s">
        <v>75</v>
      </c>
      <c r="B785" t="s">
        <v>772</v>
      </c>
      <c r="C785" s="22" t="str">
        <f t="shared" si="14"/>
        <v>DHM72X-379</v>
      </c>
      <c r="D785" s="12" t="s">
        <v>4236</v>
      </c>
      <c r="E785" s="12">
        <v>0.39</v>
      </c>
      <c r="F785" s="12">
        <v>1.98</v>
      </c>
      <c r="G785" s="12" t="s">
        <v>133</v>
      </c>
      <c r="H785" s="12" t="s">
        <v>134</v>
      </c>
      <c r="I785" s="12" t="s">
        <v>135</v>
      </c>
      <c r="J785" s="12" t="s">
        <v>136</v>
      </c>
      <c r="K785" s="12" t="s">
        <v>137</v>
      </c>
      <c r="L785" s="12">
        <v>0.03</v>
      </c>
      <c r="M785" s="12" t="s">
        <v>102</v>
      </c>
      <c r="N785" s="22">
        <v>80</v>
      </c>
      <c r="O785" s="22">
        <v>2</v>
      </c>
    </row>
    <row r="786" spans="1:15" x14ac:dyDescent="0.35">
      <c r="A786" t="s">
        <v>75</v>
      </c>
      <c r="B786" t="s">
        <v>772</v>
      </c>
      <c r="C786" s="22" t="str">
        <f t="shared" si="14"/>
        <v>DHM72X-380</v>
      </c>
      <c r="D786" s="12" t="s">
        <v>4237</v>
      </c>
      <c r="E786" s="5">
        <v>0.43</v>
      </c>
      <c r="F786" s="5">
        <v>2.17</v>
      </c>
      <c r="G786" s="5" t="s">
        <v>138</v>
      </c>
      <c r="H786" s="5" t="s">
        <v>139</v>
      </c>
      <c r="I786" s="5" t="s">
        <v>140</v>
      </c>
      <c r="J786" s="5" t="s">
        <v>141</v>
      </c>
      <c r="K786" s="5" t="s">
        <v>142</v>
      </c>
      <c r="L786" s="5" t="s">
        <v>118</v>
      </c>
      <c r="M786" s="12" t="s">
        <v>102</v>
      </c>
      <c r="N786" s="22">
        <v>80</v>
      </c>
      <c r="O786" s="22">
        <v>2</v>
      </c>
    </row>
    <row r="787" spans="1:15" x14ac:dyDescent="0.35">
      <c r="A787" t="s">
        <v>75</v>
      </c>
      <c r="B787" t="s">
        <v>772</v>
      </c>
      <c r="C787" s="22" t="str">
        <f t="shared" si="14"/>
        <v>DHM72X-381</v>
      </c>
      <c r="D787" s="12" t="s">
        <v>4238</v>
      </c>
      <c r="E787" s="5">
        <v>0.435</v>
      </c>
      <c r="F787" s="5">
        <v>2.17</v>
      </c>
      <c r="G787" s="5" t="s">
        <v>143</v>
      </c>
      <c r="H787" s="2" t="s">
        <v>144</v>
      </c>
      <c r="I787" s="5" t="s">
        <v>145</v>
      </c>
      <c r="J787" s="5" t="s">
        <v>146</v>
      </c>
      <c r="K787" s="5" t="s">
        <v>147</v>
      </c>
      <c r="L787" s="5" t="s">
        <v>118</v>
      </c>
      <c r="M787" s="12" t="s">
        <v>102</v>
      </c>
      <c r="N787" s="22">
        <v>80</v>
      </c>
      <c r="O787" s="22">
        <v>2</v>
      </c>
    </row>
    <row r="788" spans="1:15" x14ac:dyDescent="0.35">
      <c r="A788" t="s">
        <v>75</v>
      </c>
      <c r="B788" t="s">
        <v>772</v>
      </c>
      <c r="C788" s="22" t="str">
        <f t="shared" si="14"/>
        <v>DHM72X-382</v>
      </c>
      <c r="D788" s="12" t="s">
        <v>4239</v>
      </c>
      <c r="E788" s="5">
        <v>0.44</v>
      </c>
      <c r="F788" s="5">
        <v>2.17</v>
      </c>
      <c r="G788" s="5" t="s">
        <v>148</v>
      </c>
      <c r="H788" s="5" t="s">
        <v>149</v>
      </c>
      <c r="I788" s="5" t="s">
        <v>150</v>
      </c>
      <c r="J788" s="5" t="s">
        <v>151</v>
      </c>
      <c r="K788" s="5" t="s">
        <v>152</v>
      </c>
      <c r="L788" s="5" t="s">
        <v>118</v>
      </c>
      <c r="M788" s="12" t="s">
        <v>102</v>
      </c>
      <c r="N788" s="22">
        <v>80</v>
      </c>
      <c r="O788" s="22">
        <v>2</v>
      </c>
    </row>
    <row r="789" spans="1:15" s="22" customFormat="1" x14ac:dyDescent="0.35">
      <c r="A789" t="s">
        <v>75</v>
      </c>
      <c r="B789" t="s">
        <v>772</v>
      </c>
      <c r="C789" s="22" t="str">
        <f t="shared" si="14"/>
        <v>DHM72X-383</v>
      </c>
      <c r="D789" s="12" t="s">
        <v>4240</v>
      </c>
      <c r="E789" s="5">
        <v>0.45500000000000002</v>
      </c>
      <c r="F789" s="5">
        <v>2.17</v>
      </c>
      <c r="G789" s="5" t="s">
        <v>163</v>
      </c>
      <c r="H789" s="5" t="s">
        <v>164</v>
      </c>
      <c r="I789" s="5" t="s">
        <v>165</v>
      </c>
      <c r="J789" s="5" t="s">
        <v>166</v>
      </c>
      <c r="K789" s="5" t="s">
        <v>167</v>
      </c>
      <c r="L789" s="5" t="s">
        <v>118</v>
      </c>
      <c r="M789" s="12" t="s">
        <v>102</v>
      </c>
      <c r="N789" s="22">
        <v>80</v>
      </c>
      <c r="O789" s="22">
        <v>2</v>
      </c>
    </row>
    <row r="790" spans="1:15" x14ac:dyDescent="0.35">
      <c r="A790" s="21" t="s">
        <v>4245</v>
      </c>
      <c r="B790" s="21" t="s">
        <v>4245</v>
      </c>
      <c r="C790" s="22" t="str">
        <f t="shared" ref="C790:C792" si="15">RIGHT(D790,LEN(D790)-(FIND(" - ", D790)+2))</f>
        <v>CP18-72H550W</v>
      </c>
      <c r="D790" s="12" t="s">
        <v>4284</v>
      </c>
      <c r="E790" s="22">
        <v>0.55000000000000004</v>
      </c>
      <c r="F790" s="22">
        <v>2.58</v>
      </c>
      <c r="G790" s="22" t="s">
        <v>4247</v>
      </c>
      <c r="H790" s="22" t="s">
        <v>3967</v>
      </c>
      <c r="I790" s="22" t="s">
        <v>4248</v>
      </c>
      <c r="J790" s="22" t="s">
        <v>4246</v>
      </c>
      <c r="K790" s="22" t="s">
        <v>252</v>
      </c>
      <c r="L790" s="22" t="s">
        <v>118</v>
      </c>
      <c r="M790" s="12" t="s">
        <v>102</v>
      </c>
      <c r="N790" s="22">
        <v>80</v>
      </c>
      <c r="O790" s="22">
        <v>2</v>
      </c>
    </row>
    <row r="791" spans="1:15" x14ac:dyDescent="0.35">
      <c r="A791" s="21" t="s">
        <v>714</v>
      </c>
      <c r="B791" s="21" t="s">
        <v>714</v>
      </c>
      <c r="C791" s="22" t="str">
        <f t="shared" si="15"/>
        <v>BS560</v>
      </c>
      <c r="D791" s="21" t="s">
        <v>4249</v>
      </c>
      <c r="E791" s="21">
        <v>0.56000000000000005</v>
      </c>
      <c r="F791" s="21">
        <v>2.2999999999999998</v>
      </c>
      <c r="G791" s="21" t="s">
        <v>4250</v>
      </c>
      <c r="H791" s="21" t="s">
        <v>4251</v>
      </c>
      <c r="I791" s="21" t="s">
        <v>4252</v>
      </c>
      <c r="J791" s="21" t="s">
        <v>4253</v>
      </c>
      <c r="K791" s="21" t="s">
        <v>4254</v>
      </c>
      <c r="L791" s="21" t="s">
        <v>3798</v>
      </c>
      <c r="M791" s="21" t="s">
        <v>102</v>
      </c>
      <c r="N791" s="21">
        <v>80</v>
      </c>
      <c r="O791" s="21">
        <v>2</v>
      </c>
    </row>
    <row r="792" spans="1:15" x14ac:dyDescent="0.35">
      <c r="A792" s="21" t="s">
        <v>740</v>
      </c>
      <c r="B792" s="21" t="s">
        <v>740</v>
      </c>
      <c r="C792" s="22" t="str">
        <f t="shared" si="15"/>
        <v>GCL-M10/72H 545W</v>
      </c>
      <c r="D792" s="5" t="s">
        <v>4278</v>
      </c>
      <c r="E792" s="21">
        <v>0.54500000000000004</v>
      </c>
      <c r="F792" s="21">
        <v>2.5499999999999998</v>
      </c>
      <c r="G792" s="21" t="s">
        <v>4279</v>
      </c>
      <c r="H792" s="21" t="s">
        <v>4281</v>
      </c>
      <c r="I792" s="21" t="s">
        <v>4280</v>
      </c>
      <c r="J792" s="21" t="s">
        <v>4282</v>
      </c>
      <c r="K792" s="21" t="s">
        <v>4283</v>
      </c>
      <c r="L792" s="21" t="s">
        <v>3798</v>
      </c>
      <c r="M792" s="21" t="s">
        <v>102</v>
      </c>
      <c r="N792" s="21">
        <v>80</v>
      </c>
      <c r="O792" s="21">
        <v>2</v>
      </c>
    </row>
    <row r="793" spans="1:15" x14ac:dyDescent="0.35">
      <c r="A793" s="21" t="s">
        <v>190</v>
      </c>
      <c r="B793" s="21" t="s">
        <v>190</v>
      </c>
      <c r="C793" s="22" t="str">
        <f>RIGHT(D793,LEN(D793)-(FIND(" - ", D793)+2))</f>
        <v>540 MGK-36</v>
      </c>
      <c r="D793" s="21" t="s">
        <v>4292</v>
      </c>
      <c r="E793" s="22">
        <v>0.54</v>
      </c>
      <c r="F793" s="22">
        <v>2.58</v>
      </c>
      <c r="G793" s="21" t="s">
        <v>3804</v>
      </c>
      <c r="H793" s="21" t="s">
        <v>3806</v>
      </c>
      <c r="I793" s="21" t="s">
        <v>3807</v>
      </c>
      <c r="J793" s="21" t="s">
        <v>3805</v>
      </c>
      <c r="K793" s="21" t="s">
        <v>3808</v>
      </c>
      <c r="L793" s="22" t="s">
        <v>118</v>
      </c>
      <c r="M793" s="12" t="s">
        <v>102</v>
      </c>
      <c r="N793" s="21">
        <v>80</v>
      </c>
      <c r="O793" s="21">
        <v>2</v>
      </c>
    </row>
  </sheetData>
  <sortState ref="A2:O550">
    <sortCondition ref="N1"/>
  </sortState>
  <conditionalFormatting sqref="D685:D719 D642:D657 D606:D612 D721:D779 D1:D518 D799:D1048576 D781:D789">
    <cfRule type="duplicateValues" dxfId="7" priority="6"/>
  </conditionalFormatting>
  <conditionalFormatting sqref="D780">
    <cfRule type="duplicateValues" dxfId="6" priority="3"/>
  </conditionalFormatting>
  <conditionalFormatting sqref="D790">
    <cfRule type="duplicateValues" dxfId="5" priority="2"/>
  </conditionalFormatting>
  <conditionalFormatting sqref="D793">
    <cfRule type="duplicateValues" dxfId="4" priority="1"/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631D-E8D4-48CC-B4FF-43BF4CDF67CA}">
  <sheetPr codeName="Planilha9"/>
  <dimension ref="A1:CA133"/>
  <sheetViews>
    <sheetView topLeftCell="V1" workbookViewId="0">
      <selection activeCell="AG2" sqref="AG2"/>
    </sheetView>
  </sheetViews>
  <sheetFormatPr defaultRowHeight="14.5" x14ac:dyDescent="0.35"/>
  <cols>
    <col min="1" max="1" width="23.54296875" bestFit="1" customWidth="1"/>
    <col min="2" max="2" width="26.26953125" bestFit="1" customWidth="1"/>
    <col min="3" max="3" width="21.54296875" bestFit="1" customWidth="1"/>
    <col min="4" max="4" width="29.7265625" bestFit="1" customWidth="1"/>
    <col min="5" max="6" width="20.7265625" bestFit="1" customWidth="1"/>
    <col min="7" max="7" width="18.26953125" bestFit="1" customWidth="1"/>
    <col min="8" max="8" width="26.453125" bestFit="1" customWidth="1"/>
    <col min="9" max="9" width="26.7265625" bestFit="1" customWidth="1"/>
    <col min="10" max="10" width="23.7265625" bestFit="1" customWidth="1"/>
    <col min="11" max="11" width="21.1796875" bestFit="1" customWidth="1"/>
    <col min="12" max="12" width="21" bestFit="1" customWidth="1"/>
    <col min="13" max="13" width="22.453125" bestFit="1" customWidth="1"/>
    <col min="14" max="14" width="28.54296875" bestFit="1" customWidth="1"/>
    <col min="15" max="15" width="38.453125" bestFit="1" customWidth="1"/>
    <col min="16" max="16" width="20" bestFit="1" customWidth="1"/>
    <col min="17" max="17" width="26.1796875" bestFit="1" customWidth="1"/>
    <col min="18" max="18" width="18" bestFit="1" customWidth="1"/>
    <col min="19" max="19" width="20.81640625" bestFit="1" customWidth="1"/>
    <col min="20" max="20" width="19.54296875" bestFit="1" customWidth="1"/>
    <col min="21" max="21" width="23.453125" bestFit="1" customWidth="1"/>
    <col min="22" max="22" width="36.7265625" bestFit="1" customWidth="1"/>
    <col min="23" max="23" width="23.26953125" bestFit="1" customWidth="1"/>
    <col min="24" max="24" width="13.453125" bestFit="1" customWidth="1"/>
    <col min="25" max="25" width="20.1796875" bestFit="1" customWidth="1"/>
    <col min="26" max="26" width="19.81640625" bestFit="1" customWidth="1"/>
    <col min="27" max="27" width="24.1796875" bestFit="1" customWidth="1"/>
    <col min="28" max="28" width="22.81640625" bestFit="1" customWidth="1"/>
    <col min="29" max="29" width="20" bestFit="1" customWidth="1"/>
    <col min="30" max="30" width="28.453125" bestFit="1" customWidth="1"/>
    <col min="31" max="31" width="17.7265625" bestFit="1" customWidth="1"/>
    <col min="32" max="32" width="14.1796875" bestFit="1" customWidth="1"/>
    <col min="33" max="33" width="28.7265625" bestFit="1" customWidth="1"/>
    <col min="34" max="34" width="26.81640625" bestFit="1" customWidth="1"/>
    <col min="35" max="35" width="24.26953125" bestFit="1" customWidth="1"/>
    <col min="36" max="36" width="30.81640625" bestFit="1" customWidth="1"/>
    <col min="37" max="37" width="22" bestFit="1" customWidth="1"/>
    <col min="38" max="38" width="14.81640625" bestFit="1" customWidth="1"/>
    <col min="39" max="39" width="26.1796875" bestFit="1" customWidth="1"/>
    <col min="40" max="40" width="26" bestFit="1" customWidth="1"/>
    <col min="41" max="41" width="28" bestFit="1" customWidth="1"/>
    <col min="42" max="42" width="22" bestFit="1" customWidth="1"/>
    <col min="43" max="43" width="17" bestFit="1" customWidth="1"/>
    <col min="44" max="44" width="21.7265625" bestFit="1" customWidth="1"/>
    <col min="45" max="45" width="31.54296875" bestFit="1" customWidth="1"/>
    <col min="46" max="46" width="25" bestFit="1" customWidth="1"/>
    <col min="47" max="47" width="20.81640625" bestFit="1" customWidth="1"/>
    <col min="48" max="48" width="28.54296875" bestFit="1" customWidth="1"/>
    <col min="49" max="49" width="19" bestFit="1" customWidth="1"/>
    <col min="50" max="50" width="22.1796875" bestFit="1" customWidth="1"/>
    <col min="51" max="51" width="20.1796875" bestFit="1" customWidth="1"/>
    <col min="52" max="52" width="23.1796875" bestFit="1" customWidth="1"/>
    <col min="53" max="53" width="21.1796875" bestFit="1" customWidth="1"/>
    <col min="54" max="54" width="25.54296875" bestFit="1" customWidth="1"/>
    <col min="55" max="55" width="15.26953125" bestFit="1" customWidth="1"/>
    <col min="56" max="56" width="21.7265625" bestFit="1" customWidth="1"/>
    <col min="57" max="57" width="26.81640625" bestFit="1" customWidth="1"/>
    <col min="58" max="58" width="17.54296875" bestFit="1" customWidth="1"/>
    <col min="59" max="59" width="21.54296875" bestFit="1" customWidth="1"/>
    <col min="60" max="60" width="26.54296875" bestFit="1" customWidth="1"/>
    <col min="61" max="61" width="23" bestFit="1" customWidth="1"/>
    <col min="62" max="62" width="16.54296875" bestFit="1" customWidth="1"/>
    <col min="63" max="63" width="21.453125" bestFit="1" customWidth="1"/>
    <col min="64" max="64" width="20.453125" bestFit="1" customWidth="1"/>
    <col min="65" max="65" width="24.26953125" bestFit="1" customWidth="1"/>
    <col min="66" max="66" width="12" bestFit="1" customWidth="1"/>
    <col min="67" max="67" width="25.1796875" bestFit="1" customWidth="1"/>
    <col min="68" max="68" width="21" bestFit="1" customWidth="1"/>
    <col min="69" max="69" width="23.26953125" bestFit="1" customWidth="1"/>
    <col min="70" max="70" width="34.7265625" bestFit="1" customWidth="1"/>
    <col min="71" max="71" width="21.1796875" bestFit="1" customWidth="1"/>
    <col min="72" max="72" width="28.453125" bestFit="1" customWidth="1"/>
    <col min="73" max="73" width="14.7265625" bestFit="1" customWidth="1"/>
    <col min="74" max="74" width="15" bestFit="1" customWidth="1"/>
    <col min="75" max="75" width="26.26953125" bestFit="1" customWidth="1"/>
    <col min="76" max="76" width="20" bestFit="1" customWidth="1"/>
    <col min="77" max="77" width="22.7265625" bestFit="1" customWidth="1"/>
    <col min="78" max="78" width="27.54296875" bestFit="1" customWidth="1"/>
    <col min="79" max="79" width="14.7265625" bestFit="1" customWidth="1"/>
  </cols>
  <sheetData>
    <row r="1" spans="1:79" x14ac:dyDescent="0.35">
      <c r="A1" t="s">
        <v>764</v>
      </c>
    </row>
    <row r="2" spans="1:79" x14ac:dyDescent="0.35">
      <c r="A2" t="s">
        <v>711</v>
      </c>
      <c r="B2" t="s">
        <v>173</v>
      </c>
      <c r="C2" t="s">
        <v>741</v>
      </c>
      <c r="D2" t="s">
        <v>742</v>
      </c>
      <c r="E2" t="s">
        <v>765</v>
      </c>
      <c r="F2" t="s">
        <v>743</v>
      </c>
      <c r="G2" t="s">
        <v>744</v>
      </c>
      <c r="H2" t="s">
        <v>714</v>
      </c>
      <c r="I2" t="s">
        <v>766</v>
      </c>
      <c r="J2" t="s">
        <v>767</v>
      </c>
      <c r="K2" t="s">
        <v>768</v>
      </c>
      <c r="L2" t="s">
        <v>769</v>
      </c>
      <c r="M2" t="s">
        <v>770</v>
      </c>
      <c r="N2" t="s">
        <v>190</v>
      </c>
      <c r="O2" t="s">
        <v>771</v>
      </c>
      <c r="P2" t="s">
        <v>745</v>
      </c>
      <c r="Q2" t="s">
        <v>772</v>
      </c>
      <c r="R2" t="s">
        <v>710</v>
      </c>
      <c r="S2" t="s">
        <v>746</v>
      </c>
      <c r="T2" t="s">
        <v>773</v>
      </c>
      <c r="U2" t="s">
        <v>774</v>
      </c>
      <c r="V2" t="s">
        <v>775</v>
      </c>
      <c r="W2" t="s">
        <v>740</v>
      </c>
      <c r="X2" t="s">
        <v>739</v>
      </c>
      <c r="Y2" t="s">
        <v>713</v>
      </c>
      <c r="Z2" t="s">
        <v>776</v>
      </c>
      <c r="AA2" t="s">
        <v>777</v>
      </c>
      <c r="AB2" t="s">
        <v>778</v>
      </c>
      <c r="AC2" t="s">
        <v>698</v>
      </c>
      <c r="AD2" t="s">
        <v>779</v>
      </c>
      <c r="AE2" t="s">
        <v>780</v>
      </c>
      <c r="AF2" t="s">
        <v>781</v>
      </c>
      <c r="AG2" t="s">
        <v>738</v>
      </c>
      <c r="AH2" t="s">
        <v>737</v>
      </c>
      <c r="AI2" t="s">
        <v>782</v>
      </c>
      <c r="AJ2" t="s">
        <v>783</v>
      </c>
      <c r="AK2" t="s">
        <v>736</v>
      </c>
      <c r="AL2" t="s">
        <v>784</v>
      </c>
      <c r="AM2" t="s">
        <v>735</v>
      </c>
      <c r="AN2" t="s">
        <v>785</v>
      </c>
      <c r="AO2" t="s">
        <v>786</v>
      </c>
      <c r="AP2" t="s">
        <v>734</v>
      </c>
      <c r="AQ2" t="s">
        <v>733</v>
      </c>
      <c r="AR2" t="s">
        <v>787</v>
      </c>
      <c r="AS2" t="s">
        <v>732</v>
      </c>
      <c r="AT2" t="s">
        <v>788</v>
      </c>
      <c r="AU2" t="s">
        <v>731</v>
      </c>
      <c r="AV2" t="s">
        <v>730</v>
      </c>
      <c r="AW2" t="s">
        <v>789</v>
      </c>
      <c r="AX2" t="s">
        <v>790</v>
      </c>
      <c r="AY2" t="s">
        <v>729</v>
      </c>
      <c r="AZ2" t="s">
        <v>728</v>
      </c>
      <c r="BA2" t="s">
        <v>727</v>
      </c>
      <c r="BB2" t="s">
        <v>726</v>
      </c>
      <c r="BC2" t="s">
        <v>791</v>
      </c>
      <c r="BD2" t="s">
        <v>725</v>
      </c>
      <c r="BE2" t="s">
        <v>792</v>
      </c>
      <c r="BF2" t="s">
        <v>793</v>
      </c>
      <c r="BG2" t="s">
        <v>794</v>
      </c>
      <c r="BH2" t="s">
        <v>795</v>
      </c>
      <c r="BI2" t="s">
        <v>796</v>
      </c>
      <c r="BJ2" t="s">
        <v>797</v>
      </c>
      <c r="BK2" t="s">
        <v>724</v>
      </c>
      <c r="BL2" t="s">
        <v>798</v>
      </c>
      <c r="BM2" t="s">
        <v>723</v>
      </c>
      <c r="BN2" t="s">
        <v>722</v>
      </c>
      <c r="BO2" t="s">
        <v>799</v>
      </c>
      <c r="BP2" t="s">
        <v>712</v>
      </c>
      <c r="BQ2" t="s">
        <v>721</v>
      </c>
      <c r="BR2" t="s">
        <v>720</v>
      </c>
      <c r="BS2" t="s">
        <v>800</v>
      </c>
      <c r="BT2" t="s">
        <v>719</v>
      </c>
      <c r="BU2" t="s">
        <v>718</v>
      </c>
      <c r="BV2" t="s">
        <v>717</v>
      </c>
      <c r="BW2" t="s">
        <v>801</v>
      </c>
      <c r="BX2" t="s">
        <v>677</v>
      </c>
      <c r="BY2" t="s">
        <v>716</v>
      </c>
      <c r="BZ2" t="s">
        <v>715</v>
      </c>
      <c r="CA2" t="s">
        <v>709</v>
      </c>
    </row>
    <row r="3" spans="1:79" x14ac:dyDescent="0.35">
      <c r="A3" t="s">
        <v>802</v>
      </c>
      <c r="B3" t="s">
        <v>803</v>
      </c>
      <c r="C3" t="s">
        <v>804</v>
      </c>
      <c r="D3" t="s">
        <v>805</v>
      </c>
      <c r="E3" t="s">
        <v>806</v>
      </c>
      <c r="F3" t="s">
        <v>807</v>
      </c>
      <c r="G3" t="s">
        <v>808</v>
      </c>
      <c r="H3" t="s">
        <v>809</v>
      </c>
      <c r="I3" t="s">
        <v>810</v>
      </c>
      <c r="J3" t="s">
        <v>811</v>
      </c>
      <c r="K3" t="s">
        <v>812</v>
      </c>
      <c r="L3" t="s">
        <v>813</v>
      </c>
      <c r="M3" t="s">
        <v>814</v>
      </c>
      <c r="N3" t="s">
        <v>815</v>
      </c>
      <c r="O3" t="s">
        <v>816</v>
      </c>
      <c r="P3" t="s">
        <v>817</v>
      </c>
      <c r="Q3" t="s">
        <v>818</v>
      </c>
      <c r="R3" t="s">
        <v>819</v>
      </c>
      <c r="S3" t="s">
        <v>820</v>
      </c>
      <c r="T3" t="s">
        <v>821</v>
      </c>
      <c r="U3" t="s">
        <v>822</v>
      </c>
      <c r="V3" t="s">
        <v>823</v>
      </c>
      <c r="W3" t="s">
        <v>824</v>
      </c>
      <c r="X3" t="s">
        <v>825</v>
      </c>
      <c r="Y3" t="s">
        <v>826</v>
      </c>
      <c r="Z3" t="s">
        <v>827</v>
      </c>
      <c r="AA3" t="s">
        <v>828</v>
      </c>
      <c r="AB3" t="s">
        <v>829</v>
      </c>
      <c r="AC3" t="s">
        <v>830</v>
      </c>
      <c r="AD3" t="s">
        <v>831</v>
      </c>
      <c r="AE3" t="s">
        <v>832</v>
      </c>
      <c r="AF3" t="s">
        <v>833</v>
      </c>
      <c r="AG3" s="21" t="s">
        <v>834</v>
      </c>
      <c r="AH3" t="s">
        <v>835</v>
      </c>
      <c r="AI3" t="s">
        <v>836</v>
      </c>
      <c r="AJ3" t="s">
        <v>837</v>
      </c>
      <c r="AK3" t="s">
        <v>838</v>
      </c>
      <c r="AL3" t="s">
        <v>839</v>
      </c>
      <c r="AM3" t="s">
        <v>840</v>
      </c>
      <c r="AN3" t="s">
        <v>841</v>
      </c>
      <c r="AO3" t="s">
        <v>842</v>
      </c>
      <c r="AP3" t="s">
        <v>843</v>
      </c>
      <c r="AQ3" t="s">
        <v>844</v>
      </c>
      <c r="AR3" t="s">
        <v>845</v>
      </c>
      <c r="AS3" t="s">
        <v>846</v>
      </c>
      <c r="AT3" t="s">
        <v>847</v>
      </c>
      <c r="AU3" t="s">
        <v>848</v>
      </c>
      <c r="AV3" t="s">
        <v>849</v>
      </c>
      <c r="AW3" t="s">
        <v>850</v>
      </c>
      <c r="AX3" t="s">
        <v>851</v>
      </c>
      <c r="AY3" t="s">
        <v>852</v>
      </c>
      <c r="AZ3" t="s">
        <v>853</v>
      </c>
      <c r="BA3" t="s">
        <v>854</v>
      </c>
      <c r="BB3" t="s">
        <v>855</v>
      </c>
      <c r="BC3" t="s">
        <v>856</v>
      </c>
      <c r="BD3" t="s">
        <v>857</v>
      </c>
      <c r="BE3" t="s">
        <v>858</v>
      </c>
      <c r="BF3" t="s">
        <v>859</v>
      </c>
      <c r="BG3" t="s">
        <v>860</v>
      </c>
      <c r="BH3" t="s">
        <v>861</v>
      </c>
      <c r="BI3" t="s">
        <v>862</v>
      </c>
      <c r="BJ3" t="s">
        <v>863</v>
      </c>
      <c r="BK3" t="s">
        <v>864</v>
      </c>
      <c r="BL3" t="s">
        <v>865</v>
      </c>
      <c r="BM3" t="s">
        <v>866</v>
      </c>
      <c r="BN3" t="s">
        <v>867</v>
      </c>
      <c r="BO3" t="s">
        <v>868</v>
      </c>
      <c r="BP3" t="s">
        <v>869</v>
      </c>
      <c r="BQ3" t="s">
        <v>870</v>
      </c>
      <c r="BR3" t="s">
        <v>871</v>
      </c>
      <c r="BS3" t="s">
        <v>872</v>
      </c>
      <c r="BT3" t="s">
        <v>873</v>
      </c>
      <c r="BU3" t="s">
        <v>874</v>
      </c>
      <c r="BV3" t="s">
        <v>875</v>
      </c>
      <c r="BW3" t="s">
        <v>876</v>
      </c>
      <c r="BX3" t="s">
        <v>877</v>
      </c>
      <c r="BY3" t="s">
        <v>878</v>
      </c>
      <c r="BZ3" t="s">
        <v>879</v>
      </c>
      <c r="CA3" t="s">
        <v>880</v>
      </c>
    </row>
    <row r="4" spans="1:79" x14ac:dyDescent="0.35">
      <c r="A4" t="s">
        <v>881</v>
      </c>
      <c r="B4" t="s">
        <v>882</v>
      </c>
      <c r="C4" t="s">
        <v>883</v>
      </c>
      <c r="D4" t="s">
        <v>884</v>
      </c>
      <c r="F4" t="s">
        <v>885</v>
      </c>
      <c r="G4" t="s">
        <v>886</v>
      </c>
      <c r="H4" t="s">
        <v>887</v>
      </c>
      <c r="I4" t="s">
        <v>888</v>
      </c>
      <c r="J4" t="s">
        <v>889</v>
      </c>
      <c r="K4" t="s">
        <v>890</v>
      </c>
      <c r="L4" t="s">
        <v>891</v>
      </c>
      <c r="M4" t="s">
        <v>892</v>
      </c>
      <c r="N4" t="s">
        <v>893</v>
      </c>
      <c r="O4" t="s">
        <v>894</v>
      </c>
      <c r="P4" t="s">
        <v>895</v>
      </c>
      <c r="Q4" t="s">
        <v>896</v>
      </c>
      <c r="S4" t="s">
        <v>897</v>
      </c>
      <c r="T4" t="s">
        <v>898</v>
      </c>
      <c r="U4" t="s">
        <v>899</v>
      </c>
      <c r="V4" t="s">
        <v>900</v>
      </c>
      <c r="W4" t="s">
        <v>901</v>
      </c>
      <c r="X4" t="s">
        <v>902</v>
      </c>
      <c r="Y4" t="s">
        <v>903</v>
      </c>
      <c r="AA4" t="s">
        <v>904</v>
      </c>
      <c r="AB4" t="s">
        <v>905</v>
      </c>
      <c r="AC4" t="s">
        <v>906</v>
      </c>
      <c r="AD4" t="s">
        <v>907</v>
      </c>
      <c r="AF4" t="s">
        <v>908</v>
      </c>
      <c r="AG4" s="21" t="s">
        <v>909</v>
      </c>
      <c r="AH4" t="s">
        <v>910</v>
      </c>
      <c r="AI4" t="s">
        <v>911</v>
      </c>
      <c r="AJ4" t="s">
        <v>912</v>
      </c>
      <c r="AK4" t="s">
        <v>913</v>
      </c>
      <c r="AM4" t="s">
        <v>914</v>
      </c>
      <c r="AP4" t="s">
        <v>915</v>
      </c>
      <c r="AR4" t="s">
        <v>916</v>
      </c>
      <c r="AS4" t="s">
        <v>917</v>
      </c>
      <c r="AT4" t="s">
        <v>918</v>
      </c>
      <c r="AU4" t="s">
        <v>919</v>
      </c>
      <c r="AV4" t="s">
        <v>920</v>
      </c>
      <c r="AX4" t="s">
        <v>921</v>
      </c>
      <c r="AY4" t="s">
        <v>922</v>
      </c>
      <c r="AZ4" t="s">
        <v>923</v>
      </c>
      <c r="BA4" t="s">
        <v>924</v>
      </c>
      <c r="BB4" t="s">
        <v>925</v>
      </c>
      <c r="BD4" t="s">
        <v>926</v>
      </c>
      <c r="BE4" t="s">
        <v>927</v>
      </c>
      <c r="BF4" t="s">
        <v>928</v>
      </c>
      <c r="BG4" t="s">
        <v>929</v>
      </c>
      <c r="BH4" t="s">
        <v>930</v>
      </c>
      <c r="BK4" t="s">
        <v>931</v>
      </c>
      <c r="BM4" t="s">
        <v>932</v>
      </c>
      <c r="BN4" t="s">
        <v>933</v>
      </c>
      <c r="BO4" t="s">
        <v>934</v>
      </c>
      <c r="BP4" t="s">
        <v>935</v>
      </c>
      <c r="BQ4" t="s">
        <v>936</v>
      </c>
      <c r="BR4" t="s">
        <v>937</v>
      </c>
      <c r="BT4" t="s">
        <v>938</v>
      </c>
      <c r="BX4" t="s">
        <v>939</v>
      </c>
      <c r="BY4" t="s">
        <v>940</v>
      </c>
      <c r="BZ4" t="s">
        <v>941</v>
      </c>
    </row>
    <row r="5" spans="1:79" x14ac:dyDescent="0.35">
      <c r="A5" t="s">
        <v>942</v>
      </c>
      <c r="B5" t="s">
        <v>943</v>
      </c>
      <c r="D5" t="s">
        <v>944</v>
      </c>
      <c r="F5" t="s">
        <v>945</v>
      </c>
      <c r="G5" t="s">
        <v>946</v>
      </c>
      <c r="H5" t="s">
        <v>947</v>
      </c>
      <c r="I5" t="s">
        <v>948</v>
      </c>
      <c r="J5" t="s">
        <v>949</v>
      </c>
      <c r="M5" t="s">
        <v>950</v>
      </c>
      <c r="N5" t="s">
        <v>951</v>
      </c>
      <c r="O5" t="s">
        <v>952</v>
      </c>
      <c r="P5" t="s">
        <v>953</v>
      </c>
      <c r="Q5" t="s">
        <v>954</v>
      </c>
      <c r="S5" t="s">
        <v>955</v>
      </c>
      <c r="T5" t="s">
        <v>956</v>
      </c>
      <c r="U5" t="s">
        <v>957</v>
      </c>
      <c r="W5" t="s">
        <v>958</v>
      </c>
      <c r="Y5" t="s">
        <v>959</v>
      </c>
      <c r="AA5" t="s">
        <v>960</v>
      </c>
      <c r="AB5" t="s">
        <v>961</v>
      </c>
      <c r="AC5" t="s">
        <v>962</v>
      </c>
      <c r="AD5" t="s">
        <v>963</v>
      </c>
      <c r="AF5" t="s">
        <v>964</v>
      </c>
      <c r="AG5" s="21" t="s">
        <v>965</v>
      </c>
      <c r="AI5" t="s">
        <v>966</v>
      </c>
      <c r="AJ5" t="s">
        <v>967</v>
      </c>
      <c r="AK5" t="s">
        <v>968</v>
      </c>
      <c r="AM5" t="s">
        <v>969</v>
      </c>
      <c r="AP5" t="s">
        <v>970</v>
      </c>
      <c r="AR5" t="s">
        <v>971</v>
      </c>
      <c r="AT5" t="s">
        <v>972</v>
      </c>
      <c r="AU5" t="s">
        <v>973</v>
      </c>
      <c r="AV5" t="s">
        <v>974</v>
      </c>
      <c r="AX5" t="s">
        <v>975</v>
      </c>
      <c r="AY5" t="s">
        <v>976</v>
      </c>
      <c r="AZ5" t="s">
        <v>977</v>
      </c>
      <c r="BA5" t="s">
        <v>978</v>
      </c>
      <c r="BB5" t="s">
        <v>979</v>
      </c>
      <c r="BD5" t="s">
        <v>980</v>
      </c>
      <c r="BE5" t="s">
        <v>981</v>
      </c>
      <c r="BF5" t="s">
        <v>982</v>
      </c>
      <c r="BH5" t="s">
        <v>983</v>
      </c>
      <c r="BK5" t="s">
        <v>984</v>
      </c>
      <c r="BM5" t="s">
        <v>985</v>
      </c>
      <c r="BN5" t="s">
        <v>986</v>
      </c>
      <c r="BO5" t="s">
        <v>987</v>
      </c>
      <c r="BP5" t="s">
        <v>988</v>
      </c>
      <c r="BQ5" t="s">
        <v>989</v>
      </c>
      <c r="BR5" t="s">
        <v>990</v>
      </c>
      <c r="BT5" t="s">
        <v>991</v>
      </c>
      <c r="BY5" t="s">
        <v>992</v>
      </c>
      <c r="BZ5" t="s">
        <v>993</v>
      </c>
    </row>
    <row r="6" spans="1:79" x14ac:dyDescent="0.35">
      <c r="A6" t="s">
        <v>994</v>
      </c>
      <c r="B6" t="s">
        <v>995</v>
      </c>
      <c r="D6" t="s">
        <v>996</v>
      </c>
      <c r="F6" t="s">
        <v>997</v>
      </c>
      <c r="G6" t="s">
        <v>998</v>
      </c>
      <c r="H6" t="s">
        <v>999</v>
      </c>
      <c r="I6" t="s">
        <v>1000</v>
      </c>
      <c r="J6" t="s">
        <v>1001</v>
      </c>
      <c r="M6" t="s">
        <v>1002</v>
      </c>
      <c r="N6" t="s">
        <v>1003</v>
      </c>
      <c r="O6" t="s">
        <v>1004</v>
      </c>
      <c r="P6" t="s">
        <v>1005</v>
      </c>
      <c r="Q6" t="s">
        <v>1006</v>
      </c>
      <c r="S6" t="s">
        <v>1007</v>
      </c>
      <c r="T6" t="s">
        <v>1008</v>
      </c>
      <c r="U6" t="s">
        <v>1009</v>
      </c>
      <c r="W6" t="s">
        <v>1010</v>
      </c>
      <c r="Y6" t="s">
        <v>1011</v>
      </c>
      <c r="AA6" t="s">
        <v>1012</v>
      </c>
      <c r="AB6" t="s">
        <v>1013</v>
      </c>
      <c r="AC6" t="s">
        <v>1014</v>
      </c>
      <c r="AD6" t="s">
        <v>1015</v>
      </c>
      <c r="AG6" s="21" t="s">
        <v>1016</v>
      </c>
      <c r="AJ6" t="s">
        <v>1017</v>
      </c>
      <c r="AK6" t="s">
        <v>1018</v>
      </c>
      <c r="AM6" t="s">
        <v>1019</v>
      </c>
      <c r="AP6" t="s">
        <v>1020</v>
      </c>
      <c r="AR6" t="s">
        <v>1021</v>
      </c>
      <c r="AT6" t="s">
        <v>1022</v>
      </c>
      <c r="AU6" t="s">
        <v>1023</v>
      </c>
      <c r="AV6" t="s">
        <v>1024</v>
      </c>
      <c r="AX6" t="s">
        <v>1025</v>
      </c>
      <c r="AZ6" t="s">
        <v>1026</v>
      </c>
      <c r="BA6" t="s">
        <v>1027</v>
      </c>
      <c r="BB6" t="s">
        <v>1028</v>
      </c>
      <c r="BD6" t="s">
        <v>1029</v>
      </c>
      <c r="BE6" t="s">
        <v>1030</v>
      </c>
      <c r="BF6" t="s">
        <v>1031</v>
      </c>
      <c r="BK6" t="s">
        <v>1032</v>
      </c>
      <c r="BM6" t="s">
        <v>1033</v>
      </c>
      <c r="BN6" t="s">
        <v>1034</v>
      </c>
      <c r="BO6" t="s">
        <v>1035</v>
      </c>
      <c r="BP6" t="s">
        <v>1036</v>
      </c>
      <c r="BQ6" t="s">
        <v>1037</v>
      </c>
      <c r="BR6" t="s">
        <v>1038</v>
      </c>
      <c r="BT6" t="s">
        <v>1039</v>
      </c>
      <c r="BY6" t="s">
        <v>1040</v>
      </c>
      <c r="BZ6" t="s">
        <v>1041</v>
      </c>
    </row>
    <row r="7" spans="1:79" x14ac:dyDescent="0.35">
      <c r="A7" t="s">
        <v>1042</v>
      </c>
      <c r="B7" t="s">
        <v>1043</v>
      </c>
      <c r="D7" t="s">
        <v>1044</v>
      </c>
      <c r="F7" t="s">
        <v>1045</v>
      </c>
      <c r="G7" t="s">
        <v>1046</v>
      </c>
      <c r="H7" t="s">
        <v>1047</v>
      </c>
      <c r="I7" t="s">
        <v>1048</v>
      </c>
      <c r="N7" t="s">
        <v>1049</v>
      </c>
      <c r="O7" t="s">
        <v>1050</v>
      </c>
      <c r="P7" t="s">
        <v>1051</v>
      </c>
      <c r="Q7" t="s">
        <v>1052</v>
      </c>
      <c r="S7" t="s">
        <v>1053</v>
      </c>
      <c r="T7" t="s">
        <v>1054</v>
      </c>
      <c r="U7" t="s">
        <v>1055</v>
      </c>
      <c r="W7" t="s">
        <v>1056</v>
      </c>
      <c r="Y7" t="s">
        <v>1057</v>
      </c>
      <c r="AA7" t="s">
        <v>1058</v>
      </c>
      <c r="AB7" t="s">
        <v>1059</v>
      </c>
      <c r="AC7" t="s">
        <v>1060</v>
      </c>
      <c r="AD7" t="s">
        <v>1061</v>
      </c>
      <c r="AG7" s="21" t="s">
        <v>1062</v>
      </c>
      <c r="AJ7" t="s">
        <v>1063</v>
      </c>
      <c r="AK7" t="s">
        <v>1064</v>
      </c>
      <c r="AM7" t="s">
        <v>1065</v>
      </c>
      <c r="AP7" t="s">
        <v>1066</v>
      </c>
      <c r="AR7" t="s">
        <v>1067</v>
      </c>
      <c r="AT7" t="s">
        <v>1068</v>
      </c>
      <c r="AU7" t="s">
        <v>1069</v>
      </c>
      <c r="AV7" t="s">
        <v>1070</v>
      </c>
      <c r="AX7" t="s">
        <v>1071</v>
      </c>
      <c r="AZ7" t="s">
        <v>1072</v>
      </c>
      <c r="BA7" t="s">
        <v>1073</v>
      </c>
      <c r="BB7" t="s">
        <v>1074</v>
      </c>
      <c r="BD7" t="s">
        <v>1075</v>
      </c>
      <c r="BE7" t="s">
        <v>1076</v>
      </c>
      <c r="BK7" t="s">
        <v>1077</v>
      </c>
      <c r="BM7" t="s">
        <v>1078</v>
      </c>
      <c r="BN7" t="s">
        <v>1079</v>
      </c>
      <c r="BO7" t="s">
        <v>1080</v>
      </c>
      <c r="BP7" t="s">
        <v>1081</v>
      </c>
      <c r="BQ7" t="s">
        <v>1082</v>
      </c>
      <c r="BR7" t="s">
        <v>1083</v>
      </c>
      <c r="BT7" t="s">
        <v>1084</v>
      </c>
      <c r="BY7" t="s">
        <v>1085</v>
      </c>
      <c r="BZ7" t="s">
        <v>1086</v>
      </c>
    </row>
    <row r="8" spans="1:79" x14ac:dyDescent="0.35">
      <c r="A8" t="s">
        <v>1087</v>
      </c>
      <c r="B8" t="s">
        <v>1088</v>
      </c>
      <c r="D8" t="s">
        <v>1089</v>
      </c>
      <c r="G8" t="s">
        <v>1090</v>
      </c>
      <c r="H8" t="s">
        <v>1091</v>
      </c>
      <c r="I8" t="s">
        <v>1092</v>
      </c>
      <c r="N8" t="s">
        <v>1093</v>
      </c>
      <c r="O8" t="s">
        <v>1094</v>
      </c>
      <c r="P8" t="s">
        <v>1095</v>
      </c>
      <c r="Q8" t="s">
        <v>1096</v>
      </c>
      <c r="S8" t="s">
        <v>1097</v>
      </c>
      <c r="T8" t="s">
        <v>1098</v>
      </c>
      <c r="U8" t="s">
        <v>1099</v>
      </c>
      <c r="W8" t="s">
        <v>1100</v>
      </c>
      <c r="AC8" t="s">
        <v>1101</v>
      </c>
      <c r="AD8" t="s">
        <v>1102</v>
      </c>
      <c r="AG8" s="21" t="s">
        <v>1103</v>
      </c>
      <c r="AJ8" t="s">
        <v>1104</v>
      </c>
      <c r="AK8" t="s">
        <v>1105</v>
      </c>
      <c r="AM8" t="s">
        <v>1106</v>
      </c>
      <c r="AP8" t="s">
        <v>1107</v>
      </c>
      <c r="AR8" t="s">
        <v>1108</v>
      </c>
      <c r="AT8" t="s">
        <v>1109</v>
      </c>
      <c r="AU8" t="s">
        <v>1110</v>
      </c>
      <c r="AV8" t="s">
        <v>1111</v>
      </c>
      <c r="AX8" t="s">
        <v>1112</v>
      </c>
      <c r="AZ8" t="s">
        <v>1113</v>
      </c>
      <c r="BA8" t="s">
        <v>1114</v>
      </c>
      <c r="BB8" t="s">
        <v>1115</v>
      </c>
      <c r="BD8" t="s">
        <v>1116</v>
      </c>
      <c r="BE8" t="s">
        <v>1117</v>
      </c>
      <c r="BK8" t="s">
        <v>1118</v>
      </c>
      <c r="BM8" t="s">
        <v>1119</v>
      </c>
      <c r="BN8" t="s">
        <v>1120</v>
      </c>
      <c r="BO8" t="s">
        <v>1121</v>
      </c>
      <c r="BP8" t="s">
        <v>1122</v>
      </c>
      <c r="BQ8" t="s">
        <v>1123</v>
      </c>
      <c r="BR8" t="s">
        <v>1124</v>
      </c>
      <c r="BT8" t="s">
        <v>1125</v>
      </c>
      <c r="BY8" t="s">
        <v>1126</v>
      </c>
      <c r="BZ8" t="s">
        <v>1127</v>
      </c>
    </row>
    <row r="9" spans="1:79" x14ac:dyDescent="0.35">
      <c r="A9" t="s">
        <v>1128</v>
      </c>
      <c r="B9" t="s">
        <v>1129</v>
      </c>
      <c r="D9" t="s">
        <v>1130</v>
      </c>
      <c r="H9" t="s">
        <v>1131</v>
      </c>
      <c r="I9" t="s">
        <v>1132</v>
      </c>
      <c r="N9" t="s">
        <v>1133</v>
      </c>
      <c r="O9" t="s">
        <v>1134</v>
      </c>
      <c r="Q9" t="s">
        <v>1135</v>
      </c>
      <c r="S9" t="s">
        <v>1136</v>
      </c>
      <c r="T9" t="s">
        <v>1137</v>
      </c>
      <c r="U9" t="s">
        <v>1138</v>
      </c>
      <c r="W9" t="s">
        <v>1139</v>
      </c>
      <c r="AC9" t="s">
        <v>1140</v>
      </c>
      <c r="AD9" t="s">
        <v>1141</v>
      </c>
      <c r="AG9" s="21" t="s">
        <v>1142</v>
      </c>
      <c r="AJ9" t="s">
        <v>1143</v>
      </c>
      <c r="AK9" t="s">
        <v>1144</v>
      </c>
      <c r="AM9" t="s">
        <v>1145</v>
      </c>
      <c r="AP9" t="s">
        <v>1146</v>
      </c>
      <c r="AR9" t="s">
        <v>1147</v>
      </c>
      <c r="AT9" t="s">
        <v>1148</v>
      </c>
      <c r="AV9" t="s">
        <v>1149</v>
      </c>
      <c r="AX9" t="s">
        <v>1150</v>
      </c>
      <c r="AZ9" t="s">
        <v>1151</v>
      </c>
      <c r="BA9" t="s">
        <v>1152</v>
      </c>
      <c r="BB9" t="s">
        <v>1153</v>
      </c>
      <c r="BD9" t="s">
        <v>1154</v>
      </c>
      <c r="BE9" t="s">
        <v>1155</v>
      </c>
      <c r="BK9" t="s">
        <v>1156</v>
      </c>
      <c r="BM9" t="s">
        <v>1157</v>
      </c>
      <c r="BO9" t="s">
        <v>1158</v>
      </c>
      <c r="BQ9" t="s">
        <v>1159</v>
      </c>
      <c r="BR9" t="s">
        <v>1160</v>
      </c>
      <c r="BT9" t="s">
        <v>1161</v>
      </c>
      <c r="BY9" t="s">
        <v>1162</v>
      </c>
      <c r="BZ9" t="s">
        <v>1163</v>
      </c>
    </row>
    <row r="10" spans="1:79" x14ac:dyDescent="0.35">
      <c r="A10" t="s">
        <v>1164</v>
      </c>
      <c r="B10" t="s">
        <v>1165</v>
      </c>
      <c r="D10" t="s">
        <v>1166</v>
      </c>
      <c r="H10" t="s">
        <v>1167</v>
      </c>
      <c r="I10" t="s">
        <v>1168</v>
      </c>
      <c r="N10" t="s">
        <v>1169</v>
      </c>
      <c r="O10" t="s">
        <v>1170</v>
      </c>
      <c r="Q10" t="s">
        <v>1171</v>
      </c>
      <c r="S10" t="s">
        <v>1172</v>
      </c>
      <c r="T10" t="s">
        <v>1173</v>
      </c>
      <c r="U10" t="s">
        <v>1174</v>
      </c>
      <c r="W10" t="s">
        <v>1175</v>
      </c>
      <c r="AC10" t="s">
        <v>1176</v>
      </c>
      <c r="AD10" t="s">
        <v>1177</v>
      </c>
      <c r="AG10" s="21" t="s">
        <v>1178</v>
      </c>
      <c r="AK10" t="s">
        <v>1179</v>
      </c>
      <c r="AM10" t="s">
        <v>1180</v>
      </c>
      <c r="AP10" t="s">
        <v>1181</v>
      </c>
      <c r="AR10" t="s">
        <v>1182</v>
      </c>
      <c r="AT10" t="s">
        <v>1183</v>
      </c>
      <c r="AV10" t="s">
        <v>1184</v>
      </c>
      <c r="AX10" t="s">
        <v>1185</v>
      </c>
      <c r="AZ10" t="s">
        <v>1186</v>
      </c>
      <c r="BA10" t="s">
        <v>1187</v>
      </c>
      <c r="BB10" t="s">
        <v>1188</v>
      </c>
      <c r="BD10" t="s">
        <v>1189</v>
      </c>
      <c r="BE10" t="s">
        <v>1190</v>
      </c>
      <c r="BM10" t="s">
        <v>1191</v>
      </c>
      <c r="BO10" t="s">
        <v>1192</v>
      </c>
      <c r="BQ10" t="s">
        <v>1193</v>
      </c>
      <c r="BR10" t="s">
        <v>1194</v>
      </c>
      <c r="BT10" t="s">
        <v>1195</v>
      </c>
      <c r="BY10" t="s">
        <v>1196</v>
      </c>
      <c r="BZ10" t="s">
        <v>1197</v>
      </c>
    </row>
    <row r="11" spans="1:79" x14ac:dyDescent="0.35">
      <c r="A11" t="s">
        <v>1198</v>
      </c>
      <c r="B11" t="s">
        <v>1199</v>
      </c>
      <c r="D11" t="s">
        <v>1200</v>
      </c>
      <c r="H11" t="s">
        <v>1201</v>
      </c>
      <c r="I11" t="s">
        <v>1202</v>
      </c>
      <c r="N11" t="s">
        <v>1203</v>
      </c>
      <c r="O11" t="s">
        <v>1204</v>
      </c>
      <c r="Q11" t="s">
        <v>1205</v>
      </c>
      <c r="S11" t="s">
        <v>1206</v>
      </c>
      <c r="T11" t="s">
        <v>1207</v>
      </c>
      <c r="U11" t="s">
        <v>1208</v>
      </c>
      <c r="W11" t="s">
        <v>1209</v>
      </c>
      <c r="AC11" t="s">
        <v>1210</v>
      </c>
      <c r="AD11" t="s">
        <v>1211</v>
      </c>
      <c r="AG11" s="21" t="s">
        <v>1212</v>
      </c>
      <c r="AK11" t="s">
        <v>1213</v>
      </c>
      <c r="AM11" t="s">
        <v>1214</v>
      </c>
      <c r="AR11" t="s">
        <v>1215</v>
      </c>
      <c r="AT11" t="s">
        <v>1216</v>
      </c>
      <c r="AV11" t="s">
        <v>1217</v>
      </c>
      <c r="AZ11" t="s">
        <v>1218</v>
      </c>
      <c r="BA11" t="s">
        <v>1219</v>
      </c>
      <c r="BB11" t="s">
        <v>1220</v>
      </c>
      <c r="BD11" t="s">
        <v>1221</v>
      </c>
      <c r="BE11" t="s">
        <v>1222</v>
      </c>
      <c r="BM11" t="s">
        <v>1223</v>
      </c>
      <c r="BO11" t="s">
        <v>1224</v>
      </c>
      <c r="BQ11" t="s">
        <v>1225</v>
      </c>
      <c r="BR11" t="s">
        <v>1226</v>
      </c>
      <c r="BT11" t="s">
        <v>1227</v>
      </c>
      <c r="BY11" t="s">
        <v>1228</v>
      </c>
      <c r="BZ11" t="s">
        <v>1229</v>
      </c>
    </row>
    <row r="12" spans="1:79" x14ac:dyDescent="0.35">
      <c r="A12" t="s">
        <v>1230</v>
      </c>
      <c r="B12" t="s">
        <v>1231</v>
      </c>
      <c r="D12" t="s">
        <v>1232</v>
      </c>
      <c r="H12" t="s">
        <v>1233</v>
      </c>
      <c r="I12" t="s">
        <v>1234</v>
      </c>
      <c r="N12" t="s">
        <v>1235</v>
      </c>
      <c r="O12" t="s">
        <v>1236</v>
      </c>
      <c r="Q12" t="s">
        <v>1237</v>
      </c>
      <c r="S12" t="s">
        <v>1238</v>
      </c>
      <c r="U12" t="s">
        <v>1239</v>
      </c>
      <c r="W12" t="s">
        <v>1240</v>
      </c>
      <c r="AC12" t="s">
        <v>1241</v>
      </c>
      <c r="AD12" t="s">
        <v>1242</v>
      </c>
      <c r="AG12" s="21" t="s">
        <v>1243</v>
      </c>
      <c r="AK12" t="s">
        <v>1244</v>
      </c>
      <c r="AM12" t="s">
        <v>1245</v>
      </c>
      <c r="AR12" t="s">
        <v>1246</v>
      </c>
      <c r="AT12" t="s">
        <v>1247</v>
      </c>
      <c r="AV12" t="s">
        <v>1248</v>
      </c>
      <c r="AZ12" t="s">
        <v>1249</v>
      </c>
      <c r="BA12" t="s">
        <v>1250</v>
      </c>
      <c r="BB12" t="s">
        <v>1251</v>
      </c>
      <c r="BD12" t="s">
        <v>1252</v>
      </c>
      <c r="BM12" t="s">
        <v>1253</v>
      </c>
      <c r="BO12" t="s">
        <v>1254</v>
      </c>
      <c r="BQ12" t="s">
        <v>1255</v>
      </c>
      <c r="BR12" t="s">
        <v>1256</v>
      </c>
      <c r="BT12" t="s">
        <v>1257</v>
      </c>
      <c r="BZ12" t="s">
        <v>1258</v>
      </c>
    </row>
    <row r="13" spans="1:79" x14ac:dyDescent="0.35">
      <c r="A13" t="s">
        <v>1259</v>
      </c>
      <c r="B13" t="s">
        <v>1260</v>
      </c>
      <c r="D13" t="s">
        <v>1261</v>
      </c>
      <c r="I13" t="s">
        <v>1262</v>
      </c>
      <c r="N13" t="s">
        <v>1263</v>
      </c>
      <c r="O13" t="s">
        <v>1264</v>
      </c>
      <c r="Q13" t="s">
        <v>1265</v>
      </c>
      <c r="S13" t="s">
        <v>1266</v>
      </c>
      <c r="U13" t="s">
        <v>1267</v>
      </c>
      <c r="W13" t="s">
        <v>1268</v>
      </c>
      <c r="AC13" t="s">
        <v>1269</v>
      </c>
      <c r="AD13" t="s">
        <v>1270</v>
      </c>
      <c r="AG13" s="21" t="s">
        <v>1271</v>
      </c>
      <c r="AK13" t="s">
        <v>1272</v>
      </c>
      <c r="AM13" t="s">
        <v>1273</v>
      </c>
      <c r="AR13" t="s">
        <v>1274</v>
      </c>
      <c r="AT13" t="s">
        <v>1275</v>
      </c>
      <c r="AV13" t="s">
        <v>1276</v>
      </c>
      <c r="AZ13" t="s">
        <v>1277</v>
      </c>
      <c r="BA13" t="s">
        <v>1278</v>
      </c>
      <c r="BB13" t="s">
        <v>1279</v>
      </c>
      <c r="BD13" t="s">
        <v>1280</v>
      </c>
      <c r="BM13" t="s">
        <v>1281</v>
      </c>
      <c r="BO13" t="s">
        <v>1282</v>
      </c>
      <c r="BQ13" t="s">
        <v>1283</v>
      </c>
      <c r="BR13" t="s">
        <v>1284</v>
      </c>
      <c r="BT13" t="s">
        <v>1285</v>
      </c>
      <c r="BZ13" t="s">
        <v>1286</v>
      </c>
    </row>
    <row r="14" spans="1:79" x14ac:dyDescent="0.35">
      <c r="A14" t="s">
        <v>1287</v>
      </c>
      <c r="B14" t="s">
        <v>1288</v>
      </c>
      <c r="D14" t="s">
        <v>1289</v>
      </c>
      <c r="I14" t="s">
        <v>1290</v>
      </c>
      <c r="N14" t="s">
        <v>1291</v>
      </c>
      <c r="O14" t="s">
        <v>1292</v>
      </c>
      <c r="Q14" t="s">
        <v>1293</v>
      </c>
      <c r="S14" t="s">
        <v>1294</v>
      </c>
      <c r="U14" t="s">
        <v>1295</v>
      </c>
      <c r="W14" t="s">
        <v>1296</v>
      </c>
      <c r="AC14" t="s">
        <v>1297</v>
      </c>
      <c r="AD14" t="s">
        <v>1298</v>
      </c>
      <c r="AG14" s="21" t="s">
        <v>1299</v>
      </c>
      <c r="AK14" t="s">
        <v>1300</v>
      </c>
      <c r="AM14" t="s">
        <v>1301</v>
      </c>
      <c r="AR14" t="s">
        <v>1302</v>
      </c>
      <c r="AT14" t="s">
        <v>1303</v>
      </c>
      <c r="AV14" t="s">
        <v>1304</v>
      </c>
      <c r="AZ14" t="s">
        <v>1305</v>
      </c>
      <c r="BA14" t="s">
        <v>1306</v>
      </c>
      <c r="BB14" t="s">
        <v>1307</v>
      </c>
      <c r="BD14" t="s">
        <v>1308</v>
      </c>
      <c r="BM14" t="s">
        <v>1309</v>
      </c>
      <c r="BO14" t="s">
        <v>1310</v>
      </c>
      <c r="BQ14" t="s">
        <v>1311</v>
      </c>
      <c r="BR14" t="s">
        <v>1312</v>
      </c>
      <c r="BT14" t="s">
        <v>1313</v>
      </c>
      <c r="BZ14" t="s">
        <v>1314</v>
      </c>
    </row>
    <row r="15" spans="1:79" x14ac:dyDescent="0.35">
      <c r="A15" t="s">
        <v>1315</v>
      </c>
      <c r="B15" t="s">
        <v>1316</v>
      </c>
      <c r="D15" t="s">
        <v>1317</v>
      </c>
      <c r="I15" t="s">
        <v>1318</v>
      </c>
      <c r="N15" t="s">
        <v>1319</v>
      </c>
      <c r="O15" t="s">
        <v>1320</v>
      </c>
      <c r="Q15" t="s">
        <v>1321</v>
      </c>
      <c r="U15" t="s">
        <v>1322</v>
      </c>
      <c r="W15" t="s">
        <v>1323</v>
      </c>
      <c r="AC15" t="s">
        <v>1324</v>
      </c>
      <c r="AD15" t="s">
        <v>1325</v>
      </c>
      <c r="AG15" s="21" t="s">
        <v>1326</v>
      </c>
      <c r="AK15" t="s">
        <v>1327</v>
      </c>
      <c r="AM15" t="s">
        <v>1328</v>
      </c>
      <c r="AR15" t="s">
        <v>1329</v>
      </c>
      <c r="AT15" t="s">
        <v>1330</v>
      </c>
      <c r="AV15" t="s">
        <v>1331</v>
      </c>
      <c r="AZ15" t="s">
        <v>1332</v>
      </c>
      <c r="BA15" t="s">
        <v>1333</v>
      </c>
      <c r="BB15" t="s">
        <v>1334</v>
      </c>
      <c r="BD15" t="s">
        <v>1335</v>
      </c>
      <c r="BM15" t="s">
        <v>1336</v>
      </c>
      <c r="BO15" t="s">
        <v>1337</v>
      </c>
      <c r="BQ15" t="s">
        <v>1338</v>
      </c>
      <c r="BR15" t="s">
        <v>1339</v>
      </c>
      <c r="BT15" t="s">
        <v>1340</v>
      </c>
      <c r="BZ15" t="s">
        <v>1341</v>
      </c>
    </row>
    <row r="16" spans="1:79" x14ac:dyDescent="0.35">
      <c r="A16" t="s">
        <v>1342</v>
      </c>
      <c r="B16" t="s">
        <v>1343</v>
      </c>
      <c r="D16" t="s">
        <v>1344</v>
      </c>
      <c r="I16" t="s">
        <v>1345</v>
      </c>
      <c r="N16" t="s">
        <v>1346</v>
      </c>
      <c r="O16" t="s">
        <v>1347</v>
      </c>
      <c r="Q16" t="s">
        <v>1348</v>
      </c>
      <c r="U16" t="s">
        <v>1349</v>
      </c>
      <c r="W16" t="s">
        <v>1350</v>
      </c>
      <c r="AC16" t="s">
        <v>1351</v>
      </c>
      <c r="AD16" t="s">
        <v>1352</v>
      </c>
      <c r="AG16" s="21" t="s">
        <v>1353</v>
      </c>
      <c r="AK16" t="s">
        <v>1354</v>
      </c>
      <c r="AM16" t="s">
        <v>1355</v>
      </c>
      <c r="AR16" t="s">
        <v>1356</v>
      </c>
      <c r="AT16" t="s">
        <v>1357</v>
      </c>
      <c r="AV16" t="s">
        <v>1358</v>
      </c>
      <c r="AZ16" t="s">
        <v>1359</v>
      </c>
      <c r="BA16" t="s">
        <v>1360</v>
      </c>
      <c r="BB16" t="s">
        <v>1361</v>
      </c>
      <c r="BD16" t="s">
        <v>1362</v>
      </c>
      <c r="BM16" t="s">
        <v>1363</v>
      </c>
      <c r="BO16" t="s">
        <v>1364</v>
      </c>
      <c r="BQ16" t="s">
        <v>1365</v>
      </c>
      <c r="BR16" t="s">
        <v>1366</v>
      </c>
      <c r="BT16" t="s">
        <v>1367</v>
      </c>
      <c r="BZ16" t="s">
        <v>1368</v>
      </c>
    </row>
    <row r="17" spans="2:78" x14ac:dyDescent="0.35">
      <c r="B17" t="s">
        <v>1369</v>
      </c>
      <c r="D17" t="s">
        <v>1370</v>
      </c>
      <c r="I17" t="s">
        <v>1371</v>
      </c>
      <c r="N17" t="s">
        <v>1372</v>
      </c>
      <c r="O17" t="s">
        <v>1373</v>
      </c>
      <c r="Q17" t="s">
        <v>1374</v>
      </c>
      <c r="U17" t="s">
        <v>1375</v>
      </c>
      <c r="W17" t="s">
        <v>1376</v>
      </c>
      <c r="AC17" t="s">
        <v>1377</v>
      </c>
      <c r="AD17" t="s">
        <v>1378</v>
      </c>
      <c r="AG17" s="21" t="s">
        <v>1379</v>
      </c>
      <c r="AK17" t="s">
        <v>1380</v>
      </c>
      <c r="AM17" t="s">
        <v>1381</v>
      </c>
      <c r="AR17" t="s">
        <v>1382</v>
      </c>
      <c r="AT17" t="s">
        <v>1383</v>
      </c>
      <c r="AV17" t="s">
        <v>1384</v>
      </c>
      <c r="BA17" t="s">
        <v>1385</v>
      </c>
      <c r="BB17" t="s">
        <v>1386</v>
      </c>
      <c r="BD17" t="s">
        <v>1387</v>
      </c>
      <c r="BM17" t="s">
        <v>1388</v>
      </c>
      <c r="BO17" t="s">
        <v>1389</v>
      </c>
      <c r="BQ17" t="s">
        <v>1390</v>
      </c>
      <c r="BR17" t="s">
        <v>1391</v>
      </c>
      <c r="BT17" t="s">
        <v>1392</v>
      </c>
      <c r="BZ17" t="s">
        <v>1393</v>
      </c>
    </row>
    <row r="18" spans="2:78" x14ac:dyDescent="0.35">
      <c r="B18" t="s">
        <v>1394</v>
      </c>
      <c r="D18" t="s">
        <v>1395</v>
      </c>
      <c r="N18" t="s">
        <v>1396</v>
      </c>
      <c r="O18" t="s">
        <v>1397</v>
      </c>
      <c r="Q18" t="s">
        <v>1398</v>
      </c>
      <c r="W18" t="s">
        <v>1399</v>
      </c>
      <c r="AD18" t="s">
        <v>1400</v>
      </c>
      <c r="AG18" s="21" t="s">
        <v>1401</v>
      </c>
      <c r="AK18" t="s">
        <v>1402</v>
      </c>
      <c r="AM18" t="s">
        <v>1403</v>
      </c>
      <c r="AR18" t="s">
        <v>1404</v>
      </c>
      <c r="AT18" t="s">
        <v>1405</v>
      </c>
      <c r="AV18" t="s">
        <v>1406</v>
      </c>
      <c r="BA18" t="s">
        <v>1407</v>
      </c>
      <c r="BB18" t="s">
        <v>1408</v>
      </c>
      <c r="BD18" t="s">
        <v>1409</v>
      </c>
      <c r="BM18" t="s">
        <v>1410</v>
      </c>
      <c r="BO18" t="s">
        <v>1411</v>
      </c>
      <c r="BQ18" t="s">
        <v>1412</v>
      </c>
      <c r="BR18" t="s">
        <v>1413</v>
      </c>
      <c r="BT18" t="s">
        <v>1414</v>
      </c>
      <c r="BZ18" t="s">
        <v>1415</v>
      </c>
    </row>
    <row r="19" spans="2:78" x14ac:dyDescent="0.35">
      <c r="B19" t="s">
        <v>1416</v>
      </c>
      <c r="D19" t="s">
        <v>1417</v>
      </c>
      <c r="N19" t="s">
        <v>1418</v>
      </c>
      <c r="O19" t="s">
        <v>1419</v>
      </c>
      <c r="Q19" t="s">
        <v>1420</v>
      </c>
      <c r="W19" t="s">
        <v>1421</v>
      </c>
      <c r="AD19" t="s">
        <v>1422</v>
      </c>
      <c r="AG19" s="21" t="s">
        <v>1423</v>
      </c>
      <c r="AK19" t="s">
        <v>1424</v>
      </c>
      <c r="AM19" t="s">
        <v>1425</v>
      </c>
      <c r="AR19" t="s">
        <v>1426</v>
      </c>
      <c r="AT19" t="s">
        <v>1427</v>
      </c>
      <c r="AV19" t="s">
        <v>1428</v>
      </c>
      <c r="BA19" t="s">
        <v>1429</v>
      </c>
      <c r="BB19" t="s">
        <v>1430</v>
      </c>
      <c r="BM19" t="s">
        <v>1431</v>
      </c>
      <c r="BO19" t="s">
        <v>1432</v>
      </c>
      <c r="BQ19" t="s">
        <v>1433</v>
      </c>
      <c r="BR19" t="s">
        <v>1434</v>
      </c>
      <c r="BT19" t="s">
        <v>1435</v>
      </c>
      <c r="BZ19" t="s">
        <v>1436</v>
      </c>
    </row>
    <row r="20" spans="2:78" x14ac:dyDescent="0.35">
      <c r="B20" t="s">
        <v>1437</v>
      </c>
      <c r="D20" t="s">
        <v>1438</v>
      </c>
      <c r="N20" t="s">
        <v>1439</v>
      </c>
      <c r="O20" t="s">
        <v>1440</v>
      </c>
      <c r="Q20" t="s">
        <v>1441</v>
      </c>
      <c r="W20" t="s">
        <v>1442</v>
      </c>
      <c r="AD20" t="s">
        <v>1443</v>
      </c>
      <c r="AG20" s="21" t="s">
        <v>1444</v>
      </c>
      <c r="AK20" t="s">
        <v>1445</v>
      </c>
      <c r="AR20" t="s">
        <v>1446</v>
      </c>
      <c r="AT20" t="s">
        <v>1447</v>
      </c>
      <c r="AV20" t="s">
        <v>1448</v>
      </c>
      <c r="BB20" t="s">
        <v>1449</v>
      </c>
      <c r="BO20" t="s">
        <v>1450</v>
      </c>
      <c r="BQ20" t="s">
        <v>1451</v>
      </c>
      <c r="BR20" t="s">
        <v>1452</v>
      </c>
      <c r="BT20" t="s">
        <v>1453</v>
      </c>
      <c r="BZ20" t="s">
        <v>1454</v>
      </c>
    </row>
    <row r="21" spans="2:78" x14ac:dyDescent="0.35">
      <c r="B21" t="s">
        <v>1455</v>
      </c>
      <c r="D21" t="s">
        <v>1456</v>
      </c>
      <c r="N21" t="s">
        <v>1457</v>
      </c>
      <c r="O21" t="s">
        <v>1458</v>
      </c>
      <c r="Q21" t="s">
        <v>1459</v>
      </c>
      <c r="W21" t="s">
        <v>1460</v>
      </c>
      <c r="AD21" t="s">
        <v>1461</v>
      </c>
      <c r="AG21" s="21" t="s">
        <v>1462</v>
      </c>
      <c r="AK21" t="s">
        <v>1463</v>
      </c>
      <c r="AR21" t="s">
        <v>1464</v>
      </c>
      <c r="AT21" t="s">
        <v>1465</v>
      </c>
      <c r="AV21" t="s">
        <v>1466</v>
      </c>
      <c r="BB21" t="s">
        <v>1467</v>
      </c>
      <c r="BO21" t="s">
        <v>1468</v>
      </c>
      <c r="BQ21" t="s">
        <v>1469</v>
      </c>
      <c r="BR21" t="s">
        <v>1470</v>
      </c>
      <c r="BT21" t="s">
        <v>1471</v>
      </c>
      <c r="BZ21" t="s">
        <v>1472</v>
      </c>
    </row>
    <row r="22" spans="2:78" x14ac:dyDescent="0.35">
      <c r="B22" t="s">
        <v>1473</v>
      </c>
      <c r="D22" t="s">
        <v>1474</v>
      </c>
      <c r="N22" t="s">
        <v>1475</v>
      </c>
      <c r="O22" t="s">
        <v>1476</v>
      </c>
      <c r="Q22" t="s">
        <v>1477</v>
      </c>
      <c r="W22" t="s">
        <v>1478</v>
      </c>
      <c r="AD22" t="s">
        <v>1479</v>
      </c>
      <c r="AG22" s="21" t="s">
        <v>1480</v>
      </c>
      <c r="AK22" t="s">
        <v>1481</v>
      </c>
      <c r="AR22" t="s">
        <v>1482</v>
      </c>
      <c r="AT22" t="s">
        <v>1483</v>
      </c>
      <c r="AV22" t="s">
        <v>1484</v>
      </c>
      <c r="BB22" t="s">
        <v>1485</v>
      </c>
      <c r="BQ22" t="s">
        <v>1486</v>
      </c>
      <c r="BR22" t="s">
        <v>1487</v>
      </c>
      <c r="BT22" t="s">
        <v>1488</v>
      </c>
      <c r="BZ22" t="s">
        <v>1489</v>
      </c>
    </row>
    <row r="23" spans="2:78" x14ac:dyDescent="0.35">
      <c r="B23" t="s">
        <v>1490</v>
      </c>
      <c r="N23" t="s">
        <v>1491</v>
      </c>
      <c r="O23" t="s">
        <v>1492</v>
      </c>
      <c r="Q23" t="s">
        <v>1493</v>
      </c>
      <c r="AD23" t="s">
        <v>1494</v>
      </c>
      <c r="AG23" s="21" t="s">
        <v>1495</v>
      </c>
      <c r="AK23" t="s">
        <v>1496</v>
      </c>
      <c r="AR23" t="s">
        <v>1497</v>
      </c>
      <c r="AT23" t="s">
        <v>1498</v>
      </c>
      <c r="AV23" t="s">
        <v>1499</v>
      </c>
      <c r="BB23" t="s">
        <v>1500</v>
      </c>
      <c r="BQ23" t="s">
        <v>1501</v>
      </c>
      <c r="BR23" t="s">
        <v>1502</v>
      </c>
      <c r="BZ23" t="s">
        <v>1503</v>
      </c>
    </row>
    <row r="24" spans="2:78" x14ac:dyDescent="0.35">
      <c r="B24" t="s">
        <v>1504</v>
      </c>
      <c r="N24" t="s">
        <v>1505</v>
      </c>
      <c r="O24" t="s">
        <v>1506</v>
      </c>
      <c r="Q24" t="s">
        <v>1507</v>
      </c>
      <c r="AD24" t="s">
        <v>1508</v>
      </c>
      <c r="AG24" s="21" t="s">
        <v>1509</v>
      </c>
      <c r="AK24" t="s">
        <v>1510</v>
      </c>
      <c r="AR24" t="s">
        <v>1511</v>
      </c>
      <c r="AT24" t="s">
        <v>1512</v>
      </c>
      <c r="AV24" t="s">
        <v>1513</v>
      </c>
      <c r="BB24" t="s">
        <v>1514</v>
      </c>
      <c r="BQ24" t="s">
        <v>1515</v>
      </c>
      <c r="BR24" t="s">
        <v>1516</v>
      </c>
      <c r="BZ24" t="s">
        <v>1517</v>
      </c>
    </row>
    <row r="25" spans="2:78" x14ac:dyDescent="0.35">
      <c r="B25" t="s">
        <v>1518</v>
      </c>
      <c r="N25" t="s">
        <v>1519</v>
      </c>
      <c r="O25" t="s">
        <v>1520</v>
      </c>
      <c r="Q25" t="s">
        <v>1521</v>
      </c>
      <c r="AD25" t="s">
        <v>1522</v>
      </c>
      <c r="AG25" s="21" t="s">
        <v>1523</v>
      </c>
      <c r="AK25" t="s">
        <v>1524</v>
      </c>
      <c r="AR25" t="s">
        <v>1525</v>
      </c>
      <c r="AT25" t="s">
        <v>1526</v>
      </c>
      <c r="AV25" t="s">
        <v>1527</v>
      </c>
      <c r="BB25" t="s">
        <v>1528</v>
      </c>
      <c r="BQ25" t="s">
        <v>1529</v>
      </c>
      <c r="BR25" t="s">
        <v>1530</v>
      </c>
      <c r="BZ25" t="s">
        <v>1531</v>
      </c>
    </row>
    <row r="26" spans="2:78" x14ac:dyDescent="0.35">
      <c r="B26" t="s">
        <v>1532</v>
      </c>
      <c r="N26" t="s">
        <v>1533</v>
      </c>
      <c r="O26" t="s">
        <v>1534</v>
      </c>
      <c r="Q26" t="s">
        <v>1535</v>
      </c>
      <c r="AD26" t="s">
        <v>1536</v>
      </c>
      <c r="AG26" s="21" t="s">
        <v>1537</v>
      </c>
      <c r="AK26" t="s">
        <v>1538</v>
      </c>
      <c r="AR26" t="s">
        <v>1539</v>
      </c>
      <c r="AT26" t="s">
        <v>1540</v>
      </c>
      <c r="AV26" t="s">
        <v>1541</v>
      </c>
      <c r="BB26" t="s">
        <v>1542</v>
      </c>
      <c r="BQ26" t="s">
        <v>1543</v>
      </c>
      <c r="BR26" t="s">
        <v>1544</v>
      </c>
      <c r="BZ26" t="s">
        <v>1545</v>
      </c>
    </row>
    <row r="27" spans="2:78" x14ac:dyDescent="0.35">
      <c r="B27" t="s">
        <v>1546</v>
      </c>
      <c r="N27" t="s">
        <v>1547</v>
      </c>
      <c r="O27" t="s">
        <v>1548</v>
      </c>
      <c r="Q27" t="s">
        <v>1549</v>
      </c>
      <c r="AD27" t="s">
        <v>1550</v>
      </c>
      <c r="AG27" s="21" t="s">
        <v>1551</v>
      </c>
      <c r="AK27" t="s">
        <v>1552</v>
      </c>
      <c r="AR27" t="s">
        <v>1553</v>
      </c>
      <c r="AV27" t="s">
        <v>1554</v>
      </c>
      <c r="BB27" t="s">
        <v>1555</v>
      </c>
      <c r="BQ27" t="s">
        <v>1556</v>
      </c>
      <c r="BR27" t="s">
        <v>1557</v>
      </c>
      <c r="BZ27" t="s">
        <v>1558</v>
      </c>
    </row>
    <row r="28" spans="2:78" x14ac:dyDescent="0.35">
      <c r="B28" t="s">
        <v>1559</v>
      </c>
      <c r="N28" t="s">
        <v>1560</v>
      </c>
      <c r="O28" t="s">
        <v>1561</v>
      </c>
      <c r="Q28" t="s">
        <v>1562</v>
      </c>
      <c r="AD28" t="s">
        <v>1563</v>
      </c>
      <c r="AG28" s="21" t="s">
        <v>1564</v>
      </c>
      <c r="AK28" t="s">
        <v>1565</v>
      </c>
      <c r="AV28" t="s">
        <v>1566</v>
      </c>
      <c r="BB28" t="s">
        <v>1567</v>
      </c>
      <c r="BQ28" t="s">
        <v>1568</v>
      </c>
      <c r="BR28" t="s">
        <v>1569</v>
      </c>
      <c r="BZ28" t="s">
        <v>1570</v>
      </c>
    </row>
    <row r="29" spans="2:78" x14ac:dyDescent="0.35">
      <c r="B29" t="s">
        <v>1571</v>
      </c>
      <c r="N29" t="s">
        <v>1572</v>
      </c>
      <c r="O29" t="s">
        <v>1573</v>
      </c>
      <c r="Q29" t="s">
        <v>1574</v>
      </c>
      <c r="AD29" t="s">
        <v>1575</v>
      </c>
      <c r="AG29" s="21" t="s">
        <v>1576</v>
      </c>
      <c r="AK29" t="s">
        <v>1577</v>
      </c>
      <c r="AV29" t="s">
        <v>1578</v>
      </c>
      <c r="BB29" t="s">
        <v>1579</v>
      </c>
      <c r="BR29" t="s">
        <v>1580</v>
      </c>
      <c r="BZ29" t="s">
        <v>1581</v>
      </c>
    </row>
    <row r="30" spans="2:78" x14ac:dyDescent="0.35">
      <c r="B30" t="s">
        <v>1582</v>
      </c>
      <c r="N30" t="s">
        <v>1583</v>
      </c>
      <c r="O30" t="s">
        <v>1584</v>
      </c>
      <c r="Q30" t="s">
        <v>1585</v>
      </c>
      <c r="AD30" t="s">
        <v>1586</v>
      </c>
      <c r="AG30" s="21" t="s">
        <v>1587</v>
      </c>
      <c r="AK30" t="s">
        <v>1588</v>
      </c>
      <c r="AV30" t="s">
        <v>1589</v>
      </c>
      <c r="BB30" t="s">
        <v>1590</v>
      </c>
      <c r="BR30" t="s">
        <v>1591</v>
      </c>
      <c r="BZ30" t="s">
        <v>1592</v>
      </c>
    </row>
    <row r="31" spans="2:78" x14ac:dyDescent="0.35">
      <c r="B31" t="s">
        <v>1593</v>
      </c>
      <c r="N31" t="s">
        <v>1594</v>
      </c>
      <c r="O31" t="s">
        <v>1595</v>
      </c>
      <c r="Q31" t="s">
        <v>1596</v>
      </c>
      <c r="AD31" t="s">
        <v>1597</v>
      </c>
      <c r="AG31" s="21" t="s">
        <v>1598</v>
      </c>
      <c r="AK31" t="s">
        <v>1599</v>
      </c>
      <c r="AV31" t="s">
        <v>1600</v>
      </c>
      <c r="BB31" t="s">
        <v>1601</v>
      </c>
      <c r="BR31" t="s">
        <v>1602</v>
      </c>
      <c r="BZ31" t="s">
        <v>1603</v>
      </c>
    </row>
    <row r="32" spans="2:78" x14ac:dyDescent="0.35">
      <c r="B32" t="s">
        <v>1604</v>
      </c>
      <c r="N32" t="s">
        <v>1605</v>
      </c>
      <c r="O32" t="s">
        <v>1606</v>
      </c>
      <c r="Q32" t="s">
        <v>1607</v>
      </c>
      <c r="AD32" t="s">
        <v>1608</v>
      </c>
      <c r="AG32" s="21" t="s">
        <v>1609</v>
      </c>
      <c r="AV32" t="s">
        <v>1610</v>
      </c>
      <c r="BB32" t="s">
        <v>1611</v>
      </c>
      <c r="BR32" t="s">
        <v>1612</v>
      </c>
      <c r="BZ32" t="s">
        <v>1613</v>
      </c>
    </row>
    <row r="33" spans="2:78" x14ac:dyDescent="0.35">
      <c r="B33" t="s">
        <v>1614</v>
      </c>
      <c r="N33" t="s">
        <v>1615</v>
      </c>
      <c r="O33" t="s">
        <v>1616</v>
      </c>
      <c r="Q33" t="s">
        <v>1617</v>
      </c>
      <c r="AD33" t="s">
        <v>1618</v>
      </c>
      <c r="AG33" s="21" t="s">
        <v>1619</v>
      </c>
      <c r="AV33" t="s">
        <v>1620</v>
      </c>
      <c r="BB33" t="s">
        <v>1621</v>
      </c>
      <c r="BR33" t="s">
        <v>1622</v>
      </c>
      <c r="BZ33" t="s">
        <v>1623</v>
      </c>
    </row>
    <row r="34" spans="2:78" x14ac:dyDescent="0.35">
      <c r="N34" t="s">
        <v>1624</v>
      </c>
      <c r="O34" t="s">
        <v>1625</v>
      </c>
      <c r="Q34" t="s">
        <v>1626</v>
      </c>
      <c r="AD34" t="s">
        <v>1627</v>
      </c>
      <c r="AG34" s="21" t="s">
        <v>1628</v>
      </c>
      <c r="AV34" t="s">
        <v>1629</v>
      </c>
      <c r="BB34" t="s">
        <v>1630</v>
      </c>
      <c r="BR34" t="s">
        <v>1631</v>
      </c>
      <c r="BZ34" t="s">
        <v>1632</v>
      </c>
    </row>
    <row r="35" spans="2:78" x14ac:dyDescent="0.35">
      <c r="N35" t="s">
        <v>1633</v>
      </c>
      <c r="O35" t="s">
        <v>1634</v>
      </c>
      <c r="Q35" t="s">
        <v>1635</v>
      </c>
      <c r="AD35" t="s">
        <v>1636</v>
      </c>
      <c r="AG35" s="21" t="s">
        <v>1637</v>
      </c>
      <c r="AV35" t="s">
        <v>1638</v>
      </c>
      <c r="BB35" t="s">
        <v>1639</v>
      </c>
      <c r="BR35" t="s">
        <v>1640</v>
      </c>
      <c r="BZ35" t="s">
        <v>1641</v>
      </c>
    </row>
    <row r="36" spans="2:78" x14ac:dyDescent="0.35">
      <c r="N36" t="s">
        <v>1642</v>
      </c>
      <c r="O36" t="s">
        <v>1643</v>
      </c>
      <c r="Q36" t="s">
        <v>1644</v>
      </c>
      <c r="AD36" t="s">
        <v>1645</v>
      </c>
      <c r="AG36" s="21" t="s">
        <v>1646</v>
      </c>
      <c r="AV36" t="s">
        <v>1647</v>
      </c>
      <c r="BB36" t="s">
        <v>1648</v>
      </c>
      <c r="BR36" t="s">
        <v>1649</v>
      </c>
      <c r="BZ36" t="s">
        <v>1650</v>
      </c>
    </row>
    <row r="37" spans="2:78" x14ac:dyDescent="0.35">
      <c r="N37" t="s">
        <v>1651</v>
      </c>
      <c r="O37" t="s">
        <v>1652</v>
      </c>
      <c r="Q37" t="s">
        <v>1653</v>
      </c>
      <c r="AD37" t="s">
        <v>1654</v>
      </c>
      <c r="AG37" s="21" t="s">
        <v>1655</v>
      </c>
      <c r="BB37" t="s">
        <v>1656</v>
      </c>
      <c r="BR37" t="s">
        <v>1657</v>
      </c>
      <c r="BZ37" t="s">
        <v>1658</v>
      </c>
    </row>
    <row r="38" spans="2:78" x14ac:dyDescent="0.35">
      <c r="N38" t="s">
        <v>1659</v>
      </c>
      <c r="O38" t="s">
        <v>1660</v>
      </c>
      <c r="Q38" t="s">
        <v>1661</v>
      </c>
      <c r="AD38" t="s">
        <v>1662</v>
      </c>
      <c r="AG38" s="21" t="s">
        <v>1663</v>
      </c>
      <c r="BB38" t="s">
        <v>1664</v>
      </c>
      <c r="BR38" t="s">
        <v>1665</v>
      </c>
      <c r="BZ38" t="s">
        <v>1666</v>
      </c>
    </row>
    <row r="39" spans="2:78" x14ac:dyDescent="0.35">
      <c r="N39" t="s">
        <v>1667</v>
      </c>
      <c r="O39" t="s">
        <v>1668</v>
      </c>
      <c r="Q39" t="s">
        <v>1669</v>
      </c>
      <c r="AD39" t="s">
        <v>1670</v>
      </c>
      <c r="AG39" s="21" t="s">
        <v>1671</v>
      </c>
      <c r="BB39" t="s">
        <v>1672</v>
      </c>
      <c r="BR39" t="s">
        <v>1673</v>
      </c>
    </row>
    <row r="40" spans="2:78" x14ac:dyDescent="0.35">
      <c r="N40" t="s">
        <v>1674</v>
      </c>
      <c r="O40" t="s">
        <v>1675</v>
      </c>
      <c r="Q40" t="s">
        <v>1676</v>
      </c>
      <c r="AD40" t="s">
        <v>1677</v>
      </c>
      <c r="AG40" s="21" t="s">
        <v>1678</v>
      </c>
      <c r="BB40" t="s">
        <v>1679</v>
      </c>
      <c r="BR40" t="s">
        <v>1680</v>
      </c>
    </row>
    <row r="41" spans="2:78" x14ac:dyDescent="0.35">
      <c r="N41" t="s">
        <v>1681</v>
      </c>
      <c r="O41" t="s">
        <v>1682</v>
      </c>
      <c r="Q41" t="s">
        <v>1683</v>
      </c>
      <c r="AD41" t="s">
        <v>1684</v>
      </c>
      <c r="AG41" s="21" t="s">
        <v>1685</v>
      </c>
      <c r="BB41" t="s">
        <v>1686</v>
      </c>
      <c r="BR41" t="s">
        <v>1687</v>
      </c>
    </row>
    <row r="42" spans="2:78" x14ac:dyDescent="0.35">
      <c r="N42" t="s">
        <v>1688</v>
      </c>
      <c r="O42" t="s">
        <v>1689</v>
      </c>
      <c r="Q42" t="s">
        <v>1690</v>
      </c>
      <c r="AD42" t="s">
        <v>1691</v>
      </c>
      <c r="AG42" s="21" t="s">
        <v>1692</v>
      </c>
      <c r="BB42" t="s">
        <v>1693</v>
      </c>
      <c r="BR42" t="s">
        <v>1694</v>
      </c>
    </row>
    <row r="43" spans="2:78" x14ac:dyDescent="0.35">
      <c r="N43" t="s">
        <v>1695</v>
      </c>
      <c r="O43" t="s">
        <v>1696</v>
      </c>
      <c r="Q43" t="s">
        <v>1697</v>
      </c>
      <c r="AD43" t="s">
        <v>1698</v>
      </c>
      <c r="AG43" s="21" t="s">
        <v>1699</v>
      </c>
      <c r="BB43" t="s">
        <v>1700</v>
      </c>
      <c r="BR43" t="s">
        <v>1701</v>
      </c>
    </row>
    <row r="44" spans="2:78" x14ac:dyDescent="0.35">
      <c r="N44" t="s">
        <v>1702</v>
      </c>
      <c r="O44" t="s">
        <v>1703</v>
      </c>
      <c r="Q44" t="s">
        <v>1704</v>
      </c>
      <c r="AD44" t="s">
        <v>1705</v>
      </c>
      <c r="AG44" s="21" t="s">
        <v>1706</v>
      </c>
      <c r="BB44" t="s">
        <v>1707</v>
      </c>
      <c r="BR44" t="s">
        <v>1708</v>
      </c>
    </row>
    <row r="45" spans="2:78" x14ac:dyDescent="0.35">
      <c r="N45" t="s">
        <v>1709</v>
      </c>
      <c r="O45" t="s">
        <v>1710</v>
      </c>
      <c r="Q45" t="s">
        <v>1711</v>
      </c>
      <c r="AD45" t="s">
        <v>1712</v>
      </c>
      <c r="AG45" s="21" t="s">
        <v>1713</v>
      </c>
      <c r="BB45" t="s">
        <v>1714</v>
      </c>
      <c r="BR45" t="s">
        <v>1715</v>
      </c>
    </row>
    <row r="46" spans="2:78" x14ac:dyDescent="0.35">
      <c r="N46" t="s">
        <v>1716</v>
      </c>
      <c r="O46" t="s">
        <v>1717</v>
      </c>
      <c r="Q46" t="s">
        <v>1718</v>
      </c>
      <c r="AD46" t="s">
        <v>1719</v>
      </c>
      <c r="AG46" s="21" t="s">
        <v>1720</v>
      </c>
      <c r="BB46" t="s">
        <v>1721</v>
      </c>
      <c r="BR46" t="s">
        <v>1722</v>
      </c>
    </row>
    <row r="47" spans="2:78" x14ac:dyDescent="0.35">
      <c r="N47" t="s">
        <v>1723</v>
      </c>
      <c r="O47" t="s">
        <v>1724</v>
      </c>
      <c r="Q47" t="s">
        <v>1725</v>
      </c>
      <c r="AD47" t="s">
        <v>1726</v>
      </c>
      <c r="AG47" s="21" t="s">
        <v>1727</v>
      </c>
      <c r="BB47" t="s">
        <v>1728</v>
      </c>
      <c r="BR47" t="s">
        <v>1729</v>
      </c>
    </row>
    <row r="48" spans="2:78" x14ac:dyDescent="0.35">
      <c r="N48" t="s">
        <v>1730</v>
      </c>
      <c r="O48" t="s">
        <v>1731</v>
      </c>
      <c r="Q48" t="s">
        <v>1732</v>
      </c>
      <c r="AD48" t="s">
        <v>1733</v>
      </c>
      <c r="AG48" s="21" t="s">
        <v>1734</v>
      </c>
      <c r="BB48" t="s">
        <v>1735</v>
      </c>
      <c r="BR48" t="s">
        <v>1736</v>
      </c>
    </row>
    <row r="49" spans="14:70" x14ac:dyDescent="0.35">
      <c r="N49" t="s">
        <v>1737</v>
      </c>
      <c r="O49" t="s">
        <v>1738</v>
      </c>
      <c r="Q49" t="s">
        <v>1739</v>
      </c>
      <c r="AD49" t="s">
        <v>1740</v>
      </c>
      <c r="AG49" s="21" t="s">
        <v>1741</v>
      </c>
      <c r="BB49" t="s">
        <v>1742</v>
      </c>
      <c r="BR49" t="s">
        <v>1743</v>
      </c>
    </row>
    <row r="50" spans="14:70" x14ac:dyDescent="0.35">
      <c r="N50" t="s">
        <v>1744</v>
      </c>
      <c r="O50" t="s">
        <v>1745</v>
      </c>
      <c r="Q50" t="s">
        <v>1746</v>
      </c>
      <c r="AD50" t="s">
        <v>1747</v>
      </c>
      <c r="AG50" s="21" t="s">
        <v>1748</v>
      </c>
      <c r="BB50" t="s">
        <v>1749</v>
      </c>
      <c r="BR50" t="s">
        <v>1750</v>
      </c>
    </row>
    <row r="51" spans="14:70" x14ac:dyDescent="0.35">
      <c r="N51" t="s">
        <v>1751</v>
      </c>
      <c r="O51" t="s">
        <v>1752</v>
      </c>
      <c r="Q51" t="s">
        <v>1753</v>
      </c>
      <c r="AD51" t="s">
        <v>1754</v>
      </c>
      <c r="AG51" s="21" t="s">
        <v>1755</v>
      </c>
      <c r="BB51" t="s">
        <v>1756</v>
      </c>
      <c r="BR51" t="s">
        <v>1757</v>
      </c>
    </row>
    <row r="52" spans="14:70" x14ac:dyDescent="0.35">
      <c r="O52" t="s">
        <v>1758</v>
      </c>
      <c r="Q52" t="s">
        <v>1759</v>
      </c>
      <c r="AD52" t="s">
        <v>1760</v>
      </c>
      <c r="AG52" s="21" t="s">
        <v>1761</v>
      </c>
      <c r="BB52" t="s">
        <v>1762</v>
      </c>
      <c r="BR52" t="s">
        <v>1763</v>
      </c>
    </row>
    <row r="53" spans="14:70" x14ac:dyDescent="0.35">
      <c r="O53" t="s">
        <v>1764</v>
      </c>
      <c r="Q53" t="s">
        <v>1765</v>
      </c>
      <c r="AD53" t="s">
        <v>1766</v>
      </c>
      <c r="AG53" s="21" t="s">
        <v>1767</v>
      </c>
      <c r="BB53" t="s">
        <v>1768</v>
      </c>
      <c r="BR53" t="s">
        <v>1769</v>
      </c>
    </row>
    <row r="54" spans="14:70" x14ac:dyDescent="0.35">
      <c r="O54" t="s">
        <v>1770</v>
      </c>
      <c r="Q54" t="s">
        <v>1771</v>
      </c>
      <c r="AD54" t="s">
        <v>1772</v>
      </c>
      <c r="AG54" s="21" t="s">
        <v>1773</v>
      </c>
      <c r="BB54" t="s">
        <v>1774</v>
      </c>
      <c r="BR54" t="s">
        <v>1775</v>
      </c>
    </row>
    <row r="55" spans="14:70" x14ac:dyDescent="0.35">
      <c r="O55" t="s">
        <v>1776</v>
      </c>
      <c r="Q55" t="s">
        <v>1777</v>
      </c>
      <c r="AD55" t="s">
        <v>1778</v>
      </c>
      <c r="AG55" s="21" t="s">
        <v>1779</v>
      </c>
      <c r="BB55" t="s">
        <v>1780</v>
      </c>
      <c r="BR55" t="s">
        <v>1781</v>
      </c>
    </row>
    <row r="56" spans="14:70" x14ac:dyDescent="0.35">
      <c r="O56" t="s">
        <v>1782</v>
      </c>
      <c r="Q56" t="s">
        <v>1783</v>
      </c>
      <c r="AD56" t="s">
        <v>1784</v>
      </c>
      <c r="AG56" s="21" t="s">
        <v>1785</v>
      </c>
      <c r="BB56" t="s">
        <v>1786</v>
      </c>
      <c r="BR56" t="s">
        <v>1787</v>
      </c>
    </row>
    <row r="57" spans="14:70" x14ac:dyDescent="0.35">
      <c r="O57" t="s">
        <v>1788</v>
      </c>
      <c r="Q57" t="s">
        <v>1789</v>
      </c>
      <c r="AD57" t="s">
        <v>1790</v>
      </c>
      <c r="AG57" s="21" t="s">
        <v>1791</v>
      </c>
      <c r="BB57" t="s">
        <v>1792</v>
      </c>
      <c r="BR57" t="s">
        <v>1793</v>
      </c>
    </row>
    <row r="58" spans="14:70" x14ac:dyDescent="0.35">
      <c r="O58" t="s">
        <v>1794</v>
      </c>
      <c r="Q58" t="s">
        <v>1795</v>
      </c>
      <c r="AD58" t="s">
        <v>1796</v>
      </c>
      <c r="AG58" s="21" t="s">
        <v>1797</v>
      </c>
      <c r="BB58" t="s">
        <v>1798</v>
      </c>
      <c r="BR58" t="s">
        <v>1799</v>
      </c>
    </row>
    <row r="59" spans="14:70" x14ac:dyDescent="0.35">
      <c r="O59" t="s">
        <v>1800</v>
      </c>
      <c r="Q59" t="s">
        <v>1801</v>
      </c>
      <c r="AD59" t="s">
        <v>1802</v>
      </c>
      <c r="AG59" s="21" t="s">
        <v>1803</v>
      </c>
      <c r="BB59" t="s">
        <v>1804</v>
      </c>
      <c r="BR59" t="s">
        <v>1805</v>
      </c>
    </row>
    <row r="60" spans="14:70" x14ac:dyDescent="0.35">
      <c r="O60" t="s">
        <v>1806</v>
      </c>
      <c r="Q60" t="s">
        <v>1807</v>
      </c>
      <c r="AD60" t="s">
        <v>1808</v>
      </c>
      <c r="AG60" s="21" t="s">
        <v>1809</v>
      </c>
      <c r="BB60" t="s">
        <v>1810</v>
      </c>
      <c r="BR60" t="s">
        <v>1811</v>
      </c>
    </row>
    <row r="61" spans="14:70" x14ac:dyDescent="0.35">
      <c r="O61" t="s">
        <v>1812</v>
      </c>
      <c r="Q61" t="s">
        <v>1813</v>
      </c>
      <c r="AD61" t="s">
        <v>1814</v>
      </c>
      <c r="AG61" s="21" t="s">
        <v>1815</v>
      </c>
      <c r="BB61" t="s">
        <v>1816</v>
      </c>
      <c r="BR61" t="s">
        <v>1817</v>
      </c>
    </row>
    <row r="62" spans="14:70" x14ac:dyDescent="0.35">
      <c r="O62" t="s">
        <v>1818</v>
      </c>
      <c r="Q62" t="s">
        <v>1819</v>
      </c>
      <c r="AD62" t="s">
        <v>1820</v>
      </c>
      <c r="AG62" s="21" t="s">
        <v>1821</v>
      </c>
      <c r="BR62" t="s">
        <v>1822</v>
      </c>
    </row>
    <row r="63" spans="14:70" x14ac:dyDescent="0.35">
      <c r="O63" t="s">
        <v>1823</v>
      </c>
      <c r="Q63" t="s">
        <v>1824</v>
      </c>
      <c r="AD63" t="s">
        <v>1825</v>
      </c>
      <c r="AG63" s="21" t="s">
        <v>1826</v>
      </c>
      <c r="BR63" t="s">
        <v>1827</v>
      </c>
    </row>
    <row r="64" spans="14:70" x14ac:dyDescent="0.35">
      <c r="O64" t="s">
        <v>1828</v>
      </c>
      <c r="Q64" t="s">
        <v>1829</v>
      </c>
      <c r="AD64" t="s">
        <v>1830</v>
      </c>
      <c r="AG64" s="21" t="s">
        <v>1831</v>
      </c>
      <c r="BR64" t="s">
        <v>1832</v>
      </c>
    </row>
    <row r="65" spans="15:70" x14ac:dyDescent="0.35">
      <c r="O65" t="s">
        <v>1833</v>
      </c>
      <c r="Q65" t="s">
        <v>1834</v>
      </c>
      <c r="AD65" t="s">
        <v>1835</v>
      </c>
      <c r="AG65" s="21" t="s">
        <v>1836</v>
      </c>
      <c r="BR65" t="s">
        <v>1837</v>
      </c>
    </row>
    <row r="66" spans="15:70" x14ac:dyDescent="0.35">
      <c r="O66" t="s">
        <v>1838</v>
      </c>
      <c r="Q66" t="s">
        <v>1839</v>
      </c>
      <c r="AG66" s="21" t="s">
        <v>1840</v>
      </c>
      <c r="BR66" t="s">
        <v>1841</v>
      </c>
    </row>
    <row r="67" spans="15:70" x14ac:dyDescent="0.35">
      <c r="O67" t="s">
        <v>1842</v>
      </c>
      <c r="Q67" t="s">
        <v>1843</v>
      </c>
      <c r="AG67" s="21" t="s">
        <v>1844</v>
      </c>
      <c r="BR67" t="s">
        <v>1845</v>
      </c>
    </row>
    <row r="68" spans="15:70" x14ac:dyDescent="0.35">
      <c r="O68" t="s">
        <v>1846</v>
      </c>
      <c r="Q68" t="s">
        <v>1847</v>
      </c>
      <c r="AG68" s="21" t="s">
        <v>1848</v>
      </c>
      <c r="BR68" t="s">
        <v>1849</v>
      </c>
    </row>
    <row r="69" spans="15:70" x14ac:dyDescent="0.35">
      <c r="O69" t="s">
        <v>1850</v>
      </c>
      <c r="Q69" t="s">
        <v>1851</v>
      </c>
      <c r="AG69" s="21" t="s">
        <v>1852</v>
      </c>
      <c r="BR69" t="s">
        <v>1853</v>
      </c>
    </row>
    <row r="70" spans="15:70" x14ac:dyDescent="0.35">
      <c r="O70" t="s">
        <v>1854</v>
      </c>
      <c r="Q70" t="s">
        <v>1855</v>
      </c>
      <c r="AG70" s="21" t="s">
        <v>1856</v>
      </c>
      <c r="BR70" t="s">
        <v>1857</v>
      </c>
    </row>
    <row r="71" spans="15:70" x14ac:dyDescent="0.35">
      <c r="O71" t="s">
        <v>1858</v>
      </c>
      <c r="Q71" t="s">
        <v>1859</v>
      </c>
      <c r="AG71" s="21" t="s">
        <v>1860</v>
      </c>
      <c r="BR71" t="s">
        <v>1861</v>
      </c>
    </row>
    <row r="72" spans="15:70" x14ac:dyDescent="0.35">
      <c r="O72" t="s">
        <v>1862</v>
      </c>
      <c r="Q72" t="s">
        <v>1863</v>
      </c>
      <c r="AG72" s="21" t="s">
        <v>1864</v>
      </c>
      <c r="BR72" t="s">
        <v>1865</v>
      </c>
    </row>
    <row r="73" spans="15:70" x14ac:dyDescent="0.35">
      <c r="O73" t="s">
        <v>1866</v>
      </c>
      <c r="Q73" t="s">
        <v>1867</v>
      </c>
      <c r="AG73" s="21" t="s">
        <v>1868</v>
      </c>
      <c r="BR73" t="s">
        <v>1869</v>
      </c>
    </row>
    <row r="74" spans="15:70" x14ac:dyDescent="0.35">
      <c r="O74" t="s">
        <v>1870</v>
      </c>
      <c r="Q74" t="s">
        <v>1871</v>
      </c>
      <c r="AG74" s="21" t="s">
        <v>1872</v>
      </c>
      <c r="BR74" t="s">
        <v>1873</v>
      </c>
    </row>
    <row r="75" spans="15:70" x14ac:dyDescent="0.35">
      <c r="O75" t="s">
        <v>1874</v>
      </c>
      <c r="AG75" s="21" t="s">
        <v>1875</v>
      </c>
      <c r="BR75" t="s">
        <v>1876</v>
      </c>
    </row>
    <row r="76" spans="15:70" x14ac:dyDescent="0.35">
      <c r="O76" t="s">
        <v>1877</v>
      </c>
      <c r="AG76" s="21" t="s">
        <v>1878</v>
      </c>
      <c r="BR76" t="s">
        <v>1879</v>
      </c>
    </row>
    <row r="77" spans="15:70" x14ac:dyDescent="0.35">
      <c r="O77" t="s">
        <v>1880</v>
      </c>
      <c r="AG77" s="21" t="s">
        <v>1881</v>
      </c>
      <c r="BR77" t="s">
        <v>1882</v>
      </c>
    </row>
    <row r="78" spans="15:70" x14ac:dyDescent="0.35">
      <c r="O78" t="s">
        <v>1883</v>
      </c>
      <c r="AG78" s="21" t="s">
        <v>1884</v>
      </c>
      <c r="BR78" t="s">
        <v>1885</v>
      </c>
    </row>
    <row r="79" spans="15:70" x14ac:dyDescent="0.35">
      <c r="O79" t="s">
        <v>1886</v>
      </c>
      <c r="AG79" s="21" t="s">
        <v>1887</v>
      </c>
      <c r="BR79" t="s">
        <v>1888</v>
      </c>
    </row>
    <row r="80" spans="15:70" x14ac:dyDescent="0.35">
      <c r="O80" t="s">
        <v>1889</v>
      </c>
      <c r="AG80" s="21" t="s">
        <v>1890</v>
      </c>
      <c r="BR80" t="s">
        <v>1891</v>
      </c>
    </row>
    <row r="81" spans="15:70" x14ac:dyDescent="0.35">
      <c r="O81" t="s">
        <v>1892</v>
      </c>
      <c r="AG81" s="21" t="s">
        <v>1893</v>
      </c>
      <c r="BR81" t="s">
        <v>1894</v>
      </c>
    </row>
    <row r="82" spans="15:70" x14ac:dyDescent="0.35">
      <c r="O82" t="s">
        <v>1895</v>
      </c>
      <c r="AG82" s="21" t="s">
        <v>1896</v>
      </c>
      <c r="BR82" t="s">
        <v>1897</v>
      </c>
    </row>
    <row r="83" spans="15:70" x14ac:dyDescent="0.35">
      <c r="O83" t="s">
        <v>1898</v>
      </c>
      <c r="AG83" s="21" t="s">
        <v>1899</v>
      </c>
      <c r="BR83" t="s">
        <v>1900</v>
      </c>
    </row>
    <row r="84" spans="15:70" x14ac:dyDescent="0.35">
      <c r="O84" t="s">
        <v>1901</v>
      </c>
      <c r="AG84" s="21" t="s">
        <v>1902</v>
      </c>
      <c r="BR84" t="s">
        <v>1903</v>
      </c>
    </row>
    <row r="85" spans="15:70" x14ac:dyDescent="0.35">
      <c r="O85" t="s">
        <v>1904</v>
      </c>
      <c r="AG85" s="21" t="s">
        <v>1905</v>
      </c>
      <c r="BR85" t="s">
        <v>1906</v>
      </c>
    </row>
    <row r="86" spans="15:70" x14ac:dyDescent="0.35">
      <c r="O86" t="s">
        <v>1907</v>
      </c>
      <c r="AG86" s="21" t="s">
        <v>1908</v>
      </c>
      <c r="BR86" t="s">
        <v>1909</v>
      </c>
    </row>
    <row r="87" spans="15:70" x14ac:dyDescent="0.35">
      <c r="O87" t="s">
        <v>1910</v>
      </c>
      <c r="AG87" s="21" t="s">
        <v>1911</v>
      </c>
      <c r="BR87" t="s">
        <v>1912</v>
      </c>
    </row>
    <row r="88" spans="15:70" x14ac:dyDescent="0.35">
      <c r="O88" t="s">
        <v>1913</v>
      </c>
      <c r="AG88" s="21" t="s">
        <v>1914</v>
      </c>
      <c r="BR88" t="s">
        <v>1915</v>
      </c>
    </row>
    <row r="89" spans="15:70" x14ac:dyDescent="0.35">
      <c r="O89" t="s">
        <v>1916</v>
      </c>
      <c r="AG89" s="21" t="s">
        <v>1917</v>
      </c>
      <c r="BR89" t="s">
        <v>1918</v>
      </c>
    </row>
    <row r="90" spans="15:70" x14ac:dyDescent="0.35">
      <c r="O90" t="s">
        <v>1919</v>
      </c>
      <c r="BR90" t="s">
        <v>1920</v>
      </c>
    </row>
    <row r="91" spans="15:70" x14ac:dyDescent="0.35">
      <c r="O91" t="s">
        <v>1921</v>
      </c>
      <c r="BR91" t="s">
        <v>1922</v>
      </c>
    </row>
    <row r="92" spans="15:70" x14ac:dyDescent="0.35">
      <c r="O92" t="s">
        <v>1923</v>
      </c>
      <c r="BR92" t="s">
        <v>1924</v>
      </c>
    </row>
    <row r="93" spans="15:70" x14ac:dyDescent="0.35">
      <c r="O93" t="s">
        <v>1925</v>
      </c>
      <c r="BR93" t="s">
        <v>1926</v>
      </c>
    </row>
    <row r="94" spans="15:70" x14ac:dyDescent="0.35">
      <c r="O94" t="s">
        <v>1927</v>
      </c>
      <c r="BR94" t="s">
        <v>1928</v>
      </c>
    </row>
    <row r="95" spans="15:70" x14ac:dyDescent="0.35">
      <c r="O95" t="s">
        <v>1929</v>
      </c>
      <c r="BR95" t="s">
        <v>1930</v>
      </c>
    </row>
    <row r="96" spans="15:70" x14ac:dyDescent="0.35">
      <c r="O96" t="s">
        <v>1931</v>
      </c>
      <c r="BR96" t="s">
        <v>1932</v>
      </c>
    </row>
    <row r="97" spans="15:70" x14ac:dyDescent="0.35">
      <c r="O97" t="s">
        <v>1933</v>
      </c>
      <c r="BR97" t="s">
        <v>1934</v>
      </c>
    </row>
    <row r="98" spans="15:70" x14ac:dyDescent="0.35">
      <c r="O98" t="s">
        <v>1935</v>
      </c>
      <c r="BR98" t="s">
        <v>1936</v>
      </c>
    </row>
    <row r="99" spans="15:70" x14ac:dyDescent="0.35">
      <c r="O99" t="s">
        <v>1937</v>
      </c>
    </row>
    <row r="100" spans="15:70" x14ac:dyDescent="0.35">
      <c r="O100" t="s">
        <v>1938</v>
      </c>
    </row>
    <row r="101" spans="15:70" x14ac:dyDescent="0.35">
      <c r="O101" t="s">
        <v>1939</v>
      </c>
    </row>
    <row r="102" spans="15:70" x14ac:dyDescent="0.35">
      <c r="O102" t="s">
        <v>1940</v>
      </c>
    </row>
    <row r="103" spans="15:70" x14ac:dyDescent="0.35">
      <c r="O103" t="s">
        <v>1941</v>
      </c>
    </row>
    <row r="104" spans="15:70" x14ac:dyDescent="0.35">
      <c r="O104" t="s">
        <v>1942</v>
      </c>
    </row>
    <row r="105" spans="15:70" x14ac:dyDescent="0.35">
      <c r="O105" t="s">
        <v>1943</v>
      </c>
    </row>
    <row r="106" spans="15:70" x14ac:dyDescent="0.35">
      <c r="O106" t="s">
        <v>1944</v>
      </c>
    </row>
    <row r="107" spans="15:70" x14ac:dyDescent="0.35">
      <c r="O107" t="s">
        <v>1945</v>
      </c>
    </row>
    <row r="108" spans="15:70" x14ac:dyDescent="0.35">
      <c r="O108" t="s">
        <v>1946</v>
      </c>
    </row>
    <row r="109" spans="15:70" x14ac:dyDescent="0.35">
      <c r="O109" t="s">
        <v>1947</v>
      </c>
    </row>
    <row r="110" spans="15:70" x14ac:dyDescent="0.35">
      <c r="O110" t="s">
        <v>1948</v>
      </c>
    </row>
    <row r="111" spans="15:70" x14ac:dyDescent="0.35">
      <c r="O111" t="s">
        <v>1949</v>
      </c>
    </row>
    <row r="112" spans="15:70" x14ac:dyDescent="0.35">
      <c r="O112" t="s">
        <v>1950</v>
      </c>
    </row>
    <row r="113" spans="15:15" x14ac:dyDescent="0.35">
      <c r="O113" t="s">
        <v>1951</v>
      </c>
    </row>
    <row r="114" spans="15:15" x14ac:dyDescent="0.35">
      <c r="O114" t="s">
        <v>1952</v>
      </c>
    </row>
    <row r="115" spans="15:15" x14ac:dyDescent="0.35">
      <c r="O115" t="s">
        <v>1953</v>
      </c>
    </row>
    <row r="116" spans="15:15" x14ac:dyDescent="0.35">
      <c r="O116" t="s">
        <v>1954</v>
      </c>
    </row>
    <row r="117" spans="15:15" x14ac:dyDescent="0.35">
      <c r="O117" t="s">
        <v>1955</v>
      </c>
    </row>
    <row r="118" spans="15:15" x14ac:dyDescent="0.35">
      <c r="O118" t="s">
        <v>1956</v>
      </c>
    </row>
    <row r="119" spans="15:15" x14ac:dyDescent="0.35">
      <c r="O119" t="s">
        <v>1957</v>
      </c>
    </row>
    <row r="120" spans="15:15" x14ac:dyDescent="0.35">
      <c r="O120" t="s">
        <v>1958</v>
      </c>
    </row>
    <row r="121" spans="15:15" x14ac:dyDescent="0.35">
      <c r="O121" t="s">
        <v>1959</v>
      </c>
    </row>
    <row r="122" spans="15:15" x14ac:dyDescent="0.35">
      <c r="O122" t="s">
        <v>1960</v>
      </c>
    </row>
    <row r="124" spans="15:15" x14ac:dyDescent="0.35">
      <c r="O124" t="s">
        <v>1961</v>
      </c>
    </row>
    <row r="132" spans="1:60" x14ac:dyDescent="0.35">
      <c r="A132" t="s">
        <v>1962</v>
      </c>
      <c r="BG132" t="s">
        <v>1963</v>
      </c>
      <c r="BH132" t="s">
        <v>1964</v>
      </c>
    </row>
    <row r="133" spans="1:60" x14ac:dyDescent="0.35">
      <c r="A133" t="s">
        <v>1965</v>
      </c>
      <c r="B133" t="s">
        <v>680</v>
      </c>
      <c r="C133" t="s">
        <v>692</v>
      </c>
      <c r="D133" t="s">
        <v>705</v>
      </c>
      <c r="E133" t="s">
        <v>1966</v>
      </c>
      <c r="F133" t="s">
        <v>674</v>
      </c>
      <c r="G133" t="s">
        <v>704</v>
      </c>
      <c r="H133" t="s">
        <v>695</v>
      </c>
      <c r="I133" t="s">
        <v>701</v>
      </c>
      <c r="J133" t="s">
        <v>500</v>
      </c>
      <c r="K133" t="s">
        <v>700</v>
      </c>
      <c r="L133" t="s">
        <v>681</v>
      </c>
      <c r="M133" t="s">
        <v>691</v>
      </c>
      <c r="N133" t="s">
        <v>1967</v>
      </c>
      <c r="O133" t="s">
        <v>1968</v>
      </c>
      <c r="P133" t="s">
        <v>544</v>
      </c>
      <c r="Q133" t="s">
        <v>1969</v>
      </c>
      <c r="R133" t="s">
        <v>694</v>
      </c>
      <c r="S133" t="s">
        <v>287</v>
      </c>
      <c r="T133" t="s">
        <v>708</v>
      </c>
      <c r="U133" t="s">
        <v>1970</v>
      </c>
      <c r="V133" t="s">
        <v>690</v>
      </c>
      <c r="W133" t="s">
        <v>684</v>
      </c>
      <c r="X133" t="s">
        <v>1971</v>
      </c>
      <c r="Y133" t="s">
        <v>696</v>
      </c>
      <c r="Z133" t="s">
        <v>698</v>
      </c>
      <c r="AA133" t="s">
        <v>702</v>
      </c>
      <c r="AB133" t="s">
        <v>1972</v>
      </c>
      <c r="AC133" t="s">
        <v>706</v>
      </c>
      <c r="AD133" t="s">
        <v>675</v>
      </c>
      <c r="AE133" t="s">
        <v>1973</v>
      </c>
      <c r="AF133" t="s">
        <v>707</v>
      </c>
      <c r="AG133" t="s">
        <v>1974</v>
      </c>
      <c r="AH133" t="s">
        <v>687</v>
      </c>
      <c r="AI133" t="s">
        <v>688</v>
      </c>
      <c r="AJ133" t="s">
        <v>699</v>
      </c>
      <c r="AK133" t="s">
        <v>1975</v>
      </c>
      <c r="AL133" t="s">
        <v>683</v>
      </c>
      <c r="AM133" t="s">
        <v>685</v>
      </c>
      <c r="AN133" t="s">
        <v>678</v>
      </c>
      <c r="AO133" t="s">
        <v>703</v>
      </c>
      <c r="AP133" t="s">
        <v>476</v>
      </c>
      <c r="AQ133" t="s">
        <v>523</v>
      </c>
      <c r="AR133" t="s">
        <v>1976</v>
      </c>
      <c r="AS133" t="s">
        <v>693</v>
      </c>
      <c r="AT133" t="s">
        <v>676</v>
      </c>
      <c r="AU133" t="s">
        <v>686</v>
      </c>
      <c r="AV133" t="s">
        <v>689</v>
      </c>
      <c r="AW133" t="s">
        <v>682</v>
      </c>
      <c r="AX133" t="s">
        <v>1977</v>
      </c>
      <c r="AY133" t="s">
        <v>513</v>
      </c>
      <c r="AZ133" t="s">
        <v>679</v>
      </c>
      <c r="BA133" t="s">
        <v>1978</v>
      </c>
      <c r="BB133" t="s">
        <v>1979</v>
      </c>
      <c r="BC133" t="s">
        <v>697</v>
      </c>
      <c r="BD133" t="s">
        <v>677</v>
      </c>
      <c r="BE133" t="s">
        <v>1980</v>
      </c>
      <c r="BG133" t="s">
        <v>1965</v>
      </c>
      <c r="BH133" t="s">
        <v>1981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A4842-E7D2-4697-A9DF-E6E80B01BC18}">
  <sheetPr codeName="Planilha10"/>
  <dimension ref="A1:AN1373"/>
  <sheetViews>
    <sheetView workbookViewId="0">
      <pane xSplit="3" ySplit="1" topLeftCell="AC349" activePane="bottomRight" state="frozen"/>
      <selection pane="topRight" activeCell="D1" sqref="D1"/>
      <selection pane="bottomLeft" activeCell="A2" sqref="A2"/>
      <selection pane="bottomRight" activeCell="C356" sqref="C356"/>
    </sheetView>
  </sheetViews>
  <sheetFormatPr defaultColWidth="8.81640625" defaultRowHeight="14.5" x14ac:dyDescent="0.35"/>
  <cols>
    <col min="1" max="1" width="31.54296875" style="41" bestFit="1" customWidth="1"/>
    <col min="2" max="2" width="41.1796875" style="41" bestFit="1" customWidth="1"/>
    <col min="3" max="3" width="45.81640625" style="41" bestFit="1" customWidth="1"/>
    <col min="4" max="4" width="19.26953125" style="41" bestFit="1" customWidth="1"/>
    <col min="5" max="5" width="5" style="17" bestFit="1" customWidth="1"/>
    <col min="6" max="6" width="21.1796875" style="41" bestFit="1" customWidth="1"/>
    <col min="7" max="7" width="27.81640625" style="41" bestFit="1" customWidth="1"/>
    <col min="8" max="8" width="20" style="41" bestFit="1" customWidth="1"/>
    <col min="9" max="9" width="15" style="41" bestFit="1" customWidth="1"/>
    <col min="10" max="10" width="21.81640625" style="41" bestFit="1" customWidth="1"/>
    <col min="11" max="11" width="18.54296875" style="41" bestFit="1" customWidth="1"/>
    <col min="12" max="12" width="8.81640625" style="41"/>
    <col min="13" max="13" width="16.26953125" style="41" bestFit="1" customWidth="1"/>
    <col min="14" max="14" width="28.81640625" style="41" bestFit="1" customWidth="1"/>
    <col min="15" max="15" width="26.54296875" style="41" bestFit="1" customWidth="1"/>
    <col min="16" max="16" width="34.453125" style="41" bestFit="1" customWidth="1"/>
    <col min="17" max="17" width="29.7265625" style="41" bestFit="1" customWidth="1"/>
    <col min="18" max="18" width="28.54296875" style="41" bestFit="1" customWidth="1"/>
    <col min="19" max="19" width="34.1796875" style="41" bestFit="1" customWidth="1"/>
    <col min="20" max="20" width="38.1796875" style="41" bestFit="1" customWidth="1"/>
    <col min="21" max="21" width="39.54296875" style="41" bestFit="1" customWidth="1"/>
    <col min="22" max="22" width="24" style="41" bestFit="1" customWidth="1"/>
    <col min="23" max="23" width="36.453125" style="41" bestFit="1" customWidth="1"/>
    <col min="24" max="24" width="7.26953125" style="41" customWidth="1"/>
    <col min="25" max="25" width="32.7265625" style="41" bestFit="1" customWidth="1"/>
    <col min="26" max="26" width="16" style="41" bestFit="1" customWidth="1"/>
    <col min="27" max="27" width="16.26953125" style="41" bestFit="1" customWidth="1"/>
    <col min="28" max="28" width="17.81640625" style="41" bestFit="1" customWidth="1"/>
    <col min="29" max="29" width="17" style="41" bestFit="1" customWidth="1"/>
    <col min="30" max="30" width="20.453125" style="41" bestFit="1" customWidth="1"/>
    <col min="31" max="31" width="29.1796875" style="41" bestFit="1" customWidth="1"/>
    <col min="32" max="32" width="34" style="41" bestFit="1" customWidth="1"/>
    <col min="33" max="33" width="21.453125" style="41" bestFit="1" customWidth="1"/>
    <col min="34" max="34" width="22" style="41" bestFit="1" customWidth="1"/>
    <col min="35" max="35" width="19.54296875" style="41" bestFit="1" customWidth="1"/>
    <col min="36" max="36" width="22.1796875" style="41" bestFit="1" customWidth="1"/>
    <col min="37" max="37" width="5.81640625" style="22" bestFit="1" customWidth="1"/>
    <col min="38" max="38" width="7.26953125" style="22" bestFit="1" customWidth="1"/>
    <col min="39" max="39" width="13.1796875" style="17" bestFit="1" customWidth="1"/>
    <col min="40" max="40" width="11.453125" style="17" bestFit="1" customWidth="1"/>
    <col min="41" max="16384" width="8.81640625" style="41"/>
  </cols>
  <sheetData>
    <row r="1" spans="1:40" ht="15.5" x14ac:dyDescent="0.35">
      <c r="A1" s="11" t="s">
        <v>65</v>
      </c>
      <c r="B1" s="11" t="s">
        <v>253</v>
      </c>
      <c r="C1" s="11" t="s">
        <v>0</v>
      </c>
      <c r="D1" s="11" t="s">
        <v>254</v>
      </c>
      <c r="E1" s="9" t="s">
        <v>255</v>
      </c>
      <c r="F1" s="11" t="s">
        <v>256</v>
      </c>
      <c r="G1" s="11" t="s">
        <v>257</v>
      </c>
      <c r="H1" s="11" t="s">
        <v>258</v>
      </c>
      <c r="I1" s="11" t="s">
        <v>259</v>
      </c>
      <c r="J1" s="11" t="s">
        <v>260</v>
      </c>
      <c r="K1" s="11" t="s">
        <v>261</v>
      </c>
      <c r="M1" s="11" t="s">
        <v>262</v>
      </c>
      <c r="N1" s="41" t="s">
        <v>263</v>
      </c>
      <c r="O1" s="41" t="s">
        <v>264</v>
      </c>
      <c r="P1" s="41" t="s">
        <v>265</v>
      </c>
      <c r="Q1" s="41" t="s">
        <v>266</v>
      </c>
      <c r="R1" s="41" t="s">
        <v>267</v>
      </c>
      <c r="S1" s="41" t="s">
        <v>268</v>
      </c>
      <c r="T1" s="41" t="s">
        <v>269</v>
      </c>
      <c r="U1" s="41" t="s">
        <v>270</v>
      </c>
      <c r="V1" s="41" t="s">
        <v>271</v>
      </c>
      <c r="W1" s="41" t="s">
        <v>272</v>
      </c>
      <c r="Y1" s="41" t="s">
        <v>273</v>
      </c>
      <c r="Z1" s="41" t="s">
        <v>274</v>
      </c>
      <c r="AA1" s="41" t="s">
        <v>275</v>
      </c>
      <c r="AB1" s="41" t="s">
        <v>276</v>
      </c>
      <c r="AC1" s="41" t="s">
        <v>277</v>
      </c>
      <c r="AD1" s="41" t="s">
        <v>278</v>
      </c>
      <c r="AE1" s="41" t="s">
        <v>279</v>
      </c>
      <c r="AF1" s="41" t="s">
        <v>280</v>
      </c>
      <c r="AG1" s="41" t="s">
        <v>281</v>
      </c>
      <c r="AH1" s="41" t="s">
        <v>282</v>
      </c>
      <c r="AI1" s="41" t="s">
        <v>283</v>
      </c>
      <c r="AJ1" s="41" t="s">
        <v>284</v>
      </c>
      <c r="AK1" s="41" t="s">
        <v>3838</v>
      </c>
      <c r="AL1" s="41" t="s">
        <v>3769</v>
      </c>
      <c r="AM1" s="17" t="s">
        <v>285</v>
      </c>
      <c r="AN1" s="17" t="s">
        <v>286</v>
      </c>
    </row>
    <row r="2" spans="1:40" x14ac:dyDescent="0.35">
      <c r="A2" s="22" t="s">
        <v>1965</v>
      </c>
      <c r="B2" s="17" t="str">
        <f t="shared" ref="B2:B33" si="0">RIGHT(C2,LEN(C2)-(FIND(" - ", C2)+2))</f>
        <v>PVI-12.5-TL-OUTD</v>
      </c>
      <c r="C2" s="22" t="s">
        <v>2042</v>
      </c>
      <c r="AM2" s="17">
        <f>IF(A2="","",MATCH(A2,'Lista - Inversor'!$2:$2,0))</f>
        <v>1</v>
      </c>
      <c r="AN2" s="17">
        <f>IF(C2="","",MATCH(C2,'Lista - Inversor'!$A:$A,0)-3)</f>
        <v>1</v>
      </c>
    </row>
    <row r="3" spans="1:40" x14ac:dyDescent="0.35">
      <c r="A3" s="22" t="s">
        <v>1965</v>
      </c>
      <c r="B3" s="17" t="str">
        <f t="shared" si="0"/>
        <v>UNO-DM-1.2-TL-PLUS</v>
      </c>
      <c r="C3" s="22" t="s">
        <v>2089</v>
      </c>
      <c r="AM3" s="17">
        <f>IF(A3="","",MATCH(A3,'Lista - Inversor'!$2:$2,0))</f>
        <v>1</v>
      </c>
      <c r="AN3" s="17">
        <f>IF(C3="","",MATCH(C3,'Lista - Inversor'!$A:$A,0)-3)</f>
        <v>2</v>
      </c>
    </row>
    <row r="4" spans="1:40" x14ac:dyDescent="0.35">
      <c r="A4" s="22" t="s">
        <v>1965</v>
      </c>
      <c r="B4" s="17" t="str">
        <f t="shared" si="0"/>
        <v>UNO-DM-2.0-TL-PLUS-SB</v>
      </c>
      <c r="C4" s="22" t="s">
        <v>2133</v>
      </c>
      <c r="AM4" s="17">
        <f>IF(A4="","",MATCH(A4,'Lista - Inversor'!$2:$2,0))</f>
        <v>1</v>
      </c>
      <c r="AN4" s="17">
        <f>IF(C4="","",MATCH(C4,'Lista - Inversor'!$A:$A,0)-3)</f>
        <v>3</v>
      </c>
    </row>
    <row r="5" spans="1:40" x14ac:dyDescent="0.35">
      <c r="A5" s="22" t="s">
        <v>1965</v>
      </c>
      <c r="B5" s="17" t="str">
        <f t="shared" si="0"/>
        <v>UNO-DM-3.3-TL-PLUS</v>
      </c>
      <c r="C5" s="22" t="s">
        <v>2175</v>
      </c>
      <c r="AM5" s="17">
        <f>IF(A5="","",MATCH(A5,'Lista - Inversor'!$2:$2,0))</f>
        <v>1</v>
      </c>
      <c r="AN5" s="17">
        <f>IF(C5="","",MATCH(C5,'Lista - Inversor'!$A:$A,0)-3)</f>
        <v>4</v>
      </c>
    </row>
    <row r="6" spans="1:40" x14ac:dyDescent="0.35">
      <c r="A6" s="22" t="s">
        <v>1965</v>
      </c>
      <c r="B6" s="17" t="str">
        <f t="shared" si="0"/>
        <v>UNO-DM-4.0-TL-PLUS</v>
      </c>
      <c r="C6" s="22" t="s">
        <v>2214</v>
      </c>
      <c r="AM6" s="17">
        <f>IF(A6="","",MATCH(A6,'Lista - Inversor'!$2:$2,0))</f>
        <v>1</v>
      </c>
      <c r="AN6" s="17">
        <f>IF(C6="","",MATCH(C6,'Lista - Inversor'!$A:$A,0)-3)</f>
        <v>5</v>
      </c>
    </row>
    <row r="7" spans="1:40" x14ac:dyDescent="0.35">
      <c r="A7" s="22" t="s">
        <v>1965</v>
      </c>
      <c r="B7" s="17" t="str">
        <f t="shared" si="0"/>
        <v>UNO-DM-4.6-TL-PLUS</v>
      </c>
      <c r="C7" s="22" t="s">
        <v>2248</v>
      </c>
      <c r="AM7" s="17">
        <f>IF(A7="","",MATCH(A7,'Lista - Inversor'!$2:$2,0))</f>
        <v>1</v>
      </c>
      <c r="AN7" s="17">
        <f>IF(C7="","",MATCH(C7,'Lista - Inversor'!$A:$A,0)-3)</f>
        <v>6</v>
      </c>
    </row>
    <row r="8" spans="1:40" x14ac:dyDescent="0.35">
      <c r="A8" s="22" t="s">
        <v>1965</v>
      </c>
      <c r="B8" s="17" t="str">
        <f t="shared" si="0"/>
        <v>UNO-DM-5.0-TL-PLUS</v>
      </c>
      <c r="C8" s="22" t="s">
        <v>2281</v>
      </c>
      <c r="AM8" s="17">
        <f>IF(A8="","",MATCH(A8,'Lista - Inversor'!$2:$2,0))</f>
        <v>1</v>
      </c>
      <c r="AN8" s="17">
        <f>IF(C8="","",MATCH(C8,'Lista - Inversor'!$A:$A,0)-3)</f>
        <v>7</v>
      </c>
    </row>
    <row r="9" spans="1:40" x14ac:dyDescent="0.35">
      <c r="A9" s="22" t="s">
        <v>1965</v>
      </c>
      <c r="B9" s="17" t="str">
        <f t="shared" si="0"/>
        <v>TRIO-TM-50.0-400</v>
      </c>
      <c r="C9" s="22" t="s">
        <v>2311</v>
      </c>
      <c r="AM9" s="17">
        <f>IF(A9="","",MATCH(A9,'Lista - Inversor'!$2:$2,0))</f>
        <v>1</v>
      </c>
      <c r="AN9" s="17">
        <f>IF(C9="","",MATCH(C9,'Lista - Inversor'!$A:$A,0)-3)</f>
        <v>8</v>
      </c>
    </row>
    <row r="10" spans="1:40" x14ac:dyDescent="0.35">
      <c r="A10" s="22" t="s">
        <v>1965</v>
      </c>
      <c r="B10" s="17" t="str">
        <f t="shared" si="0"/>
        <v>TRIO-TM-60.0-480</v>
      </c>
      <c r="C10" s="22" t="s">
        <v>2339</v>
      </c>
      <c r="AM10" s="17">
        <f>IF(A10="","",MATCH(A10,'Lista - Inversor'!$2:$2,0))</f>
        <v>1</v>
      </c>
      <c r="AN10" s="17">
        <f>IF(C10="","",MATCH(C10,'Lista - Inversor'!$A:$A,0)-3)</f>
        <v>9</v>
      </c>
    </row>
    <row r="11" spans="1:40" x14ac:dyDescent="0.35">
      <c r="A11" s="22" t="s">
        <v>1965</v>
      </c>
      <c r="B11" s="17" t="str">
        <f t="shared" si="0"/>
        <v>TRIO-27.6-TL-OUTD</v>
      </c>
      <c r="C11" s="22" t="s">
        <v>2366</v>
      </c>
      <c r="AM11" s="17">
        <f>IF(A11="","",MATCH(A11,'Lista - Inversor'!$2:$2,0))</f>
        <v>1</v>
      </c>
      <c r="AN11" s="17">
        <f>IF(C11="","",MATCH(C11,'Lista - Inversor'!$A:$A,0)-3)</f>
        <v>10</v>
      </c>
    </row>
    <row r="12" spans="1:40" x14ac:dyDescent="0.35">
      <c r="A12" s="22" t="s">
        <v>1965</v>
      </c>
      <c r="B12" s="17" t="str">
        <f t="shared" si="0"/>
        <v>PVI-6000-TL-OUTD</v>
      </c>
      <c r="C12" s="22" t="s">
        <v>2391</v>
      </c>
      <c r="AM12" s="17">
        <f>IF(A12="","",MATCH(A12,'Lista - Inversor'!$2:$2,0))</f>
        <v>1</v>
      </c>
      <c r="AN12" s="17">
        <f>IF(C12="","",MATCH(C12,'Lista - Inversor'!$A:$A,0)-3)</f>
        <v>11</v>
      </c>
    </row>
    <row r="13" spans="1:40" x14ac:dyDescent="0.35">
      <c r="A13" s="22" t="s">
        <v>1965</v>
      </c>
      <c r="B13" s="17" t="str">
        <f t="shared" si="0"/>
        <v>TRIO-TM-20.0-400</v>
      </c>
      <c r="C13" s="22" t="s">
        <v>2416</v>
      </c>
      <c r="AM13" s="17">
        <f>IF(A13="","",MATCH(A13,'Lista - Inversor'!$2:$2,0))</f>
        <v>1</v>
      </c>
      <c r="AN13" s="17">
        <f>IF(C13="","",MATCH(C13,'Lista - Inversor'!$A:$A,0)-3)</f>
        <v>12</v>
      </c>
    </row>
    <row r="14" spans="1:40" x14ac:dyDescent="0.35">
      <c r="A14" s="22" t="s">
        <v>1965</v>
      </c>
      <c r="B14" s="17" t="str">
        <f t="shared" si="0"/>
        <v>UNO-DM-6.0-TL-PLUS</v>
      </c>
      <c r="C14" s="22" t="s">
        <v>2440</v>
      </c>
      <c r="AM14" s="17">
        <f>IF(A14="","",MATCH(A14,'Lista - Inversor'!$2:$2,0))</f>
        <v>1</v>
      </c>
      <c r="AN14" s="17">
        <f>IF(C14="","",MATCH(C14,'Lista - Inversor'!$A:$A,0)-3)</f>
        <v>13</v>
      </c>
    </row>
    <row r="15" spans="1:40" x14ac:dyDescent="0.35">
      <c r="A15" s="22" t="s">
        <v>1965</v>
      </c>
      <c r="B15" s="17" t="str">
        <f t="shared" si="0"/>
        <v>PVS-60-TL-SX2</v>
      </c>
      <c r="C15" s="22" t="s">
        <v>2463</v>
      </c>
      <c r="AM15" s="17">
        <f>IF(A15="","",MATCH(A15,'Lista - Inversor'!$2:$2,0))</f>
        <v>1</v>
      </c>
      <c r="AN15" s="17">
        <f>IF(C15="","",MATCH(C15,'Lista - Inversor'!$A:$A,0)-3)</f>
        <v>14</v>
      </c>
    </row>
    <row r="16" spans="1:40" x14ac:dyDescent="0.35">
      <c r="A16" s="22" t="s">
        <v>1965</v>
      </c>
      <c r="B16" s="17" t="str">
        <f t="shared" si="0"/>
        <v>PVS-100-TL</v>
      </c>
      <c r="C16" s="22" t="s">
        <v>2486</v>
      </c>
      <c r="AM16" s="17">
        <f>IF(A16="","",MATCH(A16,'Lista - Inversor'!$2:$2,0))</f>
        <v>1</v>
      </c>
      <c r="AN16" s="17">
        <f>IF(C16="","",MATCH(C16,'Lista - Inversor'!$A:$A,0)-3)</f>
        <v>15</v>
      </c>
    </row>
    <row r="17" spans="1:40" x14ac:dyDescent="0.35">
      <c r="A17" s="22" t="s">
        <v>1965</v>
      </c>
      <c r="B17" s="17" t="str">
        <f t="shared" si="0"/>
        <v>PVS-120-TL-SX2</v>
      </c>
      <c r="C17" s="22" t="s">
        <v>2506</v>
      </c>
      <c r="AM17" s="17">
        <f>IF(A17="","",MATCH(A17,'Lista - Inversor'!$2:$2,0))</f>
        <v>1</v>
      </c>
      <c r="AN17" s="17">
        <f>IF(C17="","",MATCH(C17,'Lista - Inversor'!$A:$A,0)-3)</f>
        <v>16</v>
      </c>
    </row>
    <row r="18" spans="1:40" x14ac:dyDescent="0.35">
      <c r="A18" s="22" t="s">
        <v>1965</v>
      </c>
      <c r="B18" s="17" t="str">
        <f t="shared" si="0"/>
        <v>TRIO-50.0-TL-OUTD</v>
      </c>
      <c r="C18" s="22" t="s">
        <v>2526</v>
      </c>
      <c r="AM18" s="17">
        <f>IF(A18="","",MATCH(A18,'Lista - Inversor'!$2:$2,0))</f>
        <v>1</v>
      </c>
      <c r="AN18" s="17">
        <f>IF(C18="","",MATCH(C18,'Lista - Inversor'!$A:$A,0)-3)</f>
        <v>17</v>
      </c>
    </row>
    <row r="19" spans="1:40" x14ac:dyDescent="0.35">
      <c r="A19" s="22" t="s">
        <v>1965</v>
      </c>
      <c r="B19" s="17" t="str">
        <f t="shared" si="0"/>
        <v>TRIO-20.0-TL-OUTD</v>
      </c>
      <c r="C19" s="22" t="s">
        <v>2546</v>
      </c>
      <c r="AM19" s="17">
        <f>IF(A19="","",MATCH(A19,'Lista - Inversor'!$2:$2,0))</f>
        <v>1</v>
      </c>
      <c r="AN19" s="17">
        <f>IF(C19="","",MATCH(C19,'Lista - Inversor'!$A:$A,0)-3)</f>
        <v>18</v>
      </c>
    </row>
    <row r="20" spans="1:40" x14ac:dyDescent="0.35">
      <c r="A20" s="22" t="s">
        <v>1965</v>
      </c>
      <c r="B20" s="17" t="str">
        <f t="shared" si="0"/>
        <v>UNO-DM-4.0-TL-PLUS-SB</v>
      </c>
      <c r="C20" s="22" t="s">
        <v>2566</v>
      </c>
      <c r="AM20" s="17">
        <f>IF(A20="","",MATCH(A20,'Lista - Inversor'!$2:$2,0))</f>
        <v>1</v>
      </c>
      <c r="AN20" s="17">
        <f>IF(C20="","",MATCH(C20,'Lista - Inversor'!$A:$A,0)-3)</f>
        <v>19</v>
      </c>
    </row>
    <row r="21" spans="1:40" x14ac:dyDescent="0.35">
      <c r="A21" s="22" t="s">
        <v>1965</v>
      </c>
      <c r="B21" s="17" t="str">
        <f t="shared" si="0"/>
        <v>UNO-DM-6.0-TL-PLUS-SB-G</v>
      </c>
      <c r="C21" s="22" t="s">
        <v>2586</v>
      </c>
      <c r="AM21" s="17">
        <f>IF(A21="","",MATCH(A21,'Lista - Inversor'!$2:$2,0))</f>
        <v>1</v>
      </c>
      <c r="AN21" s="17">
        <f>IF(C21="","",MATCH(C21,'Lista - Inversor'!$A:$A,0)-3)</f>
        <v>20</v>
      </c>
    </row>
    <row r="22" spans="1:40" x14ac:dyDescent="0.35">
      <c r="A22" s="22" t="s">
        <v>1965</v>
      </c>
      <c r="B22" s="17" t="str">
        <f t="shared" si="0"/>
        <v>UNO-DM-4.6-TL-PLUS-SB</v>
      </c>
      <c r="C22" s="22" t="s">
        <v>2604</v>
      </c>
      <c r="AM22" s="17">
        <f>IF(A22="","",MATCH(A22,'Lista - Inversor'!$2:$2,0))</f>
        <v>1</v>
      </c>
      <c r="AN22" s="17">
        <f>IF(C22="","",MATCH(C22,'Lista - Inversor'!$A:$A,0)-3)</f>
        <v>21</v>
      </c>
    </row>
    <row r="23" spans="1:40" x14ac:dyDescent="0.35">
      <c r="A23" s="22" t="s">
        <v>1965</v>
      </c>
      <c r="B23" s="17" t="str">
        <f t="shared" si="0"/>
        <v>UNO-DM-5.0-TL-PLUS-SB</v>
      </c>
      <c r="C23" s="22" t="s">
        <v>2622</v>
      </c>
      <c r="AM23" s="17">
        <f>IF(A23="","",MATCH(A23,'Lista - Inversor'!$2:$2,0))</f>
        <v>1</v>
      </c>
      <c r="AN23" s="17">
        <f>IF(C23="","",MATCH(C23,'Lista - Inversor'!$A:$A,0)-3)</f>
        <v>22</v>
      </c>
    </row>
    <row r="24" spans="1:40" x14ac:dyDescent="0.35">
      <c r="A24" s="22" t="s">
        <v>1965</v>
      </c>
      <c r="B24" s="17" t="str">
        <f t="shared" si="0"/>
        <v>PVS-50-TL</v>
      </c>
      <c r="C24" s="22" t="s">
        <v>2639</v>
      </c>
      <c r="AM24" s="17">
        <f>IF(A24="","",MATCH(A24,'Lista - Inversor'!$2:$2,0))</f>
        <v>1</v>
      </c>
      <c r="AN24" s="17">
        <f>IF(C24="","",MATCH(C24,'Lista - Inversor'!$A:$A,0)-3)</f>
        <v>23</v>
      </c>
    </row>
    <row r="25" spans="1:40" x14ac:dyDescent="0.35">
      <c r="A25" s="22" t="s">
        <v>1965</v>
      </c>
      <c r="B25" s="17" t="str">
        <f t="shared" si="0"/>
        <v>UNO DM 5K-TL-PLUS-B</v>
      </c>
      <c r="C25" s="22" t="s">
        <v>2656</v>
      </c>
      <c r="AM25" s="17">
        <f>IF(A25="","",MATCH(A25,'Lista - Inversor'!$2:$2,0))</f>
        <v>1</v>
      </c>
      <c r="AN25" s="17">
        <f>IF(C25="","",MATCH(C25,'Lista - Inversor'!$A:$A,0)-3)</f>
        <v>24</v>
      </c>
    </row>
    <row r="26" spans="1:40" x14ac:dyDescent="0.35">
      <c r="A26" s="22" t="s">
        <v>1965</v>
      </c>
      <c r="B26" s="17" t="str">
        <f t="shared" si="0"/>
        <v>PRO-33.0-TL-OUTD</v>
      </c>
      <c r="C26" s="22" t="s">
        <v>2670</v>
      </c>
      <c r="AM26" s="17">
        <f>IF(A26="","",MATCH(A26,'Lista - Inversor'!$2:$2,0))</f>
        <v>1</v>
      </c>
      <c r="AN26" s="17">
        <f>IF(C26="","",MATCH(C26,'Lista - Inversor'!$A:$A,0)-3)</f>
        <v>25</v>
      </c>
    </row>
    <row r="27" spans="1:40" x14ac:dyDescent="0.35">
      <c r="A27" s="22" t="s">
        <v>1965</v>
      </c>
      <c r="B27" s="17" t="str">
        <f t="shared" si="0"/>
        <v>PVS-50-TL-SX</v>
      </c>
      <c r="C27" s="22" t="s">
        <v>2684</v>
      </c>
      <c r="AM27" s="17">
        <f>IF(A27="","",MATCH(A27,'Lista - Inversor'!$2:$2,0))</f>
        <v>1</v>
      </c>
      <c r="AN27" s="17">
        <f>IF(C27="","",MATCH(C27,'Lista - Inversor'!$A:$A,0)-3)</f>
        <v>26</v>
      </c>
    </row>
    <row r="28" spans="1:40" x14ac:dyDescent="0.35">
      <c r="A28" s="22" t="s">
        <v>1965</v>
      </c>
      <c r="B28" s="17" t="str">
        <f t="shared" si="0"/>
        <v>PVI-3.0-TL-OUTD</v>
      </c>
      <c r="C28" s="22" t="s">
        <v>2697</v>
      </c>
      <c r="AM28" s="17">
        <f>IF(A28="","",MATCH(A28,'Lista - Inversor'!$2:$2,0))</f>
        <v>1</v>
      </c>
      <c r="AN28" s="17">
        <f>IF(C28="","",MATCH(C28,'Lista - Inversor'!$A:$A,0)-3)</f>
        <v>27</v>
      </c>
    </row>
    <row r="29" spans="1:40" x14ac:dyDescent="0.35">
      <c r="A29" s="22" t="s">
        <v>1965</v>
      </c>
      <c r="B29" s="17" t="str">
        <f t="shared" si="0"/>
        <v>TRIO-27.6-TL-OUTD-S2X-400/JP</v>
      </c>
      <c r="C29" s="22" t="s">
        <v>2710</v>
      </c>
      <c r="AM29" s="17">
        <f>IF(A29="","",MATCH(A29,'Lista - Inversor'!$2:$2,0))</f>
        <v>1</v>
      </c>
      <c r="AN29" s="17">
        <f>IF(C29="","",MATCH(C29,'Lista - Inversor'!$A:$A,0)-3)</f>
        <v>28</v>
      </c>
    </row>
    <row r="30" spans="1:40" x14ac:dyDescent="0.35">
      <c r="A30" s="22" t="s">
        <v>1965</v>
      </c>
      <c r="B30" s="17" t="str">
        <f t="shared" si="0"/>
        <v>PVS-175-TL</v>
      </c>
      <c r="C30" s="22" t="s">
        <v>2723</v>
      </c>
      <c r="AM30" s="17">
        <f>IF(A30="","",MATCH(A30,'Lista - Inversor'!$2:$2,0))</f>
        <v>1</v>
      </c>
      <c r="AN30" s="17">
        <f>IF(C30="","",MATCH(C30,'Lista - Inversor'!$A:$A,0)-3)</f>
        <v>29</v>
      </c>
    </row>
    <row r="31" spans="1:40" x14ac:dyDescent="0.35">
      <c r="A31" s="22" t="s">
        <v>680</v>
      </c>
      <c r="B31" s="17" t="str">
        <f t="shared" si="0"/>
        <v>YC500A</v>
      </c>
      <c r="C31" s="22" t="s">
        <v>1985</v>
      </c>
      <c r="AM31" s="17">
        <f>IF(A31="","",MATCH(A31,'Lista - Inversor'!$2:$2,0))</f>
        <v>2</v>
      </c>
      <c r="AN31" s="17">
        <f>IF(C31="","",MATCH(C31,'Lista - Inversor'!$B:$B,0)-2)</f>
        <v>1</v>
      </c>
    </row>
    <row r="32" spans="1:40" x14ac:dyDescent="0.35">
      <c r="A32" s="22" t="s">
        <v>680</v>
      </c>
      <c r="B32" s="17" t="str">
        <f t="shared" si="0"/>
        <v>YC600</v>
      </c>
      <c r="C32" s="22" t="s">
        <v>2043</v>
      </c>
      <c r="AM32" s="17">
        <f>IF(A32="","",MATCH(A32,'Lista - Inversor'!$2:$2,0))</f>
        <v>2</v>
      </c>
      <c r="AN32" s="17">
        <f>IF(C32="","",MATCH(C32,'Lista - Inversor'!$B:$B,0)-2)</f>
        <v>2</v>
      </c>
    </row>
    <row r="33" spans="1:40" x14ac:dyDescent="0.35">
      <c r="A33" s="22" t="s">
        <v>680</v>
      </c>
      <c r="B33" s="17" t="str">
        <f t="shared" si="0"/>
        <v>YC1000</v>
      </c>
      <c r="C33" s="22" t="s">
        <v>2090</v>
      </c>
      <c r="AM33" s="17">
        <f>IF(A33="","",MATCH(A33,'Lista - Inversor'!$2:$2,0))</f>
        <v>2</v>
      </c>
      <c r="AN33" s="17">
        <f>IF(C33="","",MATCH(C33,'Lista - Inversor'!$B:$B,0)-2)</f>
        <v>3</v>
      </c>
    </row>
    <row r="34" spans="1:40" x14ac:dyDescent="0.35">
      <c r="A34" s="22" t="s">
        <v>680</v>
      </c>
      <c r="B34" s="17" t="str">
        <f t="shared" ref="B34:B65" si="1">RIGHT(C34,LEN(C34)-(FIND(" - ", C34)+2))</f>
        <v>QS1 1200W</v>
      </c>
      <c r="C34" s="22" t="s">
        <v>2134</v>
      </c>
      <c r="AM34" s="17">
        <f>IF(A34="","",MATCH(A34,'Lista - Inversor'!$2:$2,0))</f>
        <v>2</v>
      </c>
      <c r="AN34" s="17">
        <f>IF(C34="","",MATCH(C34,'Lista - Inversor'!$B:$B,0)-2)</f>
        <v>4</v>
      </c>
    </row>
    <row r="35" spans="1:40" x14ac:dyDescent="0.35">
      <c r="A35" s="22" t="s">
        <v>680</v>
      </c>
      <c r="B35" s="17" t="str">
        <f t="shared" si="1"/>
        <v>QS1-2-220</v>
      </c>
      <c r="C35" s="22" t="s">
        <v>2176</v>
      </c>
      <c r="AM35" s="17">
        <f>IF(A35="","",MATCH(A35,'Lista - Inversor'!$2:$2,0))</f>
        <v>2</v>
      </c>
      <c r="AN35" s="17">
        <f>IF(C35="","",MATCH(C35,'Lista - Inversor'!$B:$B,0)-2)</f>
        <v>5</v>
      </c>
    </row>
    <row r="36" spans="1:40" x14ac:dyDescent="0.35">
      <c r="A36" s="22" t="s">
        <v>680</v>
      </c>
      <c r="B36" s="17" t="str">
        <f t="shared" si="1"/>
        <v>YC1000-3</v>
      </c>
      <c r="C36" s="22" t="s">
        <v>2215</v>
      </c>
      <c r="AM36" s="17">
        <f>IF(A36="","",MATCH(A36,'Lista - Inversor'!$2:$2,0))</f>
        <v>2</v>
      </c>
      <c r="AN36" s="17">
        <f>IF(C36="","",MATCH(C36,'Lista - Inversor'!$B:$B,0)-2)</f>
        <v>6</v>
      </c>
    </row>
    <row r="37" spans="1:40" x14ac:dyDescent="0.35">
      <c r="A37" s="22" t="s">
        <v>680</v>
      </c>
      <c r="B37" s="17" t="str">
        <f t="shared" si="1"/>
        <v>YC600-BR</v>
      </c>
      <c r="C37" s="22" t="s">
        <v>2249</v>
      </c>
      <c r="AM37" s="17">
        <f>IF(A37="","",MATCH(A37,'Lista - Inversor'!$2:$2,0))</f>
        <v>2</v>
      </c>
      <c r="AN37" s="17">
        <f>IF(C37="","",MATCH(C37,'Lista - Inversor'!$B:$B,0)-2)</f>
        <v>7</v>
      </c>
    </row>
    <row r="38" spans="1:40" x14ac:dyDescent="0.35">
      <c r="A38" s="22" t="s">
        <v>680</v>
      </c>
      <c r="B38" s="17" t="str">
        <f t="shared" si="1"/>
        <v>QS1A</v>
      </c>
      <c r="C38" s="22" t="s">
        <v>2282</v>
      </c>
      <c r="AM38" s="17">
        <f>IF(A38="","",MATCH(A38,'Lista - Inversor'!$2:$2,0))</f>
        <v>2</v>
      </c>
      <c r="AN38" s="17">
        <f>IF(C38="","",MATCH(C38,'Lista - Inversor'!$B:$B,0)-2)</f>
        <v>8</v>
      </c>
    </row>
    <row r="39" spans="1:40" x14ac:dyDescent="0.35">
      <c r="A39" s="22" t="s">
        <v>680</v>
      </c>
      <c r="B39" s="17" t="str">
        <f t="shared" si="1"/>
        <v>MI-1500W</v>
      </c>
      <c r="C39" s="22" t="s">
        <v>2312</v>
      </c>
      <c r="AM39" s="17">
        <f>IF(A39="","",MATCH(A39,'Lista - Inversor'!$2:$2,0))</f>
        <v>2</v>
      </c>
      <c r="AN39" s="17">
        <f>IF(C39="","",MATCH(C39,'Lista - Inversor'!$B:$B,0)-2)</f>
        <v>9</v>
      </c>
    </row>
    <row r="40" spans="1:40" x14ac:dyDescent="0.35">
      <c r="A40" s="22" t="s">
        <v>680</v>
      </c>
      <c r="B40" s="17" t="str">
        <f t="shared" si="1"/>
        <v>YC500I</v>
      </c>
      <c r="C40" s="22" t="s">
        <v>2340</v>
      </c>
      <c r="AM40" s="17">
        <f>IF(A40="","",MATCH(A40,'Lista - Inversor'!$2:$2,0))</f>
        <v>2</v>
      </c>
      <c r="AN40" s="17">
        <f>IF(C40="","",MATCH(C40,'Lista - Inversor'!$B:$B,0)-2)</f>
        <v>10</v>
      </c>
    </row>
    <row r="41" spans="1:40" x14ac:dyDescent="0.35">
      <c r="A41" s="22" t="s">
        <v>680</v>
      </c>
      <c r="B41" s="17" t="str">
        <f t="shared" si="1"/>
        <v>QS1A-1500</v>
      </c>
      <c r="C41" s="22" t="s">
        <v>2367</v>
      </c>
      <c r="AM41" s="17">
        <f>IF(A41="","",MATCH(A41,'Lista - Inversor'!$2:$2,0))</f>
        <v>2</v>
      </c>
      <c r="AN41" s="17">
        <f>IF(C41="","",MATCH(C41,'Lista - Inversor'!$B:$B,0)-2)</f>
        <v>11</v>
      </c>
    </row>
    <row r="42" spans="1:40" x14ac:dyDescent="0.35">
      <c r="A42" s="22" t="s">
        <v>680</v>
      </c>
      <c r="B42" s="17" t="str">
        <f t="shared" si="1"/>
        <v>DS3D</v>
      </c>
      <c r="C42" s="22" t="s">
        <v>2392</v>
      </c>
      <c r="AM42" s="17">
        <f>IF(A42="","",MATCH(A42,'Lista - Inversor'!$2:$2,0))</f>
        <v>2</v>
      </c>
      <c r="AN42" s="17">
        <f>IF(C42="","",MATCH(C42,'Lista - Inversor'!$B:$B,0)-2)</f>
        <v>12</v>
      </c>
    </row>
    <row r="43" spans="1:40" x14ac:dyDescent="0.35">
      <c r="A43" s="22" t="s">
        <v>692</v>
      </c>
      <c r="B43" s="17" t="str">
        <f t="shared" si="1"/>
        <v>SF1600TL</v>
      </c>
      <c r="C43" s="22" t="s">
        <v>1986</v>
      </c>
      <c r="AM43" s="17">
        <f>IF(A43="","",MATCH(A43,'Lista - Inversor'!$2:$2,0))</f>
        <v>3</v>
      </c>
      <c r="AN43" s="17">
        <f>IF(C43="","",MATCH(C43,'Lista - Inversor'!$C:$C,0)-2)</f>
        <v>1</v>
      </c>
    </row>
    <row r="44" spans="1:40" x14ac:dyDescent="0.35">
      <c r="A44" s="22" t="s">
        <v>692</v>
      </c>
      <c r="B44" s="17" t="str">
        <f t="shared" si="1"/>
        <v>SF2200TL</v>
      </c>
      <c r="C44" s="22" t="s">
        <v>2044</v>
      </c>
      <c r="AM44" s="17">
        <f>IF(A44="","",MATCH(A44,'Lista - Inversor'!$2:$2,0))</f>
        <v>3</v>
      </c>
      <c r="AN44" s="17">
        <f>IF(C44="","",MATCH(C44,'Lista - Inversor'!$C:$C,0)-2)</f>
        <v>2</v>
      </c>
    </row>
    <row r="45" spans="1:40" x14ac:dyDescent="0.35">
      <c r="A45" s="22" t="s">
        <v>692</v>
      </c>
      <c r="B45" s="17" t="str">
        <f t="shared" si="1"/>
        <v>SF3000TL</v>
      </c>
      <c r="C45" s="22" t="s">
        <v>2091</v>
      </c>
      <c r="AM45" s="17">
        <f>IF(A45="","",MATCH(A45,'Lista - Inversor'!$2:$2,0))</f>
        <v>3</v>
      </c>
      <c r="AN45" s="17">
        <f>IF(C45="","",MATCH(C45,'Lista - Inversor'!$C:$C,0)-2)</f>
        <v>3</v>
      </c>
    </row>
    <row r="46" spans="1:40" x14ac:dyDescent="0.35">
      <c r="A46" s="22" t="s">
        <v>692</v>
      </c>
      <c r="B46" s="17" t="str">
        <f t="shared" si="1"/>
        <v>SF5KTN B&amp;B POWER</v>
      </c>
      <c r="C46" s="22" t="s">
        <v>2135</v>
      </c>
      <c r="AM46" s="17">
        <f>IF(A46="","",MATCH(A46,'Lista - Inversor'!$2:$2,0))</f>
        <v>3</v>
      </c>
      <c r="AN46" s="17">
        <f>IF(C46="","",MATCH(C46,'Lista - Inversor'!$C:$C,0)-2)</f>
        <v>4</v>
      </c>
    </row>
    <row r="47" spans="1:40" x14ac:dyDescent="0.35">
      <c r="A47" s="22" t="s">
        <v>692</v>
      </c>
      <c r="B47" s="17" t="str">
        <f t="shared" si="1"/>
        <v>SF3KTN</v>
      </c>
      <c r="C47" s="22" t="s">
        <v>2177</v>
      </c>
      <c r="AM47" s="17">
        <f>IF(A47="","",MATCH(A47,'Lista - Inversor'!$2:$2,0))</f>
        <v>3</v>
      </c>
      <c r="AN47" s="17">
        <f>IF(C47="","",MATCH(C47,'Lista - Inversor'!$C:$C,0)-2)</f>
        <v>5</v>
      </c>
    </row>
    <row r="48" spans="1:40" x14ac:dyDescent="0.35">
      <c r="A48" s="22" t="s">
        <v>705</v>
      </c>
      <c r="B48" s="17" t="str">
        <f t="shared" si="1"/>
        <v>BS-75K-G01</v>
      </c>
      <c r="C48" s="22" t="s">
        <v>1987</v>
      </c>
      <c r="AM48" s="17">
        <f>IF(A48="","",MATCH(A48,'Lista - Inversor'!$2:$2,0))</f>
        <v>4</v>
      </c>
      <c r="AN48" s="17">
        <f>IF(C48="","",MATCH(C48,'Lista - Inversor'!$D:$D,0)-2)</f>
        <v>1</v>
      </c>
    </row>
    <row r="49" spans="1:40" x14ac:dyDescent="0.35">
      <c r="A49" s="22" t="s">
        <v>705</v>
      </c>
      <c r="B49" s="17" t="str">
        <f t="shared" si="1"/>
        <v>BS-15K-G03</v>
      </c>
      <c r="C49" s="22" t="s">
        <v>2045</v>
      </c>
      <c r="AM49" s="17">
        <f>IF(A49="","",MATCH(A49,'Lista - Inversor'!$2:$2,0))</f>
        <v>4</v>
      </c>
      <c r="AN49" s="17">
        <f>IF(C49="","",MATCH(C49,'Lista - Inversor'!$D:$D,0)-2)</f>
        <v>2</v>
      </c>
    </row>
    <row r="50" spans="1:40" x14ac:dyDescent="0.35">
      <c r="A50" s="22" t="s">
        <v>705</v>
      </c>
      <c r="B50" s="17" t="str">
        <f t="shared" si="1"/>
        <v>BS-5K-G</v>
      </c>
      <c r="C50" s="22" t="s">
        <v>2092</v>
      </c>
      <c r="D50" s="41" t="s">
        <v>331</v>
      </c>
      <c r="E50" s="17" t="s">
        <v>332</v>
      </c>
      <c r="F50" s="41" t="s">
        <v>333</v>
      </c>
      <c r="G50" s="41" t="s">
        <v>334</v>
      </c>
      <c r="H50" s="41" t="s">
        <v>320</v>
      </c>
      <c r="I50" s="41" t="s">
        <v>321</v>
      </c>
      <c r="J50" s="41" t="s">
        <v>294</v>
      </c>
      <c r="K50" s="41" t="s">
        <v>295</v>
      </c>
      <c r="M50" s="41" t="s">
        <v>4267</v>
      </c>
      <c r="N50" s="41" t="s">
        <v>4136</v>
      </c>
      <c r="O50" s="41" t="s">
        <v>4137</v>
      </c>
      <c r="P50" s="41" t="s">
        <v>4016</v>
      </c>
      <c r="Q50" s="41" t="s">
        <v>507</v>
      </c>
      <c r="R50" s="41" t="s">
        <v>4138</v>
      </c>
      <c r="S50" s="41" t="s">
        <v>415</v>
      </c>
      <c r="T50" s="41" t="s">
        <v>4139</v>
      </c>
      <c r="U50" s="41">
        <v>2</v>
      </c>
      <c r="V50" s="41" t="s">
        <v>325</v>
      </c>
      <c r="W50" s="41" t="s">
        <v>4272</v>
      </c>
      <c r="Y50" s="41" t="s">
        <v>4275</v>
      </c>
      <c r="Z50" s="41" t="s">
        <v>4277</v>
      </c>
      <c r="AA50" s="41" t="s">
        <v>3832</v>
      </c>
      <c r="AB50" s="41">
        <v>1</v>
      </c>
      <c r="AC50" s="41" t="s">
        <v>329</v>
      </c>
      <c r="AD50" s="41" t="s">
        <v>310</v>
      </c>
      <c r="AE50" s="41" t="s">
        <v>311</v>
      </c>
      <c r="AF50" s="41" t="s">
        <v>312</v>
      </c>
      <c r="AG50" s="41" t="s">
        <v>313</v>
      </c>
      <c r="AH50" s="41" t="s">
        <v>330</v>
      </c>
      <c r="AI50" s="41" t="s">
        <v>314</v>
      </c>
      <c r="AJ50" s="41" t="s">
        <v>330</v>
      </c>
      <c r="AK50" s="22">
        <v>1</v>
      </c>
      <c r="AL50" s="22">
        <v>0.22</v>
      </c>
      <c r="AM50" s="17">
        <f>IF(A50="","",MATCH(A50,'Lista - Inversor'!$2:$2,0))</f>
        <v>4</v>
      </c>
      <c r="AN50" s="17">
        <f>IF(C50="","",MATCH(C50,'Lista - Inversor'!$D:$D,0)-2)</f>
        <v>3</v>
      </c>
    </row>
    <row r="51" spans="1:40" x14ac:dyDescent="0.35">
      <c r="A51" s="22" t="s">
        <v>705</v>
      </c>
      <c r="B51" s="17" t="str">
        <f t="shared" si="1"/>
        <v>BS-3K-G</v>
      </c>
      <c r="C51" s="22" t="s">
        <v>2136</v>
      </c>
      <c r="D51" s="41" t="s">
        <v>352</v>
      </c>
      <c r="E51" s="17">
        <v>3</v>
      </c>
      <c r="F51" s="41" t="s">
        <v>3989</v>
      </c>
      <c r="G51" s="41" t="s">
        <v>4198</v>
      </c>
      <c r="H51" s="41" t="s">
        <v>320</v>
      </c>
      <c r="I51" s="41" t="s">
        <v>321</v>
      </c>
      <c r="J51" s="41" t="s">
        <v>294</v>
      </c>
      <c r="K51" s="41" t="s">
        <v>295</v>
      </c>
      <c r="M51" s="41" t="s">
        <v>4268</v>
      </c>
      <c r="N51" s="41" t="s">
        <v>4145</v>
      </c>
      <c r="O51" s="41" t="s">
        <v>4146</v>
      </c>
      <c r="P51" s="41" t="s">
        <v>300</v>
      </c>
      <c r="Q51" s="41" t="s">
        <v>507</v>
      </c>
      <c r="R51" s="41" t="s">
        <v>301</v>
      </c>
      <c r="S51" s="41" t="s">
        <v>415</v>
      </c>
      <c r="T51" s="41" t="s">
        <v>4147</v>
      </c>
      <c r="U51" s="41" t="s">
        <v>57</v>
      </c>
      <c r="V51" s="41" t="s">
        <v>57</v>
      </c>
      <c r="W51" s="41" t="s">
        <v>4271</v>
      </c>
      <c r="Y51" s="41" t="s">
        <v>4274</v>
      </c>
      <c r="Z51" s="41" t="s">
        <v>4276</v>
      </c>
      <c r="AA51" s="41" t="s">
        <v>308</v>
      </c>
      <c r="AB51" s="41">
        <v>1</v>
      </c>
      <c r="AC51" s="41" t="s">
        <v>329</v>
      </c>
      <c r="AD51" s="41" t="s">
        <v>310</v>
      </c>
      <c r="AE51" s="41" t="s">
        <v>311</v>
      </c>
      <c r="AF51" s="41" t="s">
        <v>312</v>
      </c>
      <c r="AG51" s="41" t="s">
        <v>313</v>
      </c>
      <c r="AH51" s="41" t="s">
        <v>330</v>
      </c>
      <c r="AI51" s="41" t="s">
        <v>314</v>
      </c>
      <c r="AJ51" s="41" t="s">
        <v>330</v>
      </c>
      <c r="AK51" s="22">
        <v>1</v>
      </c>
      <c r="AL51" s="22">
        <v>0.22</v>
      </c>
      <c r="AM51" s="17">
        <f>IF(A51="","",MATCH(A51,'Lista - Inversor'!$2:$2,0))</f>
        <v>4</v>
      </c>
      <c r="AN51" s="17">
        <f>IF(C51="","",MATCH(C51,'Lista - Inversor'!$D:$D,0)-2)</f>
        <v>4</v>
      </c>
    </row>
    <row r="52" spans="1:40" x14ac:dyDescent="0.35">
      <c r="A52" s="22" t="s">
        <v>705</v>
      </c>
      <c r="B52" s="17" t="str">
        <f t="shared" si="1"/>
        <v>BS-25K-G02</v>
      </c>
      <c r="C52" s="22" t="s">
        <v>2178</v>
      </c>
      <c r="AM52" s="17">
        <f>IF(A52="","",MATCH(A52,'Lista - Inversor'!$2:$2,0))</f>
        <v>4</v>
      </c>
      <c r="AN52" s="17">
        <f>IF(C52="","",MATCH(C52,'Lista - Inversor'!$D:$D,0)-2)</f>
        <v>5</v>
      </c>
    </row>
    <row r="53" spans="1:40" x14ac:dyDescent="0.35">
      <c r="A53" s="22" t="s">
        <v>705</v>
      </c>
      <c r="B53" s="17" t="str">
        <f t="shared" si="1"/>
        <v>BS-8K-G</v>
      </c>
      <c r="C53" s="22" t="s">
        <v>2216</v>
      </c>
      <c r="D53" s="41" t="s">
        <v>288</v>
      </c>
      <c r="E53" s="17">
        <v>8</v>
      </c>
      <c r="F53" s="41" t="s">
        <v>4123</v>
      </c>
      <c r="G53" s="41" t="s">
        <v>4125</v>
      </c>
      <c r="H53" s="41" t="s">
        <v>3991</v>
      </c>
      <c r="I53" s="41" t="s">
        <v>504</v>
      </c>
      <c r="J53" s="41" t="s">
        <v>294</v>
      </c>
      <c r="K53" s="41" t="s">
        <v>505</v>
      </c>
      <c r="M53" s="22" t="s">
        <v>4266</v>
      </c>
      <c r="N53" s="22" t="s">
        <v>4270</v>
      </c>
      <c r="O53" s="41" t="s">
        <v>4269</v>
      </c>
      <c r="P53" s="22" t="s">
        <v>4127</v>
      </c>
      <c r="Q53" s="22" t="s">
        <v>4128</v>
      </c>
      <c r="R53" s="22" t="s">
        <v>3996</v>
      </c>
      <c r="S53" s="41" t="s">
        <v>4129</v>
      </c>
      <c r="T53" s="22" t="s">
        <v>4130</v>
      </c>
      <c r="U53" s="41" t="s">
        <v>315</v>
      </c>
      <c r="V53" s="41" t="s">
        <v>4131</v>
      </c>
      <c r="W53" s="41" t="s">
        <v>4273</v>
      </c>
      <c r="Y53" s="22" t="s">
        <v>4133</v>
      </c>
      <c r="Z53" s="41" t="s">
        <v>4134</v>
      </c>
      <c r="AA53" s="41" t="s">
        <v>532</v>
      </c>
      <c r="AB53" s="41" t="s">
        <v>57</v>
      </c>
      <c r="AC53" s="41" t="s">
        <v>329</v>
      </c>
      <c r="AD53" s="41" t="s">
        <v>310</v>
      </c>
      <c r="AE53" s="41" t="s">
        <v>512</v>
      </c>
      <c r="AF53" s="41" t="s">
        <v>312</v>
      </c>
      <c r="AG53" s="41" t="s">
        <v>313</v>
      </c>
      <c r="AH53" s="41" t="s">
        <v>384</v>
      </c>
      <c r="AI53" s="41" t="s">
        <v>314</v>
      </c>
      <c r="AJ53" s="41" t="s">
        <v>330</v>
      </c>
      <c r="AK53" s="22">
        <v>1</v>
      </c>
      <c r="AL53" s="22">
        <v>0.22</v>
      </c>
      <c r="AM53" s="17">
        <f>IF(A53="","",MATCH(A53,'Lista - Inversor'!$2:$2,0))</f>
        <v>4</v>
      </c>
      <c r="AN53" s="17">
        <f>IF(C53="","",MATCH(C53,'Lista - Inversor'!$D:$D,0)-2)</f>
        <v>6</v>
      </c>
    </row>
    <row r="54" spans="1:40" x14ac:dyDescent="0.35">
      <c r="A54" s="22" t="s">
        <v>705</v>
      </c>
      <c r="B54" s="17" t="str">
        <f t="shared" si="1"/>
        <v>BS-20K-G02</v>
      </c>
      <c r="C54" s="22" t="s">
        <v>2250</v>
      </c>
      <c r="AM54" s="17">
        <f>IF(A54="","",MATCH(A54,'Lista - Inversor'!$2:$2,0))</f>
        <v>4</v>
      </c>
      <c r="AN54" s="17">
        <f>IF(C54="","",MATCH(C54,'Lista - Inversor'!$D:$D,0)-2)</f>
        <v>7</v>
      </c>
    </row>
    <row r="55" spans="1:40" x14ac:dyDescent="0.35">
      <c r="A55" s="22" t="s">
        <v>705</v>
      </c>
      <c r="B55" s="17" t="str">
        <f t="shared" si="1"/>
        <v>BS-4K-G</v>
      </c>
      <c r="C55" s="22" t="s">
        <v>2283</v>
      </c>
      <c r="AM55" s="17">
        <f>IF(A55="","",MATCH(A55,'Lista - Inversor'!$2:$2,0))</f>
        <v>4</v>
      </c>
      <c r="AN55" s="17">
        <f>IF(C55="","",MATCH(C55,'Lista - Inversor'!$D:$D,0)-2)</f>
        <v>8</v>
      </c>
    </row>
    <row r="56" spans="1:40" x14ac:dyDescent="0.35">
      <c r="A56" s="22" t="s">
        <v>705</v>
      </c>
      <c r="B56" s="17" t="str">
        <f t="shared" si="1"/>
        <v>BS 20K-G</v>
      </c>
      <c r="C56" s="22" t="s">
        <v>2313</v>
      </c>
      <c r="AM56" s="17">
        <f>IF(A56="","",MATCH(A56,'Lista - Inversor'!$2:$2,0))</f>
        <v>4</v>
      </c>
      <c r="AN56" s="17">
        <f>IF(C56="","",MATCH(C56,'Lista - Inversor'!$D:$D,0)-2)</f>
        <v>9</v>
      </c>
    </row>
    <row r="57" spans="1:40" x14ac:dyDescent="0.35">
      <c r="A57" s="22" t="s">
        <v>705</v>
      </c>
      <c r="B57" s="17" t="str">
        <f t="shared" si="1"/>
        <v>BS-12K-G03</v>
      </c>
      <c r="C57" s="22" t="s">
        <v>2341</v>
      </c>
      <c r="AM57" s="17">
        <f>IF(A57="","",MATCH(A57,'Lista - Inversor'!$2:$2,0))</f>
        <v>4</v>
      </c>
      <c r="AN57" s="17">
        <f>IF(C57="","",MATCH(C57,'Lista - Inversor'!$D:$D,0)-2)</f>
        <v>10</v>
      </c>
    </row>
    <row r="58" spans="1:40" x14ac:dyDescent="0.35">
      <c r="A58" s="22" t="s">
        <v>1966</v>
      </c>
      <c r="B58" s="17" t="str">
        <f t="shared" si="1"/>
        <v>BEL-45K-G-LV</v>
      </c>
      <c r="C58" s="22" t="s">
        <v>1988</v>
      </c>
      <c r="AM58" s="17">
        <f>IF(A58="","",MATCH(A58,'Lista - Inversor'!$2:$2,0))</f>
        <v>5</v>
      </c>
      <c r="AN58" s="17">
        <f>IF(C58="","",MATCH(C58,'Lista - Inversor'!$E:$E,0)-2)</f>
        <v>1</v>
      </c>
    </row>
    <row r="59" spans="1:40" x14ac:dyDescent="0.35">
      <c r="A59" s="22" t="s">
        <v>1966</v>
      </c>
      <c r="B59" s="17" t="str">
        <f t="shared" si="1"/>
        <v>BEL1600G3-US-220</v>
      </c>
      <c r="C59" s="22" t="s">
        <v>2046</v>
      </c>
      <c r="AM59" s="17">
        <f>IF(A59="","",MATCH(A59,'Lista - Inversor'!$2:$2,0))</f>
        <v>5</v>
      </c>
      <c r="AN59" s="17">
        <f>IF(C59="","",MATCH(C59,'Lista - Inversor'!$E:$E,0)-2)</f>
        <v>2</v>
      </c>
    </row>
    <row r="60" spans="1:40" x14ac:dyDescent="0.35">
      <c r="A60" s="22" t="s">
        <v>1966</v>
      </c>
      <c r="B60" s="17" t="str">
        <f t="shared" si="1"/>
        <v>MINVDBE-MO-220V-2KW</v>
      </c>
      <c r="C60" s="22" t="s">
        <v>2093</v>
      </c>
      <c r="AM60" s="17">
        <f>IF(A60="","",MATCH(A60,'Lista - Inversor'!$2:$2,0))</f>
        <v>5</v>
      </c>
      <c r="AN60" s="17">
        <f>IF(C60="","",MATCH(C60,'Lista - Inversor'!$E:$E,0)-2)</f>
        <v>3</v>
      </c>
    </row>
    <row r="61" spans="1:40" x14ac:dyDescent="0.35">
      <c r="A61" s="22" t="s">
        <v>1966</v>
      </c>
      <c r="B61" s="17" t="str">
        <f t="shared" si="1"/>
        <v>BEL2000G3-US-220</v>
      </c>
      <c r="C61" s="22" t="s">
        <v>2137</v>
      </c>
      <c r="AM61" s="17">
        <f>IF(A61="","",MATCH(A61,'Lista - Inversor'!$2:$2,0))</f>
        <v>5</v>
      </c>
      <c r="AN61" s="17">
        <f>IF(C61="","",MATCH(C61,'Lista - Inversor'!$E:$E,0)-2)</f>
        <v>4</v>
      </c>
    </row>
    <row r="62" spans="1:40" x14ac:dyDescent="0.35">
      <c r="A62" s="22" t="s">
        <v>1966</v>
      </c>
      <c r="B62" s="17" t="str">
        <f t="shared" si="1"/>
        <v>INVSBE-MO-220V-4KW</v>
      </c>
      <c r="C62" s="22" t="s">
        <v>2179</v>
      </c>
      <c r="AM62" s="17">
        <f>IF(A62="","",MATCH(A62,'Lista - Inversor'!$2:$2,0))</f>
        <v>5</v>
      </c>
      <c r="AN62" s="17">
        <f>IF(C62="","",MATCH(C62,'Lista - Inversor'!$E:$E,0)-2)</f>
        <v>5</v>
      </c>
    </row>
    <row r="63" spans="1:40" x14ac:dyDescent="0.35">
      <c r="A63" s="22" t="s">
        <v>1966</v>
      </c>
      <c r="B63" s="17" t="str">
        <f t="shared" si="1"/>
        <v>INVSBE-MO-220V-10KW</v>
      </c>
      <c r="C63" s="22" t="s">
        <v>2217</v>
      </c>
      <c r="AM63" s="17">
        <f>IF(A63="","",MATCH(A63,'Lista - Inversor'!$2:$2,0))</f>
        <v>5</v>
      </c>
      <c r="AN63" s="17">
        <f>IF(C63="","",MATCH(C63,'Lista - Inversor'!$E:$E,0)-2)</f>
        <v>6</v>
      </c>
    </row>
    <row r="64" spans="1:40" x14ac:dyDescent="0.35">
      <c r="A64" s="22" t="s">
        <v>1966</v>
      </c>
      <c r="B64" s="17" t="str">
        <f t="shared" si="1"/>
        <v>BEL-15K-G-LV</v>
      </c>
      <c r="C64" s="22" t="s">
        <v>2251</v>
      </c>
      <c r="AM64" s="17">
        <f>IF(A64="","",MATCH(A64,'Lista - Inversor'!$2:$2,0))</f>
        <v>5</v>
      </c>
      <c r="AN64" s="17">
        <f>IF(C64="","",MATCH(C64,'Lista - Inversor'!$E:$E,0)-2)</f>
        <v>7</v>
      </c>
    </row>
    <row r="65" spans="1:40" x14ac:dyDescent="0.35">
      <c r="A65" s="22" t="s">
        <v>1966</v>
      </c>
      <c r="B65" s="17" t="str">
        <f t="shared" si="1"/>
        <v>BEL-25K-G-LV</v>
      </c>
      <c r="C65" s="22" t="s">
        <v>2284</v>
      </c>
      <c r="AM65" s="17">
        <f>IF(A65="","",MATCH(A65,'Lista - Inversor'!$2:$2,0))</f>
        <v>5</v>
      </c>
      <c r="AN65" s="17">
        <f>IF(C65="","",MATCH(C65,'Lista - Inversor'!$E:$E,0)-2)</f>
        <v>8</v>
      </c>
    </row>
    <row r="66" spans="1:40" x14ac:dyDescent="0.35">
      <c r="A66" s="22" t="s">
        <v>1966</v>
      </c>
      <c r="B66" s="17" t="str">
        <f t="shared" ref="B66:B97" si="2">RIGHT(C66,LEN(C66)-(FIND(" - ", C66)+2))</f>
        <v>NVDBE-MO-220V-5KW</v>
      </c>
      <c r="C66" s="22" t="s">
        <v>2314</v>
      </c>
      <c r="AM66" s="17">
        <f>IF(A66="","",MATCH(A66,'Lista - Inversor'!$2:$2,0))</f>
        <v>5</v>
      </c>
      <c r="AN66" s="17">
        <f>IF(C66="","",MATCH(C66,'Lista - Inversor'!$E:$E,0)-2)</f>
        <v>9</v>
      </c>
    </row>
    <row r="67" spans="1:40" x14ac:dyDescent="0.35">
      <c r="A67" s="22" t="s">
        <v>1966</v>
      </c>
      <c r="B67" s="17" t="str">
        <f t="shared" si="2"/>
        <v>BEL-5K-G 5,0KW</v>
      </c>
      <c r="C67" s="22" t="s">
        <v>2342</v>
      </c>
      <c r="AM67" s="17">
        <f>IF(A67="","",MATCH(A67,'Lista - Inversor'!$2:$2,0))</f>
        <v>5</v>
      </c>
      <c r="AN67" s="17">
        <f>IF(C67="","",MATCH(C67,'Lista - Inversor'!$E:$E,0)-2)</f>
        <v>10</v>
      </c>
    </row>
    <row r="68" spans="1:40" x14ac:dyDescent="0.35">
      <c r="A68" s="22" t="s">
        <v>1966</v>
      </c>
      <c r="B68" s="17" t="str">
        <f t="shared" si="2"/>
        <v>BEL-3K-G</v>
      </c>
      <c r="C68" s="22" t="s">
        <v>2368</v>
      </c>
      <c r="AM68" s="17">
        <f>IF(A68="","",MATCH(A68,'Lista - Inversor'!$2:$2,0))</f>
        <v>5</v>
      </c>
      <c r="AN68" s="17">
        <f>IF(C68="","",MATCH(C68,'Lista - Inversor'!$E:$E,0)-2)</f>
        <v>11</v>
      </c>
    </row>
    <row r="69" spans="1:40" x14ac:dyDescent="0.35">
      <c r="A69" s="22" t="s">
        <v>1966</v>
      </c>
      <c r="B69" s="17" t="str">
        <f t="shared" si="2"/>
        <v>BEL-4K-G</v>
      </c>
      <c r="C69" s="22" t="s">
        <v>2393</v>
      </c>
      <c r="AM69" s="17">
        <f>IF(A69="","",MATCH(A69,'Lista - Inversor'!$2:$2,0))</f>
        <v>5</v>
      </c>
      <c r="AN69" s="17">
        <f>IF(C69="","",MATCH(C69,'Lista - Inversor'!$E:$E,0)-2)</f>
        <v>12</v>
      </c>
    </row>
    <row r="70" spans="1:40" x14ac:dyDescent="0.35">
      <c r="A70" s="22" t="s">
        <v>1966</v>
      </c>
      <c r="B70" s="17" t="str">
        <f t="shared" si="2"/>
        <v>BEL-8K-G 8,0KW</v>
      </c>
      <c r="C70" s="22" t="s">
        <v>2417</v>
      </c>
      <c r="AM70" s="17">
        <f>IF(A70="","",MATCH(A70,'Lista - Inversor'!$2:$2,0))</f>
        <v>5</v>
      </c>
      <c r="AN70" s="17">
        <f>IF(C70="","",MATCH(C70,'Lista - Inversor'!$E:$E,0)-2)</f>
        <v>13</v>
      </c>
    </row>
    <row r="71" spans="1:40" x14ac:dyDescent="0.35">
      <c r="A71" s="22" t="s">
        <v>1966</v>
      </c>
      <c r="B71" s="17" t="str">
        <f t="shared" si="2"/>
        <v>INVDBE-MO-220V-3KW</v>
      </c>
      <c r="C71" s="22" t="s">
        <v>2441</v>
      </c>
      <c r="AM71" s="17">
        <f>IF(A71="","",MATCH(A71,'Lista - Inversor'!$2:$2,0))</f>
        <v>5</v>
      </c>
      <c r="AN71" s="17">
        <f>IF(C71="","",MATCH(C71,'Lista - Inversor'!$E:$E,0)-2)</f>
        <v>14</v>
      </c>
    </row>
    <row r="72" spans="1:40" x14ac:dyDescent="0.35">
      <c r="A72" s="22" t="s">
        <v>1966</v>
      </c>
      <c r="B72" s="17" t="str">
        <f t="shared" si="2"/>
        <v>BEL-10K-G</v>
      </c>
      <c r="C72" s="22" t="s">
        <v>2464</v>
      </c>
      <c r="AM72" s="17">
        <f>IF(A72="","",MATCH(A72,'Lista - Inversor'!$2:$2,0))</f>
        <v>5</v>
      </c>
      <c r="AN72" s="17">
        <f>IF(C72="","",MATCH(C72,'Lista - Inversor'!$E:$E,0)-2)</f>
        <v>15</v>
      </c>
    </row>
    <row r="73" spans="1:40" x14ac:dyDescent="0.35">
      <c r="A73" s="22" t="s">
        <v>674</v>
      </c>
      <c r="B73" s="17" t="str">
        <f t="shared" si="2"/>
        <v>CSI-30KTL-GI-FL</v>
      </c>
      <c r="C73" s="22" t="s">
        <v>1989</v>
      </c>
      <c r="AM73" s="17">
        <f>IF(A73="","",MATCH(A73,'Lista - Inversor'!$2:$2,0))</f>
        <v>6</v>
      </c>
      <c r="AN73" s="17">
        <f>IF(C73="","",MATCH(C73,'Lista - Inversor'!$F:$F,0)-2)</f>
        <v>1</v>
      </c>
    </row>
    <row r="74" spans="1:40" x14ac:dyDescent="0.35">
      <c r="A74" s="22" t="s">
        <v>674</v>
      </c>
      <c r="B74" s="17" t="str">
        <f t="shared" si="2"/>
        <v>CSI-40KTL-GI-FL</v>
      </c>
      <c r="C74" s="22" t="s">
        <v>2047</v>
      </c>
      <c r="AM74" s="17">
        <f>IF(A74="","",MATCH(A74,'Lista - Inversor'!$2:$2,0))</f>
        <v>6</v>
      </c>
      <c r="AN74" s="17">
        <f>IF(C74="","",MATCH(C74,'Lista - Inversor'!$F:$F,0)-2)</f>
        <v>2</v>
      </c>
    </row>
    <row r="75" spans="1:40" x14ac:dyDescent="0.35">
      <c r="A75" s="22" t="s">
        <v>674</v>
      </c>
      <c r="B75" s="17" t="str">
        <f t="shared" si="2"/>
        <v>CSI-50KTL-GI</v>
      </c>
      <c r="C75" s="22" t="s">
        <v>2094</v>
      </c>
      <c r="AM75" s="17">
        <f>IF(A75="","",MATCH(A75,'Lista - Inversor'!$2:$2,0))</f>
        <v>6</v>
      </c>
      <c r="AN75" s="17">
        <f>IF(C75="","",MATCH(C75,'Lista - Inversor'!$F:$F,0)-2)</f>
        <v>3</v>
      </c>
    </row>
    <row r="76" spans="1:40" x14ac:dyDescent="0.35">
      <c r="A76" s="22" t="s">
        <v>674</v>
      </c>
      <c r="B76" s="17" t="str">
        <f t="shared" si="2"/>
        <v>CSI-5K-MTL</v>
      </c>
      <c r="C76" s="22" t="s">
        <v>2138</v>
      </c>
      <c r="AM76" s="17">
        <f>IF(A76="","",MATCH(A76,'Lista - Inversor'!$2:$2,0))</f>
        <v>6</v>
      </c>
      <c r="AN76" s="17">
        <f>IF(C76="","",MATCH(C76,'Lista - Inversor'!$F:$F,0)-2)</f>
        <v>4</v>
      </c>
    </row>
    <row r="77" spans="1:40" x14ac:dyDescent="0.35">
      <c r="A77" s="22" t="s">
        <v>674</v>
      </c>
      <c r="B77" s="17" t="str">
        <f t="shared" si="2"/>
        <v>CSI-3K-MTL</v>
      </c>
      <c r="C77" s="22" t="s">
        <v>2180</v>
      </c>
      <c r="AM77" s="17">
        <f>IF(A77="","",MATCH(A77,'Lista - Inversor'!$2:$2,0))</f>
        <v>6</v>
      </c>
      <c r="AN77" s="17">
        <f>IF(C77="","",MATCH(C77,'Lista - Inversor'!$F:$F,0)-2)</f>
        <v>5</v>
      </c>
    </row>
    <row r="78" spans="1:40" x14ac:dyDescent="0.35">
      <c r="A78" s="22" t="s">
        <v>674</v>
      </c>
      <c r="B78" s="17" t="str">
        <f t="shared" si="2"/>
        <v>CSI-1.5K-TL</v>
      </c>
      <c r="C78" s="22" t="s">
        <v>2218</v>
      </c>
      <c r="AM78" s="17">
        <f>IF(A78="","",MATCH(A78,'Lista - Inversor'!$2:$2,0))</f>
        <v>6</v>
      </c>
      <c r="AN78" s="17">
        <f>IF(C78="","",MATCH(C78,'Lista - Inversor'!$F:$F,0)-2)</f>
        <v>6</v>
      </c>
    </row>
    <row r="79" spans="1:40" x14ac:dyDescent="0.35">
      <c r="A79" s="22" t="s">
        <v>674</v>
      </c>
      <c r="B79" s="17" t="str">
        <f t="shared" si="2"/>
        <v>CSI-3K-TL</v>
      </c>
      <c r="C79" s="22" t="s">
        <v>2252</v>
      </c>
      <c r="AM79" s="17">
        <f>IF(A79="","",MATCH(A79,'Lista - Inversor'!$2:$2,0))</f>
        <v>6</v>
      </c>
      <c r="AN79" s="17">
        <f>IF(C79="","",MATCH(C79,'Lista - Inversor'!$F:$F,0)-2)</f>
        <v>7</v>
      </c>
    </row>
    <row r="80" spans="1:40" x14ac:dyDescent="0.35">
      <c r="A80" s="22" t="s">
        <v>674</v>
      </c>
      <c r="B80" s="17" t="str">
        <f t="shared" si="2"/>
        <v>CSI-25KTL-GI-FL</v>
      </c>
      <c r="C80" s="22" t="s">
        <v>2285</v>
      </c>
      <c r="AM80" s="17">
        <f>IF(A80="","",MATCH(A80,'Lista - Inversor'!$2:$2,0))</f>
        <v>6</v>
      </c>
      <c r="AN80" s="17">
        <f>IF(C80="","",MATCH(C80,'Lista - Inversor'!$F:$F,0)-2)</f>
        <v>8</v>
      </c>
    </row>
    <row r="81" spans="1:40" x14ac:dyDescent="0.35">
      <c r="A81" s="22" t="s">
        <v>674</v>
      </c>
      <c r="B81" s="17" t="str">
        <f t="shared" si="2"/>
        <v>CSI-7KTL1P-GI-FL</v>
      </c>
      <c r="C81" s="22" t="s">
        <v>2315</v>
      </c>
      <c r="AM81" s="17">
        <f>IF(A81="","",MATCH(A81,'Lista - Inversor'!$2:$2,0))</f>
        <v>6</v>
      </c>
      <c r="AN81" s="17">
        <f>IF(C81="","",MATCH(C81,'Lista - Inversor'!$F:$F,0)-2)</f>
        <v>9</v>
      </c>
    </row>
    <row r="82" spans="1:40" x14ac:dyDescent="0.35">
      <c r="A82" s="22" t="s">
        <v>674</v>
      </c>
      <c r="B82" s="17" t="str">
        <f t="shared" si="2"/>
        <v>CSI-8KTL1P-GI-FL</v>
      </c>
      <c r="C82" s="22" t="s">
        <v>2343</v>
      </c>
      <c r="AM82" s="17">
        <f>IF(A82="","",MATCH(A82,'Lista - Inversor'!$2:$2,0))</f>
        <v>6</v>
      </c>
      <c r="AN82" s="17">
        <f>IF(C82="","",MATCH(C82,'Lista - Inversor'!$F:$F,0)-2)</f>
        <v>10</v>
      </c>
    </row>
    <row r="83" spans="1:40" x14ac:dyDescent="0.35">
      <c r="A83" s="22" t="s">
        <v>674</v>
      </c>
      <c r="B83" s="17" t="str">
        <f t="shared" si="2"/>
        <v>CSI-9KTL1P-GI-FL</v>
      </c>
      <c r="C83" s="22" t="s">
        <v>2369</v>
      </c>
      <c r="AM83" s="17">
        <f>IF(A83="","",MATCH(A83,'Lista - Inversor'!$2:$2,0))</f>
        <v>6</v>
      </c>
      <c r="AN83" s="17">
        <f>IF(C83="","",MATCH(C83,'Lista - Inversor'!$F:$F,0)-2)</f>
        <v>11</v>
      </c>
    </row>
    <row r="84" spans="1:40" x14ac:dyDescent="0.35">
      <c r="A84" s="22" t="s">
        <v>674</v>
      </c>
      <c r="B84" s="17" t="str">
        <f t="shared" si="2"/>
        <v>CSI-15KTL-GI-FL</v>
      </c>
      <c r="C84" s="22" t="s">
        <v>2394</v>
      </c>
      <c r="AM84" s="17">
        <f>IF(A84="","",MATCH(A84,'Lista - Inversor'!$2:$2,0))</f>
        <v>6</v>
      </c>
      <c r="AN84" s="17">
        <f>IF(C84="","",MATCH(C84,'Lista - Inversor'!$F:$F,0)-2)</f>
        <v>12</v>
      </c>
    </row>
    <row r="85" spans="1:40" x14ac:dyDescent="0.35">
      <c r="A85" s="22" t="s">
        <v>674</v>
      </c>
      <c r="B85" s="17" t="str">
        <f t="shared" si="2"/>
        <v>CSI-5KTL1P-GI-FL</v>
      </c>
      <c r="C85" s="22" t="s">
        <v>2418</v>
      </c>
      <c r="AM85" s="17">
        <f>IF(A85="","",MATCH(A85,'Lista - Inversor'!$2:$2,0))</f>
        <v>6</v>
      </c>
      <c r="AN85" s="17">
        <f>IF(C85="","",MATCH(C85,'Lista - Inversor'!$F:$F,0)-2)</f>
        <v>13</v>
      </c>
    </row>
    <row r="86" spans="1:40" x14ac:dyDescent="0.35">
      <c r="A86" s="22" t="s">
        <v>674</v>
      </c>
      <c r="B86" s="17" t="str">
        <f t="shared" si="2"/>
        <v>CSI-3KTL1P-GI-FL</v>
      </c>
      <c r="C86" s="22" t="s">
        <v>2442</v>
      </c>
      <c r="AM86" s="17">
        <f>IF(A86="","",MATCH(A86,'Lista - Inversor'!$2:$2,0))</f>
        <v>6</v>
      </c>
      <c r="AN86" s="17">
        <f>IF(C86="","",MATCH(C86,'Lista - Inversor'!$F:$F,0)-2)</f>
        <v>14</v>
      </c>
    </row>
    <row r="87" spans="1:40" x14ac:dyDescent="0.35">
      <c r="A87" s="22" t="s">
        <v>674</v>
      </c>
      <c r="B87" s="17" t="str">
        <f t="shared" si="2"/>
        <v>CSI-10KTL1P-GI-FL</v>
      </c>
      <c r="C87" s="22" t="s">
        <v>2465</v>
      </c>
      <c r="AM87" s="17">
        <f>IF(A87="","",MATCH(A87,'Lista - Inversor'!$2:$2,0))</f>
        <v>6</v>
      </c>
      <c r="AN87" s="17">
        <f>IF(C87="","",MATCH(C87,'Lista - Inversor'!$F:$F,0)-2)</f>
        <v>15</v>
      </c>
    </row>
    <row r="88" spans="1:40" x14ac:dyDescent="0.35">
      <c r="A88" s="22" t="s">
        <v>674</v>
      </c>
      <c r="B88" s="17" t="str">
        <f t="shared" si="2"/>
        <v>CSI-4KTL1P-GI-FL</v>
      </c>
      <c r="C88" s="22" t="s">
        <v>2487</v>
      </c>
      <c r="AM88" s="17">
        <f>IF(A88="","",MATCH(A88,'Lista - Inversor'!$2:$2,0))</f>
        <v>6</v>
      </c>
      <c r="AN88" s="17">
        <f>IF(C88="","",MATCH(C88,'Lista - Inversor'!$F:$F,0)-2)</f>
        <v>16</v>
      </c>
    </row>
    <row r="89" spans="1:40" x14ac:dyDescent="0.35">
      <c r="A89" s="22" t="s">
        <v>674</v>
      </c>
      <c r="B89" s="17" t="str">
        <f t="shared" si="2"/>
        <v>CSI-20KTL-GI-FL</v>
      </c>
      <c r="C89" s="22" t="s">
        <v>2507</v>
      </c>
      <c r="AM89" s="17">
        <f>IF(A89="","",MATCH(A89,'Lista - Inversor'!$2:$2,0))</f>
        <v>6</v>
      </c>
      <c r="AN89" s="17">
        <f>IF(C89="","",MATCH(C89,'Lista - Inversor'!$F:$F,0)-2)</f>
        <v>17</v>
      </c>
    </row>
    <row r="90" spans="1:40" x14ac:dyDescent="0.35">
      <c r="A90" s="22" t="s">
        <v>674</v>
      </c>
      <c r="B90" s="17" t="str">
        <f t="shared" si="2"/>
        <v>CSI-30KTL-GI-L</v>
      </c>
      <c r="C90" s="22" t="s">
        <v>2527</v>
      </c>
      <c r="AM90" s="17">
        <f>IF(A90="","",MATCH(A90,'Lista - Inversor'!$2:$2,0))</f>
        <v>6</v>
      </c>
      <c r="AN90" s="17">
        <f>IF(C90="","",MATCH(C90,'Lista - Inversor'!$F:$F,0)-2)</f>
        <v>18</v>
      </c>
    </row>
    <row r="91" spans="1:40" x14ac:dyDescent="0.35">
      <c r="A91" s="22" t="s">
        <v>674</v>
      </c>
      <c r="B91" s="17" t="str">
        <f t="shared" si="2"/>
        <v>CSI-60KTL-GI-H</v>
      </c>
      <c r="C91" s="22" t="s">
        <v>2547</v>
      </c>
      <c r="AM91" s="17">
        <f>IF(A91="","",MATCH(A91,'Lista - Inversor'!$2:$2,0))</f>
        <v>6</v>
      </c>
      <c r="AN91" s="17">
        <f>IF(C91="","",MATCH(C91,'Lista - Inversor'!$F:$F,0)-2)</f>
        <v>19</v>
      </c>
    </row>
    <row r="92" spans="1:40" x14ac:dyDescent="0.35">
      <c r="A92" s="22" t="s">
        <v>674</v>
      </c>
      <c r="B92" s="17" t="str">
        <f t="shared" si="2"/>
        <v>CSI-3.0KTL1P-GI-FL</v>
      </c>
      <c r="C92" s="22" t="s">
        <v>2567</v>
      </c>
      <c r="AM92" s="17">
        <f>IF(A92="","",MATCH(A92,'Lista - Inversor'!$2:$2,0))</f>
        <v>6</v>
      </c>
      <c r="AN92" s="17">
        <f>IF(C92="","",MATCH(C92,'Lista - Inversor'!$F:$F,0)-2)</f>
        <v>20</v>
      </c>
    </row>
    <row r="93" spans="1:40" x14ac:dyDescent="0.35">
      <c r="A93" s="22" t="s">
        <v>674</v>
      </c>
      <c r="B93" s="17" t="str">
        <f t="shared" si="2"/>
        <v>CSI-25KTL-GI-L</v>
      </c>
      <c r="C93" s="22" t="s">
        <v>2587</v>
      </c>
      <c r="AM93" s="17">
        <f>IF(A93="","",MATCH(A93,'Lista - Inversor'!$2:$2,0))</f>
        <v>6</v>
      </c>
      <c r="AN93" s="17">
        <f>IF(C93="","",MATCH(C93,'Lista - Inversor'!$F:$F,0)-2)</f>
        <v>21</v>
      </c>
    </row>
    <row r="94" spans="1:40" x14ac:dyDescent="0.35">
      <c r="A94" s="22" t="s">
        <v>674</v>
      </c>
      <c r="B94" s="17" t="str">
        <f t="shared" si="2"/>
        <v>CSL-20KTL-GI-LFL</v>
      </c>
      <c r="C94" s="22" t="s">
        <v>2605</v>
      </c>
      <c r="AM94" s="17">
        <f>IF(A94="","",MATCH(A94,'Lista - Inversor'!$2:$2,0))</f>
        <v>6</v>
      </c>
      <c r="AN94" s="17">
        <f>IF(C94="","",MATCH(C94,'Lista - Inversor'!$F:$F,0)-2)</f>
        <v>22</v>
      </c>
    </row>
    <row r="95" spans="1:40" x14ac:dyDescent="0.35">
      <c r="A95" s="22" t="s">
        <v>674</v>
      </c>
      <c r="B95" s="17" t="str">
        <f t="shared" si="2"/>
        <v>CSI-3K-S22002-E</v>
      </c>
      <c r="C95" s="22" t="s">
        <v>2623</v>
      </c>
      <c r="AM95" s="17">
        <f>IF(A95="","",MATCH(A95,'Lista - Inversor'!$2:$2,0))</f>
        <v>6</v>
      </c>
      <c r="AN95" s="17">
        <f>IF(C95="","",MATCH(C95,'Lista - Inversor'!$F:$F,0)-2)</f>
        <v>23</v>
      </c>
    </row>
    <row r="96" spans="1:40" x14ac:dyDescent="0.35">
      <c r="A96" s="22" t="s">
        <v>674</v>
      </c>
      <c r="B96" s="17" t="str">
        <f t="shared" si="2"/>
        <v>CSI-5KTL1P-FL</v>
      </c>
      <c r="C96" s="22" t="s">
        <v>2640</v>
      </c>
      <c r="AM96" s="17">
        <f>IF(A96="","",MATCH(A96,'Lista - Inversor'!$2:$2,0))</f>
        <v>6</v>
      </c>
      <c r="AN96" s="17">
        <f>IF(C96="","",MATCH(C96,'Lista - Inversor'!$F:$F,0)-2)</f>
        <v>24</v>
      </c>
    </row>
    <row r="97" spans="1:40" x14ac:dyDescent="0.35">
      <c r="A97" s="22" t="s">
        <v>674</v>
      </c>
      <c r="B97" s="17" t="str">
        <f t="shared" si="2"/>
        <v>CSI-15K-T400GL1-E</v>
      </c>
      <c r="C97" s="22" t="s">
        <v>2657</v>
      </c>
      <c r="AM97" s="17">
        <f>IF(A97="","",MATCH(A97,'Lista - Inversor'!$2:$2,0))</f>
        <v>6</v>
      </c>
      <c r="AN97" s="17">
        <f>IF(C97="","",MATCH(C97,'Lista - Inversor'!$F:$F,0)-2)</f>
        <v>25</v>
      </c>
    </row>
    <row r="98" spans="1:40" x14ac:dyDescent="0.35">
      <c r="A98" s="22" t="s">
        <v>674</v>
      </c>
      <c r="B98" s="17" t="str">
        <f t="shared" ref="B98:B129" si="3">RIGHT(C98,LEN(C98)-(FIND(" - ", C98)+2))</f>
        <v>CSI-7KTL1P-GI-FL - 7,7KW</v>
      </c>
      <c r="C98" s="22" t="s">
        <v>2671</v>
      </c>
      <c r="AM98" s="17">
        <f>IF(A98="","",MATCH(A98,'Lista - Inversor'!$2:$2,0))</f>
        <v>6</v>
      </c>
      <c r="AN98" s="17">
        <f>IF(C98="","",MATCH(C98,'Lista - Inversor'!$F:$F,0)-2)</f>
        <v>26</v>
      </c>
    </row>
    <row r="99" spans="1:40" x14ac:dyDescent="0.35">
      <c r="A99" s="22" t="s">
        <v>674</v>
      </c>
      <c r="B99" s="17" t="str">
        <f t="shared" si="3"/>
        <v>CSI-5K-S22002-E</v>
      </c>
      <c r="C99" s="22" t="s">
        <v>2685</v>
      </c>
      <c r="AM99" s="17">
        <f>IF(A99="","",MATCH(A99,'Lista - Inversor'!$2:$2,0))</f>
        <v>6</v>
      </c>
      <c r="AN99" s="17">
        <f>IF(C99="","",MATCH(C99,'Lista - Inversor'!$F:$F,0)-2)</f>
        <v>27</v>
      </c>
    </row>
    <row r="100" spans="1:40" x14ac:dyDescent="0.35">
      <c r="A100" s="22" t="s">
        <v>674</v>
      </c>
      <c r="B100" s="17" t="str">
        <f t="shared" si="3"/>
        <v>CSI-5K-S22002-ED</v>
      </c>
      <c r="C100" s="22" t="s">
        <v>2698</v>
      </c>
      <c r="AM100" s="17">
        <f>IF(A100="","",MATCH(A100,'Lista - Inversor'!$2:$2,0))</f>
        <v>6</v>
      </c>
      <c r="AN100" s="17">
        <f>IF(C100="","",MATCH(C100,'Lista - Inversor'!$F:$F,0)-2)</f>
        <v>28</v>
      </c>
    </row>
    <row r="101" spans="1:40" x14ac:dyDescent="0.35">
      <c r="A101" s="22" t="s">
        <v>674</v>
      </c>
      <c r="B101" s="17" t="str">
        <f t="shared" si="3"/>
        <v>CSI-20K-T400GL01-E</v>
      </c>
      <c r="C101" s="22" t="s">
        <v>2711</v>
      </c>
      <c r="AM101" s="17">
        <f>IF(A101="","",MATCH(A101,'Lista - Inversor'!$2:$2,0))</f>
        <v>6</v>
      </c>
      <c r="AN101" s="17">
        <f>IF(C101="","",MATCH(C101,'Lista - Inversor'!$F:$F,0)-2)</f>
        <v>29</v>
      </c>
    </row>
    <row r="102" spans="1:40" x14ac:dyDescent="0.35">
      <c r="A102" s="22" t="s">
        <v>674</v>
      </c>
      <c r="B102" s="17" t="str">
        <f t="shared" si="3"/>
        <v>CSI-7K-S22002-ED</v>
      </c>
      <c r="C102" s="22" t="s">
        <v>2724</v>
      </c>
      <c r="AM102" s="17">
        <f>IF(A102="","",MATCH(A102,'Lista - Inversor'!$2:$2,0))</f>
        <v>6</v>
      </c>
      <c r="AN102" s="17">
        <f>IF(C102="","",MATCH(C102,'Lista - Inversor'!$F:$F,0)-2)</f>
        <v>30</v>
      </c>
    </row>
    <row r="103" spans="1:40" x14ac:dyDescent="0.35">
      <c r="A103" s="22" t="s">
        <v>674</v>
      </c>
      <c r="B103" s="17" t="str">
        <f t="shared" si="3"/>
        <v>CSI-3K-S22002-ED</v>
      </c>
      <c r="C103" s="22" t="s">
        <v>2736</v>
      </c>
      <c r="AM103" s="17">
        <f>IF(A103="","",MATCH(A103,'Lista - Inversor'!$2:$2,0))</f>
        <v>6</v>
      </c>
      <c r="AN103" s="17">
        <f>IF(C103="","",MATCH(C103,'Lista - Inversor'!$F:$F,0)-2)</f>
        <v>31</v>
      </c>
    </row>
    <row r="104" spans="1:40" x14ac:dyDescent="0.35">
      <c r="A104" s="22" t="s">
        <v>674</v>
      </c>
      <c r="B104" s="17" t="str">
        <f t="shared" si="3"/>
        <v>CSI-15KT400GL01-E</v>
      </c>
      <c r="C104" s="22" t="s">
        <v>2748</v>
      </c>
      <c r="AM104" s="17">
        <f>IF(A104="","",MATCH(A104,'Lista - Inversor'!$2:$2,0))</f>
        <v>6</v>
      </c>
      <c r="AN104" s="17">
        <f>IF(C104="","",MATCH(C104,'Lista - Inversor'!$F:$F,0)-2)</f>
        <v>32</v>
      </c>
    </row>
    <row r="105" spans="1:40" x14ac:dyDescent="0.35">
      <c r="A105" s="22" t="s">
        <v>674</v>
      </c>
      <c r="B105" s="17" t="str">
        <f t="shared" si="3"/>
        <v>CSI-25K-T400GL02-E</v>
      </c>
      <c r="C105" s="22" t="s">
        <v>2760</v>
      </c>
      <c r="AM105" s="17">
        <f>IF(A105="","",MATCH(A105,'Lista - Inversor'!$2:$2,0))</f>
        <v>6</v>
      </c>
      <c r="AN105" s="17">
        <f>IF(C105="","",MATCH(C105,'Lista - Inversor'!$F:$F,0)-2)</f>
        <v>33</v>
      </c>
    </row>
    <row r="106" spans="1:40" x14ac:dyDescent="0.35">
      <c r="A106" s="22" t="s">
        <v>674</v>
      </c>
      <c r="B106" s="17" t="str">
        <f t="shared" si="3"/>
        <v>CSI-9K-S22002-ED</v>
      </c>
      <c r="C106" s="22" t="s">
        <v>2772</v>
      </c>
      <c r="AM106" s="17">
        <f>IF(A106="","",MATCH(A106,'Lista - Inversor'!$2:$2,0))</f>
        <v>6</v>
      </c>
      <c r="AN106" s="17">
        <f>IF(C106="","",MATCH(C106,'Lista - Inversor'!$F:$F,0)-2)</f>
        <v>34</v>
      </c>
    </row>
    <row r="107" spans="1:40" x14ac:dyDescent="0.35">
      <c r="A107" s="22" t="s">
        <v>674</v>
      </c>
      <c r="B107" s="17" t="str">
        <f t="shared" si="3"/>
        <v>CSI-30K-T400GL02-E</v>
      </c>
      <c r="C107" s="22" t="s">
        <v>2784</v>
      </c>
      <c r="AM107" s="17">
        <f>IF(A107="","",MATCH(A107,'Lista - Inversor'!$2:$2,0))</f>
        <v>6</v>
      </c>
      <c r="AN107" s="17">
        <f>IF(C107="","",MATCH(C107,'Lista - Inversor'!$F:$F,0)-2)</f>
        <v>35</v>
      </c>
    </row>
    <row r="108" spans="1:40" x14ac:dyDescent="0.35">
      <c r="A108" s="22" t="s">
        <v>674</v>
      </c>
      <c r="B108" s="17" t="str">
        <f t="shared" si="3"/>
        <v>CSI-5KTL1P-FL</v>
      </c>
      <c r="C108" s="22" t="s">
        <v>2795</v>
      </c>
      <c r="AM108" s="17">
        <f>IF(A108="","",MATCH(A108,'Lista - Inversor'!$2:$2,0))</f>
        <v>6</v>
      </c>
      <c r="AN108" s="17">
        <f>IF(C108="","",MATCH(C108,'Lista - Inversor'!$F:$F,0)-2)</f>
        <v>36</v>
      </c>
    </row>
    <row r="109" spans="1:40" x14ac:dyDescent="0.35">
      <c r="A109" s="22" t="s">
        <v>704</v>
      </c>
      <c r="B109" s="17" t="str">
        <f t="shared" si="3"/>
        <v>CPS SCA 6KTL-SM</v>
      </c>
      <c r="C109" s="22" t="s">
        <v>1990</v>
      </c>
      <c r="AM109" s="17">
        <f>IF(A109="","",MATCH(A109,'Lista - Inversor'!$2:$2,0))</f>
        <v>7</v>
      </c>
      <c r="AN109" s="17">
        <f>IF(C109="","",MATCH(C109,'Lista - Inversor'!$G:$G,0)-2)</f>
        <v>1</v>
      </c>
    </row>
    <row r="110" spans="1:40" x14ac:dyDescent="0.35">
      <c r="A110" s="22" t="s">
        <v>704</v>
      </c>
      <c r="B110" s="17" t="str">
        <f t="shared" si="3"/>
        <v>CPS SCA 2,5KTL-S</v>
      </c>
      <c r="C110" s="22" t="s">
        <v>2048</v>
      </c>
      <c r="AM110" s="17">
        <f>IF(A110="","",MATCH(A110,'Lista - Inversor'!$2:$2,0))</f>
        <v>7</v>
      </c>
      <c r="AN110" s="17">
        <f>IF(C110="","",MATCH(C110,'Lista - Inversor'!$G:$G,0)-2)</f>
        <v>2</v>
      </c>
    </row>
    <row r="111" spans="1:40" x14ac:dyDescent="0.35">
      <c r="A111" s="22" t="s">
        <v>704</v>
      </c>
      <c r="B111" s="17" t="str">
        <f t="shared" si="3"/>
        <v>CPS SCA17KTL-T/EU</v>
      </c>
      <c r="C111" s="22" t="s">
        <v>2095</v>
      </c>
      <c r="AM111" s="17">
        <f>IF(A111="","",MATCH(A111,'Lista - Inversor'!$2:$2,0))</f>
        <v>7</v>
      </c>
      <c r="AN111" s="17">
        <f>IF(C111="","",MATCH(C111,'Lista - Inversor'!$G:$G,0)-2)</f>
        <v>3</v>
      </c>
    </row>
    <row r="112" spans="1:40" x14ac:dyDescent="0.35">
      <c r="A112" s="22" t="s">
        <v>704</v>
      </c>
      <c r="B112" s="17" t="str">
        <f t="shared" si="3"/>
        <v xml:space="preserve">CPS SCA5KTL-SM </v>
      </c>
      <c r="C112" s="22" t="s">
        <v>2139</v>
      </c>
      <c r="AM112" s="17">
        <f>IF(A112="","",MATCH(A112,'Lista - Inversor'!$2:$2,0))</f>
        <v>7</v>
      </c>
      <c r="AN112" s="17">
        <f>IF(C112="","",MATCH(C112,'Lista - Inversor'!$G:$G,0)-2)</f>
        <v>4</v>
      </c>
    </row>
    <row r="113" spans="1:40" x14ac:dyDescent="0.35">
      <c r="A113" s="22" t="s">
        <v>704</v>
      </c>
      <c r="B113" s="17" t="str">
        <f t="shared" si="3"/>
        <v>CPS SCA 15KTL-T/EU</v>
      </c>
      <c r="C113" s="22" t="s">
        <v>2181</v>
      </c>
      <c r="AM113" s="17">
        <f>IF(A113="","",MATCH(A113,'Lista - Inversor'!$2:$2,0))</f>
        <v>7</v>
      </c>
      <c r="AN113" s="17">
        <f>IF(C113="","",MATCH(C113,'Lista - Inversor'!$G:$G,0)-2)</f>
        <v>5</v>
      </c>
    </row>
    <row r="114" spans="1:40" x14ac:dyDescent="0.35">
      <c r="A114" s="22" t="s">
        <v>704</v>
      </c>
      <c r="B114" s="17" t="str">
        <f t="shared" si="3"/>
        <v>CPS SCA30KTL-T/EU</v>
      </c>
      <c r="C114" s="22" t="s">
        <v>2219</v>
      </c>
      <c r="AM114" s="17">
        <f>IF(A114="","",MATCH(A114,'Lista - Inversor'!$2:$2,0))</f>
        <v>7</v>
      </c>
      <c r="AN114" s="17">
        <f>IF(C114="","",MATCH(C114,'Lista - Inversor'!$G:$G,0)-2)</f>
        <v>6</v>
      </c>
    </row>
    <row r="115" spans="1:40" x14ac:dyDescent="0.35">
      <c r="A115" s="22" t="s">
        <v>704</v>
      </c>
      <c r="B115" s="17" t="str">
        <f t="shared" si="3"/>
        <v>CPS SCA30KTL-T/EU</v>
      </c>
      <c r="C115" s="22" t="s">
        <v>2253</v>
      </c>
      <c r="AM115" s="17">
        <f>IF(A115="","",MATCH(A115,'Lista - Inversor'!$2:$2,0))</f>
        <v>7</v>
      </c>
      <c r="AN115" s="17">
        <f>IF(C115="","",MATCH(C115,'Lista - Inversor'!$G:$G,0)-2)</f>
        <v>7</v>
      </c>
    </row>
    <row r="116" spans="1:40" x14ac:dyDescent="0.35">
      <c r="A116" s="22" t="s">
        <v>704</v>
      </c>
      <c r="B116" s="17" t="str">
        <f t="shared" si="3"/>
        <v>CPS SCA50KTL-DO/EU-400</v>
      </c>
      <c r="C116" s="22" t="s">
        <v>2286</v>
      </c>
      <c r="AM116" s="17">
        <f>IF(A116="","",MATCH(A116,'Lista - Inversor'!$2:$2,0))</f>
        <v>7</v>
      </c>
      <c r="AN116" s="17">
        <f>IF(C116="","",MATCH(C116,'Lista - Inversor'!$G:$G,0)-2)</f>
        <v>8</v>
      </c>
    </row>
    <row r="117" spans="1:40" x14ac:dyDescent="0.35">
      <c r="A117" s="22" t="s">
        <v>704</v>
      </c>
      <c r="B117" s="17" t="str">
        <f t="shared" si="3"/>
        <v>CPS SCA6KTL-SM/EU</v>
      </c>
      <c r="C117" s="22" t="s">
        <v>2316</v>
      </c>
      <c r="AM117" s="17">
        <f>IF(A117="","",MATCH(A117,'Lista - Inversor'!$2:$2,0))</f>
        <v>7</v>
      </c>
      <c r="AN117" s="17">
        <f>IF(C117="","",MATCH(C117,'Lista - Inversor'!$G:$G,0)-2)</f>
        <v>9</v>
      </c>
    </row>
    <row r="118" spans="1:40" x14ac:dyDescent="0.35">
      <c r="A118" s="22" t="s">
        <v>704</v>
      </c>
      <c r="B118" s="17" t="str">
        <f t="shared" si="3"/>
        <v>CPS SCA3.6KTL-S/EU</v>
      </c>
      <c r="C118" s="22" t="s">
        <v>2344</v>
      </c>
      <c r="AM118" s="17">
        <f>IF(A118="","",MATCH(A118,'Lista - Inversor'!$2:$2,0))</f>
        <v>7</v>
      </c>
      <c r="AN118" s="17">
        <f>IF(C118="","",MATCH(C118,'Lista - Inversor'!$G:$G,0)-2)</f>
        <v>10</v>
      </c>
    </row>
    <row r="119" spans="1:40" x14ac:dyDescent="0.35">
      <c r="A119" s="22" t="s">
        <v>704</v>
      </c>
      <c r="B119" s="17" t="str">
        <f t="shared" si="3"/>
        <v>CPS SCH125KTL-DO</v>
      </c>
      <c r="C119" s="22" t="s">
        <v>2370</v>
      </c>
      <c r="AM119" s="17">
        <f>IF(A119="","",MATCH(A119,'Lista - Inversor'!$2:$2,0))</f>
        <v>7</v>
      </c>
      <c r="AN119" s="17">
        <f>IF(C119="","",MATCH(C119,'Lista - Inversor'!$G:$G,0)-2)</f>
        <v>11</v>
      </c>
    </row>
    <row r="120" spans="1:40" x14ac:dyDescent="0.35">
      <c r="A120" s="22" t="s">
        <v>704</v>
      </c>
      <c r="B120" s="17" t="str">
        <f t="shared" si="3"/>
        <v>CPS SCA3KTL-S/EU</v>
      </c>
      <c r="C120" s="22" t="s">
        <v>2395</v>
      </c>
      <c r="D120" s="41" t="s">
        <v>352</v>
      </c>
      <c r="E120" s="17">
        <v>3</v>
      </c>
      <c r="F120" s="41" t="s">
        <v>3989</v>
      </c>
      <c r="G120" s="41" t="s">
        <v>3990</v>
      </c>
      <c r="H120" s="41" t="s">
        <v>3991</v>
      </c>
      <c r="I120" s="41" t="s">
        <v>504</v>
      </c>
      <c r="J120" s="41" t="s">
        <v>294</v>
      </c>
      <c r="K120" s="41" t="s">
        <v>505</v>
      </c>
      <c r="M120" s="22" t="s">
        <v>3992</v>
      </c>
      <c r="N120" s="41" t="s">
        <v>3993</v>
      </c>
      <c r="P120" s="22" t="s">
        <v>3994</v>
      </c>
      <c r="Q120" s="22" t="s">
        <v>3995</v>
      </c>
      <c r="R120" s="22" t="s">
        <v>3996</v>
      </c>
      <c r="S120" s="41" t="s">
        <v>3998</v>
      </c>
      <c r="T120" s="22" t="s">
        <v>3997</v>
      </c>
      <c r="U120" s="41" t="s">
        <v>57</v>
      </c>
      <c r="V120" s="41" t="s">
        <v>57</v>
      </c>
      <c r="W120" s="41" t="s">
        <v>3999</v>
      </c>
      <c r="Y120" s="41" t="s">
        <v>4000</v>
      </c>
      <c r="Z120" s="41" t="s">
        <v>4001</v>
      </c>
      <c r="AA120" s="41" t="s">
        <v>532</v>
      </c>
      <c r="AC120" s="41" t="s">
        <v>329</v>
      </c>
      <c r="AD120" s="41" t="s">
        <v>310</v>
      </c>
      <c r="AE120" s="41" t="s">
        <v>512</v>
      </c>
      <c r="AF120" s="41" t="s">
        <v>312</v>
      </c>
      <c r="AG120" s="41" t="s">
        <v>313</v>
      </c>
      <c r="AH120" s="41" t="s">
        <v>384</v>
      </c>
      <c r="AK120" s="22">
        <v>1</v>
      </c>
      <c r="AL120" s="22">
        <v>0.22</v>
      </c>
      <c r="AM120" s="17">
        <f>IF(A120="","",MATCH(A120,'Lista - Inversor'!$2:$2,0))</f>
        <v>7</v>
      </c>
      <c r="AN120" s="17">
        <f>IF(C120="","",MATCH(C120,'Lista - Inversor'!$G:$G,0)-2)</f>
        <v>12</v>
      </c>
    </row>
    <row r="121" spans="1:40" x14ac:dyDescent="0.35">
      <c r="A121" s="22" t="s">
        <v>704</v>
      </c>
      <c r="B121" s="17" t="str">
        <f t="shared" si="3"/>
        <v>CPS SCA3KTL-S/EU</v>
      </c>
      <c r="C121" s="22" t="s">
        <v>2419</v>
      </c>
      <c r="AM121" s="17">
        <f>IF(A121="","",MATCH(A121,'Lista - Inversor'!$2:$2,0))</f>
        <v>7</v>
      </c>
      <c r="AN121" s="17">
        <f>IF(C121="","",MATCH(C121,'Lista - Inversor'!$G:$G,0)-2)</f>
        <v>13</v>
      </c>
    </row>
    <row r="122" spans="1:40" x14ac:dyDescent="0.35">
      <c r="A122" s="22" t="s">
        <v>704</v>
      </c>
      <c r="B122" s="17" t="str">
        <f t="shared" si="3"/>
        <v>CPS SCH125KTL-DO</v>
      </c>
      <c r="C122" s="22" t="s">
        <v>2370</v>
      </c>
      <c r="AM122" s="17">
        <f>IF(A122="","",MATCH(A122,'Lista - Inversor'!$2:$2,0))</f>
        <v>7</v>
      </c>
      <c r="AN122" s="17">
        <f>IF(C122="","",MATCH(C122,'Lista - Inversor'!$G:$G,0)-2)</f>
        <v>11</v>
      </c>
    </row>
    <row r="123" spans="1:40" x14ac:dyDescent="0.35">
      <c r="A123" s="43" t="s">
        <v>695</v>
      </c>
      <c r="B123" s="17" t="str">
        <f t="shared" si="3"/>
        <v>SCA36KTL-DO/US-480</v>
      </c>
      <c r="C123" s="22" t="s">
        <v>1991</v>
      </c>
      <c r="AM123" s="17">
        <f>IF(A123="","",MATCH(A123,'Lista - Inversor'!$2:$2,0))</f>
        <v>8</v>
      </c>
      <c r="AN123" s="17">
        <f>IF(C123="","",MATCH(C123,'Lista - Inversor'!$H:$H,0)-2)</f>
        <v>1</v>
      </c>
    </row>
    <row r="124" spans="1:40" x14ac:dyDescent="0.35">
      <c r="A124" s="43" t="s">
        <v>695</v>
      </c>
      <c r="B124" s="17" t="str">
        <f t="shared" si="3"/>
        <v xml:space="preserve">SCA50KTL-DO </v>
      </c>
      <c r="C124" s="22" t="s">
        <v>2049</v>
      </c>
      <c r="AM124" s="17">
        <f>IF(A124="","",MATCH(A124,'Lista - Inversor'!$2:$2,0))</f>
        <v>8</v>
      </c>
      <c r="AN124" s="17">
        <f>IF(C124="","",MATCH(C124,'Lista - Inversor'!$H:$H,0)-2)</f>
        <v>2</v>
      </c>
    </row>
    <row r="125" spans="1:40" x14ac:dyDescent="0.35">
      <c r="A125" s="43" t="s">
        <v>695</v>
      </c>
      <c r="B125" s="17" t="str">
        <f t="shared" si="3"/>
        <v>SCA20KTL-DO</v>
      </c>
      <c r="C125" s="22" t="s">
        <v>2096</v>
      </c>
      <c r="AM125" s="17">
        <f>IF(A125="","",MATCH(A125,'Lista - Inversor'!$2:$2,0))</f>
        <v>8</v>
      </c>
      <c r="AN125" s="17">
        <f>IF(C125="","",MATCH(C125,'Lista - Inversor'!$H:$H,0)-2)</f>
        <v>3</v>
      </c>
    </row>
    <row r="126" spans="1:40" x14ac:dyDescent="0.35">
      <c r="A126" s="43" t="s">
        <v>695</v>
      </c>
      <c r="B126" s="17" t="str">
        <f t="shared" si="3"/>
        <v>SCA50KTL-DO/EU/400</v>
      </c>
      <c r="C126" s="22" t="s">
        <v>2140</v>
      </c>
      <c r="AM126" s="17">
        <f>IF(A126="","",MATCH(A126,'Lista - Inversor'!$2:$2,0))</f>
        <v>8</v>
      </c>
      <c r="AN126" s="17">
        <f>IF(C126="","",MATCH(C126,'Lista - Inversor'!$H:$H,0)-2)</f>
        <v>4</v>
      </c>
    </row>
    <row r="127" spans="1:40" x14ac:dyDescent="0.35">
      <c r="A127" s="43" t="s">
        <v>695</v>
      </c>
      <c r="B127" s="17" t="str">
        <f t="shared" si="3"/>
        <v>SCA5KTL-SM</v>
      </c>
      <c r="C127" s="22" t="s">
        <v>2182</v>
      </c>
      <c r="AM127" s="17">
        <f>IF(A127="","",MATCH(A127,'Lista - Inversor'!$2:$2,0))</f>
        <v>8</v>
      </c>
      <c r="AN127" s="17">
        <f>IF(C127="","",MATCH(C127,'Lista - Inversor'!$H:$H,0)-2)</f>
        <v>5</v>
      </c>
    </row>
    <row r="128" spans="1:40" x14ac:dyDescent="0.35">
      <c r="A128" s="43" t="s">
        <v>695</v>
      </c>
      <c r="B128" s="17" t="str">
        <f t="shared" si="3"/>
        <v>CPS SCH125KTL-DO</v>
      </c>
      <c r="C128" s="22" t="s">
        <v>2220</v>
      </c>
      <c r="AM128" s="17">
        <f>IF(A128="","",MATCH(A128,'Lista - Inversor'!$2:$2,0))</f>
        <v>8</v>
      </c>
      <c r="AN128" s="17">
        <f>IF(C128="","",MATCH(C128,'Lista - Inversor'!$H:$H,0)-2)</f>
        <v>6</v>
      </c>
    </row>
    <row r="129" spans="1:40" x14ac:dyDescent="0.35">
      <c r="A129" s="43" t="s">
        <v>701</v>
      </c>
      <c r="B129" s="17" t="str">
        <f t="shared" si="3"/>
        <v>M125HV</v>
      </c>
      <c r="C129" s="22" t="s">
        <v>1992</v>
      </c>
      <c r="AM129" s="17">
        <f>IF(A129="","",MATCH(A129,'Lista - Inversor'!$2:$2,0))</f>
        <v>9</v>
      </c>
      <c r="AN129" s="17">
        <f>IF(C129="","",MATCH(C129,'Lista - Inversor'!$I:$I,0)-2)</f>
        <v>1</v>
      </c>
    </row>
    <row r="130" spans="1:40" x14ac:dyDescent="0.35">
      <c r="A130" s="43" t="s">
        <v>500</v>
      </c>
      <c r="B130" s="17" t="str">
        <f t="shared" ref="B130:B161" si="4">RIGHT(C130,LEN(C130)-(FIND(" - ", C130)+2))</f>
        <v>SUN-5K-G</v>
      </c>
      <c r="C130" s="22" t="s">
        <v>1993</v>
      </c>
      <c r="AM130" s="17">
        <f>IF(A130="","",MATCH(A130,'Lista - Inversor'!$2:$2,0))</f>
        <v>10</v>
      </c>
      <c r="AN130" s="17">
        <f>IF(C130="","",MATCH(C130,'Lista - Inversor'!$J:$J,0)-2)</f>
        <v>1</v>
      </c>
    </row>
    <row r="131" spans="1:40" x14ac:dyDescent="0.35">
      <c r="A131" s="43" t="s">
        <v>500</v>
      </c>
      <c r="B131" s="17" t="str">
        <f t="shared" si="4"/>
        <v>SUN-8K-G</v>
      </c>
      <c r="C131" s="22" t="s">
        <v>2050</v>
      </c>
      <c r="D131" s="41" t="s">
        <v>288</v>
      </c>
      <c r="E131" s="17">
        <v>8</v>
      </c>
      <c r="F131" s="41" t="s">
        <v>4123</v>
      </c>
      <c r="G131" s="41" t="s">
        <v>4125</v>
      </c>
      <c r="H131" s="41" t="s">
        <v>3991</v>
      </c>
      <c r="I131" s="41" t="s">
        <v>504</v>
      </c>
      <c r="J131" s="41" t="s">
        <v>294</v>
      </c>
      <c r="K131" s="41" t="s">
        <v>505</v>
      </c>
      <c r="M131" s="22" t="s">
        <v>4124</v>
      </c>
      <c r="N131" s="22" t="s">
        <v>4126</v>
      </c>
      <c r="P131" s="22" t="s">
        <v>4127</v>
      </c>
      <c r="Q131" s="22" t="s">
        <v>4128</v>
      </c>
      <c r="R131" s="22" t="s">
        <v>3996</v>
      </c>
      <c r="S131" s="41" t="s">
        <v>4129</v>
      </c>
      <c r="T131" s="22" t="s">
        <v>4130</v>
      </c>
      <c r="U131" s="41" t="s">
        <v>315</v>
      </c>
      <c r="V131" s="41" t="s">
        <v>4131</v>
      </c>
      <c r="W131" s="41" t="s">
        <v>4132</v>
      </c>
      <c r="Y131" s="22" t="s">
        <v>4133</v>
      </c>
      <c r="Z131" s="41" t="s">
        <v>4134</v>
      </c>
      <c r="AA131" s="41" t="s">
        <v>532</v>
      </c>
      <c r="AC131" s="41" t="s">
        <v>329</v>
      </c>
      <c r="AD131" s="41" t="s">
        <v>310</v>
      </c>
      <c r="AE131" s="41" t="s">
        <v>512</v>
      </c>
      <c r="AF131" s="41" t="s">
        <v>312</v>
      </c>
      <c r="AG131" s="41" t="s">
        <v>313</v>
      </c>
      <c r="AH131" s="41" t="s">
        <v>384</v>
      </c>
      <c r="AK131" s="22">
        <v>1</v>
      </c>
      <c r="AL131" s="22">
        <v>0.22</v>
      </c>
      <c r="AM131" s="17">
        <f>IF(A131="","",MATCH(A131,'Lista - Inversor'!$2:$2,0))</f>
        <v>10</v>
      </c>
      <c r="AN131" s="17">
        <f>IF(C131="","",MATCH(C131,'Lista - Inversor'!$J:$J,0)-2)</f>
        <v>2</v>
      </c>
    </row>
    <row r="132" spans="1:40" x14ac:dyDescent="0.35">
      <c r="A132" s="43" t="s">
        <v>500</v>
      </c>
      <c r="B132" s="17" t="str">
        <f t="shared" si="4"/>
        <v>SUN-3K-G</v>
      </c>
      <c r="C132" s="22" t="s">
        <v>2097</v>
      </c>
      <c r="AM132" s="17">
        <f>IF(A132="","",MATCH(A132,'Lista - Inversor'!$2:$2,0))</f>
        <v>10</v>
      </c>
      <c r="AN132" s="17">
        <f>IF(C132="","",MATCH(C132,'Lista - Inversor'!$J:$J,0)-2)</f>
        <v>3</v>
      </c>
    </row>
    <row r="133" spans="1:40" x14ac:dyDescent="0.35">
      <c r="A133" s="43" t="s">
        <v>500</v>
      </c>
      <c r="B133" s="17" t="str">
        <f t="shared" si="4"/>
        <v>SUN1300G</v>
      </c>
      <c r="C133" s="22" t="s">
        <v>2141</v>
      </c>
      <c r="AM133" s="17">
        <f>IF(A133="","",MATCH(A133,'Lista - Inversor'!$2:$2,0))</f>
        <v>10</v>
      </c>
      <c r="AN133" s="17">
        <f>IF(C133="","",MATCH(C133,'Lista - Inversor'!$J:$J,0)-2)</f>
        <v>4</v>
      </c>
    </row>
    <row r="134" spans="1:40" x14ac:dyDescent="0.35">
      <c r="A134" s="43" t="s">
        <v>500</v>
      </c>
      <c r="B134" s="17" t="str">
        <f t="shared" si="4"/>
        <v>SUN-15K-G02</v>
      </c>
      <c r="C134" s="22" t="s">
        <v>2183</v>
      </c>
      <c r="AM134" s="17">
        <f>IF(A134="","",MATCH(A134,'Lista - Inversor'!$2:$2,0))</f>
        <v>10</v>
      </c>
      <c r="AN134" s="17">
        <f>IF(C134="","",MATCH(C134,'Lista - Inversor'!$J:$J,0)-2)</f>
        <v>5</v>
      </c>
    </row>
    <row r="135" spans="1:40" x14ac:dyDescent="0.35">
      <c r="A135" s="43" t="s">
        <v>500</v>
      </c>
      <c r="B135" s="17" t="str">
        <f t="shared" si="4"/>
        <v>SUN-12K-G03</v>
      </c>
      <c r="C135" s="22" t="s">
        <v>2221</v>
      </c>
      <c r="AM135" s="17">
        <f>IF(A135="","",MATCH(A135,'Lista - Inversor'!$2:$2,0))</f>
        <v>10</v>
      </c>
      <c r="AN135" s="17">
        <f>IF(C135="","",MATCH(C135,'Lista - Inversor'!$J:$J,0)-2)</f>
        <v>6</v>
      </c>
    </row>
    <row r="136" spans="1:40" x14ac:dyDescent="0.35">
      <c r="A136" s="43" t="s">
        <v>500</v>
      </c>
      <c r="B136" s="17" t="str">
        <f t="shared" si="4"/>
        <v>SUN-20K-G02</v>
      </c>
      <c r="C136" s="22" t="s">
        <v>2254</v>
      </c>
      <c r="AM136" s="17">
        <f>IF(A136="","",MATCH(A136,'Lista - Inversor'!$2:$2,0))</f>
        <v>10</v>
      </c>
      <c r="AN136" s="17">
        <f>IF(C136="","",MATCH(C136,'Lista - Inversor'!$J:$J,0)-2)</f>
        <v>7</v>
      </c>
    </row>
    <row r="137" spans="1:40" x14ac:dyDescent="0.35">
      <c r="A137" s="43" t="s">
        <v>500</v>
      </c>
      <c r="B137" s="17" t="str">
        <f t="shared" si="4"/>
        <v>SUN-40K-G</v>
      </c>
      <c r="C137" s="22" t="s">
        <v>2287</v>
      </c>
      <c r="AM137" s="17">
        <f>IF(A137="","",MATCH(A137,'Lista - Inversor'!$2:$2,0))</f>
        <v>10</v>
      </c>
      <c r="AN137" s="17">
        <f>IF(C137="","",MATCH(C137,'Lista - Inversor'!$J:$J,0)-2)</f>
        <v>8</v>
      </c>
    </row>
    <row r="138" spans="1:40" x14ac:dyDescent="0.35">
      <c r="A138" s="43" t="s">
        <v>500</v>
      </c>
      <c r="B138" s="17" t="str">
        <f t="shared" si="4"/>
        <v>SUN600G2-US-220</v>
      </c>
      <c r="C138" s="22" t="s">
        <v>2317</v>
      </c>
      <c r="AM138" s="17">
        <f>IF(A138="","",MATCH(A138,'Lista - Inversor'!$2:$2,0))</f>
        <v>10</v>
      </c>
      <c r="AN138" s="17">
        <f>IF(C138="","",MATCH(C138,'Lista - Inversor'!$J:$J,0)-2)</f>
        <v>9</v>
      </c>
    </row>
    <row r="139" spans="1:40" x14ac:dyDescent="0.35">
      <c r="A139" s="43" t="s">
        <v>500</v>
      </c>
      <c r="B139" s="17" t="str">
        <f t="shared" si="4"/>
        <v>SUN-75K-G</v>
      </c>
      <c r="C139" s="22" t="s">
        <v>2345</v>
      </c>
      <c r="AM139" s="17">
        <f>IF(A139="","",MATCH(A139,'Lista - Inversor'!$2:$2,0))</f>
        <v>10</v>
      </c>
      <c r="AN139" s="17">
        <f>IF(C139="","",MATCH(C139,'Lista - Inversor'!$J:$J,0)-2)</f>
        <v>10</v>
      </c>
    </row>
    <row r="140" spans="1:40" x14ac:dyDescent="0.35">
      <c r="A140" s="43" t="s">
        <v>500</v>
      </c>
      <c r="B140" s="17" t="str">
        <f t="shared" si="4"/>
        <v>SUN-12K-G02-LV</v>
      </c>
      <c r="C140" s="22" t="s">
        <v>2371</v>
      </c>
      <c r="AM140" s="17">
        <f>IF(A140="","",MATCH(A140,'Lista - Inversor'!$2:$2,0))</f>
        <v>10</v>
      </c>
      <c r="AN140" s="17">
        <f>IF(C140="","",MATCH(C140,'Lista - Inversor'!$J:$J,0)-2)</f>
        <v>11</v>
      </c>
    </row>
    <row r="141" spans="1:40" x14ac:dyDescent="0.35">
      <c r="A141" s="43" t="s">
        <v>500</v>
      </c>
      <c r="B141" s="17" t="str">
        <f t="shared" si="4"/>
        <v xml:space="preserve"> SUN-20K-G</v>
      </c>
      <c r="C141" s="22" t="s">
        <v>2396</v>
      </c>
      <c r="AM141" s="17">
        <f>IF(A141="","",MATCH(A141,'Lista - Inversor'!$2:$2,0))</f>
        <v>10</v>
      </c>
      <c r="AN141" s="17">
        <f>IF(C141="","",MATCH(C141,'Lista - Inversor'!$J:$J,0)-2)</f>
        <v>12</v>
      </c>
    </row>
    <row r="142" spans="1:40" x14ac:dyDescent="0.35">
      <c r="A142" s="43" t="s">
        <v>500</v>
      </c>
      <c r="B142" s="17" t="str">
        <f t="shared" si="4"/>
        <v>SUN-4K-G</v>
      </c>
      <c r="C142" s="22" t="s">
        <v>2420</v>
      </c>
      <c r="AM142" s="17">
        <f>IF(A142="","",MATCH(A142,'Lista - Inversor'!$2:$2,0))</f>
        <v>10</v>
      </c>
      <c r="AN142" s="17">
        <f>IF(C142="","",MATCH(C142,'Lista - Inversor'!$J:$J,0)-2)</f>
        <v>13</v>
      </c>
    </row>
    <row r="143" spans="1:40" x14ac:dyDescent="0.35">
      <c r="A143" s="43" t="s">
        <v>500</v>
      </c>
      <c r="B143" s="17" t="str">
        <f t="shared" si="4"/>
        <v>SUN-5K-SG01LP1-US</v>
      </c>
      <c r="C143" s="22" t="s">
        <v>2443</v>
      </c>
      <c r="AM143" s="17">
        <f>IF(A143="","",MATCH(A143,'Lista - Inversor'!$2:$2,0))</f>
        <v>10</v>
      </c>
      <c r="AN143" s="17">
        <f>IF(C143="","",MATCH(C143,'Lista - Inversor'!$J:$J,0)-2)</f>
        <v>14</v>
      </c>
    </row>
    <row r="144" spans="1:40" x14ac:dyDescent="0.35">
      <c r="A144" s="43" t="s">
        <v>500</v>
      </c>
      <c r="B144" s="17" t="str">
        <f t="shared" si="4"/>
        <v>SUN-5K SG01/03LP1-EU</v>
      </c>
      <c r="C144" s="22" t="s">
        <v>2466</v>
      </c>
      <c r="AM144" s="17">
        <f>IF(A144="","",MATCH(A144,'Lista - Inversor'!$2:$2,0))</f>
        <v>10</v>
      </c>
      <c r="AN144" s="17">
        <f>IF(C144="","",MATCH(C144,'Lista - Inversor'!$J:$J,0)-2)</f>
        <v>15</v>
      </c>
    </row>
    <row r="145" spans="1:40" x14ac:dyDescent="0.35">
      <c r="A145" s="43" t="s">
        <v>500</v>
      </c>
      <c r="B145" s="17" t="str">
        <f t="shared" si="4"/>
        <v>SUN-60K-G</v>
      </c>
      <c r="C145" s="22" t="s">
        <v>2488</v>
      </c>
      <c r="AM145" s="17">
        <f>IF(A145="","",MATCH(A145,'Lista - Inversor'!$2:$2,0))</f>
        <v>10</v>
      </c>
      <c r="AN145" s="17">
        <f>IF(C145="","",MATCH(C145,'Lista - Inversor'!$J:$J,0)-2)</f>
        <v>16</v>
      </c>
    </row>
    <row r="146" spans="1:40" x14ac:dyDescent="0.35">
      <c r="A146" s="43" t="s">
        <v>500</v>
      </c>
      <c r="B146" s="17" t="str">
        <f t="shared" si="4"/>
        <v>SUN-30K-G-LV</v>
      </c>
      <c r="C146" s="22" t="s">
        <v>2508</v>
      </c>
      <c r="AM146" s="17">
        <f>IF(A146="","",MATCH(A146,'Lista - Inversor'!$2:$2,0))</f>
        <v>10</v>
      </c>
      <c r="AN146" s="17">
        <f>IF(C146="","",MATCH(C146,'Lista - Inversor'!$J:$J,0)-2)</f>
        <v>17</v>
      </c>
    </row>
    <row r="147" spans="1:40" x14ac:dyDescent="0.35">
      <c r="A147" s="43" t="s">
        <v>500</v>
      </c>
      <c r="B147" s="17" t="str">
        <f t="shared" si="4"/>
        <v>SUN1300G</v>
      </c>
      <c r="C147" s="22" t="s">
        <v>2528</v>
      </c>
      <c r="AM147" s="17">
        <f>IF(A147="","",MATCH(A147,'Lista - Inversor'!$2:$2,0))</f>
        <v>10</v>
      </c>
      <c r="AN147" s="17">
        <f>IF(C147="","",MATCH(C147,'Lista - Inversor'!$J:$J,0)-2)</f>
        <v>18</v>
      </c>
    </row>
    <row r="148" spans="1:40" x14ac:dyDescent="0.35">
      <c r="A148" s="43" t="s">
        <v>500</v>
      </c>
      <c r="B148" s="17" t="str">
        <f t="shared" si="4"/>
        <v>SUN-25K-G02</v>
      </c>
      <c r="C148" s="22" t="s">
        <v>2548</v>
      </c>
      <c r="AM148" s="17">
        <f>IF(A148="","",MATCH(A148,'Lista - Inversor'!$2:$2,0))</f>
        <v>10</v>
      </c>
      <c r="AN148" s="17">
        <f>IF(C148="","",MATCH(C148,'Lista - Inversor'!$J:$J,0)-2)</f>
        <v>19</v>
      </c>
    </row>
    <row r="149" spans="1:40" x14ac:dyDescent="0.35">
      <c r="A149" s="43" t="s">
        <v>500</v>
      </c>
      <c r="B149" s="17" t="str">
        <f t="shared" si="4"/>
        <v>SUN-33K-G</v>
      </c>
      <c r="C149" s="22" t="s">
        <v>2568</v>
      </c>
      <c r="AM149" s="17">
        <f>IF(A149="","",MATCH(A149,'Lista - Inversor'!$2:$2,0))</f>
        <v>10</v>
      </c>
      <c r="AN149" s="17">
        <f>IF(C149="","",MATCH(C149,'Lista - Inversor'!$J:$J,0)-2)</f>
        <v>20</v>
      </c>
    </row>
    <row r="150" spans="1:40" x14ac:dyDescent="0.35">
      <c r="A150" s="43" t="s">
        <v>500</v>
      </c>
      <c r="B150" s="17" t="str">
        <f t="shared" si="4"/>
        <v>SUN-40K-G-LV 40KW</v>
      </c>
      <c r="C150" s="22" t="s">
        <v>2588</v>
      </c>
      <c r="AM150" s="17">
        <f>IF(A150="","",MATCH(A150,'Lista - Inversor'!$2:$2,0))</f>
        <v>10</v>
      </c>
      <c r="AN150" s="17">
        <f>IF(C150="","",MATCH(C150,'Lista - Inversor'!$J:$J,0)-2)</f>
        <v>21</v>
      </c>
    </row>
    <row r="151" spans="1:40" x14ac:dyDescent="0.35">
      <c r="A151" s="43" t="s">
        <v>500</v>
      </c>
      <c r="B151" s="17" t="str">
        <f t="shared" si="4"/>
        <v xml:space="preserve"> SUN-50K-G-LV</v>
      </c>
      <c r="C151" s="22" t="s">
        <v>2606</v>
      </c>
      <c r="AM151" s="17">
        <f>IF(A151="","",MATCH(A151,'Lista - Inversor'!$2:$2,0))</f>
        <v>10</v>
      </c>
      <c r="AN151" s="17">
        <f>IF(C151="","",MATCH(C151,'Lista - Inversor'!$J:$J,0)-2)</f>
        <v>22</v>
      </c>
    </row>
    <row r="152" spans="1:40" x14ac:dyDescent="0.35">
      <c r="A152" s="43" t="s">
        <v>500</v>
      </c>
      <c r="B152" s="17" t="str">
        <f t="shared" si="4"/>
        <v>SUN-20K-G02-LV</v>
      </c>
      <c r="C152" s="22" t="s">
        <v>2624</v>
      </c>
      <c r="AM152" s="17">
        <f>IF(A152="","",MATCH(A152,'Lista - Inversor'!$2:$2,0))</f>
        <v>10</v>
      </c>
      <c r="AN152" s="17">
        <f>IF(C152="","",MATCH(C152,'Lista - Inversor'!$J:$J,0)-2)</f>
        <v>23</v>
      </c>
    </row>
    <row r="153" spans="1:40" x14ac:dyDescent="0.35">
      <c r="A153" s="43" t="s">
        <v>500</v>
      </c>
      <c r="B153" s="17" t="str">
        <f t="shared" si="4"/>
        <v>SUN-50K-G</v>
      </c>
      <c r="C153" s="22" t="s">
        <v>2641</v>
      </c>
      <c r="AM153" s="17">
        <f>IF(A153="","",MATCH(A153,'Lista - Inversor'!$2:$2,0))</f>
        <v>10</v>
      </c>
      <c r="AN153" s="17">
        <f>IF(C153="","",MATCH(C153,'Lista - Inversor'!$J:$J,0)-2)</f>
        <v>24</v>
      </c>
    </row>
    <row r="154" spans="1:40" x14ac:dyDescent="0.35">
      <c r="A154" s="43" t="s">
        <v>500</v>
      </c>
      <c r="B154" s="17" t="str">
        <f t="shared" si="4"/>
        <v>SUN-7.5K-G</v>
      </c>
      <c r="C154" s="22" t="s">
        <v>2658</v>
      </c>
      <c r="AM154" s="17">
        <f>IF(A154="","",MATCH(A154,'Lista - Inversor'!$2:$2,0))</f>
        <v>10</v>
      </c>
      <c r="AN154" s="17">
        <f>IF(C154="","",MATCH(C154,'Lista - Inversor'!$J:$J,0)-2)</f>
        <v>25</v>
      </c>
    </row>
    <row r="155" spans="1:40" x14ac:dyDescent="0.35">
      <c r="A155" s="43" t="s">
        <v>500</v>
      </c>
      <c r="B155" s="17" t="str">
        <f t="shared" si="4"/>
        <v>SUN-3.6K-G</v>
      </c>
      <c r="C155" s="22" t="s">
        <v>2672</v>
      </c>
      <c r="AM155" s="17">
        <f>IF(A155="","",MATCH(A155,'Lista - Inversor'!$2:$2,0))</f>
        <v>10</v>
      </c>
      <c r="AN155" s="17">
        <f>IF(C155="","",MATCH(C155,'Lista - Inversor'!$J:$J,0)-2)</f>
        <v>26</v>
      </c>
    </row>
    <row r="156" spans="1:40" x14ac:dyDescent="0.35">
      <c r="A156" s="43" t="s">
        <v>500</v>
      </c>
      <c r="B156" s="17" t="str">
        <f t="shared" si="4"/>
        <v>SUN-30K-G</v>
      </c>
      <c r="C156" s="22" t="s">
        <v>2686</v>
      </c>
      <c r="AM156" s="17">
        <f>IF(A156="","",MATCH(A156,'Lista - Inversor'!$2:$2,0))</f>
        <v>10</v>
      </c>
      <c r="AN156" s="17">
        <f>IF(C156="","",MATCH(C156,'Lista - Inversor'!$J:$J,0)-2)</f>
        <v>27</v>
      </c>
    </row>
    <row r="157" spans="1:40" x14ac:dyDescent="0.35">
      <c r="A157" s="43" t="s">
        <v>500</v>
      </c>
      <c r="B157" s="17" t="str">
        <f t="shared" si="4"/>
        <v>SUN-10K-G02</v>
      </c>
      <c r="C157" s="22" t="s">
        <v>2699</v>
      </c>
      <c r="AM157" s="17">
        <f>IF(A157="","",MATCH(A157,'Lista - Inversor'!$2:$2,0))</f>
        <v>10</v>
      </c>
      <c r="AN157" s="17">
        <f>IF(C157="","",MATCH(C157,'Lista - Inversor'!$J:$J,0)-2)</f>
        <v>28</v>
      </c>
    </row>
    <row r="158" spans="1:40" x14ac:dyDescent="0.35">
      <c r="A158" s="43" t="s">
        <v>500</v>
      </c>
      <c r="B158" s="17" t="str">
        <f t="shared" si="4"/>
        <v>SUN-3.6K-G</v>
      </c>
      <c r="C158" s="22" t="s">
        <v>2712</v>
      </c>
      <c r="AM158" s="17">
        <f>IF(A158="","",MATCH(A158,'Lista - Inversor'!$2:$2,0))</f>
        <v>10</v>
      </c>
      <c r="AN158" s="17">
        <f>IF(C158="","",MATCH(C158,'Lista - Inversor'!$J:$J,0)-2)</f>
        <v>29</v>
      </c>
    </row>
    <row r="159" spans="1:40" x14ac:dyDescent="0.35">
      <c r="A159" s="43" t="s">
        <v>500</v>
      </c>
      <c r="B159" s="17" t="str">
        <f t="shared" si="4"/>
        <v>SUN-10K-G03</v>
      </c>
      <c r="C159" s="22" t="s">
        <v>2725</v>
      </c>
      <c r="AM159" s="17">
        <f>IF(A159="","",MATCH(A159,'Lista - Inversor'!$2:$2,0))</f>
        <v>10</v>
      </c>
      <c r="AN159" s="17">
        <f>IF(C159="","",MATCH(C159,'Lista - Inversor'!$J:$J,0)-2)</f>
        <v>30</v>
      </c>
    </row>
    <row r="160" spans="1:40" x14ac:dyDescent="0.35">
      <c r="A160" s="43" t="s">
        <v>500</v>
      </c>
      <c r="B160" s="17" t="str">
        <f t="shared" si="4"/>
        <v>SUN-15K-G02-LV</v>
      </c>
      <c r="C160" s="22" t="s">
        <v>2737</v>
      </c>
      <c r="AM160" s="17">
        <f>IF(A160="","",MATCH(A160,'Lista - Inversor'!$2:$2,0))</f>
        <v>10</v>
      </c>
      <c r="AN160" s="17">
        <f>IF(C160="","",MATCH(C160,'Lista - Inversor'!$J:$J,0)-2)</f>
        <v>31</v>
      </c>
    </row>
    <row r="161" spans="1:40" x14ac:dyDescent="0.35">
      <c r="A161" s="43" t="s">
        <v>500</v>
      </c>
      <c r="B161" s="17" t="str">
        <f t="shared" si="4"/>
        <v>SUN-1300G-US-220</v>
      </c>
      <c r="C161" s="22" t="s">
        <v>2749</v>
      </c>
      <c r="AM161" s="17">
        <f>IF(A161="","",MATCH(A161,'Lista - Inversor'!$2:$2,0))</f>
        <v>10</v>
      </c>
      <c r="AN161" s="17">
        <f>IF(C161="","",MATCH(C161,'Lista - Inversor'!$J:$J,0)-2)</f>
        <v>32</v>
      </c>
    </row>
    <row r="162" spans="1:40" x14ac:dyDescent="0.35">
      <c r="A162" s="43" t="s">
        <v>500</v>
      </c>
      <c r="B162" s="17" t="str">
        <f t="shared" ref="B162:B193" si="5">RIGHT(C162,LEN(C162)-(FIND(" - ", C162)+2))</f>
        <v>SUN-3.6K-SG03LP1-EU</v>
      </c>
      <c r="C162" s="22" t="s">
        <v>2761</v>
      </c>
      <c r="AM162" s="17">
        <f>IF(A162="","",MATCH(A162,'Lista - Inversor'!$2:$2,0))</f>
        <v>10</v>
      </c>
      <c r="AN162" s="17">
        <f>IF(C162="","",MATCH(C162,'Lista - Inversor'!$J:$J,0)-2)</f>
        <v>33</v>
      </c>
    </row>
    <row r="163" spans="1:40" x14ac:dyDescent="0.35">
      <c r="A163" s="43" t="s">
        <v>500</v>
      </c>
      <c r="B163" s="17" t="str">
        <f t="shared" si="5"/>
        <v>SUN-15K-G03</v>
      </c>
      <c r="C163" s="22" t="s">
        <v>2773</v>
      </c>
      <c r="AM163" s="17">
        <f>IF(A163="","",MATCH(A163,'Lista - Inversor'!$2:$2,0))</f>
        <v>10</v>
      </c>
      <c r="AN163" s="17">
        <f>IF(C163="","",MATCH(C163,'Lista - Inversor'!$J:$J,0)-2)</f>
        <v>34</v>
      </c>
    </row>
    <row r="164" spans="1:40" x14ac:dyDescent="0.35">
      <c r="A164" s="43" t="s">
        <v>500</v>
      </c>
      <c r="B164" s="17" t="str">
        <f t="shared" si="5"/>
        <v>SUN1600G3-US-220</v>
      </c>
      <c r="C164" s="22" t="s">
        <v>2785</v>
      </c>
      <c r="AM164" s="17">
        <f>IF(A164="","",MATCH(A164,'Lista - Inversor'!$2:$2,0))</f>
        <v>10</v>
      </c>
      <c r="AN164" s="17">
        <f>IF(C164="","",MATCH(C164,'Lista - Inversor'!$J:$J,0)-2)</f>
        <v>35</v>
      </c>
    </row>
    <row r="165" spans="1:40" x14ac:dyDescent="0.35">
      <c r="A165" s="43" t="s">
        <v>500</v>
      </c>
      <c r="B165" s="17" t="str">
        <f t="shared" si="5"/>
        <v>SUN2000G</v>
      </c>
      <c r="C165" s="22" t="s">
        <v>2796</v>
      </c>
      <c r="AM165" s="17">
        <f>IF(A165="","",MATCH(A165,'Lista - Inversor'!$2:$2,0))</f>
        <v>10</v>
      </c>
      <c r="AN165" s="17">
        <f>IF(C165="","",MATCH(C165,'Lista - Inversor'!$J:$J,0)-2)</f>
        <v>36</v>
      </c>
    </row>
    <row r="166" spans="1:40" x14ac:dyDescent="0.35">
      <c r="A166" s="43" t="s">
        <v>500</v>
      </c>
      <c r="B166" s="17" t="str">
        <f t="shared" si="5"/>
        <v>SUN2000G3-US-220</v>
      </c>
      <c r="C166" s="22" t="s">
        <v>2806</v>
      </c>
      <c r="AM166" s="17">
        <f>IF(A166="","",MATCH(A166,'Lista - Inversor'!$2:$2,0))</f>
        <v>10</v>
      </c>
      <c r="AN166" s="17">
        <f>IF(C166="","",MATCH(C166,'Lista - Inversor'!$J:$J,0)-2)</f>
        <v>37</v>
      </c>
    </row>
    <row r="167" spans="1:40" x14ac:dyDescent="0.35">
      <c r="A167" s="43" t="s">
        <v>500</v>
      </c>
      <c r="B167" s="17" t="str">
        <f t="shared" si="5"/>
        <v>SUN-35K-G</v>
      </c>
      <c r="C167" s="22" t="s">
        <v>2815</v>
      </c>
      <c r="AM167" s="17">
        <f>IF(A167="","",MATCH(A167,'Lista - Inversor'!$2:$2,0))</f>
        <v>10</v>
      </c>
      <c r="AN167" s="17">
        <f>IF(C167="","",MATCH(C167,'Lista - Inversor'!$J:$J,0)-2)</f>
        <v>38</v>
      </c>
    </row>
    <row r="168" spans="1:40" x14ac:dyDescent="0.35">
      <c r="A168" s="43" t="s">
        <v>500</v>
      </c>
      <c r="B168" s="17" t="str">
        <f t="shared" si="5"/>
        <v>SUN-20K-G02-LV</v>
      </c>
      <c r="C168" s="22" t="s">
        <v>2824</v>
      </c>
      <c r="AM168" s="17">
        <f>IF(A168="","",MATCH(A168,'Lista - Inversor'!$2:$2,0))</f>
        <v>10</v>
      </c>
      <c r="AN168" s="17">
        <f>IF(C168="","",MATCH(C168,'Lista - Inversor'!$J:$J,0)-2)</f>
        <v>39</v>
      </c>
    </row>
    <row r="169" spans="1:40" x14ac:dyDescent="0.35">
      <c r="A169" s="43" t="s">
        <v>500</v>
      </c>
      <c r="B169" s="17" t="str">
        <f t="shared" si="5"/>
        <v>SUN-6K-G</v>
      </c>
      <c r="C169" s="22" t="s">
        <v>2833</v>
      </c>
      <c r="AM169" s="17">
        <f>IF(A169="","",MATCH(A169,'Lista - Inversor'!$2:$2,0))</f>
        <v>10</v>
      </c>
      <c r="AN169" s="17">
        <f>IF(C169="","",MATCH(C169,'Lista - Inversor'!$J:$J,0)-2)</f>
        <v>40</v>
      </c>
    </row>
    <row r="170" spans="1:40" x14ac:dyDescent="0.35">
      <c r="A170" s="43" t="s">
        <v>500</v>
      </c>
      <c r="B170" s="17" t="str">
        <f t="shared" si="5"/>
        <v>SUN 10K-G</v>
      </c>
      <c r="C170" s="22" t="s">
        <v>2842</v>
      </c>
      <c r="AM170" s="17">
        <f>IF(A170="","",MATCH(A170,'Lista - Inversor'!$2:$2,0))</f>
        <v>10</v>
      </c>
      <c r="AN170" s="17">
        <f>IF(C170="","",MATCH(C170,'Lista - Inversor'!$J:$J,0)-2)</f>
        <v>41</v>
      </c>
    </row>
    <row r="171" spans="1:40" x14ac:dyDescent="0.35">
      <c r="A171" s="43" t="s">
        <v>500</v>
      </c>
      <c r="B171" s="17" t="str">
        <f t="shared" si="5"/>
        <v>SUN-1300G-US-220</v>
      </c>
      <c r="C171" s="22" t="s">
        <v>2850</v>
      </c>
      <c r="AM171" s="17">
        <f>IF(A171="","",MATCH(A171,'Lista - Inversor'!$2:$2,0))</f>
        <v>10</v>
      </c>
      <c r="AN171" s="17">
        <f>IF(C171="","",MATCH(C171,'Lista - Inversor'!$J:$J,0)-2)</f>
        <v>42</v>
      </c>
    </row>
    <row r="172" spans="1:40" x14ac:dyDescent="0.35">
      <c r="A172" s="43" t="s">
        <v>500</v>
      </c>
      <c r="B172" s="17" t="str">
        <f t="shared" si="5"/>
        <v>SUN-25K-G02-LV</v>
      </c>
      <c r="C172" s="22" t="s">
        <v>2858</v>
      </c>
      <c r="AM172" s="17">
        <f>IF(A172="","",MATCH(A172,'Lista - Inversor'!$2:$2,0))</f>
        <v>10</v>
      </c>
      <c r="AN172" s="17">
        <f>IF(C172="","",MATCH(C172,'Lista - Inversor'!$J:$J,0)-2)</f>
        <v>43</v>
      </c>
    </row>
    <row r="173" spans="1:40" x14ac:dyDescent="0.35">
      <c r="A173" s="43" t="s">
        <v>500</v>
      </c>
      <c r="B173" s="17" t="str">
        <f t="shared" si="5"/>
        <v>SUN2000 G3-EU-230</v>
      </c>
      <c r="C173" s="22" t="s">
        <v>2866</v>
      </c>
      <c r="AM173" s="17">
        <f>IF(A173="","",MATCH(A173,'Lista - Inversor'!$2:$2,0))</f>
        <v>10</v>
      </c>
      <c r="AN173" s="17">
        <f>IF(C173="","",MATCH(C173,'Lista - Inversor'!$J:$J,0)-2)</f>
        <v>44</v>
      </c>
    </row>
    <row r="174" spans="1:40" x14ac:dyDescent="0.35">
      <c r="A174" s="43" t="s">
        <v>500</v>
      </c>
      <c r="B174" s="17" t="str">
        <f t="shared" si="5"/>
        <v>SUN-35KG02</v>
      </c>
      <c r="C174" s="22" t="s">
        <v>2873</v>
      </c>
      <c r="AM174" s="17">
        <f>IF(A174="","",MATCH(A174,'Lista - Inversor'!$2:$2,0))</f>
        <v>10</v>
      </c>
      <c r="AN174" s="17">
        <f>IF(C174="","",MATCH(C174,'Lista - Inversor'!$J:$J,0)-2)</f>
        <v>45</v>
      </c>
    </row>
    <row r="175" spans="1:40" x14ac:dyDescent="0.35">
      <c r="A175" s="43" t="s">
        <v>500</v>
      </c>
      <c r="B175" s="17" t="str">
        <f t="shared" si="5"/>
        <v>SUN-30K-G02-LV</v>
      </c>
      <c r="C175" s="22" t="s">
        <v>2880</v>
      </c>
      <c r="AM175" s="17">
        <f>IF(A175="","",MATCH(A175,'Lista - Inversor'!$2:$2,0))</f>
        <v>10</v>
      </c>
      <c r="AN175" s="17">
        <f>IF(C175="","",MATCH(C175,'Lista - Inversor'!$J:$J,0)-2)</f>
        <v>46</v>
      </c>
    </row>
    <row r="176" spans="1:40" x14ac:dyDescent="0.35">
      <c r="A176" s="43" t="s">
        <v>500</v>
      </c>
      <c r="B176" s="17" t="str">
        <f t="shared" si="5"/>
        <v>SUN-8K-SG01LP1-EU</v>
      </c>
      <c r="C176" s="22" t="s">
        <v>2887</v>
      </c>
      <c r="AM176" s="17">
        <f>IF(A176="","",MATCH(A176,'Lista - Inversor'!$2:$2,0))</f>
        <v>10</v>
      </c>
      <c r="AN176" s="17">
        <f>IF(C176="","",MATCH(C176,'Lista - Inversor'!$J:$J,0)-2)</f>
        <v>47</v>
      </c>
    </row>
    <row r="177" spans="1:40" x14ac:dyDescent="0.35">
      <c r="A177" s="43" t="s">
        <v>500</v>
      </c>
      <c r="B177" s="17" t="str">
        <f t="shared" si="5"/>
        <v>SUN-80K-G</v>
      </c>
      <c r="C177" s="22" t="s">
        <v>2893</v>
      </c>
      <c r="AM177" s="17">
        <f>IF(A177="","",MATCH(A177,'Lista - Inversor'!$2:$2,0))</f>
        <v>10</v>
      </c>
      <c r="AN177" s="17">
        <f>IF(C177="","",MATCH(C177,'Lista - Inversor'!$J:$J,0)-2)</f>
        <v>48</v>
      </c>
    </row>
    <row r="178" spans="1:40" x14ac:dyDescent="0.35">
      <c r="A178" s="43" t="s">
        <v>500</v>
      </c>
      <c r="B178" s="17" t="str">
        <f t="shared" si="5"/>
        <v>SUN1300G3-US-220</v>
      </c>
      <c r="C178" s="22" t="s">
        <v>2898</v>
      </c>
      <c r="AM178" s="17">
        <f>IF(A178="","",MATCH(A178,'Lista - Inversor'!$2:$2,0))</f>
        <v>10</v>
      </c>
      <c r="AN178" s="17">
        <f>IF(C178="","",MATCH(C178,'Lista - Inversor'!$J:$J,0)-2)</f>
        <v>49</v>
      </c>
    </row>
    <row r="179" spans="1:40" x14ac:dyDescent="0.35">
      <c r="A179" s="43" t="s">
        <v>500</v>
      </c>
      <c r="B179" s="17" t="str">
        <f t="shared" si="5"/>
        <v>SUN-25K-G</v>
      </c>
      <c r="C179" s="22" t="s">
        <v>2903</v>
      </c>
      <c r="AM179" s="17">
        <f>IF(A179="","",MATCH(A179,'Lista - Inversor'!$2:$2,0))</f>
        <v>10</v>
      </c>
      <c r="AN179" s="17">
        <f>IF(C179="","",MATCH(C179,'Lista - Inversor'!$J:$J,0)-2)</f>
        <v>50</v>
      </c>
    </row>
    <row r="180" spans="1:40" x14ac:dyDescent="0.35">
      <c r="A180" s="43" t="s">
        <v>500</v>
      </c>
      <c r="B180" s="17" t="str">
        <f t="shared" si="5"/>
        <v>SUN-12K-G03</v>
      </c>
      <c r="C180" s="22" t="s">
        <v>2908</v>
      </c>
      <c r="AM180" s="17">
        <f>IF(A180="","",MATCH(A180,'Lista - Inversor'!$2:$2,0))</f>
        <v>10</v>
      </c>
      <c r="AN180" s="17">
        <f>IF(C180="","",MATCH(C180,'Lista - Inversor'!$J:$J,0)-2)</f>
        <v>51</v>
      </c>
    </row>
    <row r="181" spans="1:40" x14ac:dyDescent="0.35">
      <c r="A181" s="43" t="s">
        <v>500</v>
      </c>
      <c r="B181" s="17" t="str">
        <f t="shared" si="5"/>
        <v>SUN-40 K-G02-LV</v>
      </c>
      <c r="C181" s="22" t="s">
        <v>2912</v>
      </c>
      <c r="AM181" s="17">
        <f>IF(A181="","",MATCH(A181,'Lista - Inversor'!$2:$2,0))</f>
        <v>10</v>
      </c>
      <c r="AN181" s="17">
        <f>IF(C181="","",MATCH(C181,'Lista - Inversor'!$J:$J,0)-2)</f>
        <v>52</v>
      </c>
    </row>
    <row r="182" spans="1:40" x14ac:dyDescent="0.35">
      <c r="A182" s="43" t="s">
        <v>500</v>
      </c>
      <c r="B182" s="17" t="str">
        <f t="shared" si="5"/>
        <v>SUM-50K-G02-LV</v>
      </c>
      <c r="C182" s="22" t="s">
        <v>2916</v>
      </c>
      <c r="AM182" s="17">
        <f>IF(A182="","",MATCH(A182,'Lista - Inversor'!$2:$2,0))</f>
        <v>10</v>
      </c>
      <c r="AN182" s="17">
        <f>IF(C182="","",MATCH(C182,'Lista - Inversor'!$J:$J,0)-2)</f>
        <v>53</v>
      </c>
    </row>
    <row r="183" spans="1:40" x14ac:dyDescent="0.35">
      <c r="A183" s="43" t="s">
        <v>700</v>
      </c>
      <c r="B183" s="17" t="str">
        <f t="shared" si="5"/>
        <v>EA3KSI</v>
      </c>
      <c r="C183" s="22" t="s">
        <v>1994</v>
      </c>
      <c r="AM183" s="17">
        <f>IF(A183="","",MATCH(A183,'Lista - Inversor'!$2:$2,0))</f>
        <v>11</v>
      </c>
      <c r="AN183" s="17">
        <f>IF(C183="","",MATCH(C183,'Lista - Inversor'!$K:$K,0)-2)</f>
        <v>1</v>
      </c>
    </row>
    <row r="184" spans="1:40" x14ac:dyDescent="0.35">
      <c r="A184" s="43" t="s">
        <v>700</v>
      </c>
      <c r="B184" s="17" t="str">
        <f t="shared" si="5"/>
        <v>EA7KSI</v>
      </c>
      <c r="C184" s="22" t="s">
        <v>2051</v>
      </c>
      <c r="AM184" s="17">
        <f>IF(A184="","",MATCH(A184,'Lista - Inversor'!$2:$2,0))</f>
        <v>11</v>
      </c>
      <c r="AN184" s="17">
        <f>IF(C184="","",MATCH(C184,'Lista - Inversor'!$K:$K,0)-2)</f>
        <v>2</v>
      </c>
    </row>
    <row r="185" spans="1:40" x14ac:dyDescent="0.35">
      <c r="A185" s="43" t="s">
        <v>700</v>
      </c>
      <c r="B185" s="17" t="str">
        <f t="shared" si="5"/>
        <v>EA16KTSI</v>
      </c>
      <c r="C185" s="22" t="s">
        <v>2098</v>
      </c>
      <c r="AM185" s="17">
        <f>IF(A185="","",MATCH(A185,'Lista - Inversor'!$2:$2,0))</f>
        <v>11</v>
      </c>
      <c r="AN185" s="17">
        <f>IF(C185="","",MATCH(C185,'Lista - Inversor'!$K:$K,0)-2)</f>
        <v>3</v>
      </c>
    </row>
    <row r="186" spans="1:40" x14ac:dyDescent="0.35">
      <c r="A186" s="43" t="s">
        <v>700</v>
      </c>
      <c r="B186" s="17" t="str">
        <f t="shared" si="5"/>
        <v>EA5KSI</v>
      </c>
      <c r="C186" s="22" t="s">
        <v>2142</v>
      </c>
      <c r="AM186" s="17">
        <f>IF(A186="","",MATCH(A186,'Lista - Inversor'!$2:$2,0))</f>
        <v>11</v>
      </c>
      <c r="AN186" s="17">
        <f>IF(C186="","",MATCH(C186,'Lista - Inversor'!$K:$K,0)-2)</f>
        <v>4</v>
      </c>
    </row>
    <row r="187" spans="1:40" x14ac:dyDescent="0.35">
      <c r="A187" s="43" t="s">
        <v>681</v>
      </c>
      <c r="B187" s="17" t="str">
        <f t="shared" si="5"/>
        <v>ECOS 1000</v>
      </c>
      <c r="C187" s="22" t="s">
        <v>1995</v>
      </c>
      <c r="D187" s="41" t="s">
        <v>4025</v>
      </c>
      <c r="E187" s="17">
        <v>1</v>
      </c>
      <c r="F187" s="41" t="s">
        <v>4026</v>
      </c>
      <c r="G187" s="41" t="s">
        <v>4027</v>
      </c>
      <c r="H187" s="41" t="s">
        <v>4028</v>
      </c>
      <c r="I187" s="41" t="s">
        <v>4029</v>
      </c>
      <c r="J187" s="41" t="s">
        <v>4030</v>
      </c>
      <c r="K187" s="41" t="s">
        <v>4031</v>
      </c>
      <c r="M187" s="41" t="s">
        <v>4032</v>
      </c>
      <c r="N187" s="41" t="s">
        <v>4033</v>
      </c>
      <c r="O187" s="41" t="s">
        <v>4034</v>
      </c>
      <c r="P187" s="41" t="s">
        <v>4035</v>
      </c>
      <c r="Q187" s="41" t="s">
        <v>4035</v>
      </c>
      <c r="R187" s="41" t="s">
        <v>4037</v>
      </c>
      <c r="S187" s="41" t="s">
        <v>4036</v>
      </c>
      <c r="T187" s="41" t="s">
        <v>4038</v>
      </c>
      <c r="U187" s="41" t="s">
        <v>57</v>
      </c>
      <c r="V187" s="41" t="s">
        <v>57</v>
      </c>
      <c r="Y187" s="41" t="s">
        <v>4039</v>
      </c>
      <c r="Z187" s="41" t="s">
        <v>4040</v>
      </c>
      <c r="AA187" s="41" t="s">
        <v>4041</v>
      </c>
      <c r="AB187" s="41">
        <v>1</v>
      </c>
      <c r="AC187" s="41" t="s">
        <v>329</v>
      </c>
      <c r="AD187" s="41" t="s">
        <v>310</v>
      </c>
      <c r="AE187" s="41" t="s">
        <v>311</v>
      </c>
      <c r="AF187" s="41" t="s">
        <v>4042</v>
      </c>
      <c r="AG187" s="41" t="s">
        <v>313</v>
      </c>
      <c r="AH187" s="41" t="s">
        <v>330</v>
      </c>
      <c r="AI187" s="41" t="s">
        <v>314</v>
      </c>
      <c r="AJ187" s="41" t="s">
        <v>330</v>
      </c>
      <c r="AK187" s="22">
        <v>1</v>
      </c>
      <c r="AL187" s="22">
        <v>0.127</v>
      </c>
      <c r="AM187" s="17">
        <f>IF(A187="","",MATCH(A187,'Lista - Inversor'!$2:$2,0))</f>
        <v>12</v>
      </c>
      <c r="AN187" s="17">
        <f>IF(C187="","",MATCH(C187,'Lista - Inversor'!$L:$L,0)-2)</f>
        <v>1</v>
      </c>
    </row>
    <row r="188" spans="1:40" x14ac:dyDescent="0.35">
      <c r="A188" s="43" t="s">
        <v>681</v>
      </c>
      <c r="B188" s="17" t="str">
        <f t="shared" si="5"/>
        <v>ECOS 2000</v>
      </c>
      <c r="C188" s="22" t="s">
        <v>2052</v>
      </c>
      <c r="AM188" s="17">
        <f>IF(A188="","",MATCH(A188,'Lista - Inversor'!$2:$2,0))</f>
        <v>12</v>
      </c>
      <c r="AN188" s="17">
        <f>IF(C188="","",MATCH(C188,'Lista - Inversor'!$L:$L,0)-2)</f>
        <v>2</v>
      </c>
    </row>
    <row r="189" spans="1:40" x14ac:dyDescent="0.35">
      <c r="A189" s="43" t="s">
        <v>681</v>
      </c>
      <c r="B189" s="17" t="str">
        <f t="shared" si="5"/>
        <v>ECOS 5000</v>
      </c>
      <c r="C189" s="22" t="s">
        <v>2099</v>
      </c>
      <c r="AM189" s="17">
        <f>IF(A189="","",MATCH(A189,'Lista - Inversor'!$2:$2,0))</f>
        <v>12</v>
      </c>
      <c r="AN189" s="17">
        <f>IF(C189="","",MATCH(C189,'Lista - Inversor'!$L:$L,0)-2)</f>
        <v>3</v>
      </c>
    </row>
    <row r="190" spans="1:40" x14ac:dyDescent="0.35">
      <c r="A190" s="43" t="s">
        <v>681</v>
      </c>
      <c r="B190" s="17" t="str">
        <f t="shared" si="5"/>
        <v>ECOS 2000 PLUS</v>
      </c>
      <c r="C190" s="22" t="s">
        <v>2143</v>
      </c>
      <c r="AM190" s="17">
        <f>IF(A190="","",MATCH(A190,'Lista - Inversor'!$2:$2,0))</f>
        <v>12</v>
      </c>
      <c r="AN190" s="17">
        <f>IF(C190="","",MATCH(C190,'Lista - Inversor'!$L:$L,0)-2)</f>
        <v>4</v>
      </c>
    </row>
    <row r="191" spans="1:40" x14ac:dyDescent="0.35">
      <c r="A191" s="43" t="s">
        <v>681</v>
      </c>
      <c r="B191" s="17" t="str">
        <f t="shared" si="5"/>
        <v>ECOS 3000</v>
      </c>
      <c r="C191" s="22" t="s">
        <v>2184</v>
      </c>
      <c r="D191" s="41" t="s">
        <v>352</v>
      </c>
      <c r="E191" s="17">
        <v>3</v>
      </c>
      <c r="F191" s="41" t="s">
        <v>354</v>
      </c>
      <c r="G191" s="41" t="s">
        <v>4043</v>
      </c>
      <c r="H191" s="41" t="s">
        <v>4044</v>
      </c>
      <c r="I191" s="41" t="s">
        <v>4045</v>
      </c>
      <c r="J191" s="41" t="s">
        <v>4046</v>
      </c>
      <c r="K191" s="41" t="s">
        <v>4047</v>
      </c>
      <c r="M191" s="41" t="s">
        <v>4048</v>
      </c>
      <c r="N191" s="41" t="s">
        <v>4049</v>
      </c>
      <c r="O191" s="41" t="s">
        <v>4050</v>
      </c>
      <c r="P191" s="41" t="s">
        <v>4051</v>
      </c>
      <c r="Q191" s="41" t="s">
        <v>4051</v>
      </c>
      <c r="R191" s="41" t="s">
        <v>4052</v>
      </c>
      <c r="S191" s="41" t="s">
        <v>4053</v>
      </c>
      <c r="T191" s="41" t="s">
        <v>4054</v>
      </c>
      <c r="U191" s="41" t="s">
        <v>57</v>
      </c>
      <c r="V191" s="41" t="s">
        <v>57</v>
      </c>
      <c r="Y191" s="41" t="s">
        <v>4055</v>
      </c>
      <c r="Z191" s="41" t="s">
        <v>4056</v>
      </c>
      <c r="AA191" s="41" t="s">
        <v>4041</v>
      </c>
      <c r="AB191" s="41">
        <v>1</v>
      </c>
      <c r="AC191" s="41" t="s">
        <v>329</v>
      </c>
      <c r="AD191" s="41" t="s">
        <v>310</v>
      </c>
      <c r="AE191" s="41" t="s">
        <v>311</v>
      </c>
      <c r="AF191" s="41" t="s">
        <v>4042</v>
      </c>
      <c r="AG191" s="41" t="s">
        <v>313</v>
      </c>
      <c r="AH191" s="41" t="s">
        <v>330</v>
      </c>
      <c r="AI191" s="41" t="s">
        <v>314</v>
      </c>
      <c r="AJ191" s="41" t="s">
        <v>330</v>
      </c>
      <c r="AK191" s="22">
        <v>1</v>
      </c>
      <c r="AL191" s="22">
        <v>0.22</v>
      </c>
      <c r="AM191" s="17">
        <f>IF(A191="","",MATCH(A191,'Lista - Inversor'!$2:$2,0))</f>
        <v>12</v>
      </c>
      <c r="AN191" s="17">
        <f>IF(C191="","",MATCH(C191,'Lista - Inversor'!$L:$L,0)-2)</f>
        <v>5</v>
      </c>
    </row>
    <row r="192" spans="1:40" x14ac:dyDescent="0.35">
      <c r="A192" s="43" t="s">
        <v>681</v>
      </c>
      <c r="B192" s="17" t="str">
        <f t="shared" si="5"/>
        <v>ES GT-05K</v>
      </c>
      <c r="C192" s="22" t="s">
        <v>2222</v>
      </c>
      <c r="D192" s="41" t="s">
        <v>331</v>
      </c>
      <c r="E192" s="17">
        <v>5</v>
      </c>
      <c r="F192" s="41" t="s">
        <v>4068</v>
      </c>
      <c r="G192" s="41" t="s">
        <v>4069</v>
      </c>
      <c r="H192" s="41" t="s">
        <v>4070</v>
      </c>
      <c r="I192" s="41" t="s">
        <v>4045</v>
      </c>
      <c r="J192" s="41" t="s">
        <v>4071</v>
      </c>
      <c r="K192" s="41" t="s">
        <v>4072</v>
      </c>
      <c r="M192" s="41" t="s">
        <v>4073</v>
      </c>
      <c r="N192" s="41" t="s">
        <v>4076</v>
      </c>
      <c r="O192" s="41" t="s">
        <v>4077</v>
      </c>
      <c r="P192" s="41" t="s">
        <v>4074</v>
      </c>
      <c r="Q192" s="41" t="s">
        <v>4075</v>
      </c>
      <c r="R192" s="41" t="s">
        <v>4078</v>
      </c>
      <c r="S192" s="41" t="s">
        <v>552</v>
      </c>
      <c r="T192" s="41" t="s">
        <v>4079</v>
      </c>
      <c r="U192" s="41" t="s">
        <v>315</v>
      </c>
      <c r="V192" s="41" t="s">
        <v>4080</v>
      </c>
      <c r="Y192" s="41" t="s">
        <v>4081</v>
      </c>
      <c r="Z192" s="41" t="s">
        <v>4082</v>
      </c>
      <c r="AA192" s="41" t="s">
        <v>532</v>
      </c>
      <c r="AB192" s="41">
        <v>1</v>
      </c>
      <c r="AC192" s="41" t="s">
        <v>329</v>
      </c>
      <c r="AD192" s="41" t="s">
        <v>310</v>
      </c>
      <c r="AE192" s="41" t="s">
        <v>311</v>
      </c>
      <c r="AF192" s="41" t="s">
        <v>4042</v>
      </c>
      <c r="AG192" s="41" t="s">
        <v>313</v>
      </c>
      <c r="AH192" s="41" t="s">
        <v>330</v>
      </c>
      <c r="AI192" s="41" t="s">
        <v>314</v>
      </c>
      <c r="AJ192" s="41" t="s">
        <v>330</v>
      </c>
      <c r="AK192" s="22">
        <v>1</v>
      </c>
      <c r="AL192" s="22">
        <v>0.22</v>
      </c>
      <c r="AM192" s="17">
        <f>IF(A192="","",MATCH(A192,'Lista - Inversor'!$2:$2,0))</f>
        <v>12</v>
      </c>
      <c r="AN192" s="17">
        <f>IF(C192="","",MATCH(C192,'Lista - Inversor'!$L:$L,0)-2)</f>
        <v>6</v>
      </c>
    </row>
    <row r="193" spans="1:40" x14ac:dyDescent="0.35">
      <c r="A193" s="43" t="s">
        <v>681</v>
      </c>
      <c r="B193" s="17" t="str">
        <f t="shared" si="5"/>
        <v>ECOSOLYS GT 12</v>
      </c>
      <c r="C193" s="22" t="s">
        <v>2255</v>
      </c>
      <c r="AM193" s="17">
        <f>IF(A193="","",MATCH(A193,'Lista - Inversor'!$2:$2,0))</f>
        <v>12</v>
      </c>
      <c r="AN193" s="17">
        <f>IF(C193="","",MATCH(C193,'Lista - Inversor'!$L:$L,0)-2)</f>
        <v>7</v>
      </c>
    </row>
    <row r="194" spans="1:40" x14ac:dyDescent="0.35">
      <c r="A194" s="43" t="s">
        <v>681</v>
      </c>
      <c r="B194" s="17" t="str">
        <f t="shared" ref="B194" si="6">RIGHT(C194,LEN(C194)-(FIND(" - ", C194)+2))</f>
        <v>ES GT-60K</v>
      </c>
      <c r="C194" s="22" t="s">
        <v>2288</v>
      </c>
      <c r="D194" s="41" t="s">
        <v>426</v>
      </c>
      <c r="E194" s="17">
        <v>60</v>
      </c>
      <c r="F194" s="41" t="s">
        <v>514</v>
      </c>
      <c r="G194" s="41" t="s">
        <v>4057</v>
      </c>
      <c r="H194" s="41" t="s">
        <v>4058</v>
      </c>
      <c r="I194" s="41" t="s">
        <v>4045</v>
      </c>
      <c r="J194" s="41" t="s">
        <v>4046</v>
      </c>
      <c r="K194" s="41" t="s">
        <v>4047</v>
      </c>
      <c r="N194" s="41" t="s">
        <v>4059</v>
      </c>
      <c r="O194" s="41" t="s">
        <v>4060</v>
      </c>
      <c r="P194" s="41" t="s">
        <v>551</v>
      </c>
      <c r="Q194" s="41" t="s">
        <v>4061</v>
      </c>
      <c r="R194" s="41" t="s">
        <v>4062</v>
      </c>
      <c r="S194" s="41" t="s">
        <v>4063</v>
      </c>
      <c r="T194" s="41" t="s">
        <v>4064</v>
      </c>
      <c r="U194" s="41">
        <v>4</v>
      </c>
      <c r="V194" s="41" t="s">
        <v>519</v>
      </c>
      <c r="Y194" s="41" t="s">
        <v>4065</v>
      </c>
      <c r="Z194" s="41" t="s">
        <v>4066</v>
      </c>
      <c r="AA194" s="41" t="s">
        <v>532</v>
      </c>
      <c r="AB194" s="41">
        <v>1</v>
      </c>
      <c r="AC194" s="41" t="s">
        <v>329</v>
      </c>
      <c r="AD194" s="41" t="s">
        <v>310</v>
      </c>
      <c r="AE194" s="41" t="s">
        <v>4067</v>
      </c>
      <c r="AF194" s="41" t="s">
        <v>4042</v>
      </c>
      <c r="AG194" s="41" t="s">
        <v>313</v>
      </c>
      <c r="AH194" s="41" t="s">
        <v>330</v>
      </c>
      <c r="AI194" s="41" t="s">
        <v>314</v>
      </c>
      <c r="AJ194" s="41" t="s">
        <v>330</v>
      </c>
      <c r="AK194" s="22">
        <v>3</v>
      </c>
      <c r="AL194" s="22">
        <v>0.38</v>
      </c>
      <c r="AM194" s="17">
        <f>IF(A194="","",MATCH(A194,'Lista - Inversor'!$2:$2,0))</f>
        <v>12</v>
      </c>
      <c r="AN194" s="17">
        <f>IF(C194="","",MATCH(C194,'Lista - Inversor'!$L:$L,0)-2)</f>
        <v>8</v>
      </c>
    </row>
    <row r="195" spans="1:40" x14ac:dyDescent="0.35">
      <c r="A195" s="43" t="s">
        <v>681</v>
      </c>
      <c r="B195" s="17" t="str">
        <f t="shared" ref="B195:B258" si="7">RIGHT(C195,LEN(C195)-(FIND(" - ", C195)+2))</f>
        <v>ES GT-12K</v>
      </c>
      <c r="C195" s="22" t="s">
        <v>2318</v>
      </c>
      <c r="AM195" s="17">
        <f>IF(A195="","",MATCH(A195,'Lista - Inversor'!$2:$2,0))</f>
        <v>12</v>
      </c>
      <c r="AN195" s="17">
        <f>IF(C195="","",MATCH(C195,'Lista - Inversor'!$L:$L,0)-2)</f>
        <v>9</v>
      </c>
    </row>
    <row r="196" spans="1:40" x14ac:dyDescent="0.35">
      <c r="A196" s="43" t="s">
        <v>681</v>
      </c>
      <c r="B196" s="17" t="str">
        <f t="shared" si="7"/>
        <v>ES GT-30K</v>
      </c>
      <c r="C196" s="22" t="s">
        <v>2346</v>
      </c>
      <c r="AM196" s="17">
        <f>IF(A196="","",MATCH(A196,'Lista - Inversor'!$2:$2,0))</f>
        <v>12</v>
      </c>
      <c r="AN196" s="17">
        <f>IF(C196="","",MATCH(C196,'Lista - Inversor'!$L:$L,0)-2)</f>
        <v>10</v>
      </c>
    </row>
    <row r="197" spans="1:40" x14ac:dyDescent="0.35">
      <c r="A197" s="43" t="s">
        <v>681</v>
      </c>
      <c r="B197" s="17" t="str">
        <f t="shared" si="7"/>
        <v>ES GT-16K</v>
      </c>
      <c r="C197" s="22" t="s">
        <v>2372</v>
      </c>
      <c r="AM197" s="17">
        <f>IF(A197="","",MATCH(A197,'Lista - Inversor'!$2:$2,0))</f>
        <v>12</v>
      </c>
      <c r="AN197" s="17">
        <f>IF(C197="","",MATCH(C197,'Lista - Inversor'!$L:$L,0)-2)</f>
        <v>11</v>
      </c>
    </row>
    <row r="198" spans="1:40" x14ac:dyDescent="0.35">
      <c r="A198" s="43" t="s">
        <v>681</v>
      </c>
      <c r="B198" s="17" t="str">
        <f t="shared" si="7"/>
        <v>ES GT-10K-220</v>
      </c>
      <c r="C198" s="22" t="s">
        <v>2397</v>
      </c>
      <c r="AM198" s="17">
        <f>IF(A198="","",MATCH(A198,'Lista - Inversor'!$2:$2,0))</f>
        <v>12</v>
      </c>
      <c r="AN198" s="17">
        <f>IF(C198="","",MATCH(C198,'Lista - Inversor'!$L:$L,0)-2)</f>
        <v>12</v>
      </c>
    </row>
    <row r="199" spans="1:40" x14ac:dyDescent="0.35">
      <c r="A199" s="43" t="s">
        <v>681</v>
      </c>
      <c r="B199" s="17" t="str">
        <f t="shared" si="7"/>
        <v>ES GT-15K</v>
      </c>
      <c r="C199" s="22" t="s">
        <v>2421</v>
      </c>
      <c r="AM199" s="17">
        <f>IF(A199="","",MATCH(A199,'Lista - Inversor'!$2:$2,0))</f>
        <v>12</v>
      </c>
      <c r="AN199" s="17">
        <f>IF(C199="","",MATCH(C199,'Lista - Inversor'!$L:$L,0)-2)</f>
        <v>13</v>
      </c>
    </row>
    <row r="200" spans="1:40" x14ac:dyDescent="0.35">
      <c r="A200" s="43" t="s">
        <v>681</v>
      </c>
      <c r="B200" s="17" t="str">
        <f t="shared" si="7"/>
        <v>ES GT-12K-220</v>
      </c>
      <c r="C200" s="22" t="s">
        <v>2444</v>
      </c>
      <c r="AM200" s="17">
        <f>IF(A200="","",MATCH(A200,'Lista - Inversor'!$2:$2,0))</f>
        <v>12</v>
      </c>
      <c r="AN200" s="17">
        <f>IF(C200="","",MATCH(C200,'Lista - Inversor'!$L:$L,0)-2)</f>
        <v>14</v>
      </c>
    </row>
    <row r="201" spans="1:40" x14ac:dyDescent="0.35">
      <c r="A201" s="43" t="s">
        <v>681</v>
      </c>
      <c r="B201" s="17" t="str">
        <f t="shared" si="7"/>
        <v>ES GT-20K-V2</v>
      </c>
      <c r="C201" s="22" t="s">
        <v>2467</v>
      </c>
      <c r="AM201" s="17">
        <f>IF(A201="","",MATCH(A201,'Lista - Inversor'!$2:$2,0))</f>
        <v>12</v>
      </c>
      <c r="AN201" s="17">
        <f>IF(C201="","",MATCH(C201,'Lista - Inversor'!$L:$L,0)-2)</f>
        <v>15</v>
      </c>
    </row>
    <row r="202" spans="1:40" x14ac:dyDescent="0.35">
      <c r="A202" s="43" t="s">
        <v>691</v>
      </c>
      <c r="B202" s="17" t="str">
        <f t="shared" si="7"/>
        <v>ST20000TL</v>
      </c>
      <c r="C202" s="22" t="s">
        <v>1996</v>
      </c>
      <c r="AM202" s="17">
        <f>IF(A202="","",MATCH(A202,'Lista - Inversor'!$2:$2,0))</f>
        <v>13</v>
      </c>
      <c r="AN202" s="17">
        <f>IF(C202="","",MATCH(C202,'Lista - Inversor'!$M:$M,0)-2)</f>
        <v>1</v>
      </c>
    </row>
    <row r="203" spans="1:40" x14ac:dyDescent="0.35">
      <c r="A203" s="43" t="s">
        <v>691</v>
      </c>
      <c r="B203" s="17" t="str">
        <f t="shared" si="7"/>
        <v>50 KW</v>
      </c>
      <c r="C203" s="22" t="s">
        <v>2053</v>
      </c>
      <c r="AM203" s="17">
        <f>IF(A203="","",MATCH(A203,'Lista - Inversor'!$2:$2,0))</f>
        <v>13</v>
      </c>
      <c r="AN203" s="17">
        <f>IF(C203="","",MATCH(C203,'Lista - Inversor'!$M:$M,0)-2)</f>
        <v>2</v>
      </c>
    </row>
    <row r="204" spans="1:40" x14ac:dyDescent="0.35">
      <c r="A204" s="43" t="s">
        <v>691</v>
      </c>
      <c r="B204" s="17" t="str">
        <f t="shared" si="7"/>
        <v>5 KW</v>
      </c>
      <c r="C204" s="22" t="s">
        <v>2100</v>
      </c>
      <c r="AM204" s="17">
        <f>IF(A204="","",MATCH(A204,'Lista - Inversor'!$2:$2,0))</f>
        <v>13</v>
      </c>
      <c r="AN204" s="17">
        <f>IF(C204="","",MATCH(C204,'Lista - Inversor'!$M:$M,0)-2)</f>
        <v>3</v>
      </c>
    </row>
    <row r="205" spans="1:40" x14ac:dyDescent="0.35">
      <c r="A205" s="43" t="s">
        <v>691</v>
      </c>
      <c r="B205" s="17" t="str">
        <f t="shared" si="7"/>
        <v>75 KW</v>
      </c>
      <c r="C205" s="22" t="s">
        <v>2144</v>
      </c>
      <c r="AM205" s="17">
        <f>IF(A205="","",MATCH(A205,'Lista - Inversor'!$2:$2,0))</f>
        <v>13</v>
      </c>
      <c r="AN205" s="17">
        <f>IF(C205="","",MATCH(C205,'Lista - Inversor'!$M:$M,0)-2)</f>
        <v>4</v>
      </c>
    </row>
    <row r="206" spans="1:40" x14ac:dyDescent="0.35">
      <c r="A206" s="43" t="s">
        <v>691</v>
      </c>
      <c r="B206" s="17" t="str">
        <f t="shared" si="7"/>
        <v>ELGIN600W</v>
      </c>
      <c r="C206" s="22" t="s">
        <v>2185</v>
      </c>
      <c r="AM206" s="17">
        <f>IF(A206="","",MATCH(A206,'Lista - Inversor'!$2:$2,0))</f>
        <v>13</v>
      </c>
      <c r="AN206" s="17">
        <f>IF(C206="","",MATCH(C206,'Lista - Inversor'!$M:$M,0)-2)</f>
        <v>5</v>
      </c>
    </row>
    <row r="207" spans="1:40" x14ac:dyDescent="0.35">
      <c r="A207" s="43" t="s">
        <v>691</v>
      </c>
      <c r="B207" s="17" t="str">
        <f t="shared" si="7"/>
        <v>SF30000TL</v>
      </c>
      <c r="C207" s="22" t="s">
        <v>2223</v>
      </c>
      <c r="AM207" s="17">
        <f>IF(A207="","",MATCH(A207,'Lista - Inversor'!$2:$2,0))</f>
        <v>13</v>
      </c>
      <c r="AN207" s="17">
        <f>IF(C207="","",MATCH(C207,'Lista - Inversor'!$M:$M,0)-2)</f>
        <v>6</v>
      </c>
    </row>
    <row r="208" spans="1:40" x14ac:dyDescent="0.35">
      <c r="A208" s="43" t="s">
        <v>691</v>
      </c>
      <c r="B208" s="17" t="str">
        <f t="shared" si="7"/>
        <v>340-P6C-36</v>
      </c>
      <c r="C208" s="22" t="s">
        <v>2256</v>
      </c>
      <c r="AM208" s="17">
        <f>IF(A208="","",MATCH(A208,'Lista - Inversor'!$2:$2,0))</f>
        <v>13</v>
      </c>
      <c r="AN208" s="17">
        <f>IF(C208="","",MATCH(C208,'Lista - Inversor'!$M:$M,0)-2)</f>
        <v>7</v>
      </c>
    </row>
    <row r="209" spans="1:40" x14ac:dyDescent="0.35">
      <c r="A209" s="43" t="s">
        <v>691</v>
      </c>
      <c r="B209" s="17" t="str">
        <f t="shared" si="7"/>
        <v>ELGIN1300</v>
      </c>
      <c r="C209" s="22" t="s">
        <v>2289</v>
      </c>
      <c r="AM209" s="17">
        <f>IF(A209="","",MATCH(A209,'Lista - Inversor'!$2:$2,0))</f>
        <v>13</v>
      </c>
      <c r="AN209" s="17">
        <f>IF(C209="","",MATCH(C209,'Lista - Inversor'!$M:$M,0)-2)</f>
        <v>8</v>
      </c>
    </row>
    <row r="210" spans="1:40" x14ac:dyDescent="0.35">
      <c r="A210" s="43" t="s">
        <v>691</v>
      </c>
      <c r="B210" s="17" t="str">
        <f t="shared" si="7"/>
        <v>ELGIN 3 KW</v>
      </c>
      <c r="C210" s="22" t="s">
        <v>2319</v>
      </c>
      <c r="AM210" s="17">
        <f>IF(A210="","",MATCH(A210,'Lista - Inversor'!$2:$2,0))</f>
        <v>13</v>
      </c>
      <c r="AN210" s="17">
        <f>IF(C210="","",MATCH(C210,'Lista - Inversor'!$M:$M,0)-2)</f>
        <v>9</v>
      </c>
    </row>
    <row r="211" spans="1:40" x14ac:dyDescent="0.35">
      <c r="A211" s="43" t="s">
        <v>691</v>
      </c>
      <c r="B211" s="17" t="str">
        <f t="shared" si="7"/>
        <v>SUN-5K-G</v>
      </c>
      <c r="C211" s="22" t="s">
        <v>2347</v>
      </c>
      <c r="AM211" s="17">
        <f>IF(A211="","",MATCH(A211,'Lista - Inversor'!$2:$2,0))</f>
        <v>13</v>
      </c>
      <c r="AN211" s="17">
        <f>IF(C211="","",MATCH(C211,'Lista - Inversor'!$M:$M,0)-2)</f>
        <v>10</v>
      </c>
    </row>
    <row r="212" spans="1:40" x14ac:dyDescent="0.35">
      <c r="A212" s="43" t="s">
        <v>691</v>
      </c>
      <c r="B212" s="17" t="str">
        <f t="shared" si="7"/>
        <v>SUN-30K-G</v>
      </c>
      <c r="C212" s="22" t="s">
        <v>2373</v>
      </c>
      <c r="AM212" s="17">
        <f>IF(A212="","",MATCH(A212,'Lista - Inversor'!$2:$2,0))</f>
        <v>13</v>
      </c>
      <c r="AN212" s="17">
        <f>IF(C212="","",MATCH(C212,'Lista - Inversor'!$M:$M,0)-2)</f>
        <v>11</v>
      </c>
    </row>
    <row r="213" spans="1:40" x14ac:dyDescent="0.35">
      <c r="A213" s="43" t="s">
        <v>691</v>
      </c>
      <c r="B213" s="17" t="str">
        <f t="shared" si="7"/>
        <v>SUN-50K-G</v>
      </c>
      <c r="C213" s="22" t="s">
        <v>2398</v>
      </c>
      <c r="AM213" s="17">
        <f>IF(A213="","",MATCH(A213,'Lista - Inversor'!$2:$2,0))</f>
        <v>13</v>
      </c>
      <c r="AN213" s="17">
        <f>IF(C213="","",MATCH(C213,'Lista - Inversor'!$M:$M,0)-2)</f>
        <v>12</v>
      </c>
    </row>
    <row r="214" spans="1:40" x14ac:dyDescent="0.35">
      <c r="A214" s="43" t="s">
        <v>691</v>
      </c>
      <c r="B214" s="17" t="str">
        <f t="shared" si="7"/>
        <v>SUN-75K-G</v>
      </c>
      <c r="C214" s="22" t="s">
        <v>2422</v>
      </c>
      <c r="AM214" s="17">
        <f>IF(A214="","",MATCH(A214,'Lista - Inversor'!$2:$2,0))</f>
        <v>13</v>
      </c>
      <c r="AN214" s="17">
        <f>IF(C214="","",MATCH(C214,'Lista - Inversor'!$M:$M,0)-2)</f>
        <v>13</v>
      </c>
    </row>
    <row r="215" spans="1:40" x14ac:dyDescent="0.35">
      <c r="A215" s="43" t="s">
        <v>691</v>
      </c>
      <c r="B215" s="17" t="str">
        <f t="shared" si="7"/>
        <v>SUN - 20K - G</v>
      </c>
      <c r="C215" s="22" t="s">
        <v>2445</v>
      </c>
      <c r="AM215" s="17">
        <f>IF(A215="","",MATCH(A215,'Lista - Inversor'!$2:$2,0))</f>
        <v>13</v>
      </c>
      <c r="AN215" s="17">
        <f>IF(C215="","",MATCH(C215,'Lista - Inversor'!$M:$M,0)-2)</f>
        <v>14</v>
      </c>
    </row>
    <row r="216" spans="1:40" x14ac:dyDescent="0.35">
      <c r="A216" s="43" t="s">
        <v>691</v>
      </c>
      <c r="B216" s="17" t="str">
        <f t="shared" si="7"/>
        <v>SUN-3K-G</v>
      </c>
      <c r="C216" s="22" t="s">
        <v>2468</v>
      </c>
      <c r="AM216" s="17">
        <f>IF(A216="","",MATCH(A216,'Lista - Inversor'!$2:$2,0))</f>
        <v>13</v>
      </c>
      <c r="AN216" s="17">
        <f>IF(C216="","",MATCH(C216,'Lista - Inversor'!$M:$M,0)-2)</f>
        <v>15</v>
      </c>
    </row>
    <row r="217" spans="1:40" x14ac:dyDescent="0.35">
      <c r="A217" s="43" t="s">
        <v>691</v>
      </c>
      <c r="B217" s="17" t="str">
        <f t="shared" si="7"/>
        <v xml:space="preserve"> SUN-30K-G02-LV</v>
      </c>
      <c r="C217" s="22" t="s">
        <v>2489</v>
      </c>
      <c r="AM217" s="17">
        <f>IF(A217="","",MATCH(A217,'Lista - Inversor'!$2:$2,0))</f>
        <v>13</v>
      </c>
      <c r="AN217" s="17">
        <f>IF(C217="","",MATCH(C217,'Lista - Inversor'!$M:$M,0)-2)</f>
        <v>16</v>
      </c>
    </row>
    <row r="218" spans="1:40" x14ac:dyDescent="0.35">
      <c r="A218" s="43" t="s">
        <v>691</v>
      </c>
      <c r="B218" s="17" t="str">
        <f t="shared" si="7"/>
        <v>SUN-8K-G</v>
      </c>
      <c r="C218" s="22" t="s">
        <v>2509</v>
      </c>
      <c r="AM218" s="17">
        <f>IF(A218="","",MATCH(A218,'Lista - Inversor'!$2:$2,0))</f>
        <v>13</v>
      </c>
      <c r="AN218" s="17">
        <f>IF(C218="","",MATCH(C218,'Lista - Inversor'!$M:$M,0)-2)</f>
        <v>17</v>
      </c>
    </row>
    <row r="219" spans="1:40" x14ac:dyDescent="0.35">
      <c r="A219" s="43" t="s">
        <v>691</v>
      </c>
      <c r="B219" s="17" t="str">
        <f t="shared" si="7"/>
        <v>SUN-15K-G02-LV</v>
      </c>
      <c r="C219" s="22" t="s">
        <v>2529</v>
      </c>
      <c r="AM219" s="17">
        <f>IF(A219="","",MATCH(A219,'Lista - Inversor'!$2:$2,0))</f>
        <v>13</v>
      </c>
      <c r="AN219" s="17">
        <f>IF(C219="","",MATCH(C219,'Lista - Inversor'!$M:$M,0)-2)</f>
        <v>18</v>
      </c>
    </row>
    <row r="220" spans="1:40" x14ac:dyDescent="0.35">
      <c r="A220" s="43" t="s">
        <v>691</v>
      </c>
      <c r="B220" s="17" t="str">
        <f t="shared" si="7"/>
        <v>ELGIN-2000W</v>
      </c>
      <c r="C220" s="22" t="s">
        <v>2549</v>
      </c>
      <c r="AM220" s="17">
        <f>IF(A220="","",MATCH(A220,'Lista - Inversor'!$2:$2,0))</f>
        <v>13</v>
      </c>
      <c r="AN220" s="17">
        <f>IF(C220="","",MATCH(C220,'Lista - Inversor'!$M:$M,0)-2)</f>
        <v>19</v>
      </c>
    </row>
    <row r="221" spans="1:40" x14ac:dyDescent="0.35">
      <c r="A221" s="43" t="s">
        <v>691</v>
      </c>
      <c r="B221" s="17" t="str">
        <f t="shared" si="7"/>
        <v>ELGIN30KW</v>
      </c>
      <c r="C221" s="22" t="s">
        <v>2569</v>
      </c>
      <c r="AM221" s="17">
        <f>IF(A221="","",MATCH(A221,'Lista - Inversor'!$2:$2,0))</f>
        <v>13</v>
      </c>
      <c r="AN221" s="17">
        <f>IF(C221="","",MATCH(C221,'Lista - Inversor'!$M:$M,0)-2)</f>
        <v>20</v>
      </c>
    </row>
    <row r="222" spans="1:40" x14ac:dyDescent="0.35">
      <c r="A222" s="43" t="s">
        <v>1967</v>
      </c>
      <c r="B222" s="17" t="str">
        <f t="shared" si="7"/>
        <v>ESM-8000</v>
      </c>
      <c r="C222" s="22" t="s">
        <v>1997</v>
      </c>
      <c r="AM222" s="17">
        <f>IF(A222="","",MATCH(A222,'Lista - Inversor'!$2:$2,0))</f>
        <v>14</v>
      </c>
      <c r="AN222" s="17">
        <f>IF(C222="","",MATCH(C222,'Lista - Inversor'!$N:$N,0)-2)</f>
        <v>1</v>
      </c>
    </row>
    <row r="223" spans="1:40" x14ac:dyDescent="0.35">
      <c r="A223" s="43" t="s">
        <v>1967</v>
      </c>
      <c r="B223" s="17" t="str">
        <f t="shared" si="7"/>
        <v>ESM-6500</v>
      </c>
      <c r="C223" s="22" t="s">
        <v>2054</v>
      </c>
      <c r="AM223" s="17">
        <f>IF(A223="","",MATCH(A223,'Lista - Inversor'!$2:$2,0))</f>
        <v>14</v>
      </c>
      <c r="AN223" s="17">
        <f>IF(C223="","",MATCH(C223,'Lista - Inversor'!$N:$N,0)-2)</f>
        <v>2</v>
      </c>
    </row>
    <row r="224" spans="1:40" x14ac:dyDescent="0.35">
      <c r="A224" s="43" t="s">
        <v>1967</v>
      </c>
      <c r="B224" s="17" t="str">
        <f t="shared" si="7"/>
        <v>ESM-3000</v>
      </c>
      <c r="C224" s="22" t="s">
        <v>2101</v>
      </c>
      <c r="AM224" s="17">
        <f>IF(A224="","",MATCH(A224,'Lista - Inversor'!$2:$2,0))</f>
        <v>14</v>
      </c>
      <c r="AN224" s="17">
        <f>IF(C224="","",MATCH(C224,'Lista - Inversor'!$N:$N,0)-2)</f>
        <v>3</v>
      </c>
    </row>
    <row r="225" spans="1:40" x14ac:dyDescent="0.35">
      <c r="A225" s="43" t="s">
        <v>1968</v>
      </c>
      <c r="B225" s="17" t="str">
        <f t="shared" si="7"/>
        <v>NAC8K-DS</v>
      </c>
      <c r="C225" s="22" t="s">
        <v>1998</v>
      </c>
      <c r="AM225" s="17">
        <f>IF(A225="","",MATCH(A225,'Lista - Inversor'!$2:$2,0))</f>
        <v>15</v>
      </c>
      <c r="AN225" s="17">
        <f>IF(C225="","",MATCH(C225,'Lista - Inversor'!$O:$O,0)-2)</f>
        <v>1</v>
      </c>
    </row>
    <row r="226" spans="1:40" x14ac:dyDescent="0.35">
      <c r="A226" s="43" t="s">
        <v>1968</v>
      </c>
      <c r="B226" s="17" t="str">
        <f t="shared" si="7"/>
        <v>NAC3K-SS</v>
      </c>
      <c r="C226" s="22" t="s">
        <v>2055</v>
      </c>
      <c r="AM226" s="17">
        <f>IF(A226="","",MATCH(A226,'Lista - Inversor'!$2:$2,0))</f>
        <v>15</v>
      </c>
      <c r="AN226" s="17">
        <f>IF(C226="","",MATCH(C226,'Lista - Inversor'!$O:$O,0)-2)</f>
        <v>2</v>
      </c>
    </row>
    <row r="227" spans="1:40" x14ac:dyDescent="0.35">
      <c r="A227" s="43" t="s">
        <v>1968</v>
      </c>
      <c r="B227" s="17" t="str">
        <f t="shared" si="7"/>
        <v>NAC5K-DS</v>
      </c>
      <c r="C227" s="22" t="s">
        <v>2102</v>
      </c>
      <c r="AM227" s="17">
        <f>IF(A227="","",MATCH(A227,'Lista - Inversor'!$2:$2,0))</f>
        <v>15</v>
      </c>
      <c r="AN227" s="17">
        <f>IF(C227="","",MATCH(C227,'Lista - Inversor'!$O:$O,0)-2)</f>
        <v>3</v>
      </c>
    </row>
    <row r="228" spans="1:40" x14ac:dyDescent="0.35">
      <c r="A228" s="43" t="s">
        <v>1968</v>
      </c>
      <c r="B228" s="17" t="str">
        <f t="shared" si="7"/>
        <v>NAC25K-DT</v>
      </c>
      <c r="C228" s="22" t="s">
        <v>2145</v>
      </c>
      <c r="AM228" s="17">
        <f>IF(A228="","",MATCH(A228,'Lista - Inversor'!$2:$2,0))</f>
        <v>15</v>
      </c>
      <c r="AN228" s="17">
        <f>IF(C228="","",MATCH(C228,'Lista - Inversor'!$O:$O,0)-2)</f>
        <v>4</v>
      </c>
    </row>
    <row r="229" spans="1:40" x14ac:dyDescent="0.35">
      <c r="A229" s="43" t="s">
        <v>1968</v>
      </c>
      <c r="B229" s="17" t="str">
        <f t="shared" si="7"/>
        <v>NAC 80K</v>
      </c>
      <c r="C229" s="22" t="s">
        <v>2186</v>
      </c>
      <c r="AM229" s="17">
        <f>IF(A229="","",MATCH(A229,'Lista - Inversor'!$2:$2,0))</f>
        <v>15</v>
      </c>
      <c r="AN229" s="17">
        <f>IF(C229="","",MATCH(C229,'Lista - Inversor'!$O:$O,0)-2)</f>
        <v>5</v>
      </c>
    </row>
    <row r="230" spans="1:40" x14ac:dyDescent="0.35">
      <c r="A230" s="43" t="s">
        <v>1968</v>
      </c>
      <c r="B230" s="17" t="str">
        <f t="shared" si="7"/>
        <v>R1-10K5-DS</v>
      </c>
      <c r="C230" s="22" t="s">
        <v>2224</v>
      </c>
      <c r="AM230" s="17">
        <f>IF(A230="","",MATCH(A230,'Lista - Inversor'!$2:$2,0))</f>
        <v>15</v>
      </c>
      <c r="AN230" s="17">
        <f>IF(C230="","",MATCH(C230,'Lista - Inversor'!$O:$O,0)-2)</f>
        <v>6</v>
      </c>
    </row>
    <row r="231" spans="1:40" x14ac:dyDescent="0.35">
      <c r="A231" s="43" t="s">
        <v>1968</v>
      </c>
      <c r="B231" s="17" t="str">
        <f t="shared" si="7"/>
        <v>SUN2000G3-US-220</v>
      </c>
      <c r="C231" s="22" t="s">
        <v>2257</v>
      </c>
      <c r="AM231" s="17">
        <f>IF(A231="","",MATCH(A231,'Lista - Inversor'!$2:$2,0))</f>
        <v>15</v>
      </c>
      <c r="AN231" s="17">
        <f>IF(C231="","",MATCH(C231,'Lista - Inversor'!$O:$O,0)-2)</f>
        <v>7</v>
      </c>
    </row>
    <row r="232" spans="1:40" x14ac:dyDescent="0.35">
      <c r="A232" s="43" t="s">
        <v>544</v>
      </c>
      <c r="B232" s="17" t="str">
        <f t="shared" si="7"/>
        <v>PRIMO 3.0-1</v>
      </c>
      <c r="C232" s="22" t="s">
        <v>1999</v>
      </c>
      <c r="AM232" s="17">
        <f>IF(A232="","",MATCH(A232,'Lista - Inversor'!$2:$2,0))</f>
        <v>16</v>
      </c>
      <c r="AN232" s="17">
        <f>IF(C232="","",MATCH(C232,'Lista - Inversor'!$P:$P,0)-2)</f>
        <v>1</v>
      </c>
    </row>
    <row r="233" spans="1:40" x14ac:dyDescent="0.35">
      <c r="A233" s="43" t="s">
        <v>544</v>
      </c>
      <c r="B233" s="17" t="str">
        <f t="shared" si="7"/>
        <v>ECO 25.0.3</v>
      </c>
      <c r="C233" s="22" t="s">
        <v>2056</v>
      </c>
      <c r="AM233" s="17">
        <f>IF(A233="","",MATCH(A233,'Lista - Inversor'!$2:$2,0))</f>
        <v>16</v>
      </c>
      <c r="AN233" s="17">
        <f>IF(C233="","",MATCH(C233,'Lista - Inversor'!$P:$P,0)-2)</f>
        <v>2</v>
      </c>
    </row>
    <row r="234" spans="1:40" x14ac:dyDescent="0.35">
      <c r="A234" s="43" t="s">
        <v>544</v>
      </c>
      <c r="B234" s="17" t="str">
        <f t="shared" si="7"/>
        <v>PRIMO 3.5-1</v>
      </c>
      <c r="C234" s="22" t="s">
        <v>2103</v>
      </c>
      <c r="AM234" s="17">
        <f>IF(A234="","",MATCH(A234,'Lista - Inversor'!$2:$2,0))</f>
        <v>16</v>
      </c>
      <c r="AN234" s="17">
        <f>IF(C234="","",MATCH(C234,'Lista - Inversor'!$P:$P,0)-2)</f>
        <v>3</v>
      </c>
    </row>
    <row r="235" spans="1:40" x14ac:dyDescent="0.35">
      <c r="A235" s="43" t="s">
        <v>544</v>
      </c>
      <c r="B235" s="17" t="str">
        <f t="shared" si="7"/>
        <v>PRIMO 3.6-1</v>
      </c>
      <c r="C235" s="22" t="s">
        <v>2146</v>
      </c>
      <c r="AM235" s="17">
        <f>IF(A235="","",MATCH(A235,'Lista - Inversor'!$2:$2,0))</f>
        <v>16</v>
      </c>
      <c r="AN235" s="17">
        <f>IF(C235="","",MATCH(C235,'Lista - Inversor'!$P:$P,0)-2)</f>
        <v>4</v>
      </c>
    </row>
    <row r="236" spans="1:40" x14ac:dyDescent="0.35">
      <c r="A236" s="43" t="s">
        <v>544</v>
      </c>
      <c r="B236" s="17" t="str">
        <f t="shared" si="7"/>
        <v>PRIMO 4.0-1</v>
      </c>
      <c r="C236" s="22" t="s">
        <v>2187</v>
      </c>
      <c r="AM236" s="17">
        <f>IF(A236="","",MATCH(A236,'Lista - Inversor'!$2:$2,0))</f>
        <v>16</v>
      </c>
      <c r="AN236" s="17">
        <f>IF(C236="","",MATCH(C236,'Lista - Inversor'!$P:$P,0)-2)</f>
        <v>5</v>
      </c>
    </row>
    <row r="237" spans="1:40" x14ac:dyDescent="0.35">
      <c r="A237" s="43" t="s">
        <v>544</v>
      </c>
      <c r="B237" s="17" t="str">
        <f t="shared" si="7"/>
        <v>PRIMO 4.6-1</v>
      </c>
      <c r="C237" s="22" t="s">
        <v>2225</v>
      </c>
      <c r="AM237" s="17">
        <f>IF(A237="","",MATCH(A237,'Lista - Inversor'!$2:$2,0))</f>
        <v>16</v>
      </c>
      <c r="AN237" s="17">
        <f>IF(C237="","",MATCH(C237,'Lista - Inversor'!$P:$P,0)-2)</f>
        <v>6</v>
      </c>
    </row>
    <row r="238" spans="1:40" x14ac:dyDescent="0.35">
      <c r="A238" s="43" t="s">
        <v>544</v>
      </c>
      <c r="B238" s="17" t="str">
        <f t="shared" si="7"/>
        <v>PRIMO 5.0-1</v>
      </c>
      <c r="C238" s="22" t="s">
        <v>2258</v>
      </c>
      <c r="AM238" s="17">
        <f>IF(A238="","",MATCH(A238,'Lista - Inversor'!$2:$2,0))</f>
        <v>16</v>
      </c>
      <c r="AN238" s="17">
        <f>IF(C238="","",MATCH(C238,'Lista - Inversor'!$P:$P,0)-2)</f>
        <v>7</v>
      </c>
    </row>
    <row r="239" spans="1:40" x14ac:dyDescent="0.35">
      <c r="A239" s="43" t="s">
        <v>544</v>
      </c>
      <c r="B239" s="17" t="str">
        <f t="shared" si="7"/>
        <v>PRIMO 6.0-1</v>
      </c>
      <c r="C239" s="22" t="s">
        <v>2290</v>
      </c>
      <c r="AM239" s="17">
        <f>IF(A239="","",MATCH(A239,'Lista - Inversor'!$2:$2,0))</f>
        <v>16</v>
      </c>
      <c r="AN239" s="17">
        <f>IF(C239="","",MATCH(C239,'Lista - Inversor'!$P:$P,0)-2)</f>
        <v>8</v>
      </c>
    </row>
    <row r="240" spans="1:40" x14ac:dyDescent="0.35">
      <c r="A240" s="43" t="s">
        <v>544</v>
      </c>
      <c r="B240" s="17" t="str">
        <f t="shared" si="7"/>
        <v>PRIMO 8.2-1</v>
      </c>
      <c r="C240" s="22" t="s">
        <v>2320</v>
      </c>
      <c r="AM240" s="17">
        <f>IF(A240="","",MATCH(A240,'Lista - Inversor'!$2:$2,0))</f>
        <v>16</v>
      </c>
      <c r="AN240" s="17">
        <f>IF(C240="","",MATCH(C240,'Lista - Inversor'!$P:$P,0)-2)</f>
        <v>9</v>
      </c>
    </row>
    <row r="241" spans="1:40" x14ac:dyDescent="0.35">
      <c r="A241" s="43" t="s">
        <v>544</v>
      </c>
      <c r="B241" s="17" t="str">
        <f t="shared" si="7"/>
        <v>SYMO 17.5-3-M</v>
      </c>
      <c r="C241" s="22" t="s">
        <v>2348</v>
      </c>
      <c r="D241" s="41" t="s">
        <v>571</v>
      </c>
      <c r="E241" s="17">
        <v>17.5</v>
      </c>
      <c r="F241" s="41" t="s">
        <v>572</v>
      </c>
      <c r="G241" s="41" t="s">
        <v>573</v>
      </c>
      <c r="H241" s="41" t="s">
        <v>441</v>
      </c>
      <c r="I241" s="41" t="s">
        <v>504</v>
      </c>
      <c r="J241" s="41" t="s">
        <v>566</v>
      </c>
      <c r="K241" s="41" t="s">
        <v>549</v>
      </c>
      <c r="N241" s="41" t="s">
        <v>567</v>
      </c>
      <c r="O241" s="41" t="s">
        <v>568</v>
      </c>
      <c r="P241" s="41" t="s">
        <v>551</v>
      </c>
      <c r="Q241" s="41" t="s">
        <v>551</v>
      </c>
      <c r="R241" s="41" t="s">
        <v>552</v>
      </c>
      <c r="S241" s="41" t="s">
        <v>553</v>
      </c>
      <c r="T241" s="41" t="s">
        <v>554</v>
      </c>
      <c r="U241" s="41" t="s">
        <v>315</v>
      </c>
      <c r="V241" s="41" t="s">
        <v>555</v>
      </c>
      <c r="W241" s="41" t="s">
        <v>574</v>
      </c>
      <c r="Y241" s="41" t="s">
        <v>557</v>
      </c>
      <c r="Z241" s="41" t="s">
        <v>575</v>
      </c>
      <c r="AA241" s="41" t="s">
        <v>451</v>
      </c>
      <c r="AB241" s="41" t="s">
        <v>57</v>
      </c>
      <c r="AC241" s="41" t="s">
        <v>559</v>
      </c>
      <c r="AD241" s="41" t="s">
        <v>310</v>
      </c>
      <c r="AE241" s="41" t="s">
        <v>560</v>
      </c>
      <c r="AF241" s="41" t="s">
        <v>561</v>
      </c>
      <c r="AG241" s="41" t="s">
        <v>562</v>
      </c>
      <c r="AH241" s="41" t="s">
        <v>563</v>
      </c>
      <c r="AJ241" s="41" t="s">
        <v>563</v>
      </c>
      <c r="AM241" s="17">
        <f>IF(A241="","",MATCH(A241,'Lista - Inversor'!$2:$2,0))</f>
        <v>16</v>
      </c>
      <c r="AN241" s="17">
        <f>IF(C241="","",MATCH(C241,'Lista - Inversor'!$P:$P,0)-2)</f>
        <v>10</v>
      </c>
    </row>
    <row r="242" spans="1:40" x14ac:dyDescent="0.35">
      <c r="A242" s="43" t="s">
        <v>544</v>
      </c>
      <c r="B242" s="17" t="str">
        <f t="shared" si="7"/>
        <v>SYMO 20.0-3-M</v>
      </c>
      <c r="C242" s="22" t="s">
        <v>2374</v>
      </c>
      <c r="D242" s="41" t="s">
        <v>390</v>
      </c>
      <c r="E242" s="17" t="s">
        <v>391</v>
      </c>
      <c r="F242" s="41" t="s">
        <v>576</v>
      </c>
      <c r="G242" s="41" t="s">
        <v>577</v>
      </c>
      <c r="H242" s="41" t="s">
        <v>441</v>
      </c>
      <c r="I242" s="41" t="s">
        <v>504</v>
      </c>
      <c r="J242" s="41" t="s">
        <v>578</v>
      </c>
      <c r="K242" s="41" t="s">
        <v>549</v>
      </c>
      <c r="N242" s="41" t="s">
        <v>567</v>
      </c>
      <c r="O242" s="41" t="s">
        <v>568</v>
      </c>
      <c r="P242" s="41" t="s">
        <v>551</v>
      </c>
      <c r="Q242" s="41" t="s">
        <v>551</v>
      </c>
      <c r="R242" s="41" t="s">
        <v>552</v>
      </c>
      <c r="S242" s="41" t="s">
        <v>553</v>
      </c>
      <c r="T242" s="41" t="s">
        <v>554</v>
      </c>
      <c r="U242" s="41" t="s">
        <v>315</v>
      </c>
      <c r="V242" s="41" t="s">
        <v>555</v>
      </c>
      <c r="W242" s="41" t="s">
        <v>394</v>
      </c>
      <c r="Y242" s="41" t="s">
        <v>557</v>
      </c>
      <c r="Z242" s="41" t="s">
        <v>575</v>
      </c>
      <c r="AA242" s="41" t="s">
        <v>451</v>
      </c>
      <c r="AB242" s="41" t="s">
        <v>57</v>
      </c>
      <c r="AC242" s="41" t="s">
        <v>559</v>
      </c>
      <c r="AD242" s="41" t="s">
        <v>310</v>
      </c>
      <c r="AE242" s="41" t="s">
        <v>560</v>
      </c>
      <c r="AF242" s="41" t="s">
        <v>561</v>
      </c>
      <c r="AG242" s="41" t="s">
        <v>562</v>
      </c>
      <c r="AH242" s="41" t="s">
        <v>563</v>
      </c>
      <c r="AJ242" s="41" t="s">
        <v>563</v>
      </c>
      <c r="AM242" s="17">
        <f>IF(A242="","",MATCH(A242,'Lista - Inversor'!$2:$2,0))</f>
        <v>16</v>
      </c>
      <c r="AN242" s="17">
        <f>IF(C242="","",MATCH(C242,'Lista - Inversor'!$P:$P,0)-2)</f>
        <v>11</v>
      </c>
    </row>
    <row r="243" spans="1:40" x14ac:dyDescent="0.35">
      <c r="A243" s="43" t="s">
        <v>544</v>
      </c>
      <c r="B243" s="17" t="str">
        <f t="shared" si="7"/>
        <v>SYMO 15.0-3-M</v>
      </c>
      <c r="C243" s="22" t="s">
        <v>2399</v>
      </c>
      <c r="D243" s="41" t="s">
        <v>367</v>
      </c>
      <c r="E243" s="17">
        <v>15</v>
      </c>
      <c r="F243" s="41" t="s">
        <v>564</v>
      </c>
      <c r="G243" s="41" t="s">
        <v>565</v>
      </c>
      <c r="H243" s="41" t="s">
        <v>441</v>
      </c>
      <c r="I243" s="41" t="s">
        <v>504</v>
      </c>
      <c r="J243" s="41" t="s">
        <v>566</v>
      </c>
      <c r="K243" s="41" t="s">
        <v>549</v>
      </c>
      <c r="N243" s="41" t="s">
        <v>567</v>
      </c>
      <c r="O243" s="41" t="s">
        <v>568</v>
      </c>
      <c r="P243" s="41" t="s">
        <v>551</v>
      </c>
      <c r="Q243" s="41" t="s">
        <v>551</v>
      </c>
      <c r="R243" s="41" t="s">
        <v>552</v>
      </c>
      <c r="S243" s="41" t="s">
        <v>553</v>
      </c>
      <c r="T243" s="41" t="s">
        <v>554</v>
      </c>
      <c r="U243" s="41" t="s">
        <v>315</v>
      </c>
      <c r="V243" s="41" t="s">
        <v>555</v>
      </c>
      <c r="W243" s="41" t="s">
        <v>569</v>
      </c>
      <c r="Y243" s="41" t="s">
        <v>557</v>
      </c>
      <c r="Z243" s="22" t="s">
        <v>570</v>
      </c>
      <c r="AA243" s="41" t="s">
        <v>451</v>
      </c>
      <c r="AB243" s="41" t="s">
        <v>57</v>
      </c>
      <c r="AC243" s="41" t="s">
        <v>559</v>
      </c>
      <c r="AD243" s="41" t="s">
        <v>310</v>
      </c>
      <c r="AE243" s="41" t="s">
        <v>560</v>
      </c>
      <c r="AF243" s="41" t="s">
        <v>561</v>
      </c>
      <c r="AG243" s="41" t="s">
        <v>562</v>
      </c>
      <c r="AH243" s="41" t="s">
        <v>563</v>
      </c>
      <c r="AJ243" s="41" t="s">
        <v>563</v>
      </c>
      <c r="AM243" s="17">
        <f>IF(A243="","",MATCH(A243,'Lista - Inversor'!$2:$2,0))</f>
        <v>16</v>
      </c>
      <c r="AN243" s="17">
        <f>IF(C243="","",MATCH(C243,'Lista - Inversor'!$P:$P,0)-2)</f>
        <v>12</v>
      </c>
    </row>
    <row r="244" spans="1:40" x14ac:dyDescent="0.35">
      <c r="A244" s="43" t="s">
        <v>544</v>
      </c>
      <c r="B244" s="17" t="str">
        <f t="shared" si="7"/>
        <v>SYMO 12.5-3-M</v>
      </c>
      <c r="C244" s="22" t="s">
        <v>2423</v>
      </c>
      <c r="D244" s="41" t="s">
        <v>545</v>
      </c>
      <c r="E244" s="17">
        <v>12.5</v>
      </c>
      <c r="F244" s="41" t="s">
        <v>546</v>
      </c>
      <c r="G244" s="41" t="s">
        <v>547</v>
      </c>
      <c r="H244" s="41" t="s">
        <v>441</v>
      </c>
      <c r="I244" s="41" t="s">
        <v>504</v>
      </c>
      <c r="J244" s="41" t="s">
        <v>548</v>
      </c>
      <c r="K244" s="41" t="s">
        <v>549</v>
      </c>
      <c r="N244" s="41" t="s">
        <v>550</v>
      </c>
      <c r="O244" s="41" t="s">
        <v>550</v>
      </c>
      <c r="P244" s="41" t="s">
        <v>551</v>
      </c>
      <c r="Q244" s="41" t="s">
        <v>551</v>
      </c>
      <c r="R244" s="41" t="s">
        <v>552</v>
      </c>
      <c r="S244" s="41" t="s">
        <v>553</v>
      </c>
      <c r="T244" s="41" t="s">
        <v>554</v>
      </c>
      <c r="U244" s="41" t="s">
        <v>315</v>
      </c>
      <c r="V244" s="41" t="s">
        <v>555</v>
      </c>
      <c r="W244" s="41" t="s">
        <v>556</v>
      </c>
      <c r="Y244" s="41" t="s">
        <v>557</v>
      </c>
      <c r="Z244" s="22" t="s">
        <v>558</v>
      </c>
      <c r="AA244" s="41" t="s">
        <v>451</v>
      </c>
      <c r="AB244" s="41" t="s">
        <v>57</v>
      </c>
      <c r="AC244" s="41" t="s">
        <v>559</v>
      </c>
      <c r="AD244" s="41" t="s">
        <v>310</v>
      </c>
      <c r="AE244" s="41" t="s">
        <v>560</v>
      </c>
      <c r="AF244" s="41" t="s">
        <v>561</v>
      </c>
      <c r="AG244" s="41" t="s">
        <v>562</v>
      </c>
      <c r="AH244" s="41" t="s">
        <v>563</v>
      </c>
      <c r="AJ244" s="41" t="s">
        <v>563</v>
      </c>
      <c r="AM244" s="17">
        <f>IF(A244="","",MATCH(A244,'Lista - Inversor'!$2:$2,0))</f>
        <v>16</v>
      </c>
      <c r="AN244" s="17">
        <f>IF(C244="","",MATCH(C244,'Lista - Inversor'!$P:$P,0)-2)</f>
        <v>13</v>
      </c>
    </row>
    <row r="245" spans="1:40" x14ac:dyDescent="0.35">
      <c r="A245" s="43" t="s">
        <v>544</v>
      </c>
      <c r="B245" s="17" t="str">
        <f t="shared" si="7"/>
        <v>SYMO 10.0-3-M</v>
      </c>
      <c r="C245" s="22" t="s">
        <v>2446</v>
      </c>
      <c r="AM245" s="17">
        <f>IF(A245="","",MATCH(A245,'Lista - Inversor'!$2:$2,0))</f>
        <v>16</v>
      </c>
      <c r="AN245" s="17">
        <f>IF(C245="","",MATCH(C245,'Lista - Inversor'!$P:$P,0)-2)</f>
        <v>14</v>
      </c>
    </row>
    <row r="246" spans="1:40" x14ac:dyDescent="0.35">
      <c r="A246" s="43" t="s">
        <v>544</v>
      </c>
      <c r="B246" s="17" t="str">
        <f t="shared" si="7"/>
        <v>SYMO 8.2-3-M</v>
      </c>
      <c r="C246" s="22" t="s">
        <v>2469</v>
      </c>
      <c r="AM246" s="17">
        <f>IF(A246="","",MATCH(A246,'Lista - Inversor'!$2:$2,0))</f>
        <v>16</v>
      </c>
      <c r="AN246" s="17">
        <f>IF(C246="","",MATCH(C246,'Lista - Inversor'!$P:$P,0)-2)</f>
        <v>15</v>
      </c>
    </row>
    <row r="247" spans="1:40" x14ac:dyDescent="0.35">
      <c r="A247" s="43" t="s">
        <v>544</v>
      </c>
      <c r="B247" s="17" t="str">
        <f t="shared" si="7"/>
        <v>SYMO 7.0-3-M</v>
      </c>
      <c r="C247" s="22" t="s">
        <v>2490</v>
      </c>
      <c r="AM247" s="17">
        <f>IF(A247="","",MATCH(A247,'Lista - Inversor'!$2:$2,0))</f>
        <v>16</v>
      </c>
      <c r="AN247" s="17">
        <f>IF(C247="","",MATCH(C247,'Lista - Inversor'!$P:$P,0)-2)</f>
        <v>16</v>
      </c>
    </row>
    <row r="248" spans="1:40" x14ac:dyDescent="0.35">
      <c r="A248" s="43" t="s">
        <v>544</v>
      </c>
      <c r="B248" s="17" t="str">
        <f t="shared" si="7"/>
        <v>SYMO 6.0-3-M</v>
      </c>
      <c r="C248" s="22" t="s">
        <v>2510</v>
      </c>
      <c r="AM248" s="17">
        <f>IF(A248="","",MATCH(A248,'Lista - Inversor'!$2:$2,0))</f>
        <v>16</v>
      </c>
      <c r="AN248" s="17">
        <f>IF(C248="","",MATCH(C248,'Lista - Inversor'!$P:$P,0)-2)</f>
        <v>17</v>
      </c>
    </row>
    <row r="249" spans="1:40" x14ac:dyDescent="0.35">
      <c r="A249" s="43" t="s">
        <v>544</v>
      </c>
      <c r="B249" s="17" t="str">
        <f t="shared" si="7"/>
        <v>SYMO 5.0-3-M</v>
      </c>
      <c r="C249" s="22" t="s">
        <v>2530</v>
      </c>
      <c r="AM249" s="17">
        <f>IF(A249="","",MATCH(A249,'Lista - Inversor'!$2:$2,0))</f>
        <v>16</v>
      </c>
      <c r="AN249" s="17">
        <f>IF(C249="","",MATCH(C249,'Lista - Inversor'!$P:$P,0)-2)</f>
        <v>18</v>
      </c>
    </row>
    <row r="250" spans="1:40" x14ac:dyDescent="0.35">
      <c r="A250" s="43" t="s">
        <v>544</v>
      </c>
      <c r="B250" s="17" t="str">
        <f t="shared" si="7"/>
        <v>SYMO 4.5-3-M</v>
      </c>
      <c r="C250" s="22" t="s">
        <v>2550</v>
      </c>
      <c r="AM250" s="17">
        <f>IF(A250="","",MATCH(A250,'Lista - Inversor'!$2:$2,0))</f>
        <v>16</v>
      </c>
      <c r="AN250" s="17">
        <f>IF(C250="","",MATCH(C250,'Lista - Inversor'!$P:$P,0)-2)</f>
        <v>19</v>
      </c>
    </row>
    <row r="251" spans="1:40" x14ac:dyDescent="0.35">
      <c r="A251" s="43" t="s">
        <v>544</v>
      </c>
      <c r="B251" s="17" t="str">
        <f t="shared" si="7"/>
        <v>SYMO 3.7-3-M</v>
      </c>
      <c r="C251" s="22" t="s">
        <v>2570</v>
      </c>
      <c r="AM251" s="17">
        <f>IF(A251="","",MATCH(A251,'Lista - Inversor'!$2:$2,0))</f>
        <v>16</v>
      </c>
      <c r="AN251" s="17">
        <f>IF(C251="","",MATCH(C251,'Lista - Inversor'!$P:$P,0)-2)</f>
        <v>20</v>
      </c>
    </row>
    <row r="252" spans="1:40" x14ac:dyDescent="0.35">
      <c r="A252" s="43" t="s">
        <v>544</v>
      </c>
      <c r="B252" s="17" t="str">
        <f t="shared" si="7"/>
        <v>SYMO 3.0-3-M</v>
      </c>
      <c r="C252" s="22" t="s">
        <v>2589</v>
      </c>
      <c r="AM252" s="17">
        <f>IF(A252="","",MATCH(A252,'Lista - Inversor'!$2:$2,0))</f>
        <v>16</v>
      </c>
      <c r="AN252" s="17">
        <f>IF(C252="","",MATCH(C252,'Lista - Inversor'!$P:$P,0)-2)</f>
        <v>21</v>
      </c>
    </row>
    <row r="253" spans="1:40" x14ac:dyDescent="0.35">
      <c r="A253" s="43" t="s">
        <v>544</v>
      </c>
      <c r="B253" s="17" t="str">
        <f t="shared" si="7"/>
        <v>SYMO 4.5-3-S</v>
      </c>
      <c r="C253" s="22" t="s">
        <v>2607</v>
      </c>
      <c r="AM253" s="17">
        <f>IF(A253="","",MATCH(A253,'Lista - Inversor'!$2:$2,0))</f>
        <v>16</v>
      </c>
      <c r="AN253" s="17">
        <f>IF(C253="","",MATCH(C253,'Lista - Inversor'!$P:$P,0)-2)</f>
        <v>22</v>
      </c>
    </row>
    <row r="254" spans="1:40" x14ac:dyDescent="0.35">
      <c r="A254" s="43" t="s">
        <v>544</v>
      </c>
      <c r="B254" s="17" t="str">
        <f t="shared" si="7"/>
        <v>SYMO 3.0-3-S</v>
      </c>
      <c r="C254" s="22" t="s">
        <v>2625</v>
      </c>
      <c r="AM254" s="17">
        <f>IF(A254="","",MATCH(A254,'Lista - Inversor'!$2:$2,0))</f>
        <v>16</v>
      </c>
      <c r="AN254" s="17">
        <f>IF(C254="","",MATCH(C254,'Lista - Inversor'!$P:$P,0)-2)</f>
        <v>23</v>
      </c>
    </row>
    <row r="255" spans="1:40" x14ac:dyDescent="0.35">
      <c r="A255" s="43" t="s">
        <v>544</v>
      </c>
      <c r="B255" s="17" t="str">
        <f t="shared" si="7"/>
        <v>ECO 27.0-3-S</v>
      </c>
      <c r="C255" s="22" t="s">
        <v>2642</v>
      </c>
      <c r="AM255" s="17">
        <f>IF(A255="","",MATCH(A255,'Lista - Inversor'!$2:$2,0))</f>
        <v>16</v>
      </c>
      <c r="AN255" s="17">
        <f>IF(C255="","",MATCH(C255,'Lista - Inversor'!$P:$P,0)-2)</f>
        <v>24</v>
      </c>
    </row>
    <row r="256" spans="1:40" x14ac:dyDescent="0.35">
      <c r="A256" s="43" t="s">
        <v>544</v>
      </c>
      <c r="B256" s="17" t="str">
        <f t="shared" si="7"/>
        <v>SYMO 12.0-3</v>
      </c>
      <c r="C256" s="22" t="s">
        <v>2659</v>
      </c>
      <c r="AM256" s="17">
        <f>IF(A256="","",MATCH(A256,'Lista - Inversor'!$2:$2,0))</f>
        <v>16</v>
      </c>
      <c r="AN256" s="17">
        <f>IF(C256="","",MATCH(C256,'Lista - Inversor'!$P:$P,0)-2)</f>
        <v>25</v>
      </c>
    </row>
    <row r="257" spans="1:40" x14ac:dyDescent="0.35">
      <c r="A257" s="43" t="s">
        <v>544</v>
      </c>
      <c r="B257" s="17" t="str">
        <f t="shared" si="7"/>
        <v>FRONIUS SYMO 10.0-3 208/240</v>
      </c>
      <c r="C257" s="22" t="s">
        <v>2673</v>
      </c>
      <c r="AM257" s="17">
        <f>IF(A257="","",MATCH(A257,'Lista - Inversor'!$2:$2,0))</f>
        <v>16</v>
      </c>
      <c r="AN257" s="17">
        <f>IF(C257="","",MATCH(C257,'Lista - Inversor'!$P:$P,0)-2)</f>
        <v>26</v>
      </c>
    </row>
    <row r="258" spans="1:40" x14ac:dyDescent="0.35">
      <c r="A258" s="43" t="s">
        <v>544</v>
      </c>
      <c r="B258" s="17" t="str">
        <f t="shared" si="7"/>
        <v>ECO 25.0.3-S</v>
      </c>
      <c r="C258" s="22" t="s">
        <v>2687</v>
      </c>
      <c r="AM258" s="17">
        <f>IF(A258="","",MATCH(A258,'Lista - Inversor'!$2:$2,0))</f>
        <v>16</v>
      </c>
      <c r="AN258" s="17">
        <f>IF(C258="","",MATCH(C258,'Lista - Inversor'!$P:$P,0)-2)</f>
        <v>27</v>
      </c>
    </row>
    <row r="259" spans="1:40" x14ac:dyDescent="0.35">
      <c r="A259" s="43" t="s">
        <v>544</v>
      </c>
      <c r="B259" s="17" t="str">
        <f t="shared" ref="B259:B319" si="8">RIGHT(C259,LEN(C259)-(FIND(" - ", C259)+2))</f>
        <v>SYMO 15.0-1</v>
      </c>
      <c r="C259" s="22" t="s">
        <v>2700</v>
      </c>
      <c r="AM259" s="17">
        <f>IF(A259="","",MATCH(A259,'Lista - Inversor'!$2:$2,0))</f>
        <v>16</v>
      </c>
      <c r="AN259" s="17">
        <f>IF(C259="","",MATCH(C259,'Lista - Inversor'!$P:$P,0)-2)</f>
        <v>28</v>
      </c>
    </row>
    <row r="260" spans="1:40" x14ac:dyDescent="0.35">
      <c r="A260" s="43" t="s">
        <v>544</v>
      </c>
      <c r="B260" s="17" t="str">
        <f t="shared" si="8"/>
        <v>FRONIUS SYMO 15.0-3 208/240</v>
      </c>
      <c r="C260" s="22" t="s">
        <v>2713</v>
      </c>
      <c r="AM260" s="17">
        <f>IF(A260="","",MATCH(A260,'Lista - Inversor'!$2:$2,0))</f>
        <v>16</v>
      </c>
      <c r="AN260" s="17">
        <f>IF(C260="","",MATCH(C260,'Lista - Inversor'!$P:$P,0)-2)</f>
        <v>29</v>
      </c>
    </row>
    <row r="261" spans="1:40" x14ac:dyDescent="0.35">
      <c r="A261" s="43" t="s">
        <v>544</v>
      </c>
      <c r="B261" s="17" t="str">
        <f t="shared" si="8"/>
        <v>12.0-3 208/240</v>
      </c>
      <c r="C261" s="22" t="s">
        <v>2726</v>
      </c>
      <c r="AM261" s="17">
        <f>IF(A261="","",MATCH(A261,'Lista - Inversor'!$2:$2,0))</f>
        <v>16</v>
      </c>
      <c r="AN261" s="17">
        <f>IF(C261="","",MATCH(C261,'Lista - Inversor'!$P:$P,0)-2)</f>
        <v>30</v>
      </c>
    </row>
    <row r="262" spans="1:40" x14ac:dyDescent="0.35">
      <c r="A262" s="43" t="s">
        <v>544</v>
      </c>
      <c r="B262" s="17" t="str">
        <f t="shared" si="8"/>
        <v xml:space="preserve">FRONIUS SYMO 12.0-3 208-240 </v>
      </c>
      <c r="C262" s="22" t="s">
        <v>2738</v>
      </c>
      <c r="AM262" s="17">
        <f>IF(A262="","",MATCH(A262,'Lista - Inversor'!$2:$2,0))</f>
        <v>16</v>
      </c>
      <c r="AN262" s="17">
        <f>IF(C262="","",MATCH(C262,'Lista - Inversor'!$P:$P,0)-2)</f>
        <v>31</v>
      </c>
    </row>
    <row r="263" spans="1:40" x14ac:dyDescent="0.35">
      <c r="A263" s="43" t="s">
        <v>544</v>
      </c>
      <c r="B263" s="17" t="str">
        <f t="shared" si="8"/>
        <v>FRONIUS SYMO BR 10.0-3</v>
      </c>
      <c r="C263" s="22" t="s">
        <v>2750</v>
      </c>
      <c r="AM263" s="17">
        <f>IF(A263="","",MATCH(A263,'Lista - Inversor'!$2:$2,0))</f>
        <v>16</v>
      </c>
      <c r="AN263" s="17">
        <f>IF(C263="","",MATCH(C263,'Lista - Inversor'!$P:$P,0)-2)</f>
        <v>32</v>
      </c>
    </row>
    <row r="264" spans="1:40" x14ac:dyDescent="0.35">
      <c r="A264" s="43" t="s">
        <v>544</v>
      </c>
      <c r="B264" s="17" t="str">
        <f t="shared" si="8"/>
        <v>ECO 27-3-S</v>
      </c>
      <c r="C264" s="22" t="s">
        <v>2762</v>
      </c>
      <c r="AM264" s="17">
        <f>IF(A264="","",MATCH(A264,'Lista - Inversor'!$2:$2,0))</f>
        <v>16</v>
      </c>
      <c r="AN264" s="17">
        <f>IF(C264="","",MATCH(C264,'Lista - Inversor'!$P:$P,0)-2)</f>
        <v>33</v>
      </c>
    </row>
    <row r="265" spans="1:40" x14ac:dyDescent="0.35">
      <c r="A265" s="43" t="s">
        <v>544</v>
      </c>
      <c r="B265" s="17" t="str">
        <f t="shared" si="8"/>
        <v xml:space="preserve">SYMO 10.0-3 </v>
      </c>
      <c r="C265" s="22" t="s">
        <v>2774</v>
      </c>
      <c r="AM265" s="17">
        <f>IF(A265="","",MATCH(A265,'Lista - Inversor'!$2:$2,0))</f>
        <v>16</v>
      </c>
      <c r="AN265" s="17">
        <f>IF(C265="","",MATCH(C265,'Lista - Inversor'!$P:$P,0)-2)</f>
        <v>34</v>
      </c>
    </row>
    <row r="266" spans="1:40" x14ac:dyDescent="0.35">
      <c r="A266" s="43" t="s">
        <v>544</v>
      </c>
      <c r="B266" s="17" t="str">
        <f t="shared" si="8"/>
        <v>ECO 27.0-3</v>
      </c>
      <c r="C266" s="22" t="s">
        <v>2786</v>
      </c>
      <c r="AM266" s="17">
        <f>IF(A266="","",MATCH(A266,'Lista - Inversor'!$2:$2,0))</f>
        <v>16</v>
      </c>
      <c r="AN266" s="17">
        <f>IF(C266="","",MATCH(C266,'Lista - Inversor'!$P:$P,0)-2)</f>
        <v>35</v>
      </c>
    </row>
    <row r="267" spans="1:40" x14ac:dyDescent="0.35">
      <c r="A267" s="43" t="s">
        <v>544</v>
      </c>
      <c r="B267" s="17" t="str">
        <f t="shared" si="8"/>
        <v>FRONIUS AGILO 75.0-3</v>
      </c>
      <c r="C267" s="22" t="s">
        <v>2797</v>
      </c>
      <c r="AM267" s="17">
        <f>IF(A267="","",MATCH(A267,'Lista - Inversor'!$2:$2,0))</f>
        <v>16</v>
      </c>
      <c r="AN267" s="17">
        <f>IF(C267="","",MATCH(C267,'Lista - Inversor'!$P:$P,0)-2)</f>
        <v>36</v>
      </c>
    </row>
    <row r="268" spans="1:40" x14ac:dyDescent="0.35">
      <c r="A268" s="43" t="s">
        <v>544</v>
      </c>
      <c r="B268" s="17" t="str">
        <f t="shared" si="8"/>
        <v>SYMO 15.0-3 208</v>
      </c>
      <c r="C268" s="22" t="s">
        <v>2807</v>
      </c>
      <c r="AM268" s="17">
        <f>IF(A268="","",MATCH(A268,'Lista - Inversor'!$2:$2,0))</f>
        <v>16</v>
      </c>
      <c r="AN268" s="17">
        <f>IF(C268="","",MATCH(C268,'Lista - Inversor'!$P:$P,0)-2)</f>
        <v>37</v>
      </c>
    </row>
    <row r="269" spans="1:40" x14ac:dyDescent="0.35">
      <c r="A269" s="43" t="s">
        <v>544</v>
      </c>
      <c r="B269" s="17" t="str">
        <f t="shared" si="8"/>
        <v>FRONIUS SYMO 15.0-3 48/240</v>
      </c>
      <c r="C269" s="22" t="s">
        <v>2816</v>
      </c>
      <c r="AM269" s="17">
        <f>IF(A269="","",MATCH(A269,'Lista - Inversor'!$2:$2,0))</f>
        <v>16</v>
      </c>
      <c r="AN269" s="17">
        <f>IF(C269="","",MATCH(C269,'Lista - Inversor'!$P:$P,0)-2)</f>
        <v>38</v>
      </c>
    </row>
    <row r="270" spans="1:40" x14ac:dyDescent="0.35">
      <c r="A270" s="43" t="s">
        <v>544</v>
      </c>
      <c r="B270" s="17" t="str">
        <f t="shared" si="8"/>
        <v>SYMO BR 15.0-3</v>
      </c>
      <c r="C270" s="22" t="s">
        <v>2825</v>
      </c>
      <c r="AM270" s="17">
        <f>IF(A270="","",MATCH(A270,'Lista - Inversor'!$2:$2,0))</f>
        <v>16</v>
      </c>
      <c r="AN270" s="17">
        <f>IF(C270="","",MATCH(C270,'Lista - Inversor'!$P:$P,0)-2)</f>
        <v>39</v>
      </c>
    </row>
    <row r="271" spans="1:40" x14ac:dyDescent="0.35">
      <c r="A271" s="43" t="s">
        <v>544</v>
      </c>
      <c r="B271" s="17" t="str">
        <f t="shared" si="8"/>
        <v>IG PLUS 50 V-1</v>
      </c>
      <c r="C271" s="22" t="s">
        <v>2834</v>
      </c>
      <c r="AM271" s="17">
        <f>IF(A271="","",MATCH(A271,'Lista - Inversor'!$2:$2,0))</f>
        <v>16</v>
      </c>
      <c r="AN271" s="17">
        <f>IF(C271="","",MATCH(C271,'Lista - Inversor'!$P:$P,0)-2)</f>
        <v>40</v>
      </c>
    </row>
    <row r="272" spans="1:40" x14ac:dyDescent="0.35">
      <c r="A272" s="43" t="s">
        <v>1969</v>
      </c>
      <c r="B272" s="17" t="str">
        <f t="shared" si="8"/>
        <v>F6000</v>
      </c>
      <c r="C272" s="22" t="s">
        <v>2000</v>
      </c>
      <c r="AM272" s="17">
        <f>IF(A272="","",MATCH(A272,'Lista - Inversor'!$2:$2,0))</f>
        <v>17</v>
      </c>
      <c r="AN272" s="17">
        <f>IF(C272="","",MATCH(C272,'Lista - Inversor'!$Q:$Q,0)-2)</f>
        <v>1</v>
      </c>
    </row>
    <row r="273" spans="1:40" x14ac:dyDescent="0.35">
      <c r="A273" s="43" t="s">
        <v>1969</v>
      </c>
      <c r="B273" s="17" t="str">
        <f t="shared" si="8"/>
        <v>S3000</v>
      </c>
      <c r="C273" s="22" t="s">
        <v>2057</v>
      </c>
      <c r="AM273" s="17">
        <f>IF(A273="","",MATCH(A273,'Lista - Inversor'!$2:$2,0))</f>
        <v>17</v>
      </c>
      <c r="AN273" s="17">
        <f>IF(C273="","",MATCH(C273,'Lista - Inversor'!$Q:$Q,0)-2)</f>
        <v>2</v>
      </c>
    </row>
    <row r="274" spans="1:40" x14ac:dyDescent="0.35">
      <c r="A274" s="43" t="s">
        <v>694</v>
      </c>
      <c r="B274" s="17" t="str">
        <f t="shared" si="8"/>
        <v>GW50K-MT</v>
      </c>
      <c r="C274" s="22" t="s">
        <v>2001</v>
      </c>
      <c r="AM274" s="17">
        <f>IF(A274="","",MATCH(A274,'Lista - Inversor'!$2:$2,0))</f>
        <v>18</v>
      </c>
      <c r="AN274" s="17">
        <f>IF(C274="","",MATCH(C274,'Lista - Inversor'!$R:$R,0)-2)</f>
        <v>1</v>
      </c>
    </row>
    <row r="275" spans="1:40" x14ac:dyDescent="0.35">
      <c r="A275" s="43" t="s">
        <v>694</v>
      </c>
      <c r="B275" s="17" t="str">
        <f t="shared" si="8"/>
        <v>GW12KN-DT</v>
      </c>
      <c r="C275" s="22" t="s">
        <v>2058</v>
      </c>
      <c r="AM275" s="17">
        <f>IF(A275="","",MATCH(A275,'Lista - Inversor'!$2:$2,0))</f>
        <v>18</v>
      </c>
      <c r="AN275" s="17">
        <f>IF(C275="","",MATCH(C275,'Lista - Inversor'!$R:$R,0)-2)</f>
        <v>2</v>
      </c>
    </row>
    <row r="276" spans="1:40" x14ac:dyDescent="0.35">
      <c r="A276" s="43" t="s">
        <v>694</v>
      </c>
      <c r="B276" s="17" t="str">
        <f t="shared" si="8"/>
        <v>GW25K-DT</v>
      </c>
      <c r="C276" s="22" t="s">
        <v>2104</v>
      </c>
      <c r="AM276" s="17">
        <f>IF(A276="","",MATCH(A276,'Lista - Inversor'!$2:$2,0))</f>
        <v>18</v>
      </c>
      <c r="AN276" s="17">
        <f>IF(C276="","",MATCH(C276,'Lista - Inversor'!$R:$R,0)-2)</f>
        <v>3</v>
      </c>
    </row>
    <row r="277" spans="1:40" x14ac:dyDescent="0.35">
      <c r="A277" s="43" t="s">
        <v>694</v>
      </c>
      <c r="B277" s="17" t="str">
        <f t="shared" si="8"/>
        <v>GW5000D-NS</v>
      </c>
      <c r="C277" s="22" t="s">
        <v>2147</v>
      </c>
      <c r="AM277" s="17">
        <f>IF(A277="","",MATCH(A277,'Lista - Inversor'!$2:$2,0))</f>
        <v>18</v>
      </c>
      <c r="AN277" s="17">
        <f>IF(C277="","",MATCH(C277,'Lista - Inversor'!$R:$R,0)-2)</f>
        <v>4</v>
      </c>
    </row>
    <row r="278" spans="1:40" x14ac:dyDescent="0.35">
      <c r="A278" s="43" t="s">
        <v>694</v>
      </c>
      <c r="B278" s="17" t="str">
        <f t="shared" si="8"/>
        <v>GW20K-DT</v>
      </c>
      <c r="C278" s="22" t="s">
        <v>2188</v>
      </c>
      <c r="AM278" s="17">
        <f>IF(A278="","",MATCH(A278,'Lista - Inversor'!$2:$2,0))</f>
        <v>18</v>
      </c>
      <c r="AN278" s="17">
        <f>IF(C278="","",MATCH(C278,'Lista - Inversor'!$R:$R,0)-2)</f>
        <v>5</v>
      </c>
    </row>
    <row r="279" spans="1:40" x14ac:dyDescent="0.35">
      <c r="A279" s="43" t="s">
        <v>694</v>
      </c>
      <c r="B279" s="17" t="str">
        <f t="shared" si="8"/>
        <v>GW3000</v>
      </c>
      <c r="C279" s="22" t="s">
        <v>2226</v>
      </c>
      <c r="AM279" s="17">
        <f>IF(A279="","",MATCH(A279,'Lista - Inversor'!$2:$2,0))</f>
        <v>18</v>
      </c>
      <c r="AN279" s="17">
        <f>IF(C279="","",MATCH(C279,'Lista - Inversor'!$R:$R,0)-2)</f>
        <v>6</v>
      </c>
    </row>
    <row r="280" spans="1:40" x14ac:dyDescent="0.35">
      <c r="A280" s="43" t="s">
        <v>694</v>
      </c>
      <c r="B280" s="17" t="str">
        <f t="shared" si="8"/>
        <v>60K-MT</v>
      </c>
      <c r="C280" s="22" t="s">
        <v>2259</v>
      </c>
      <c r="AM280" s="17">
        <f>IF(A280="","",MATCH(A280,'Lista - Inversor'!$2:$2,0))</f>
        <v>18</v>
      </c>
      <c r="AN280" s="17">
        <f>IF(C280="","",MATCH(C280,'Lista - Inversor'!$R:$R,0)-2)</f>
        <v>7</v>
      </c>
    </row>
    <row r="281" spans="1:40" x14ac:dyDescent="0.35">
      <c r="A281" s="43" t="s">
        <v>694</v>
      </c>
      <c r="B281" s="17" t="str">
        <f t="shared" si="8"/>
        <v>70KHV-MT</v>
      </c>
      <c r="C281" s="22" t="s">
        <v>2291</v>
      </c>
      <c r="AM281" s="17">
        <f>IF(A281="","",MATCH(A281,'Lista - Inversor'!$2:$2,0))</f>
        <v>18</v>
      </c>
      <c r="AN281" s="17">
        <f>IF(C281="","",MATCH(C281,'Lista - Inversor'!$R:$R,0)-2)</f>
        <v>8</v>
      </c>
    </row>
    <row r="282" spans="1:40" x14ac:dyDescent="0.35">
      <c r="A282" s="43" t="s">
        <v>694</v>
      </c>
      <c r="B282" s="17" t="str">
        <f t="shared" si="8"/>
        <v>GW80K-MT</v>
      </c>
      <c r="C282" s="22" t="s">
        <v>2321</v>
      </c>
      <c r="AM282" s="17">
        <f>IF(A282="","",MATCH(A282,'Lista - Inversor'!$2:$2,0))</f>
        <v>18</v>
      </c>
      <c r="AN282" s="17">
        <f>IF(C282="","",MATCH(C282,'Lista - Inversor'!$R:$R,0)-2)</f>
        <v>9</v>
      </c>
    </row>
    <row r="283" spans="1:40" x14ac:dyDescent="0.35">
      <c r="A283" s="43" t="s">
        <v>694</v>
      </c>
      <c r="B283" s="17" t="str">
        <f t="shared" si="8"/>
        <v>GW15KN-DT</v>
      </c>
      <c r="C283" s="22" t="s">
        <v>2349</v>
      </c>
      <c r="AM283" s="17">
        <f>IF(A283="","",MATCH(A283,'Lista - Inversor'!$2:$2,0))</f>
        <v>18</v>
      </c>
      <c r="AN283" s="17">
        <f>IF(C283="","",MATCH(C283,'Lista - Inversor'!$R:$R,0)-2)</f>
        <v>10</v>
      </c>
    </row>
    <row r="284" spans="1:40" x14ac:dyDescent="0.35">
      <c r="A284" s="43" t="s">
        <v>694</v>
      </c>
      <c r="B284" s="17" t="str">
        <f t="shared" si="8"/>
        <v>GW17K-DT</v>
      </c>
      <c r="C284" s="22" t="s">
        <v>2375</v>
      </c>
      <c r="AM284" s="17">
        <f>IF(A284="","",MATCH(A284,'Lista - Inversor'!$2:$2,0))</f>
        <v>18</v>
      </c>
      <c r="AN284" s="17">
        <f>IF(C284="","",MATCH(C284,'Lista - Inversor'!$R:$R,0)-2)</f>
        <v>11</v>
      </c>
    </row>
    <row r="285" spans="1:40" x14ac:dyDescent="0.35">
      <c r="A285" s="43" t="s">
        <v>694</v>
      </c>
      <c r="B285" s="17" t="str">
        <f t="shared" si="8"/>
        <v>GW36K-MT</v>
      </c>
      <c r="C285" s="22" t="s">
        <v>2400</v>
      </c>
      <c r="AM285" s="17">
        <f>IF(A285="","",MATCH(A285,'Lista - Inversor'!$2:$2,0))</f>
        <v>18</v>
      </c>
      <c r="AN285" s="17">
        <f>IF(C285="","",MATCH(C285,'Lista - Inversor'!$R:$R,0)-2)</f>
        <v>12</v>
      </c>
    </row>
    <row r="286" spans="1:40" x14ac:dyDescent="0.35">
      <c r="A286" s="43" t="s">
        <v>694</v>
      </c>
      <c r="B286" s="17" t="str">
        <f t="shared" si="8"/>
        <v>GW10K-MS</v>
      </c>
      <c r="C286" s="22" t="s">
        <v>2424</v>
      </c>
      <c r="AM286" s="17">
        <f>IF(A286="","",MATCH(A286,'Lista - Inversor'!$2:$2,0))</f>
        <v>18</v>
      </c>
      <c r="AN286" s="17">
        <f>IF(C286="","",MATCH(C286,'Lista - Inversor'!$R:$R,0)-2)</f>
        <v>13</v>
      </c>
    </row>
    <row r="287" spans="1:40" x14ac:dyDescent="0.35">
      <c r="A287" s="43" t="s">
        <v>694</v>
      </c>
      <c r="B287" s="17" t="str">
        <f t="shared" si="8"/>
        <v>GW3000-NS</v>
      </c>
      <c r="C287" s="22" t="s">
        <v>2447</v>
      </c>
      <c r="AM287" s="17">
        <f>IF(A287="","",MATCH(A287,'Lista - Inversor'!$2:$2,0))</f>
        <v>18</v>
      </c>
      <c r="AN287" s="17">
        <f>IF(C287="","",MATCH(C287,'Lista - Inversor'!$R:$R,0)-2)</f>
        <v>14</v>
      </c>
    </row>
    <row r="288" spans="1:40" x14ac:dyDescent="0.35">
      <c r="A288" s="43" t="s">
        <v>694</v>
      </c>
      <c r="B288" s="17" t="str">
        <f t="shared" si="8"/>
        <v>GW12KLV-DT</v>
      </c>
      <c r="C288" s="22" t="s">
        <v>2470</v>
      </c>
      <c r="AM288" s="17">
        <f>IF(A288="","",MATCH(A288,'Lista - Inversor'!$2:$2,0))</f>
        <v>18</v>
      </c>
      <c r="AN288" s="17">
        <f>IF(C288="","",MATCH(C288,'Lista - Inversor'!$R:$R,0)-2)</f>
        <v>15</v>
      </c>
    </row>
    <row r="289" spans="1:40" x14ac:dyDescent="0.35">
      <c r="A289" s="43" t="s">
        <v>694</v>
      </c>
      <c r="B289" s="17" t="str">
        <f t="shared" si="8"/>
        <v xml:space="preserve">GW3000D-NS </v>
      </c>
      <c r="C289" s="22" t="s">
        <v>2491</v>
      </c>
      <c r="AM289" s="17">
        <f>IF(A289="","",MATCH(A289,'Lista - Inversor'!$2:$2,0))</f>
        <v>18</v>
      </c>
      <c r="AN289" s="17">
        <f>IF(C289="","",MATCH(C289,'Lista - Inversor'!$R:$R,0)-2)</f>
        <v>16</v>
      </c>
    </row>
    <row r="290" spans="1:40" x14ac:dyDescent="0.35">
      <c r="A290" s="43" t="s">
        <v>694</v>
      </c>
      <c r="B290" s="17" t="str">
        <f t="shared" si="8"/>
        <v>GW10KLV-DT</v>
      </c>
      <c r="C290" s="22" t="s">
        <v>2511</v>
      </c>
      <c r="AM290" s="17">
        <f>IF(A290="","",MATCH(A290,'Lista - Inversor'!$2:$2,0))</f>
        <v>18</v>
      </c>
      <c r="AN290" s="17">
        <f>IF(C290="","",MATCH(C290,'Lista - Inversor'!$R:$R,0)-2)</f>
        <v>17</v>
      </c>
    </row>
    <row r="291" spans="1:40" x14ac:dyDescent="0.35">
      <c r="A291" s="43" t="s">
        <v>694</v>
      </c>
      <c r="B291" s="17" t="str">
        <f t="shared" si="8"/>
        <v>GW15KLV-DT</v>
      </c>
      <c r="C291" s="22" t="s">
        <v>2531</v>
      </c>
      <c r="AM291" s="17">
        <f>IF(A291="","",MATCH(A291,'Lista - Inversor'!$2:$2,0))</f>
        <v>18</v>
      </c>
      <c r="AN291" s="17">
        <f>IF(C291="","",MATCH(C291,'Lista - Inversor'!$R:$R,0)-2)</f>
        <v>18</v>
      </c>
    </row>
    <row r="292" spans="1:40" x14ac:dyDescent="0.35">
      <c r="A292" s="43" t="s">
        <v>694</v>
      </c>
      <c r="B292" s="17" t="str">
        <f t="shared" si="8"/>
        <v xml:space="preserve"> GW50KLV-MT</v>
      </c>
      <c r="C292" s="22" t="s">
        <v>2551</v>
      </c>
      <c r="AM292" s="17">
        <f>IF(A292="","",MATCH(A292,'Lista - Inversor'!$2:$2,0))</f>
        <v>18</v>
      </c>
      <c r="AN292" s="17">
        <f>IF(C292="","",MATCH(C292,'Lista - Inversor'!$R:$R,0)-2)</f>
        <v>19</v>
      </c>
    </row>
    <row r="293" spans="1:40" x14ac:dyDescent="0.35">
      <c r="A293" s="43" t="s">
        <v>694</v>
      </c>
      <c r="B293" s="17" t="str">
        <f t="shared" si="8"/>
        <v>GW30KLV-MT</v>
      </c>
      <c r="C293" s="22" t="s">
        <v>2571</v>
      </c>
      <c r="AM293" s="17">
        <f>IF(A293="","",MATCH(A293,'Lista - Inversor'!$2:$2,0))</f>
        <v>18</v>
      </c>
      <c r="AN293" s="17">
        <f>IF(C293="","",MATCH(C293,'Lista - Inversor'!$R:$R,0)-2)</f>
        <v>20</v>
      </c>
    </row>
    <row r="294" spans="1:40" x14ac:dyDescent="0.35">
      <c r="A294" s="43" t="s">
        <v>694</v>
      </c>
      <c r="B294" s="17" t="str">
        <f t="shared" si="8"/>
        <v>GW3000-XS</v>
      </c>
      <c r="C294" s="22" t="s">
        <v>2590</v>
      </c>
      <c r="AM294" s="17">
        <f>IF(A294="","",MATCH(A294,'Lista - Inversor'!$2:$2,0))</f>
        <v>18</v>
      </c>
      <c r="AN294" s="17">
        <f>IF(C294="","",MATCH(C294,'Lista - Inversor'!$R:$R,0)-2)</f>
        <v>21</v>
      </c>
    </row>
    <row r="295" spans="1:40" x14ac:dyDescent="0.35">
      <c r="A295" s="43" t="s">
        <v>694</v>
      </c>
      <c r="B295" s="17" t="str">
        <f t="shared" si="8"/>
        <v>GW8500-MS</v>
      </c>
      <c r="C295" s="22" t="s">
        <v>2608</v>
      </c>
      <c r="AM295" s="17">
        <f>IF(A295="","",MATCH(A295,'Lista - Inversor'!$2:$2,0))</f>
        <v>18</v>
      </c>
      <c r="AN295" s="17">
        <f>IF(C295="","",MATCH(C295,'Lista - Inversor'!$R:$R,0)-2)</f>
        <v>22</v>
      </c>
    </row>
    <row r="296" spans="1:40" x14ac:dyDescent="0.35">
      <c r="A296" s="43" t="s">
        <v>694</v>
      </c>
      <c r="B296" s="17" t="str">
        <f t="shared" si="8"/>
        <v>GW35KLV-MT</v>
      </c>
      <c r="C296" s="22" t="s">
        <v>2626</v>
      </c>
      <c r="AM296" s="17">
        <f>IF(A296="","",MATCH(A296,'Lista - Inversor'!$2:$2,0))</f>
        <v>18</v>
      </c>
      <c r="AN296" s="17">
        <f>IF(C296="","",MATCH(C296,'Lista - Inversor'!$R:$R,0)-2)</f>
        <v>23</v>
      </c>
    </row>
    <row r="297" spans="1:40" x14ac:dyDescent="0.35">
      <c r="A297" s="43" t="s">
        <v>694</v>
      </c>
      <c r="B297" s="17" t="str">
        <f t="shared" si="8"/>
        <v>GW25K-MT</v>
      </c>
      <c r="C297" s="22" t="s">
        <v>2643</v>
      </c>
      <c r="AM297" s="17">
        <f>IF(A297="","",MATCH(A297,'Lista - Inversor'!$2:$2,0))</f>
        <v>18</v>
      </c>
      <c r="AN297" s="17">
        <f>IF(C297="","",MATCH(C297,'Lista - Inversor'!$R:$R,0)-2)</f>
        <v>24</v>
      </c>
    </row>
    <row r="298" spans="1:40" x14ac:dyDescent="0.35">
      <c r="A298" s="43" t="s">
        <v>694</v>
      </c>
      <c r="B298" s="17" t="str">
        <f t="shared" si="8"/>
        <v>GW75K-MT</v>
      </c>
      <c r="C298" s="22" t="s">
        <v>2660</v>
      </c>
      <c r="AM298" s="17">
        <f>IF(A298="","",MATCH(A298,'Lista - Inversor'!$2:$2,0))</f>
        <v>18</v>
      </c>
      <c r="AN298" s="17">
        <f>IF(C298="","",MATCH(C298,'Lista - Inversor'!$R:$R,0)-2)</f>
        <v>25</v>
      </c>
    </row>
    <row r="299" spans="1:40" x14ac:dyDescent="0.35">
      <c r="A299" s="43" t="s">
        <v>694</v>
      </c>
      <c r="B299" s="17" t="str">
        <f t="shared" si="8"/>
        <v>GW15KLV-MT</v>
      </c>
      <c r="C299" s="22" t="s">
        <v>2674</v>
      </c>
      <c r="AM299" s="17">
        <f>IF(A299="","",MATCH(A299,'Lista - Inversor'!$2:$2,0))</f>
        <v>18</v>
      </c>
      <c r="AN299" s="17">
        <f>IF(C299="","",MATCH(C299,'Lista - Inversor'!$R:$R,0)-2)</f>
        <v>26</v>
      </c>
    </row>
    <row r="300" spans="1:40" x14ac:dyDescent="0.35">
      <c r="A300" s="43" t="s">
        <v>694</v>
      </c>
      <c r="B300" s="17" t="str">
        <f t="shared" si="8"/>
        <v>GW20KLV-MT</v>
      </c>
      <c r="C300" s="22" t="s">
        <v>2688</v>
      </c>
      <c r="AM300" s="17">
        <f>IF(A300="","",MATCH(A300,'Lista - Inversor'!$2:$2,0))</f>
        <v>18</v>
      </c>
      <c r="AN300" s="17">
        <f>IF(C300="","",MATCH(C300,'Lista - Inversor'!$R:$R,0)-2)</f>
        <v>27</v>
      </c>
    </row>
    <row r="301" spans="1:40" x14ac:dyDescent="0.35">
      <c r="A301" s="43" t="s">
        <v>694</v>
      </c>
      <c r="B301" s="17" t="str">
        <f t="shared" si="8"/>
        <v>GW60K-MT</v>
      </c>
      <c r="C301" s="22" t="s">
        <v>2701</v>
      </c>
      <c r="AM301" s="17">
        <f>IF(A301="","",MATCH(A301,'Lista - Inversor'!$2:$2,0))</f>
        <v>18</v>
      </c>
      <c r="AN301" s="17">
        <f>IF(C301="","",MATCH(C301,'Lista - Inversor'!$R:$R,0)-2)</f>
        <v>28</v>
      </c>
    </row>
    <row r="302" spans="1:40" x14ac:dyDescent="0.35">
      <c r="A302" s="43" t="s">
        <v>694</v>
      </c>
      <c r="B302" s="17" t="str">
        <f t="shared" si="8"/>
        <v>GW15KLV-MT</v>
      </c>
      <c r="C302" s="22" t="s">
        <v>2714</v>
      </c>
      <c r="AM302" s="17">
        <f>IF(A302="","",MATCH(A302,'Lista - Inversor'!$2:$2,0))</f>
        <v>18</v>
      </c>
      <c r="AN302" s="17">
        <f>IF(C302="","",MATCH(C302,'Lista - Inversor'!$R:$R,0)-2)</f>
        <v>29</v>
      </c>
    </row>
    <row r="303" spans="1:40" x14ac:dyDescent="0.35">
      <c r="A303" s="43" t="s">
        <v>694</v>
      </c>
      <c r="B303" s="17" t="str">
        <f t="shared" si="8"/>
        <v>GW1500-NS</v>
      </c>
      <c r="C303" s="22" t="s">
        <v>2727</v>
      </c>
      <c r="AM303" s="17">
        <f>IF(A303="","",MATCH(A303,'Lista - Inversor'!$2:$2,0))</f>
        <v>18</v>
      </c>
      <c r="AN303" s="17">
        <f>IF(C303="","",MATCH(C303,'Lista - Inversor'!$R:$R,0)-2)</f>
        <v>30</v>
      </c>
    </row>
    <row r="304" spans="1:40" x14ac:dyDescent="0.35">
      <c r="A304" s="43" t="s">
        <v>694</v>
      </c>
      <c r="B304" s="17" t="str">
        <f t="shared" si="8"/>
        <v>GW30K-MT</v>
      </c>
      <c r="C304" s="22" t="s">
        <v>2739</v>
      </c>
      <c r="AM304" s="17">
        <f>IF(A304="","",MATCH(A304,'Lista - Inversor'!$2:$2,0))</f>
        <v>18</v>
      </c>
      <c r="AN304" s="17">
        <f>IF(C304="","",MATCH(C304,'Lista - Inversor'!$R:$R,0)-2)</f>
        <v>31</v>
      </c>
    </row>
    <row r="305" spans="1:40" x14ac:dyDescent="0.35">
      <c r="A305" s="43" t="s">
        <v>694</v>
      </c>
      <c r="B305" s="17" t="str">
        <f t="shared" si="8"/>
        <v>GW35KLV-MT</v>
      </c>
      <c r="C305" s="22" t="s">
        <v>2751</v>
      </c>
      <c r="AM305" s="17">
        <f>IF(A305="","",MATCH(A305,'Lista - Inversor'!$2:$2,0))</f>
        <v>18</v>
      </c>
      <c r="AN305" s="17">
        <f>IF(C305="","",MATCH(C305,'Lista - Inversor'!$R:$R,0)-2)</f>
        <v>32</v>
      </c>
    </row>
    <row r="306" spans="1:40" x14ac:dyDescent="0.35">
      <c r="A306" s="43" t="s">
        <v>694</v>
      </c>
      <c r="B306" s="17" t="str">
        <f t="shared" si="8"/>
        <v>GW12K-DT</v>
      </c>
      <c r="C306" s="22" t="s">
        <v>2763</v>
      </c>
      <c r="AM306" s="17">
        <f>IF(A306="","",MATCH(A306,'Lista - Inversor'!$2:$2,0))</f>
        <v>18</v>
      </c>
      <c r="AN306" s="17">
        <f>IF(C306="","",MATCH(C306,'Lista - Inversor'!$R:$R,0)-2)</f>
        <v>33</v>
      </c>
    </row>
    <row r="307" spans="1:40" x14ac:dyDescent="0.35">
      <c r="A307" s="43" t="s">
        <v>694</v>
      </c>
      <c r="B307" s="17" t="str">
        <f t="shared" si="8"/>
        <v>GW12KLV-MT</v>
      </c>
      <c r="C307" s="22" t="s">
        <v>2775</v>
      </c>
      <c r="AM307" s="17">
        <f>IF(A307="","",MATCH(A307,'Lista - Inversor'!$2:$2,0))</f>
        <v>18</v>
      </c>
      <c r="AN307" s="17">
        <f>IF(C307="","",MATCH(C307,'Lista - Inversor'!$R:$R,0)-2)</f>
        <v>34</v>
      </c>
    </row>
    <row r="308" spans="1:40" x14ac:dyDescent="0.35">
      <c r="A308" s="43" t="s">
        <v>694</v>
      </c>
      <c r="B308" s="17" t="str">
        <f t="shared" si="8"/>
        <v>GW35KLV-MT</v>
      </c>
      <c r="C308" s="22" t="s">
        <v>2787</v>
      </c>
      <c r="AM308" s="17">
        <f>IF(A308="","",MATCH(A308,'Lista - Inversor'!$2:$2,0))</f>
        <v>18</v>
      </c>
      <c r="AN308" s="17">
        <f>IF(C308="","",MATCH(C308,'Lista - Inversor'!$R:$R,0)-2)</f>
        <v>35</v>
      </c>
    </row>
    <row r="309" spans="1:40" x14ac:dyDescent="0.35">
      <c r="A309" s="43" t="s">
        <v>694</v>
      </c>
      <c r="B309" s="17" t="str">
        <f t="shared" si="8"/>
        <v>GW60KN-MT</v>
      </c>
      <c r="C309" s="22" t="s">
        <v>2798</v>
      </c>
      <c r="AM309" s="17">
        <f>IF(A309="","",MATCH(A309,'Lista - Inversor'!$2:$2,0))</f>
        <v>18</v>
      </c>
      <c r="AN309" s="17">
        <f>IF(C309="","",MATCH(C309,'Lista - Inversor'!$R:$R,0)-2)</f>
        <v>36</v>
      </c>
    </row>
    <row r="310" spans="1:40" x14ac:dyDescent="0.35">
      <c r="A310" s="43" t="s">
        <v>694</v>
      </c>
      <c r="B310" s="17" t="str">
        <f t="shared" si="8"/>
        <v>GW1500-XS</v>
      </c>
      <c r="C310" s="22" t="s">
        <v>2808</v>
      </c>
      <c r="AM310" s="17">
        <f>IF(A310="","",MATCH(A310,'Lista - Inversor'!$2:$2,0))</f>
        <v>18</v>
      </c>
      <c r="AN310" s="17">
        <f>IF(C310="","",MATCH(C310,'Lista - Inversor'!$R:$R,0)-2)</f>
        <v>37</v>
      </c>
    </row>
    <row r="311" spans="1:40" x14ac:dyDescent="0.35">
      <c r="A311" s="43" t="s">
        <v>694</v>
      </c>
      <c r="B311" s="17" t="str">
        <f t="shared" si="8"/>
        <v>GW8500-MS</v>
      </c>
      <c r="C311" s="22" t="s">
        <v>2817</v>
      </c>
      <c r="AM311" s="17">
        <f>IF(A311="","",MATCH(A311,'Lista - Inversor'!$2:$2,0))</f>
        <v>18</v>
      </c>
      <c r="AN311" s="17">
        <f>IF(C311="","",MATCH(C311,'Lista - Inversor'!$R:$R,0)-2)</f>
        <v>38</v>
      </c>
    </row>
    <row r="312" spans="1:40" x14ac:dyDescent="0.35">
      <c r="A312" s="43" t="s">
        <v>694</v>
      </c>
      <c r="B312" s="17" t="str">
        <f t="shared" si="8"/>
        <v>GW100K-HT</v>
      </c>
      <c r="C312" s="22" t="s">
        <v>2826</v>
      </c>
      <c r="AM312" s="17">
        <f>IF(A312="","",MATCH(A312,'Lista - Inversor'!$2:$2,0))</f>
        <v>18</v>
      </c>
      <c r="AN312" s="17">
        <f>IF(C312="","",MATCH(C312,'Lista - Inversor'!$R:$R,0)-2)</f>
        <v>39</v>
      </c>
    </row>
    <row r="313" spans="1:40" x14ac:dyDescent="0.35">
      <c r="A313" s="43" t="s">
        <v>694</v>
      </c>
      <c r="B313" s="17" t="str">
        <f t="shared" si="8"/>
        <v>GW225K-HT</v>
      </c>
      <c r="C313" s="22" t="s">
        <v>2835</v>
      </c>
      <c r="AM313" s="17">
        <f>IF(A313="","",MATCH(A313,'Lista - Inversor'!$2:$2,0))</f>
        <v>18</v>
      </c>
      <c r="AN313" s="17">
        <f>IF(C313="","",MATCH(C313,'Lista - Inversor'!$R:$R,0)-2)</f>
        <v>40</v>
      </c>
    </row>
    <row r="314" spans="1:40" x14ac:dyDescent="0.35">
      <c r="A314" s="43" t="s">
        <v>694</v>
      </c>
      <c r="B314" s="17" t="str">
        <f t="shared" si="8"/>
        <v>GW5000T-DS</v>
      </c>
      <c r="C314" s="22" t="s">
        <v>2843</v>
      </c>
      <c r="AM314" s="17">
        <f>IF(A314="","",MATCH(A314,'Lista - Inversor'!$2:$2,0))</f>
        <v>18</v>
      </c>
      <c r="AN314" s="17">
        <f>IF(C314="","",MATCH(C314,'Lista - Inversor'!$R:$R,0)-2)</f>
        <v>41</v>
      </c>
    </row>
    <row r="315" spans="1:40" x14ac:dyDescent="0.35">
      <c r="A315" s="43" t="s">
        <v>694</v>
      </c>
      <c r="B315" s="17" t="str">
        <f t="shared" si="8"/>
        <v>GW-73KLV-HT</v>
      </c>
      <c r="C315" s="22" t="s">
        <v>2851</v>
      </c>
      <c r="AM315" s="17">
        <f>IF(A315="","",MATCH(A315,'Lista - Inversor'!$2:$2,0))</f>
        <v>18</v>
      </c>
      <c r="AN315" s="17">
        <f>IF(C315="","",MATCH(C315,'Lista - Inversor'!$R:$R,0)-2)</f>
        <v>42</v>
      </c>
    </row>
    <row r="316" spans="1:40" x14ac:dyDescent="0.35">
      <c r="A316" s="43" t="s">
        <v>694</v>
      </c>
      <c r="B316" s="17" t="str">
        <f t="shared" si="8"/>
        <v>GW3KB-XS</v>
      </c>
      <c r="C316" s="22" t="s">
        <v>2859</v>
      </c>
      <c r="AM316" s="17">
        <f>IF(A316="","",MATCH(A316,'Lista - Inversor'!$2:$2,0))</f>
        <v>18</v>
      </c>
      <c r="AN316" s="17">
        <f>IF(C316="","",MATCH(C316,'Lista - Inversor'!$R:$R,0)-2)</f>
        <v>43</v>
      </c>
    </row>
    <row r="317" spans="1:40" x14ac:dyDescent="0.35">
      <c r="A317" s="43" t="s">
        <v>694</v>
      </c>
      <c r="B317" s="17" t="str">
        <f t="shared" si="8"/>
        <v xml:space="preserve">GW6KBD-NS </v>
      </c>
      <c r="C317" s="22" t="s">
        <v>2867</v>
      </c>
      <c r="AM317" s="17">
        <f>IF(A317="","",MATCH(A317,'Lista - Inversor'!$2:$2,0))</f>
        <v>18</v>
      </c>
      <c r="AN317" s="17">
        <f>IF(C317="","",MATCH(C317,'Lista - Inversor'!$R:$R,0)-2)</f>
        <v>44</v>
      </c>
    </row>
    <row r="318" spans="1:40" x14ac:dyDescent="0.35">
      <c r="A318" s="43" t="s">
        <v>694</v>
      </c>
      <c r="B318" s="17" t="str">
        <f t="shared" si="8"/>
        <v>GW5KBD-NS</v>
      </c>
      <c r="C318" s="22" t="s">
        <v>2874</v>
      </c>
      <c r="AM318" s="17">
        <f>IF(A318="","",MATCH(A318,'Lista - Inversor'!$2:$2,0))</f>
        <v>18</v>
      </c>
      <c r="AN318" s="17">
        <f>IF(C318="","",MATCH(C318,'Lista - Inversor'!$R:$R,0)-2)</f>
        <v>45</v>
      </c>
    </row>
    <row r="319" spans="1:40" x14ac:dyDescent="0.35">
      <c r="A319" s="43" t="s">
        <v>694</v>
      </c>
      <c r="B319" s="17" t="str">
        <f t="shared" si="8"/>
        <v>GW50KLV-MT</v>
      </c>
      <c r="C319" s="22" t="s">
        <v>2881</v>
      </c>
      <c r="AM319" s="17">
        <f>IF(A319="","",MATCH(A319,'Lista - Inversor'!$2:$2,0))</f>
        <v>18</v>
      </c>
      <c r="AN319" s="17">
        <f>IF(C319="","",MATCH(C319,'Lista - Inversor'!$R:$R,0)-2)</f>
        <v>46</v>
      </c>
    </row>
    <row r="320" spans="1:40" x14ac:dyDescent="0.35">
      <c r="A320" s="43" t="s">
        <v>287</v>
      </c>
      <c r="B320" s="17" t="str">
        <f t="shared" ref="B320:B380" si="9">RIGHT(C320,LEN(C320)-(FIND(" - ", C320)+2))</f>
        <v>5500MTL-S (5KW)</v>
      </c>
      <c r="C320" s="22" t="s">
        <v>2002</v>
      </c>
      <c r="AM320" s="17">
        <f>IF(A320="","",MATCH(A320,'Lista - Inversor'!$2:$2,0))</f>
        <v>19</v>
      </c>
      <c r="AN320" s="17">
        <f>IF(C320="","",MATCH(C320,'Lista - Inversor'!$S:$S,0)-2)</f>
        <v>1</v>
      </c>
    </row>
    <row r="321" spans="1:40" x14ac:dyDescent="0.35">
      <c r="A321" s="43" t="s">
        <v>287</v>
      </c>
      <c r="B321" s="17" t="str">
        <f t="shared" si="9"/>
        <v>5000MTL-S</v>
      </c>
      <c r="C321" s="22" t="s">
        <v>2059</v>
      </c>
      <c r="AM321" s="17">
        <f>IF(A321="","",MATCH(A321,'Lista - Inversor'!$2:$2,0))</f>
        <v>19</v>
      </c>
      <c r="AN321" s="17">
        <f>IF(C321="","",MATCH(C321,'Lista - Inversor'!$S:$S,0)-2)</f>
        <v>2</v>
      </c>
    </row>
    <row r="322" spans="1:40" x14ac:dyDescent="0.35">
      <c r="A322" s="43" t="s">
        <v>287</v>
      </c>
      <c r="B322" s="17" t="str">
        <f t="shared" si="9"/>
        <v>4200MTL-S</v>
      </c>
      <c r="C322" s="22" t="s">
        <v>2105</v>
      </c>
      <c r="AM322" s="17">
        <f>IF(A322="","",MATCH(A322,'Lista - Inversor'!$2:$2,0))</f>
        <v>19</v>
      </c>
      <c r="AN322" s="17">
        <f>IF(C322="","",MATCH(C322,'Lista - Inversor'!$S:$S,0)-2)</f>
        <v>3</v>
      </c>
    </row>
    <row r="323" spans="1:40" x14ac:dyDescent="0.35">
      <c r="A323" s="43" t="s">
        <v>287</v>
      </c>
      <c r="B323" s="17" t="str">
        <f t="shared" si="9"/>
        <v>3600MTL-S</v>
      </c>
      <c r="C323" s="22" t="s">
        <v>2148</v>
      </c>
      <c r="AM323" s="17">
        <f>IF(A323="","",MATCH(A323,'Lista - Inversor'!$2:$2,0))</f>
        <v>19</v>
      </c>
      <c r="AN323" s="17">
        <f>IF(C323="","",MATCH(C323,'Lista - Inversor'!$S:$S,0)-2)</f>
        <v>4</v>
      </c>
    </row>
    <row r="324" spans="1:40" x14ac:dyDescent="0.35">
      <c r="A324" s="43" t="s">
        <v>287</v>
      </c>
      <c r="B324" s="17" t="str">
        <f t="shared" si="9"/>
        <v>3000MTL-S</v>
      </c>
      <c r="C324" s="22" t="s">
        <v>2189</v>
      </c>
      <c r="AM324" s="17">
        <f>IF(A324="","",MATCH(A324,'Lista - Inversor'!$2:$2,0))</f>
        <v>19</v>
      </c>
      <c r="AN324" s="17">
        <f>IF(C324="","",MATCH(C324,'Lista - Inversor'!$S:$S,0)-2)</f>
        <v>5</v>
      </c>
    </row>
    <row r="325" spans="1:40" x14ac:dyDescent="0.35">
      <c r="A325" s="43" t="s">
        <v>287</v>
      </c>
      <c r="B325" s="17" t="str">
        <f t="shared" si="9"/>
        <v>2500MTL-S</v>
      </c>
      <c r="C325" s="22" t="s">
        <v>2227</v>
      </c>
      <c r="AM325" s="17">
        <f>IF(A325="","",MATCH(A325,'Lista - Inversor'!$2:$2,0))</f>
        <v>19</v>
      </c>
      <c r="AN325" s="17">
        <f>IF(C325="","",MATCH(C325,'Lista - Inversor'!$S:$S,0)-2)</f>
        <v>6</v>
      </c>
    </row>
    <row r="326" spans="1:40" x14ac:dyDescent="0.35">
      <c r="A326" s="43" t="s">
        <v>287</v>
      </c>
      <c r="B326" s="17" t="str">
        <f t="shared" si="9"/>
        <v>1500S</v>
      </c>
      <c r="C326" s="22" t="s">
        <v>2260</v>
      </c>
      <c r="AM326" s="17">
        <f>IF(A326="","",MATCH(A326,'Lista - Inversor'!$2:$2,0))</f>
        <v>19</v>
      </c>
      <c r="AN326" s="17">
        <f>IF(C326="","",MATCH(C326,'Lista - Inversor'!$S:$S,0)-2)</f>
        <v>7</v>
      </c>
    </row>
    <row r="327" spans="1:40" x14ac:dyDescent="0.35">
      <c r="A327" s="43" t="s">
        <v>287</v>
      </c>
      <c r="B327" s="17" t="str">
        <f t="shared" si="9"/>
        <v>MAX 50KTL3 LV</v>
      </c>
      <c r="C327" s="22" t="s">
        <v>2292</v>
      </c>
      <c r="AM327" s="17">
        <f>IF(A327="","",MATCH(A327,'Lista - Inversor'!$2:$2,0))</f>
        <v>19</v>
      </c>
      <c r="AN327" s="17">
        <f>IF(C327="","",MATCH(C327,'Lista - Inversor'!$S:$S,0)-2)</f>
        <v>8</v>
      </c>
    </row>
    <row r="328" spans="1:40" x14ac:dyDescent="0.35">
      <c r="A328" s="43" t="s">
        <v>287</v>
      </c>
      <c r="B328" s="17" t="str">
        <f t="shared" si="9"/>
        <v>GS 3000-S</v>
      </c>
      <c r="C328" s="22" t="s">
        <v>2322</v>
      </c>
      <c r="AM328" s="17">
        <f>IF(A328="","",MATCH(A328,'Lista - Inversor'!$2:$2,0))</f>
        <v>19</v>
      </c>
      <c r="AN328" s="17">
        <f>IF(C328="","",MATCH(C328,'Lista - Inversor'!$S:$S,0)-2)</f>
        <v>9</v>
      </c>
    </row>
    <row r="329" spans="1:40" x14ac:dyDescent="0.35">
      <c r="A329" s="43" t="s">
        <v>287</v>
      </c>
      <c r="B329" s="17" t="str">
        <f t="shared" si="9"/>
        <v>GS 1500-S</v>
      </c>
      <c r="C329" s="22" t="s">
        <v>2350</v>
      </c>
      <c r="AM329" s="17">
        <f>IF(A329="","",MATCH(A329,'Lista - Inversor'!$2:$2,0))</f>
        <v>19</v>
      </c>
      <c r="AN329" s="17">
        <f>IF(C329="","",MATCH(C329,'Lista - Inversor'!$S:$S,0)-2)</f>
        <v>10</v>
      </c>
    </row>
    <row r="330" spans="1:40" x14ac:dyDescent="0.35">
      <c r="A330" s="43" t="s">
        <v>287</v>
      </c>
      <c r="B330" s="17" t="str">
        <f t="shared" si="9"/>
        <v>20000</v>
      </c>
      <c r="C330" s="22" t="s">
        <v>2376</v>
      </c>
      <c r="AM330" s="17">
        <f>IF(A330="","",MATCH(A330,'Lista - Inversor'!$2:$2,0))</f>
        <v>19</v>
      </c>
      <c r="AN330" s="17">
        <f>IF(C330="","",MATCH(C330,'Lista - Inversor'!$S:$S,0)-2)</f>
        <v>11</v>
      </c>
    </row>
    <row r="331" spans="1:40" x14ac:dyDescent="0.35">
      <c r="A331" s="43" t="s">
        <v>287</v>
      </c>
      <c r="B331" s="17" t="str">
        <f t="shared" si="9"/>
        <v>33000TL3-S</v>
      </c>
      <c r="C331" s="22" t="s">
        <v>2401</v>
      </c>
      <c r="AM331" s="17">
        <f>IF(A331="","",MATCH(A331,'Lista - Inversor'!$2:$2,0))</f>
        <v>19</v>
      </c>
      <c r="AN331" s="17">
        <f>IF(C331="","",MATCH(C331,'Lista - Inversor'!$S:$S,0)-2)</f>
        <v>12</v>
      </c>
    </row>
    <row r="332" spans="1:40" x14ac:dyDescent="0.35">
      <c r="A332" s="43" t="s">
        <v>287</v>
      </c>
      <c r="B332" s="17" t="str">
        <f t="shared" si="9"/>
        <v>40000TL3-S</v>
      </c>
      <c r="C332" s="22" t="s">
        <v>2425</v>
      </c>
      <c r="AM332" s="17">
        <f>IF(A332="","",MATCH(A332,'Lista - Inversor'!$2:$2,0))</f>
        <v>19</v>
      </c>
      <c r="AN332" s="17">
        <f>IF(C332="","",MATCH(C332,'Lista - Inversor'!$S:$S,0)-2)</f>
        <v>13</v>
      </c>
    </row>
    <row r="333" spans="1:40" x14ac:dyDescent="0.35">
      <c r="A333" s="43" t="s">
        <v>287</v>
      </c>
      <c r="B333" s="17" t="str">
        <f t="shared" si="9"/>
        <v>MAX 60KTL3 MV</v>
      </c>
      <c r="C333" s="22" t="s">
        <v>2448</v>
      </c>
      <c r="AM333" s="17">
        <f>IF(A333="","",MATCH(A333,'Lista - Inversor'!$2:$2,0))</f>
        <v>19</v>
      </c>
      <c r="AN333" s="17">
        <f>IF(C333="","",MATCH(C333,'Lista - Inversor'!$S:$S,0)-2)</f>
        <v>14</v>
      </c>
    </row>
    <row r="334" spans="1:40" x14ac:dyDescent="0.35">
      <c r="A334" s="43" t="s">
        <v>287</v>
      </c>
      <c r="B334" s="17" t="str">
        <f t="shared" si="9"/>
        <v>30000 TL3-S</v>
      </c>
      <c r="C334" s="22" t="s">
        <v>2471</v>
      </c>
      <c r="AM334" s="17">
        <f>IF(A334="","",MATCH(A334,'Lista - Inversor'!$2:$2,0))</f>
        <v>19</v>
      </c>
      <c r="AN334" s="17">
        <f>IF(C334="","",MATCH(C334,'Lista - Inversor'!$S:$S,0)-2)</f>
        <v>15</v>
      </c>
    </row>
    <row r="335" spans="1:40" x14ac:dyDescent="0.35">
      <c r="A335" s="43" t="s">
        <v>287</v>
      </c>
      <c r="B335" s="17" t="str">
        <f t="shared" si="9"/>
        <v>22000 TL3 SL</v>
      </c>
      <c r="C335" s="22" t="s">
        <v>2492</v>
      </c>
      <c r="AM335" s="17">
        <f>IF(A335="","",MATCH(A335,'Lista - Inversor'!$2:$2,0))</f>
        <v>19</v>
      </c>
      <c r="AN335" s="17">
        <f>IF(C335="","",MATCH(C335,'Lista - Inversor'!$S:$S,0)-2)</f>
        <v>16</v>
      </c>
    </row>
    <row r="336" spans="1:40" x14ac:dyDescent="0.35">
      <c r="A336" s="43" t="s">
        <v>287</v>
      </c>
      <c r="B336" s="17" t="str">
        <f t="shared" si="9"/>
        <v>15000 TL3-SL</v>
      </c>
      <c r="C336" s="22" t="s">
        <v>2512</v>
      </c>
      <c r="AM336" s="17">
        <f>IF(A336="","",MATCH(A336,'Lista - Inversor'!$2:$2,0))</f>
        <v>19</v>
      </c>
      <c r="AN336" s="17">
        <f>IF(C336="","",MATCH(C336,'Lista - Inversor'!$S:$S,0)-2)</f>
        <v>17</v>
      </c>
    </row>
    <row r="337" spans="1:40" x14ac:dyDescent="0.35">
      <c r="A337" s="43" t="s">
        <v>287</v>
      </c>
      <c r="B337" s="17" t="str">
        <f t="shared" si="9"/>
        <v>2000-S</v>
      </c>
      <c r="C337" s="22" t="s">
        <v>2532</v>
      </c>
      <c r="AM337" s="17">
        <f>IF(A337="","",MATCH(A337,'Lista - Inversor'!$2:$2,0))</f>
        <v>19</v>
      </c>
      <c r="AN337" s="17">
        <f>IF(C337="","",MATCH(C337,'Lista - Inversor'!$S:$S,0)-2)</f>
        <v>18</v>
      </c>
    </row>
    <row r="338" spans="1:40" x14ac:dyDescent="0.35">
      <c r="A338" s="43" t="s">
        <v>287</v>
      </c>
      <c r="B338" s="17" t="str">
        <f t="shared" si="9"/>
        <v>MAX 80KTL3 MV</v>
      </c>
      <c r="C338" s="22" t="s">
        <v>2552</v>
      </c>
      <c r="AM338" s="17">
        <f>IF(A338="","",MATCH(A338,'Lista - Inversor'!$2:$2,0))</f>
        <v>19</v>
      </c>
      <c r="AN338" s="17">
        <f>IF(C338="","",MATCH(C338,'Lista - Inversor'!$S:$S,0)-2)</f>
        <v>19</v>
      </c>
    </row>
    <row r="339" spans="1:40" x14ac:dyDescent="0.35">
      <c r="A339" s="43" t="s">
        <v>287</v>
      </c>
      <c r="B339" s="17" t="str">
        <f t="shared" si="9"/>
        <v>50000TL3-S</v>
      </c>
      <c r="C339" s="22" t="s">
        <v>2572</v>
      </c>
      <c r="AM339" s="17">
        <f>IF(A339="","",MATCH(A339,'Lista - Inversor'!$2:$2,0))</f>
        <v>19</v>
      </c>
      <c r="AN339" s="17">
        <f>IF(C339="","",MATCH(C339,'Lista - Inversor'!$S:$S,0)-2)</f>
        <v>20</v>
      </c>
    </row>
    <row r="340" spans="1:40" x14ac:dyDescent="0.35">
      <c r="A340" s="43" t="s">
        <v>287</v>
      </c>
      <c r="B340" s="17" t="str">
        <f t="shared" si="9"/>
        <v>25000-TL3</v>
      </c>
      <c r="C340" s="22" t="s">
        <v>2591</v>
      </c>
      <c r="AM340" s="17">
        <f>IF(A340="","",MATCH(A340,'Lista - Inversor'!$2:$2,0))</f>
        <v>19</v>
      </c>
      <c r="AN340" s="17">
        <f>IF(C340="","",MATCH(C340,'Lista - Inversor'!$S:$S,0)-2)</f>
        <v>21</v>
      </c>
    </row>
    <row r="341" spans="1:40" x14ac:dyDescent="0.35">
      <c r="A341" s="43" t="s">
        <v>287</v>
      </c>
      <c r="B341" s="17" t="str">
        <f t="shared" si="9"/>
        <v>MAX 70KTL3 LV</v>
      </c>
      <c r="C341" s="22" t="s">
        <v>2609</v>
      </c>
      <c r="AM341" s="17">
        <f>IF(A341="","",MATCH(A341,'Lista - Inversor'!$2:$2,0))</f>
        <v>19</v>
      </c>
      <c r="AN341" s="17">
        <f>IF(C341="","",MATCH(C341,'Lista - Inversor'!$S:$S,0)-2)</f>
        <v>22</v>
      </c>
    </row>
    <row r="342" spans="1:40" x14ac:dyDescent="0.35">
      <c r="A342" s="43" t="s">
        <v>287</v>
      </c>
      <c r="B342" s="17" t="str">
        <f t="shared" si="9"/>
        <v>12000TL3-S</v>
      </c>
      <c r="C342" s="22" t="s">
        <v>2627</v>
      </c>
      <c r="AM342" s="17">
        <f>IF(A342="","",MATCH(A342,'Lista - Inversor'!$2:$2,0))</f>
        <v>19</v>
      </c>
      <c r="AN342" s="17">
        <f>IF(C342="","",MATCH(C342,'Lista - Inversor'!$S:$S,0)-2)</f>
        <v>23</v>
      </c>
    </row>
    <row r="343" spans="1:40" x14ac:dyDescent="0.35">
      <c r="A343" s="43" t="s">
        <v>287</v>
      </c>
      <c r="B343" s="17" t="str">
        <f t="shared" si="9"/>
        <v>20000TL3-SL</v>
      </c>
      <c r="C343" s="22" t="s">
        <v>2644</v>
      </c>
      <c r="AM343" s="17">
        <f>IF(A343="","",MATCH(A343,'Lista - Inversor'!$2:$2,0))</f>
        <v>19</v>
      </c>
      <c r="AN343" s="17">
        <f>IF(C343="","",MATCH(C343,'Lista - Inversor'!$S:$S,0)-2)</f>
        <v>24</v>
      </c>
    </row>
    <row r="344" spans="1:40" x14ac:dyDescent="0.35">
      <c r="A344" s="43" t="s">
        <v>287</v>
      </c>
      <c r="B344" s="17" t="str">
        <f t="shared" si="9"/>
        <v>MIN 5000TL-X</v>
      </c>
      <c r="C344" s="22" t="s">
        <v>2661</v>
      </c>
      <c r="D344" s="41" t="s">
        <v>331</v>
      </c>
      <c r="E344" s="17" t="s">
        <v>332</v>
      </c>
      <c r="F344" s="41" t="s">
        <v>333</v>
      </c>
      <c r="G344" s="41" t="s">
        <v>334</v>
      </c>
      <c r="H344" s="41" t="s">
        <v>320</v>
      </c>
      <c r="I344" s="41" t="s">
        <v>321</v>
      </c>
      <c r="J344" s="41" t="s">
        <v>294</v>
      </c>
      <c r="K344" s="41" t="s">
        <v>295</v>
      </c>
      <c r="M344" s="41" t="s">
        <v>335</v>
      </c>
      <c r="N344" s="41" t="s">
        <v>323</v>
      </c>
      <c r="O344" s="41" t="s">
        <v>324</v>
      </c>
      <c r="P344" s="41" t="s">
        <v>299</v>
      </c>
      <c r="Q344" s="41" t="s">
        <v>300</v>
      </c>
      <c r="R344" s="41" t="s">
        <v>301</v>
      </c>
      <c r="S344" s="41" t="s">
        <v>302</v>
      </c>
      <c r="T344" s="41" t="s">
        <v>303</v>
      </c>
      <c r="U344" s="41">
        <v>2</v>
      </c>
      <c r="V344" s="41" t="s">
        <v>325</v>
      </c>
      <c r="W344" s="41" t="s">
        <v>336</v>
      </c>
      <c r="Y344" s="41" t="s">
        <v>327</v>
      </c>
      <c r="Z344" s="41" t="s">
        <v>328</v>
      </c>
      <c r="AA344" s="41" t="s">
        <v>308</v>
      </c>
      <c r="AB344" s="41">
        <v>1</v>
      </c>
      <c r="AC344" s="41" t="s">
        <v>329</v>
      </c>
      <c r="AD344" s="41" t="s">
        <v>310</v>
      </c>
      <c r="AE344" s="41" t="s">
        <v>311</v>
      </c>
      <c r="AF344" s="41" t="s">
        <v>312</v>
      </c>
      <c r="AG344" s="41" t="s">
        <v>313</v>
      </c>
      <c r="AH344" s="41" t="s">
        <v>330</v>
      </c>
      <c r="AI344" s="41" t="s">
        <v>314</v>
      </c>
      <c r="AJ344" s="41" t="s">
        <v>330</v>
      </c>
      <c r="AK344" s="22">
        <v>1</v>
      </c>
      <c r="AL344" s="22">
        <v>0.22</v>
      </c>
      <c r="AM344" s="17">
        <f>IF(A344="","",MATCH(A344,'Lista - Inversor'!$2:$2,0))</f>
        <v>19</v>
      </c>
      <c r="AN344" s="17">
        <f>IF(C344="","",MATCH(C344,'Lista - Inversor'!$S:$S,0)-2)</f>
        <v>25</v>
      </c>
    </row>
    <row r="345" spans="1:40" x14ac:dyDescent="0.35">
      <c r="A345" s="43" t="s">
        <v>287</v>
      </c>
      <c r="B345" s="17" t="str">
        <f t="shared" si="9"/>
        <v>17000TL3-S</v>
      </c>
      <c r="C345" s="22" t="s">
        <v>2675</v>
      </c>
      <c r="AM345" s="17">
        <f>IF(A345="","",MATCH(A345,'Lista - Inversor'!$2:$2,0))</f>
        <v>19</v>
      </c>
      <c r="AN345" s="17">
        <f>IF(C345="","",MATCH(C345,'Lista - Inversor'!$S:$S,0)-2)</f>
        <v>26</v>
      </c>
    </row>
    <row r="346" spans="1:40" x14ac:dyDescent="0.35">
      <c r="A346" s="43" t="s">
        <v>287</v>
      </c>
      <c r="B346" s="17" t="str">
        <f t="shared" si="9"/>
        <v>40000 TL3-NS</v>
      </c>
      <c r="C346" s="22" t="s">
        <v>2689</v>
      </c>
      <c r="AM346" s="17">
        <f>IF(A346="","",MATCH(A346,'Lista - Inversor'!$2:$2,0))</f>
        <v>19</v>
      </c>
      <c r="AN346" s="17">
        <f>IF(C346="","",MATCH(C346,'Lista - Inversor'!$S:$S,0)-2)</f>
        <v>27</v>
      </c>
    </row>
    <row r="347" spans="1:40" x14ac:dyDescent="0.35">
      <c r="A347" s="43" t="s">
        <v>287</v>
      </c>
      <c r="B347" s="17" t="str">
        <f t="shared" si="9"/>
        <v>MAX 75KTL3 LV</v>
      </c>
      <c r="C347" s="22" t="s">
        <v>2702</v>
      </c>
      <c r="D347" s="41" t="s">
        <v>3866</v>
      </c>
      <c r="E347" s="17">
        <v>75</v>
      </c>
      <c r="F347" s="41" t="s">
        <v>3876</v>
      </c>
      <c r="G347" s="41" t="s">
        <v>3877</v>
      </c>
      <c r="H347" s="41" t="s">
        <v>371</v>
      </c>
      <c r="I347" s="41" t="s">
        <v>321</v>
      </c>
      <c r="J347" s="41" t="s">
        <v>294</v>
      </c>
      <c r="K347" s="41" t="s">
        <v>295</v>
      </c>
      <c r="N347" s="41" t="s">
        <v>3878</v>
      </c>
      <c r="P347" s="41" t="s">
        <v>3879</v>
      </c>
      <c r="Q347" s="41" t="s">
        <v>375</v>
      </c>
      <c r="R347" s="41" t="s">
        <v>415</v>
      </c>
      <c r="S347" s="41" t="s">
        <v>377</v>
      </c>
      <c r="T347" s="41" t="s">
        <v>3880</v>
      </c>
      <c r="U347" s="41" t="s">
        <v>3881</v>
      </c>
      <c r="V347" s="41" t="s">
        <v>3882</v>
      </c>
      <c r="W347" s="41" t="s">
        <v>3883</v>
      </c>
      <c r="Y347" s="41" t="s">
        <v>3884</v>
      </c>
      <c r="Z347" s="41" t="s">
        <v>3885</v>
      </c>
      <c r="AA347" s="41" t="s">
        <v>308</v>
      </c>
      <c r="AC347" s="41" t="s">
        <v>329</v>
      </c>
      <c r="AD347" s="41" t="s">
        <v>310</v>
      </c>
      <c r="AE347" s="41" t="s">
        <v>311</v>
      </c>
      <c r="AF347" s="41" t="s">
        <v>383</v>
      </c>
      <c r="AG347" s="41" t="s">
        <v>313</v>
      </c>
      <c r="AH347" s="41" t="s">
        <v>384</v>
      </c>
      <c r="AK347" s="22">
        <v>3</v>
      </c>
      <c r="AL347" s="22">
        <v>0.38</v>
      </c>
      <c r="AM347" s="17">
        <f>IF(A347="","",MATCH(A347,'Lista - Inversor'!$2:$2,0))</f>
        <v>19</v>
      </c>
      <c r="AN347" s="17">
        <f>IF(C347="","",MATCH(C347,'Lista - Inversor'!$S:$S,0)-2)</f>
        <v>28</v>
      </c>
    </row>
    <row r="348" spans="1:40" x14ac:dyDescent="0.35">
      <c r="A348" s="43" t="s">
        <v>287</v>
      </c>
      <c r="B348" s="17" t="str">
        <f t="shared" si="9"/>
        <v>8000MTL-S</v>
      </c>
      <c r="C348" s="22" t="s">
        <v>2715</v>
      </c>
      <c r="D348" s="41" t="s">
        <v>288</v>
      </c>
      <c r="E348" s="17" t="s">
        <v>289</v>
      </c>
      <c r="F348" s="41" t="s">
        <v>290</v>
      </c>
      <c r="G348" s="41" t="s">
        <v>291</v>
      </c>
      <c r="H348" s="41" t="s">
        <v>292</v>
      </c>
      <c r="I348" s="41" t="s">
        <v>293</v>
      </c>
      <c r="J348" s="41" t="s">
        <v>294</v>
      </c>
      <c r="K348" s="41" t="s">
        <v>295</v>
      </c>
      <c r="M348" s="41" t="s">
        <v>296</v>
      </c>
      <c r="N348" s="41" t="s">
        <v>297</v>
      </c>
      <c r="O348" s="41" t="s">
        <v>298</v>
      </c>
      <c r="P348" s="41" t="s">
        <v>299</v>
      </c>
      <c r="Q348" s="41" t="s">
        <v>300</v>
      </c>
      <c r="R348" s="41" t="s">
        <v>301</v>
      </c>
      <c r="S348" s="41" t="s">
        <v>302</v>
      </c>
      <c r="T348" s="41" t="s">
        <v>303</v>
      </c>
      <c r="U348" s="41">
        <v>2</v>
      </c>
      <c r="V348" s="41" t="s">
        <v>304</v>
      </c>
      <c r="W348" s="41" t="s">
        <v>305</v>
      </c>
      <c r="Y348" s="41" t="s">
        <v>306</v>
      </c>
      <c r="Z348" s="41" t="s">
        <v>307</v>
      </c>
      <c r="AA348" s="41" t="s">
        <v>308</v>
      </c>
      <c r="AB348" s="41">
        <v>1</v>
      </c>
      <c r="AC348" s="41" t="s">
        <v>309</v>
      </c>
      <c r="AD348" s="41" t="s">
        <v>310</v>
      </c>
      <c r="AE348" s="41" t="s">
        <v>311</v>
      </c>
      <c r="AF348" s="41" t="s">
        <v>312</v>
      </c>
      <c r="AG348" s="41" t="s">
        <v>313</v>
      </c>
      <c r="AI348" s="41" t="s">
        <v>314</v>
      </c>
      <c r="AK348" s="22">
        <v>1</v>
      </c>
      <c r="AL348" s="22">
        <v>0.22</v>
      </c>
      <c r="AM348" s="17">
        <f>IF(A348="","",MATCH(A348,'Lista - Inversor'!$2:$2,0))</f>
        <v>19</v>
      </c>
      <c r="AN348" s="17">
        <f>IF(C348="","",MATCH(C348,'Lista - Inversor'!$S:$S,0)-2)</f>
        <v>29</v>
      </c>
    </row>
    <row r="349" spans="1:40" x14ac:dyDescent="0.35">
      <c r="A349" s="43" t="s">
        <v>287</v>
      </c>
      <c r="B349" s="17" t="str">
        <f t="shared" si="9"/>
        <v>MIN 6000TL-X</v>
      </c>
      <c r="C349" s="22" t="s">
        <v>2728</v>
      </c>
      <c r="AM349" s="17">
        <f>IF(A349="","",MATCH(A349,'Lista - Inversor'!$2:$2,0))</f>
        <v>19</v>
      </c>
      <c r="AN349" s="17">
        <f>IF(C349="","",MATCH(C349,'Lista - Inversor'!$S:$S,0)-2)</f>
        <v>30</v>
      </c>
    </row>
    <row r="350" spans="1:40" x14ac:dyDescent="0.35">
      <c r="A350" s="43" t="s">
        <v>287</v>
      </c>
      <c r="B350" s="17" t="str">
        <f t="shared" si="9"/>
        <v>5000TL-X</v>
      </c>
      <c r="C350" s="22" t="s">
        <v>2740</v>
      </c>
      <c r="AM350" s="17">
        <f>IF(A350="","",MATCH(A350,'Lista - Inversor'!$2:$2,0))</f>
        <v>19</v>
      </c>
      <c r="AN350" s="17">
        <f>IF(C350="","",MATCH(C350,'Lista - Inversor'!$S:$S,0)-2)</f>
        <v>31</v>
      </c>
    </row>
    <row r="351" spans="1:40" x14ac:dyDescent="0.35">
      <c r="A351" s="43" t="s">
        <v>287</v>
      </c>
      <c r="B351" s="17" t="str">
        <f t="shared" si="9"/>
        <v xml:space="preserve">MIN 6000TL-X </v>
      </c>
      <c r="C351" s="22" t="s">
        <v>2752</v>
      </c>
      <c r="D351" s="41" t="s">
        <v>316</v>
      </c>
      <c r="E351" s="17" t="s">
        <v>317</v>
      </c>
      <c r="F351" s="41" t="s">
        <v>318</v>
      </c>
      <c r="G351" s="41" t="s">
        <v>319</v>
      </c>
      <c r="H351" s="41" t="s">
        <v>320</v>
      </c>
      <c r="I351" s="41" t="s">
        <v>321</v>
      </c>
      <c r="J351" s="41" t="s">
        <v>294</v>
      </c>
      <c r="K351" s="41" t="s">
        <v>295</v>
      </c>
      <c r="M351" s="41" t="s">
        <v>322</v>
      </c>
      <c r="N351" s="41" t="s">
        <v>323</v>
      </c>
      <c r="O351" s="41" t="s">
        <v>324</v>
      </c>
      <c r="P351" s="41" t="s">
        <v>299</v>
      </c>
      <c r="Q351" s="41" t="s">
        <v>300</v>
      </c>
      <c r="R351" s="41" t="s">
        <v>301</v>
      </c>
      <c r="S351" s="41" t="s">
        <v>302</v>
      </c>
      <c r="T351" s="41" t="s">
        <v>303</v>
      </c>
      <c r="U351" s="41">
        <v>2</v>
      </c>
      <c r="V351" s="41" t="s">
        <v>325</v>
      </c>
      <c r="W351" s="41" t="s">
        <v>326</v>
      </c>
      <c r="Y351" s="41" t="s">
        <v>327</v>
      </c>
      <c r="Z351" s="41" t="s">
        <v>328</v>
      </c>
      <c r="AA351" s="41" t="s">
        <v>308</v>
      </c>
      <c r="AB351" s="41">
        <v>1</v>
      </c>
      <c r="AC351" s="41" t="s">
        <v>329</v>
      </c>
      <c r="AD351" s="41" t="s">
        <v>310</v>
      </c>
      <c r="AE351" s="41" t="s">
        <v>311</v>
      </c>
      <c r="AF351" s="41" t="s">
        <v>312</v>
      </c>
      <c r="AG351" s="41" t="s">
        <v>313</v>
      </c>
      <c r="AH351" s="41" t="s">
        <v>330</v>
      </c>
      <c r="AI351" s="41" t="s">
        <v>314</v>
      </c>
      <c r="AJ351" s="41" t="s">
        <v>330</v>
      </c>
      <c r="AK351" s="22">
        <v>1</v>
      </c>
      <c r="AL351" s="22">
        <v>0.22</v>
      </c>
      <c r="AM351" s="17">
        <f>IF(A351="","",MATCH(A351,'Lista - Inversor'!$2:$2,0))</f>
        <v>19</v>
      </c>
      <c r="AN351" s="17">
        <f>IF(C351="","",MATCH(C351,'Lista - Inversor'!$S:$S,0)-2)</f>
        <v>32</v>
      </c>
    </row>
    <row r="352" spans="1:40" x14ac:dyDescent="0.35">
      <c r="A352" s="43" t="s">
        <v>287</v>
      </c>
      <c r="B352" s="17" t="str">
        <f t="shared" si="9"/>
        <v>MAC 60 KTL3-X LV</v>
      </c>
      <c r="C352" s="22" t="s">
        <v>2764</v>
      </c>
      <c r="D352" s="41" t="s">
        <v>426</v>
      </c>
      <c r="E352" s="17" t="s">
        <v>360</v>
      </c>
      <c r="F352" s="41" t="s">
        <v>427</v>
      </c>
      <c r="G352" s="41" t="s">
        <v>428</v>
      </c>
      <c r="H352" s="41" t="s">
        <v>371</v>
      </c>
      <c r="I352" s="41" t="s">
        <v>411</v>
      </c>
      <c r="J352" s="41" t="s">
        <v>294</v>
      </c>
      <c r="K352" s="41" t="s">
        <v>295</v>
      </c>
      <c r="N352" s="41" t="s">
        <v>429</v>
      </c>
      <c r="O352" s="41" t="s">
        <v>430</v>
      </c>
      <c r="P352" s="41" t="s">
        <v>414</v>
      </c>
      <c r="Q352" s="41" t="s">
        <v>375</v>
      </c>
      <c r="R352" s="41" t="s">
        <v>415</v>
      </c>
      <c r="S352" s="41" t="s">
        <v>416</v>
      </c>
      <c r="T352" s="41" t="s">
        <v>417</v>
      </c>
      <c r="U352" s="41" t="s">
        <v>353</v>
      </c>
      <c r="V352" s="41" t="s">
        <v>431</v>
      </c>
      <c r="W352" s="41" t="s">
        <v>432</v>
      </c>
      <c r="Y352" s="41" t="s">
        <v>420</v>
      </c>
      <c r="Z352" s="41" t="s">
        <v>421</v>
      </c>
      <c r="AA352" s="41" t="s">
        <v>308</v>
      </c>
      <c r="AC352" s="41" t="s">
        <v>329</v>
      </c>
      <c r="AD352" s="41" t="s">
        <v>310</v>
      </c>
      <c r="AE352" s="41" t="s">
        <v>422</v>
      </c>
      <c r="AF352" s="41" t="s">
        <v>383</v>
      </c>
      <c r="AG352" s="41" t="s">
        <v>313</v>
      </c>
      <c r="AK352" s="22">
        <v>3</v>
      </c>
      <c r="AL352" s="22">
        <v>0.38</v>
      </c>
      <c r="AM352" s="17">
        <f>IF(A352="","",MATCH(A352,'Lista - Inversor'!$2:$2,0))</f>
        <v>19</v>
      </c>
      <c r="AN352" s="17">
        <f>IF(C352="","",MATCH(C352,'Lista - Inversor'!$S:$S,0)-2)</f>
        <v>33</v>
      </c>
    </row>
    <row r="353" spans="1:40" x14ac:dyDescent="0.35">
      <c r="A353" s="43" t="s">
        <v>287</v>
      </c>
      <c r="B353" s="17" t="str">
        <f t="shared" si="9"/>
        <v>GROWATT 11000TL3-S</v>
      </c>
      <c r="C353" s="22" t="s">
        <v>2776</v>
      </c>
      <c r="AM353" s="17">
        <f>IF(A353="","",MATCH(A353,'Lista - Inversor'!$2:$2,0))</f>
        <v>19</v>
      </c>
      <c r="AN353" s="17">
        <f>IF(C353="","",MATCH(C353,'Lista - Inversor'!$S:$S,0)-2)</f>
        <v>34</v>
      </c>
    </row>
    <row r="354" spans="1:40" x14ac:dyDescent="0.35">
      <c r="A354" s="43" t="s">
        <v>287</v>
      </c>
      <c r="B354" s="17" t="str">
        <f t="shared" si="9"/>
        <v>GROWATT 3000-S</v>
      </c>
      <c r="C354" s="22" t="s">
        <v>2788</v>
      </c>
      <c r="AM354" s="17">
        <f>IF(A354="","",MATCH(A354,'Lista - Inversor'!$2:$2,0))</f>
        <v>19</v>
      </c>
      <c r="AN354" s="17">
        <f>IF(C354="","",MATCH(C354,'Lista - Inversor'!$S:$S,0)-2)</f>
        <v>35</v>
      </c>
    </row>
    <row r="355" spans="1:40" x14ac:dyDescent="0.35">
      <c r="A355" s="43" t="s">
        <v>287</v>
      </c>
      <c r="B355" s="17" t="str">
        <f t="shared" si="9"/>
        <v>GROWATT-20000-TL3-S</v>
      </c>
      <c r="C355" s="22" t="s">
        <v>2799</v>
      </c>
      <c r="AM355" s="17">
        <f>IF(A355="","",MATCH(A355,'Lista - Inversor'!$2:$2,0))</f>
        <v>19</v>
      </c>
      <c r="AN355" s="17">
        <f>IF(C355="","",MATCH(C355,'Lista - Inversor'!$S:$S,0)-2)</f>
        <v>36</v>
      </c>
    </row>
    <row r="356" spans="1:40" x14ac:dyDescent="0.35">
      <c r="A356" s="43" t="s">
        <v>287</v>
      </c>
      <c r="B356" s="17" t="str">
        <f t="shared" si="9"/>
        <v>MID 20KTL3-X</v>
      </c>
      <c r="C356" s="22" t="s">
        <v>2809</v>
      </c>
      <c r="D356" s="41" t="s">
        <v>390</v>
      </c>
      <c r="E356" s="17" t="s">
        <v>391</v>
      </c>
      <c r="F356" s="41" t="s">
        <v>392</v>
      </c>
      <c r="G356" s="41" t="s">
        <v>393</v>
      </c>
      <c r="H356" s="41" t="s">
        <v>371</v>
      </c>
      <c r="I356" s="41" t="s">
        <v>321</v>
      </c>
      <c r="J356" s="41" t="s">
        <v>294</v>
      </c>
      <c r="K356" s="41" t="s">
        <v>295</v>
      </c>
      <c r="N356" s="41" t="s">
        <v>372</v>
      </c>
      <c r="O356" s="41" t="s">
        <v>373</v>
      </c>
      <c r="P356" s="41" t="s">
        <v>374</v>
      </c>
      <c r="Q356" s="41" t="s">
        <v>375</v>
      </c>
      <c r="R356" s="41" t="s">
        <v>376</v>
      </c>
      <c r="S356" s="41" t="s">
        <v>377</v>
      </c>
      <c r="T356" s="41" t="s">
        <v>378</v>
      </c>
      <c r="U356" s="41">
        <v>2</v>
      </c>
      <c r="V356" s="41" t="s">
        <v>379</v>
      </c>
      <c r="W356" s="41" t="s">
        <v>394</v>
      </c>
      <c r="Y356" s="41" t="s">
        <v>381</v>
      </c>
      <c r="Z356" s="41" t="s">
        <v>382</v>
      </c>
      <c r="AA356" s="41" t="s">
        <v>308</v>
      </c>
      <c r="AC356" s="41" t="s">
        <v>329</v>
      </c>
      <c r="AD356" s="41" t="s">
        <v>310</v>
      </c>
      <c r="AE356" s="41" t="s">
        <v>311</v>
      </c>
      <c r="AF356" s="41" t="s">
        <v>383</v>
      </c>
      <c r="AG356" s="41" t="s">
        <v>313</v>
      </c>
      <c r="AH356" s="41" t="s">
        <v>384</v>
      </c>
      <c r="AK356" s="22">
        <v>3</v>
      </c>
      <c r="AL356" s="22">
        <v>0.38</v>
      </c>
      <c r="AM356" s="17">
        <f>IF(A356="","",MATCH(A356,'Lista - Inversor'!$2:$2,0))</f>
        <v>19</v>
      </c>
      <c r="AN356" s="17">
        <f>IF(C356="","",MATCH(C356,'Lista - Inversor'!$S:$S,0)-2)</f>
        <v>37</v>
      </c>
    </row>
    <row r="357" spans="1:40" x14ac:dyDescent="0.35">
      <c r="A357" s="43" t="s">
        <v>287</v>
      </c>
      <c r="B357" s="17" t="str">
        <f t="shared" si="9"/>
        <v>GROWATT 80000TL3-S</v>
      </c>
      <c r="C357" s="22" t="s">
        <v>2818</v>
      </c>
      <c r="AM357" s="17">
        <f>IF(A357="","",MATCH(A357,'Lista - Inversor'!$2:$2,0))</f>
        <v>19</v>
      </c>
      <c r="AN357" s="17">
        <f>IF(C357="","",MATCH(C357,'Lista - Inversor'!$S:$S,0)-2)</f>
        <v>38</v>
      </c>
    </row>
    <row r="358" spans="1:40" x14ac:dyDescent="0.35">
      <c r="A358" s="43" t="s">
        <v>287</v>
      </c>
      <c r="B358" s="17" t="str">
        <f t="shared" si="9"/>
        <v>GW8500-MS</v>
      </c>
      <c r="C358" s="22" t="s">
        <v>2827</v>
      </c>
      <c r="AM358" s="17">
        <f>IF(A358="","",MATCH(A358,'Lista - Inversor'!$2:$2,0))</f>
        <v>19</v>
      </c>
      <c r="AN358" s="17">
        <f>IF(C358="","",MATCH(C358,'Lista - Inversor'!$S:$S,0)-2)</f>
        <v>39</v>
      </c>
    </row>
    <row r="359" spans="1:40" x14ac:dyDescent="0.35">
      <c r="A359" s="43" t="s">
        <v>287</v>
      </c>
      <c r="B359" s="17" t="str">
        <f t="shared" si="9"/>
        <v>10500MTLP-S</v>
      </c>
      <c r="C359" s="22" t="s">
        <v>2836</v>
      </c>
      <c r="AM359" s="17">
        <f>IF(A359="","",MATCH(A359,'Lista - Inversor'!$2:$2,0))</f>
        <v>19</v>
      </c>
      <c r="AN359" s="17">
        <f>IF(C359="","",MATCH(C359,'Lista - Inversor'!$S:$S,0)-2)</f>
        <v>40</v>
      </c>
    </row>
    <row r="360" spans="1:40" x14ac:dyDescent="0.35">
      <c r="A360" s="43" t="s">
        <v>287</v>
      </c>
      <c r="B360" s="17" t="str">
        <f t="shared" si="9"/>
        <v>GW60K-MT</v>
      </c>
      <c r="C360" s="22" t="s">
        <v>2844</v>
      </c>
      <c r="AM360" s="17">
        <f>IF(A360="","",MATCH(A360,'Lista - Inversor'!$2:$2,0))</f>
        <v>19</v>
      </c>
      <c r="AN360" s="17">
        <f>IF(C360="","",MATCH(C360,'Lista - Inversor'!$S:$S,0)-2)</f>
        <v>41</v>
      </c>
    </row>
    <row r="361" spans="1:40" x14ac:dyDescent="0.35">
      <c r="A361" s="43" t="s">
        <v>287</v>
      </c>
      <c r="B361" s="17" t="str">
        <f t="shared" si="9"/>
        <v>GW36K-MT</v>
      </c>
      <c r="C361" s="22" t="s">
        <v>2852</v>
      </c>
      <c r="AM361" s="17">
        <f>IF(A361="","",MATCH(A361,'Lista - Inversor'!$2:$2,0))</f>
        <v>19</v>
      </c>
      <c r="AN361" s="17">
        <f>IF(C361="","",MATCH(C361,'Lista - Inversor'!$S:$S,0)-2)</f>
        <v>42</v>
      </c>
    </row>
    <row r="362" spans="1:40" x14ac:dyDescent="0.35">
      <c r="A362" s="43" t="s">
        <v>287</v>
      </c>
      <c r="B362" s="17" t="str">
        <f t="shared" si="9"/>
        <v>MAX80KTL3-LV</v>
      </c>
      <c r="C362" s="22" t="s">
        <v>2860</v>
      </c>
      <c r="AM362" s="17">
        <f>IF(A362="","",MATCH(A362,'Lista - Inversor'!$2:$2,0))</f>
        <v>19</v>
      </c>
      <c r="AN362" s="17">
        <f>IF(C362="","",MATCH(C362,'Lista - Inversor'!$S:$S,0)-2)</f>
        <v>43</v>
      </c>
    </row>
    <row r="363" spans="1:40" x14ac:dyDescent="0.35">
      <c r="A363" s="43" t="s">
        <v>287</v>
      </c>
      <c r="B363" s="17" t="str">
        <f t="shared" si="9"/>
        <v>15000TL3-S</v>
      </c>
      <c r="C363" s="22" t="s">
        <v>2868</v>
      </c>
      <c r="AM363" s="17">
        <f>IF(A363="","",MATCH(A363,'Lista - Inversor'!$2:$2,0))</f>
        <v>19</v>
      </c>
      <c r="AN363" s="17">
        <f>IF(C363="","",MATCH(C363,'Lista - Inversor'!$S:$S,0)-2)</f>
        <v>44</v>
      </c>
    </row>
    <row r="364" spans="1:40" x14ac:dyDescent="0.35">
      <c r="A364" s="43" t="s">
        <v>287</v>
      </c>
      <c r="B364" s="17" t="str">
        <f t="shared" si="9"/>
        <v>8000 MTL-S</v>
      </c>
      <c r="C364" s="22" t="s">
        <v>2875</v>
      </c>
      <c r="AM364" s="17">
        <f>IF(A364="","",MATCH(A364,'Lista - Inversor'!$2:$2,0))</f>
        <v>19</v>
      </c>
      <c r="AN364" s="17">
        <f>IF(C364="","",MATCH(C364,'Lista - Inversor'!$S:$S,0)-2)</f>
        <v>45</v>
      </c>
    </row>
    <row r="365" spans="1:40" x14ac:dyDescent="0.35">
      <c r="A365" s="43" t="s">
        <v>287</v>
      </c>
      <c r="B365" s="17" t="str">
        <f t="shared" si="9"/>
        <v>MIC 2000TL-X</v>
      </c>
      <c r="C365" s="22" t="s">
        <v>2882</v>
      </c>
      <c r="D365" s="22" t="s">
        <v>4002</v>
      </c>
      <c r="E365" s="17">
        <v>2</v>
      </c>
      <c r="F365" s="41" t="s">
        <v>4003</v>
      </c>
      <c r="G365" s="41" t="s">
        <v>4004</v>
      </c>
      <c r="H365" s="41" t="s">
        <v>292</v>
      </c>
      <c r="I365" s="41" t="s">
        <v>411</v>
      </c>
      <c r="J365" s="41" t="s">
        <v>294</v>
      </c>
      <c r="K365" s="41" t="s">
        <v>295</v>
      </c>
      <c r="M365" s="41" t="s">
        <v>4005</v>
      </c>
      <c r="N365" s="41" t="s">
        <v>4006</v>
      </c>
      <c r="O365" s="22" t="s">
        <v>350</v>
      </c>
      <c r="P365" s="22" t="s">
        <v>4007</v>
      </c>
      <c r="Q365" s="22" t="s">
        <v>4007</v>
      </c>
      <c r="R365" s="22" t="s">
        <v>301</v>
      </c>
      <c r="S365" s="22" t="s">
        <v>357</v>
      </c>
      <c r="T365" s="41" t="s">
        <v>4008</v>
      </c>
      <c r="U365" s="41" t="s">
        <v>57</v>
      </c>
      <c r="V365" s="41" t="s">
        <v>57</v>
      </c>
      <c r="W365" s="41" t="s">
        <v>4009</v>
      </c>
      <c r="Y365" s="41" t="s">
        <v>4010</v>
      </c>
      <c r="Z365" s="41" t="s">
        <v>4011</v>
      </c>
      <c r="AA365" s="41" t="s">
        <v>308</v>
      </c>
      <c r="AC365" s="41" t="s">
        <v>329</v>
      </c>
      <c r="AD365" s="41" t="s">
        <v>310</v>
      </c>
      <c r="AE365" s="41" t="s">
        <v>311</v>
      </c>
      <c r="AF365" s="41" t="s">
        <v>383</v>
      </c>
      <c r="AG365" s="41" t="s">
        <v>313</v>
      </c>
      <c r="AH365" s="41" t="s">
        <v>384</v>
      </c>
      <c r="AK365" s="22">
        <v>1</v>
      </c>
      <c r="AL365" s="22">
        <v>0.22</v>
      </c>
      <c r="AM365" s="17">
        <f>IF(A365="","",MATCH(A365,'Lista - Inversor'!$2:$2,0))</f>
        <v>19</v>
      </c>
      <c r="AN365" s="17">
        <f>IF(C365="","",MATCH(C365,'Lista - Inversor'!$S:$S,0)-2)</f>
        <v>46</v>
      </c>
    </row>
    <row r="366" spans="1:40" x14ac:dyDescent="0.35">
      <c r="A366" s="43" t="s">
        <v>287</v>
      </c>
      <c r="B366" s="17" t="str">
        <f t="shared" si="9"/>
        <v>MIC 2500TL-X</v>
      </c>
      <c r="C366" s="22" t="s">
        <v>2888</v>
      </c>
      <c r="AM366" s="17">
        <f>IF(A366="","",MATCH(A366,'Lista - Inversor'!$2:$2,0))</f>
        <v>19</v>
      </c>
      <c r="AN366" s="17">
        <f>IF(C366="","",MATCH(C366,'Lista - Inversor'!$S:$S,0)-2)</f>
        <v>47</v>
      </c>
    </row>
    <row r="367" spans="1:40" x14ac:dyDescent="0.35">
      <c r="A367" s="43" t="s">
        <v>287</v>
      </c>
      <c r="B367" s="17" t="str">
        <f t="shared" si="9"/>
        <v>MIC 3000TL-X</v>
      </c>
      <c r="C367" s="22" t="s">
        <v>2894</v>
      </c>
      <c r="AM367" s="17">
        <f>IF(A367="","",MATCH(A367,'Lista - Inversor'!$2:$2,0))</f>
        <v>19</v>
      </c>
      <c r="AN367" s="17">
        <f>IF(C367="","",MATCH(C367,'Lista - Inversor'!$S:$S,0)-2)</f>
        <v>48</v>
      </c>
    </row>
    <row r="368" spans="1:40" x14ac:dyDescent="0.35">
      <c r="A368" s="43" t="s">
        <v>287</v>
      </c>
      <c r="B368" s="17" t="str">
        <f t="shared" si="9"/>
        <v>MAX 60KTL3 LV</v>
      </c>
      <c r="C368" s="22" t="s">
        <v>2899</v>
      </c>
      <c r="AM368" s="17">
        <f>IF(A368="","",MATCH(A368,'Lista - Inversor'!$2:$2,0))</f>
        <v>19</v>
      </c>
      <c r="AN368" s="17">
        <f>IF(C368="","",MATCH(C368,'Lista - Inversor'!$S:$S,0)-2)</f>
        <v>49</v>
      </c>
    </row>
    <row r="369" spans="1:40" x14ac:dyDescent="0.35">
      <c r="A369" s="43" t="s">
        <v>287</v>
      </c>
      <c r="B369" s="17" t="str">
        <f t="shared" si="9"/>
        <v>MAX 80KTL3 LV</v>
      </c>
      <c r="C369" s="22" t="s">
        <v>2904</v>
      </c>
      <c r="AM369" s="17">
        <f>IF(A369="","",MATCH(A369,'Lista - Inversor'!$2:$2,0))</f>
        <v>19</v>
      </c>
      <c r="AN369" s="17">
        <f>IF(C369="","",MATCH(C369,'Lista - Inversor'!$S:$S,0)-2)</f>
        <v>50</v>
      </c>
    </row>
    <row r="370" spans="1:40" x14ac:dyDescent="0.35">
      <c r="A370" s="43" t="s">
        <v>287</v>
      </c>
      <c r="B370" s="17" t="str">
        <f t="shared" si="9"/>
        <v>MIN 3000TL-X</v>
      </c>
      <c r="C370" s="22" t="s">
        <v>2909</v>
      </c>
      <c r="D370" s="41" t="s">
        <v>352</v>
      </c>
      <c r="E370" s="17" t="s">
        <v>353</v>
      </c>
      <c r="F370" s="41" t="s">
        <v>354</v>
      </c>
      <c r="G370" s="41" t="s">
        <v>355</v>
      </c>
      <c r="H370" s="41" t="s">
        <v>320</v>
      </c>
      <c r="I370" s="41" t="s">
        <v>321</v>
      </c>
      <c r="J370" s="41" t="s">
        <v>294</v>
      </c>
      <c r="K370" s="41" t="s">
        <v>295</v>
      </c>
      <c r="M370" s="41" t="s">
        <v>356</v>
      </c>
      <c r="N370" s="41" t="s">
        <v>323</v>
      </c>
      <c r="O370" s="41" t="s">
        <v>324</v>
      </c>
      <c r="P370" s="41" t="s">
        <v>299</v>
      </c>
      <c r="Q370" s="41" t="s">
        <v>300</v>
      </c>
      <c r="R370" s="41" t="s">
        <v>301</v>
      </c>
      <c r="S370" s="41" t="s">
        <v>357</v>
      </c>
      <c r="T370" s="41" t="s">
        <v>358</v>
      </c>
      <c r="U370" s="41">
        <v>2</v>
      </c>
      <c r="V370" s="41" t="s">
        <v>325</v>
      </c>
      <c r="W370" s="41" t="s">
        <v>359</v>
      </c>
      <c r="Y370" s="41" t="s">
        <v>327</v>
      </c>
      <c r="Z370" s="41" t="s">
        <v>328</v>
      </c>
      <c r="AA370" s="41" t="s">
        <v>308</v>
      </c>
      <c r="AB370" s="41">
        <v>1</v>
      </c>
      <c r="AC370" s="41" t="s">
        <v>329</v>
      </c>
      <c r="AD370" s="41" t="s">
        <v>310</v>
      </c>
      <c r="AE370" s="41" t="s">
        <v>311</v>
      </c>
      <c r="AF370" s="41" t="s">
        <v>312</v>
      </c>
      <c r="AG370" s="41" t="s">
        <v>313</v>
      </c>
      <c r="AH370" s="41" t="s">
        <v>330</v>
      </c>
      <c r="AI370" s="41" t="s">
        <v>314</v>
      </c>
      <c r="AJ370" s="41" t="s">
        <v>330</v>
      </c>
      <c r="AK370" s="22">
        <v>1</v>
      </c>
      <c r="AL370" s="22">
        <v>0.22</v>
      </c>
      <c r="AM370" s="17">
        <f>IF(A370="","",MATCH(A370,'Lista - Inversor'!$2:$2,0))</f>
        <v>19</v>
      </c>
      <c r="AN370" s="17">
        <f>IF(C370="","",MATCH(C370,'Lista - Inversor'!$S:$S,0)-2)</f>
        <v>51</v>
      </c>
    </row>
    <row r="371" spans="1:40" x14ac:dyDescent="0.35">
      <c r="A371" s="43" t="s">
        <v>287</v>
      </c>
      <c r="B371" s="17" t="str">
        <f t="shared" si="9"/>
        <v>MAC 60KTL3-X LV</v>
      </c>
      <c r="C371" s="22" t="s">
        <v>2913</v>
      </c>
      <c r="AM371" s="17">
        <f>IF(A371="","",MATCH(A371,'Lista - Inversor'!$2:$2,0))</f>
        <v>19</v>
      </c>
      <c r="AN371" s="17">
        <f>IF(C371="","",MATCH(C371,'Lista - Inversor'!$S:$S,0)-2)</f>
        <v>52</v>
      </c>
    </row>
    <row r="372" spans="1:40" x14ac:dyDescent="0.35">
      <c r="A372" s="43" t="s">
        <v>287</v>
      </c>
      <c r="B372" s="17" t="str">
        <f t="shared" si="9"/>
        <v>3000-S</v>
      </c>
      <c r="C372" s="22" t="s">
        <v>2917</v>
      </c>
      <c r="AM372" s="17">
        <f>IF(A372="","",MATCH(A372,'Lista - Inversor'!$2:$2,0))</f>
        <v>19</v>
      </c>
      <c r="AN372" s="17">
        <f>IF(C372="","",MATCH(C372,'Lista - Inversor'!$S:$S,0)-2)</f>
        <v>53</v>
      </c>
    </row>
    <row r="373" spans="1:40" x14ac:dyDescent="0.35">
      <c r="A373" s="43" t="s">
        <v>287</v>
      </c>
      <c r="B373" s="17" t="str">
        <f t="shared" si="9"/>
        <v xml:space="preserve">MID 25KTL3-X </v>
      </c>
      <c r="C373" s="22" t="s">
        <v>2920</v>
      </c>
      <c r="D373" s="41" t="s">
        <v>400</v>
      </c>
      <c r="E373" s="17" t="s">
        <v>58</v>
      </c>
      <c r="F373" s="41" t="s">
        <v>401</v>
      </c>
      <c r="G373" s="41" t="s">
        <v>402</v>
      </c>
      <c r="H373" s="41" t="s">
        <v>371</v>
      </c>
      <c r="I373" s="41" t="s">
        <v>321</v>
      </c>
      <c r="J373" s="41" t="s">
        <v>294</v>
      </c>
      <c r="K373" s="41" t="s">
        <v>295</v>
      </c>
      <c r="N373" s="41" t="s">
        <v>403</v>
      </c>
      <c r="O373" s="41" t="s">
        <v>404</v>
      </c>
      <c r="P373" s="41" t="s">
        <v>374</v>
      </c>
      <c r="Q373" s="41" t="s">
        <v>375</v>
      </c>
      <c r="R373" s="41" t="s">
        <v>376</v>
      </c>
      <c r="S373" s="41" t="s">
        <v>377</v>
      </c>
      <c r="T373" s="41" t="s">
        <v>378</v>
      </c>
      <c r="U373" s="41" t="s">
        <v>315</v>
      </c>
      <c r="V373" s="41" t="s">
        <v>405</v>
      </c>
      <c r="W373" s="41" t="s">
        <v>406</v>
      </c>
      <c r="Y373" s="41" t="s">
        <v>381</v>
      </c>
      <c r="Z373" s="41" t="s">
        <v>382</v>
      </c>
      <c r="AA373" s="41" t="s">
        <v>308</v>
      </c>
      <c r="AC373" s="41" t="s">
        <v>329</v>
      </c>
      <c r="AD373" s="41" t="s">
        <v>310</v>
      </c>
      <c r="AE373" s="41" t="s">
        <v>311</v>
      </c>
      <c r="AF373" s="41" t="s">
        <v>383</v>
      </c>
      <c r="AG373" s="41" t="s">
        <v>313</v>
      </c>
      <c r="AH373" s="41" t="s">
        <v>384</v>
      </c>
      <c r="AK373" s="22">
        <v>3</v>
      </c>
      <c r="AL373" s="22">
        <v>0.38</v>
      </c>
      <c r="AM373" s="17">
        <f>IF(A373="","",MATCH(A373,'Lista - Inversor'!$2:$2,0))</f>
        <v>19</v>
      </c>
      <c r="AN373" s="17">
        <f>IF(C373="","",MATCH(C373,'Lista - Inversor'!$S:$S,0)-2)</f>
        <v>54</v>
      </c>
    </row>
    <row r="374" spans="1:40" x14ac:dyDescent="0.35">
      <c r="A374" s="43" t="s">
        <v>287</v>
      </c>
      <c r="B374" s="17" t="str">
        <f t="shared" si="9"/>
        <v>MIC1000TL-X</v>
      </c>
      <c r="C374" s="22" t="s">
        <v>2922</v>
      </c>
      <c r="D374" s="41" t="s">
        <v>4025</v>
      </c>
      <c r="E374" s="17">
        <v>1</v>
      </c>
      <c r="F374" s="41" t="s">
        <v>4205</v>
      </c>
      <c r="G374" s="41" t="s">
        <v>4206</v>
      </c>
      <c r="H374" s="41" t="s">
        <v>320</v>
      </c>
      <c r="I374" s="41" t="s">
        <v>321</v>
      </c>
      <c r="J374" s="41" t="s">
        <v>294</v>
      </c>
      <c r="K374" s="41" t="s">
        <v>295</v>
      </c>
      <c r="M374" s="22" t="s">
        <v>4207</v>
      </c>
      <c r="N374" s="41" t="s">
        <v>4006</v>
      </c>
      <c r="O374" s="41" t="s">
        <v>350</v>
      </c>
      <c r="P374" s="41" t="s">
        <v>4007</v>
      </c>
      <c r="Q374" s="41" t="s">
        <v>4007</v>
      </c>
      <c r="R374" s="41" t="s">
        <v>444</v>
      </c>
      <c r="S374" s="41" t="s">
        <v>357</v>
      </c>
      <c r="T374" s="41" t="s">
        <v>4008</v>
      </c>
      <c r="U374" s="41" t="s">
        <v>57</v>
      </c>
      <c r="V374" s="41" t="s">
        <v>57</v>
      </c>
      <c r="W374" s="41" t="s">
        <v>4208</v>
      </c>
      <c r="Y374" s="41" t="s">
        <v>4209</v>
      </c>
      <c r="Z374" s="41" t="s">
        <v>4210</v>
      </c>
      <c r="AA374" s="41" t="s">
        <v>308</v>
      </c>
      <c r="AB374" s="41">
        <v>1</v>
      </c>
      <c r="AC374" s="41" t="s">
        <v>329</v>
      </c>
      <c r="AD374" s="41" t="s">
        <v>310</v>
      </c>
      <c r="AE374" s="41" t="s">
        <v>311</v>
      </c>
      <c r="AF374" s="41" t="s">
        <v>312</v>
      </c>
      <c r="AG374" s="41" t="s">
        <v>313</v>
      </c>
      <c r="AH374" s="41" t="s">
        <v>330</v>
      </c>
      <c r="AI374" s="41" t="s">
        <v>314</v>
      </c>
      <c r="AJ374" s="41" t="s">
        <v>330</v>
      </c>
      <c r="AK374" s="22">
        <v>1</v>
      </c>
      <c r="AL374" s="22">
        <v>0.22</v>
      </c>
      <c r="AM374" s="17">
        <f>IF(A374="","",MATCH(A374,'Lista - Inversor'!$2:$2,0))</f>
        <v>19</v>
      </c>
      <c r="AN374" s="17">
        <f>IF(C374="","",MATCH(C374,'Lista - Inversor'!$S:$S,0)-2)</f>
        <v>55</v>
      </c>
    </row>
    <row r="375" spans="1:40" x14ac:dyDescent="0.35">
      <c r="A375" s="43" t="s">
        <v>287</v>
      </c>
      <c r="B375" s="17" t="str">
        <f t="shared" si="9"/>
        <v>7000MTL-S</v>
      </c>
      <c r="C375" s="22" t="s">
        <v>2924</v>
      </c>
      <c r="AM375" s="17">
        <f>IF(A375="","",MATCH(A375,'Lista - Inversor'!$2:$2,0))</f>
        <v>19</v>
      </c>
      <c r="AN375" s="17">
        <f>IF(C375="","",MATCH(C375,'Lista - Inversor'!$S:$S,0)-2)</f>
        <v>56</v>
      </c>
    </row>
    <row r="376" spans="1:40" x14ac:dyDescent="0.35">
      <c r="A376" s="43" t="s">
        <v>287</v>
      </c>
      <c r="B376" s="17" t="str">
        <f t="shared" si="9"/>
        <v>22000 TL3-SL</v>
      </c>
      <c r="C376" s="22" t="s">
        <v>2926</v>
      </c>
      <c r="AM376" s="17">
        <f>IF(A376="","",MATCH(A376,'Lista - Inversor'!$2:$2,0))</f>
        <v>19</v>
      </c>
      <c r="AN376" s="17">
        <f>IF(C376="","",MATCH(C376,'Lista - Inversor'!$S:$S,0)-2)</f>
        <v>57</v>
      </c>
    </row>
    <row r="377" spans="1:40" x14ac:dyDescent="0.35">
      <c r="A377" s="43" t="s">
        <v>287</v>
      </c>
      <c r="B377" s="17" t="str">
        <f t="shared" si="9"/>
        <v>MIN 2500TL-X</v>
      </c>
      <c r="C377" s="22" t="s">
        <v>2927</v>
      </c>
      <c r="D377" s="41" t="s">
        <v>361</v>
      </c>
      <c r="E377" s="17" t="s">
        <v>362</v>
      </c>
      <c r="F377" s="41" t="s">
        <v>363</v>
      </c>
      <c r="G377" s="41" t="s">
        <v>364</v>
      </c>
      <c r="H377" s="41" t="s">
        <v>320</v>
      </c>
      <c r="I377" s="41" t="s">
        <v>321</v>
      </c>
      <c r="J377" s="41" t="s">
        <v>294</v>
      </c>
      <c r="K377" s="41" t="s">
        <v>295</v>
      </c>
      <c r="M377" s="41" t="s">
        <v>365</v>
      </c>
      <c r="N377" s="41" t="s">
        <v>323</v>
      </c>
      <c r="O377" s="41" t="s">
        <v>324</v>
      </c>
      <c r="P377" s="41" t="s">
        <v>299</v>
      </c>
      <c r="Q377" s="41" t="s">
        <v>300</v>
      </c>
      <c r="R377" s="41" t="s">
        <v>301</v>
      </c>
      <c r="S377" s="41" t="s">
        <v>357</v>
      </c>
      <c r="T377" s="41" t="s">
        <v>358</v>
      </c>
      <c r="U377" s="41">
        <v>2</v>
      </c>
      <c r="V377" s="41" t="s">
        <v>325</v>
      </c>
      <c r="W377" s="41" t="s">
        <v>366</v>
      </c>
      <c r="Y377" s="41" t="s">
        <v>327</v>
      </c>
      <c r="Z377" s="41" t="s">
        <v>328</v>
      </c>
      <c r="AA377" s="41" t="s">
        <v>308</v>
      </c>
      <c r="AB377" s="41">
        <v>1</v>
      </c>
      <c r="AC377" s="41" t="s">
        <v>329</v>
      </c>
      <c r="AD377" s="41" t="s">
        <v>310</v>
      </c>
      <c r="AE377" s="41" t="s">
        <v>311</v>
      </c>
      <c r="AF377" s="41" t="s">
        <v>312</v>
      </c>
      <c r="AG377" s="41" t="s">
        <v>313</v>
      </c>
      <c r="AH377" s="41" t="s">
        <v>330</v>
      </c>
      <c r="AI377" s="41" t="s">
        <v>314</v>
      </c>
      <c r="AJ377" s="41" t="s">
        <v>330</v>
      </c>
      <c r="AK377" s="22">
        <v>1</v>
      </c>
      <c r="AL377" s="22">
        <v>0.22</v>
      </c>
      <c r="AM377" s="17">
        <f>IF(A377="","",MATCH(A377,'Lista - Inversor'!$2:$2,0))</f>
        <v>19</v>
      </c>
      <c r="AN377" s="17">
        <f>IF(C377="","",MATCH(C377,'Lista - Inversor'!$S:$S,0)-2)</f>
        <v>58</v>
      </c>
    </row>
    <row r="378" spans="1:40" x14ac:dyDescent="0.35">
      <c r="A378" s="43" t="s">
        <v>287</v>
      </c>
      <c r="B378" s="17" t="str">
        <f t="shared" si="9"/>
        <v>8000MTL-S (8KW)**</v>
      </c>
      <c r="C378" s="22" t="s">
        <v>2928</v>
      </c>
      <c r="AM378" s="17">
        <f>IF(A378="","",MATCH(A378,'Lista - Inversor'!$2:$2,0))</f>
        <v>19</v>
      </c>
      <c r="AN378" s="17">
        <f>IF(C378="","",MATCH(C378,'Lista - Inversor'!$S:$S,0)-2)</f>
        <v>59</v>
      </c>
    </row>
    <row r="379" spans="1:40" x14ac:dyDescent="0.35">
      <c r="A379" s="43" t="s">
        <v>287</v>
      </c>
      <c r="B379" s="17" t="str">
        <f t="shared" si="9"/>
        <v>8000TL3-S</v>
      </c>
      <c r="C379" s="22" t="s">
        <v>2929</v>
      </c>
      <c r="AM379" s="17">
        <f>IF(A379="","",MATCH(A379,'Lista - Inversor'!$2:$2,0))</f>
        <v>19</v>
      </c>
      <c r="AN379" s="17">
        <f>IF(C379="","",MATCH(C379,'Lista - Inversor'!$S:$S,0)-2)</f>
        <v>60</v>
      </c>
    </row>
    <row r="380" spans="1:40" x14ac:dyDescent="0.35">
      <c r="A380" s="43" t="s">
        <v>287</v>
      </c>
      <c r="B380" s="17" t="str">
        <f t="shared" si="9"/>
        <v>MID 15 KTL3-X</v>
      </c>
      <c r="C380" s="22" t="s">
        <v>2930</v>
      </c>
      <c r="D380" s="41" t="s">
        <v>367</v>
      </c>
      <c r="E380" s="17" t="s">
        <v>368</v>
      </c>
      <c r="F380" s="41" t="s">
        <v>369</v>
      </c>
      <c r="G380" s="41" t="s">
        <v>370</v>
      </c>
      <c r="H380" s="41" t="s">
        <v>371</v>
      </c>
      <c r="I380" s="41" t="s">
        <v>321</v>
      </c>
      <c r="J380" s="41" t="s">
        <v>294</v>
      </c>
      <c r="K380" s="41" t="s">
        <v>295</v>
      </c>
      <c r="N380" s="41" t="s">
        <v>372</v>
      </c>
      <c r="O380" s="41" t="s">
        <v>373</v>
      </c>
      <c r="P380" s="41" t="s">
        <v>374</v>
      </c>
      <c r="Q380" s="41" t="s">
        <v>375</v>
      </c>
      <c r="R380" s="41" t="s">
        <v>376</v>
      </c>
      <c r="S380" s="41" t="s">
        <v>377</v>
      </c>
      <c r="T380" s="41" t="s">
        <v>378</v>
      </c>
      <c r="U380" s="41">
        <v>2</v>
      </c>
      <c r="V380" s="41" t="s">
        <v>379</v>
      </c>
      <c r="W380" s="41" t="s">
        <v>380</v>
      </c>
      <c r="Y380" s="41" t="s">
        <v>381</v>
      </c>
      <c r="Z380" s="41" t="s">
        <v>382</v>
      </c>
      <c r="AA380" s="41" t="s">
        <v>308</v>
      </c>
      <c r="AC380" s="41" t="s">
        <v>329</v>
      </c>
      <c r="AD380" s="41" t="s">
        <v>310</v>
      </c>
      <c r="AE380" s="41" t="s">
        <v>311</v>
      </c>
      <c r="AF380" s="41" t="s">
        <v>383</v>
      </c>
      <c r="AG380" s="41" t="s">
        <v>313</v>
      </c>
      <c r="AH380" s="41" t="s">
        <v>384</v>
      </c>
      <c r="AK380" s="22">
        <v>3</v>
      </c>
      <c r="AL380" s="22">
        <v>0.38</v>
      </c>
      <c r="AM380" s="17">
        <f>IF(A380="","",MATCH(A380,'Lista - Inversor'!$2:$2,0))</f>
        <v>19</v>
      </c>
      <c r="AN380" s="17">
        <f>IF(C380="","",MATCH(C380,'Lista - Inversor'!$S:$S,0)-2)</f>
        <v>61</v>
      </c>
    </row>
    <row r="381" spans="1:40" x14ac:dyDescent="0.35">
      <c r="A381" s="43" t="s">
        <v>287</v>
      </c>
      <c r="B381" s="17" t="str">
        <f t="shared" ref="B381:B444" si="10">RIGHT(C381,LEN(C381)-(FIND(" - ", C381)+2))</f>
        <v>GROWATT 25000TL3-S</v>
      </c>
      <c r="C381" s="22" t="s">
        <v>2931</v>
      </c>
      <c r="AM381" s="17">
        <f>IF(A381="","",MATCH(A381,'Lista - Inversor'!$2:$2,0))</f>
        <v>19</v>
      </c>
      <c r="AN381" s="17">
        <f>IF(C381="","",MATCH(C381,'Lista - Inversor'!$S:$S,0)-2)</f>
        <v>62</v>
      </c>
    </row>
    <row r="382" spans="1:40" x14ac:dyDescent="0.35">
      <c r="A382" s="43" t="s">
        <v>287</v>
      </c>
      <c r="B382" s="17" t="str">
        <f t="shared" si="10"/>
        <v>MIC 1500 TL-X</v>
      </c>
      <c r="C382" s="22" t="s">
        <v>2932</v>
      </c>
      <c r="AM382" s="17">
        <f>IF(A382="","",MATCH(A382,'Lista - Inversor'!$2:$2,0))</f>
        <v>19</v>
      </c>
      <c r="AN382" s="17">
        <f>IF(C382="","",MATCH(C382,'Lista - Inversor'!$S:$S,0)-2)</f>
        <v>63</v>
      </c>
    </row>
    <row r="383" spans="1:40" x14ac:dyDescent="0.35">
      <c r="A383" s="43" t="s">
        <v>287</v>
      </c>
      <c r="B383" s="17" t="str">
        <f t="shared" si="10"/>
        <v>MIN 4200TL-X</v>
      </c>
      <c r="C383" s="22" t="s">
        <v>2934</v>
      </c>
      <c r="D383" s="41" t="s">
        <v>342</v>
      </c>
      <c r="E383" s="17" t="s">
        <v>343</v>
      </c>
      <c r="F383" s="41" t="s">
        <v>344</v>
      </c>
      <c r="G383" s="41" t="s">
        <v>345</v>
      </c>
      <c r="H383" s="41" t="s">
        <v>320</v>
      </c>
      <c r="I383" s="41" t="s">
        <v>321</v>
      </c>
      <c r="J383" s="41" t="s">
        <v>294</v>
      </c>
      <c r="K383" s="41" t="s">
        <v>295</v>
      </c>
      <c r="N383" s="41" t="s">
        <v>323</v>
      </c>
      <c r="O383" s="41" t="s">
        <v>324</v>
      </c>
      <c r="P383" s="41" t="s">
        <v>299</v>
      </c>
      <c r="Q383" s="41" t="s">
        <v>300</v>
      </c>
      <c r="R383" s="41" t="s">
        <v>301</v>
      </c>
      <c r="S383" s="41" t="s">
        <v>302</v>
      </c>
      <c r="T383" s="41" t="s">
        <v>303</v>
      </c>
      <c r="U383" s="41">
        <v>2</v>
      </c>
      <c r="V383" s="41" t="s">
        <v>325</v>
      </c>
      <c r="W383" s="41" t="s">
        <v>346</v>
      </c>
      <c r="Y383" s="41" t="s">
        <v>327</v>
      </c>
      <c r="Z383" s="41" t="s">
        <v>328</v>
      </c>
      <c r="AA383" s="41" t="s">
        <v>308</v>
      </c>
      <c r="AB383" s="41">
        <v>1</v>
      </c>
      <c r="AC383" s="41" t="s">
        <v>329</v>
      </c>
      <c r="AD383" s="41" t="s">
        <v>310</v>
      </c>
      <c r="AE383" s="41" t="s">
        <v>311</v>
      </c>
      <c r="AF383" s="41" t="s">
        <v>312</v>
      </c>
      <c r="AG383" s="41" t="s">
        <v>313</v>
      </c>
      <c r="AH383" s="41" t="s">
        <v>330</v>
      </c>
      <c r="AI383" s="41" t="s">
        <v>314</v>
      </c>
      <c r="AJ383" s="41" t="s">
        <v>330</v>
      </c>
      <c r="AK383" s="22">
        <v>1</v>
      </c>
      <c r="AL383" s="22">
        <v>0.22</v>
      </c>
      <c r="AM383" s="17">
        <f>IF(A383="","",MATCH(A383,'Lista - Inversor'!$2:$2,0))</f>
        <v>19</v>
      </c>
      <c r="AN383" s="17">
        <f>IF(C383="","",MATCH(C383,'Lista - Inversor'!$S:$S,0)-2)</f>
        <v>64</v>
      </c>
    </row>
    <row r="384" spans="1:40" x14ac:dyDescent="0.35">
      <c r="A384" s="43" t="s">
        <v>287</v>
      </c>
      <c r="B384" s="17" t="str">
        <f t="shared" si="10"/>
        <v>25000 TL3-S</v>
      </c>
      <c r="C384" s="22" t="s">
        <v>2936</v>
      </c>
      <c r="AM384" s="17">
        <f>IF(A384="","",MATCH(A384,'Lista - Inversor'!$2:$2,0))</f>
        <v>19</v>
      </c>
      <c r="AN384" s="17">
        <f>IF(C384="","",MATCH(C384,'Lista - Inversor'!$S:$S,0)-2)</f>
        <v>65</v>
      </c>
    </row>
    <row r="385" spans="1:40" x14ac:dyDescent="0.35">
      <c r="A385" s="43" t="s">
        <v>287</v>
      </c>
      <c r="B385" s="17" t="str">
        <f t="shared" si="10"/>
        <v xml:space="preserve">9000MTLP-S </v>
      </c>
      <c r="C385" s="22" t="s">
        <v>2938</v>
      </c>
      <c r="AM385" s="17">
        <f>IF(A385="","",MATCH(A385,'Lista - Inversor'!$2:$2,0))</f>
        <v>19</v>
      </c>
      <c r="AN385" s="17">
        <f>IF(C385="","",MATCH(C385,'Lista - Inversor'!$S:$S,0)-2)</f>
        <v>66</v>
      </c>
    </row>
    <row r="386" spans="1:40" x14ac:dyDescent="0.35">
      <c r="A386" s="43" t="s">
        <v>287</v>
      </c>
      <c r="B386" s="17" t="str">
        <f t="shared" si="10"/>
        <v>MID 33KTL3-X</v>
      </c>
      <c r="C386" s="22" t="s">
        <v>2939</v>
      </c>
      <c r="D386" s="41" t="s">
        <v>456</v>
      </c>
      <c r="E386" s="17" t="s">
        <v>457</v>
      </c>
      <c r="F386" s="41" t="s">
        <v>458</v>
      </c>
      <c r="G386" s="41" t="s">
        <v>459</v>
      </c>
      <c r="H386" s="41" t="s">
        <v>441</v>
      </c>
      <c r="I386" s="41" t="s">
        <v>411</v>
      </c>
      <c r="J386" s="41" t="s">
        <v>294</v>
      </c>
      <c r="K386" s="41" t="s">
        <v>295</v>
      </c>
      <c r="N386" s="41" t="s">
        <v>442</v>
      </c>
      <c r="O386" s="41" t="s">
        <v>443</v>
      </c>
      <c r="P386" s="41" t="s">
        <v>444</v>
      </c>
      <c r="Q386" s="41" t="s">
        <v>375</v>
      </c>
      <c r="R386" s="41" t="s">
        <v>415</v>
      </c>
      <c r="S386" s="41" t="s">
        <v>445</v>
      </c>
      <c r="T386" s="41" t="s">
        <v>446</v>
      </c>
      <c r="U386" s="41" t="s">
        <v>353</v>
      </c>
      <c r="V386" s="41" t="s">
        <v>447</v>
      </c>
      <c r="W386" s="41" t="s">
        <v>460</v>
      </c>
      <c r="Y386" s="41" t="s">
        <v>449</v>
      </c>
      <c r="Z386" s="41" t="s">
        <v>450</v>
      </c>
      <c r="AA386" s="41" t="s">
        <v>451</v>
      </c>
      <c r="AC386" s="41" t="s">
        <v>329</v>
      </c>
      <c r="AD386" s="41" t="s">
        <v>310</v>
      </c>
      <c r="AE386" s="41" t="s">
        <v>311</v>
      </c>
      <c r="AF386" s="41" t="s">
        <v>383</v>
      </c>
      <c r="AG386" s="41" t="s">
        <v>313</v>
      </c>
      <c r="AH386" s="41" t="s">
        <v>384</v>
      </c>
      <c r="AK386" s="22">
        <v>3</v>
      </c>
      <c r="AL386" s="22">
        <v>0.38</v>
      </c>
      <c r="AM386" s="17">
        <f>IF(A386="","",MATCH(A386,'Lista - Inversor'!$2:$2,0))</f>
        <v>19</v>
      </c>
      <c r="AN386" s="17">
        <f>IF(C386="","",MATCH(C386,'Lista - Inversor'!$S:$S,0)-2)</f>
        <v>67</v>
      </c>
    </row>
    <row r="387" spans="1:40" x14ac:dyDescent="0.35">
      <c r="A387" s="43" t="s">
        <v>287</v>
      </c>
      <c r="B387" s="17" t="str">
        <f t="shared" si="10"/>
        <v>8000MTLP-S</v>
      </c>
      <c r="C387" s="22" t="s">
        <v>2940</v>
      </c>
      <c r="AM387" s="17">
        <f>IF(A387="","",MATCH(A387,'Lista - Inversor'!$2:$2,0))</f>
        <v>19</v>
      </c>
      <c r="AN387" s="17">
        <f>IF(C387="","",MATCH(C387,'Lista - Inversor'!$S:$S,0)-2)</f>
        <v>68</v>
      </c>
    </row>
    <row r="388" spans="1:40" x14ac:dyDescent="0.35">
      <c r="A388" s="43" t="s">
        <v>287</v>
      </c>
      <c r="B388" s="17" t="str">
        <f t="shared" si="10"/>
        <v>3000-S</v>
      </c>
      <c r="C388" s="22" t="s">
        <v>2941</v>
      </c>
      <c r="AM388" s="17">
        <f>IF(A388="","",MATCH(A388,'Lista - Inversor'!$2:$2,0))</f>
        <v>19</v>
      </c>
      <c r="AN388" s="17">
        <f>IF(C388="","",MATCH(C388,'Lista - Inversor'!$S:$S,0)-2)</f>
        <v>69</v>
      </c>
    </row>
    <row r="389" spans="1:40" x14ac:dyDescent="0.35">
      <c r="A389" s="43" t="s">
        <v>287</v>
      </c>
      <c r="B389" s="17" t="str">
        <f t="shared" si="10"/>
        <v>GROWATT 6000TL-X</v>
      </c>
      <c r="C389" s="22" t="s">
        <v>2942</v>
      </c>
      <c r="AM389" s="17">
        <f>IF(A389="","",MATCH(A389,'Lista - Inversor'!$2:$2,0))</f>
        <v>19</v>
      </c>
      <c r="AN389" s="17">
        <f>IF(C389="","",MATCH(C389,'Lista - Inversor'!$S:$S,0)-2)</f>
        <v>70</v>
      </c>
    </row>
    <row r="390" spans="1:40" x14ac:dyDescent="0.35">
      <c r="A390" s="43" t="s">
        <v>287</v>
      </c>
      <c r="B390" s="17" t="str">
        <f t="shared" si="10"/>
        <v>MIN10000TL-X</v>
      </c>
      <c r="C390" s="22" t="s">
        <v>2943</v>
      </c>
      <c r="D390" s="22" t="s">
        <v>3824</v>
      </c>
      <c r="E390" s="17" t="s">
        <v>3786</v>
      </c>
      <c r="F390" s="22" t="s">
        <v>3825</v>
      </c>
      <c r="G390" s="22" t="s">
        <v>525</v>
      </c>
      <c r="H390" s="41" t="s">
        <v>371</v>
      </c>
      <c r="I390" s="41" t="s">
        <v>321</v>
      </c>
      <c r="J390" s="41" t="s">
        <v>294</v>
      </c>
      <c r="K390" s="41" t="s">
        <v>295</v>
      </c>
      <c r="N390" s="22" t="s">
        <v>3856</v>
      </c>
      <c r="O390" s="22" t="s">
        <v>3857</v>
      </c>
      <c r="P390" s="22" t="s">
        <v>3826</v>
      </c>
      <c r="Q390" s="41" t="s">
        <v>300</v>
      </c>
      <c r="R390" s="41" t="s">
        <v>301</v>
      </c>
      <c r="S390" s="41" t="s">
        <v>302</v>
      </c>
      <c r="T390" s="41" t="s">
        <v>3827</v>
      </c>
      <c r="U390" s="41" t="s">
        <v>353</v>
      </c>
      <c r="V390" s="41" t="s">
        <v>3828</v>
      </c>
      <c r="W390" s="22" t="s">
        <v>3829</v>
      </c>
      <c r="Y390" s="22" t="s">
        <v>3830</v>
      </c>
      <c r="Z390" s="41" t="s">
        <v>3831</v>
      </c>
      <c r="AA390" s="22" t="s">
        <v>3832</v>
      </c>
      <c r="AC390" s="41" t="s">
        <v>329</v>
      </c>
      <c r="AD390" s="41" t="s">
        <v>310</v>
      </c>
      <c r="AE390" s="41" t="s">
        <v>311</v>
      </c>
      <c r="AF390" s="41" t="s">
        <v>383</v>
      </c>
      <c r="AG390" s="41" t="s">
        <v>313</v>
      </c>
      <c r="AH390" s="41" t="s">
        <v>384</v>
      </c>
      <c r="AK390" s="22">
        <v>1</v>
      </c>
      <c r="AL390" s="22">
        <v>0.22</v>
      </c>
      <c r="AM390" s="17">
        <f>IF(A390="","",MATCH(A390,'Lista - Inversor'!$2:$2,0))</f>
        <v>19</v>
      </c>
      <c r="AN390" s="17">
        <f>IF(C390="","",MATCH(C390,'Lista - Inversor'!$S:$S,0)-2)</f>
        <v>71</v>
      </c>
    </row>
    <row r="391" spans="1:40" x14ac:dyDescent="0.35">
      <c r="A391" s="43" t="s">
        <v>287</v>
      </c>
      <c r="B391" s="17" t="str">
        <f t="shared" si="10"/>
        <v>MID 17KTL3-X</v>
      </c>
      <c r="C391" s="22" t="s">
        <v>2944</v>
      </c>
      <c r="D391" s="41" t="s">
        <v>385</v>
      </c>
      <c r="E391" s="17" t="s">
        <v>386</v>
      </c>
      <c r="F391" s="41" t="s">
        <v>387</v>
      </c>
      <c r="G391" s="41" t="s">
        <v>388</v>
      </c>
      <c r="H391" s="41" t="s">
        <v>371</v>
      </c>
      <c r="I391" s="41" t="s">
        <v>321</v>
      </c>
      <c r="J391" s="41" t="s">
        <v>294</v>
      </c>
      <c r="K391" s="41" t="s">
        <v>295</v>
      </c>
      <c r="N391" s="41" t="s">
        <v>372</v>
      </c>
      <c r="O391" s="41" t="s">
        <v>373</v>
      </c>
      <c r="P391" s="41" t="s">
        <v>374</v>
      </c>
      <c r="Q391" s="41" t="s">
        <v>375</v>
      </c>
      <c r="R391" s="41" t="s">
        <v>376</v>
      </c>
      <c r="S391" s="41" t="s">
        <v>377</v>
      </c>
      <c r="T391" s="41" t="s">
        <v>378</v>
      </c>
      <c r="U391" s="41">
        <v>2</v>
      </c>
      <c r="V391" s="41" t="s">
        <v>379</v>
      </c>
      <c r="W391" s="41" t="s">
        <v>389</v>
      </c>
      <c r="Y391" s="41" t="s">
        <v>381</v>
      </c>
      <c r="Z391" s="41" t="s">
        <v>382</v>
      </c>
      <c r="AA391" s="41" t="s">
        <v>308</v>
      </c>
      <c r="AC391" s="41" t="s">
        <v>329</v>
      </c>
      <c r="AD391" s="41" t="s">
        <v>310</v>
      </c>
      <c r="AE391" s="41" t="s">
        <v>311</v>
      </c>
      <c r="AF391" s="41" t="s">
        <v>383</v>
      </c>
      <c r="AG391" s="41" t="s">
        <v>313</v>
      </c>
      <c r="AH391" s="41" t="s">
        <v>384</v>
      </c>
      <c r="AK391" s="22">
        <v>3</v>
      </c>
      <c r="AL391" s="22">
        <v>0.38</v>
      </c>
      <c r="AM391" s="17">
        <f>IF(A391="","",MATCH(A391,'Lista - Inversor'!$2:$2,0))</f>
        <v>19</v>
      </c>
      <c r="AN391" s="17">
        <f>IF(C391="","",MATCH(C391,'Lista - Inversor'!$S:$S,0)-2)</f>
        <v>72</v>
      </c>
    </row>
    <row r="392" spans="1:40" x14ac:dyDescent="0.35">
      <c r="A392" s="43" t="s">
        <v>287</v>
      </c>
      <c r="B392" s="17" t="str">
        <f t="shared" si="10"/>
        <v>MAC 50KTL3-X LV</v>
      </c>
      <c r="C392" s="22" t="s">
        <v>2945</v>
      </c>
      <c r="D392" s="41" t="s">
        <v>407</v>
      </c>
      <c r="E392" s="17" t="s">
        <v>408</v>
      </c>
      <c r="F392" s="41" t="s">
        <v>409</v>
      </c>
      <c r="G392" s="41" t="s">
        <v>410</v>
      </c>
      <c r="H392" s="41" t="s">
        <v>371</v>
      </c>
      <c r="I392" s="41" t="s">
        <v>411</v>
      </c>
      <c r="J392" s="41" t="s">
        <v>294</v>
      </c>
      <c r="K392" s="41" t="s">
        <v>295</v>
      </c>
      <c r="N392" s="41" t="s">
        <v>412</v>
      </c>
      <c r="O392" s="41" t="s">
        <v>413</v>
      </c>
      <c r="P392" s="41" t="s">
        <v>414</v>
      </c>
      <c r="Q392" s="41" t="s">
        <v>375</v>
      </c>
      <c r="R392" s="41" t="s">
        <v>415</v>
      </c>
      <c r="S392" s="41" t="s">
        <v>416</v>
      </c>
      <c r="T392" s="41" t="s">
        <v>417</v>
      </c>
      <c r="U392" s="41" t="s">
        <v>353</v>
      </c>
      <c r="V392" s="41" t="s">
        <v>418</v>
      </c>
      <c r="W392" s="41" t="s">
        <v>419</v>
      </c>
      <c r="Y392" s="41" t="s">
        <v>420</v>
      </c>
      <c r="Z392" s="41" t="s">
        <v>421</v>
      </c>
      <c r="AA392" s="41" t="s">
        <v>308</v>
      </c>
      <c r="AC392" s="41" t="s">
        <v>329</v>
      </c>
      <c r="AD392" s="41" t="s">
        <v>310</v>
      </c>
      <c r="AE392" s="41" t="s">
        <v>422</v>
      </c>
      <c r="AF392" s="41" t="s">
        <v>383</v>
      </c>
      <c r="AG392" s="41" t="s">
        <v>313</v>
      </c>
      <c r="AK392" s="22">
        <v>3</v>
      </c>
      <c r="AL392" s="22">
        <v>0.38</v>
      </c>
      <c r="AM392" s="17">
        <f>IF(A392="","",MATCH(A392,'Lista - Inversor'!$2:$2,0))</f>
        <v>19</v>
      </c>
      <c r="AN392" s="17">
        <f>IF(C392="","",MATCH(C392,'Lista - Inversor'!$S:$S,0)-2)</f>
        <v>73</v>
      </c>
    </row>
    <row r="393" spans="1:40" x14ac:dyDescent="0.35">
      <c r="A393" s="43" t="s">
        <v>287</v>
      </c>
      <c r="B393" s="17" t="str">
        <f t="shared" si="10"/>
        <v>MIN7000TL-X(E)</v>
      </c>
      <c r="C393" s="22" t="s">
        <v>2946</v>
      </c>
      <c r="AM393" s="17">
        <f>IF(A393="","",MATCH(A393,'Lista - Inversor'!$2:$2,0))</f>
        <v>19</v>
      </c>
      <c r="AN393" s="17">
        <f>IF(C393="","",MATCH(C393,'Lista - Inversor'!$S:$S,0)-2)</f>
        <v>74</v>
      </c>
    </row>
    <row r="394" spans="1:40" x14ac:dyDescent="0.35">
      <c r="A394" s="43" t="s">
        <v>287</v>
      </c>
      <c r="B394" s="17" t="str">
        <f t="shared" si="10"/>
        <v>MAC 25KTL3-XL</v>
      </c>
      <c r="C394" s="22" t="s">
        <v>2947</v>
      </c>
      <c r="D394" s="41" t="s">
        <v>400</v>
      </c>
      <c r="E394" s="17" t="s">
        <v>58</v>
      </c>
      <c r="F394" s="41" t="s">
        <v>401</v>
      </c>
      <c r="G394" s="41" t="s">
        <v>3982</v>
      </c>
      <c r="H394" s="41" t="s">
        <v>3979</v>
      </c>
      <c r="I394" s="41" t="s">
        <v>411</v>
      </c>
      <c r="J394" s="41" t="s">
        <v>294</v>
      </c>
      <c r="K394" s="41" t="s">
        <v>295</v>
      </c>
      <c r="N394" s="41" t="s">
        <v>3980</v>
      </c>
      <c r="O394" s="41" t="s">
        <v>430</v>
      </c>
      <c r="P394" s="41" t="s">
        <v>414</v>
      </c>
      <c r="Q394" s="41" t="s">
        <v>375</v>
      </c>
      <c r="R394" s="41" t="s">
        <v>301</v>
      </c>
      <c r="S394" s="41" t="s">
        <v>377</v>
      </c>
      <c r="T394" s="41" t="s">
        <v>417</v>
      </c>
      <c r="U394" s="41" t="s">
        <v>353</v>
      </c>
      <c r="V394" s="41" t="s">
        <v>431</v>
      </c>
      <c r="W394" s="41" t="s">
        <v>3981</v>
      </c>
      <c r="Y394" s="41" t="s">
        <v>420</v>
      </c>
      <c r="Z394" s="41" t="s">
        <v>421</v>
      </c>
      <c r="AA394" s="41" t="s">
        <v>308</v>
      </c>
      <c r="AC394" s="41" t="s">
        <v>329</v>
      </c>
      <c r="AD394" s="41" t="s">
        <v>310</v>
      </c>
      <c r="AE394" s="41" t="s">
        <v>422</v>
      </c>
      <c r="AF394" s="41" t="s">
        <v>383</v>
      </c>
      <c r="AG394" s="41" t="s">
        <v>313</v>
      </c>
      <c r="AH394" s="41" t="s">
        <v>384</v>
      </c>
      <c r="AK394" s="22">
        <v>3</v>
      </c>
      <c r="AL394" s="22">
        <v>0.22</v>
      </c>
      <c r="AM394" s="17">
        <f>IF(A394="","",MATCH(A394,'Lista - Inversor'!$2:$2,0))</f>
        <v>19</v>
      </c>
      <c r="AN394" s="17">
        <f>IF(C394="","",MATCH(C394,'Lista - Inversor'!$S:$S,0)-2)</f>
        <v>75</v>
      </c>
    </row>
    <row r="395" spans="1:40" x14ac:dyDescent="0.35">
      <c r="A395" s="43" t="s">
        <v>287</v>
      </c>
      <c r="B395" s="17" t="str">
        <f t="shared" si="10"/>
        <v>MID 25KTL3-XL</v>
      </c>
      <c r="C395" s="22" t="s">
        <v>2948</v>
      </c>
      <c r="D395" s="41" t="s">
        <v>400</v>
      </c>
      <c r="E395" s="17" t="s">
        <v>58</v>
      </c>
      <c r="F395" s="41" t="s">
        <v>401</v>
      </c>
      <c r="G395" s="41" t="s">
        <v>440</v>
      </c>
      <c r="H395" s="41" t="s">
        <v>441</v>
      </c>
      <c r="I395" s="41" t="s">
        <v>411</v>
      </c>
      <c r="J395" s="41" t="s">
        <v>294</v>
      </c>
      <c r="K395" s="41" t="s">
        <v>295</v>
      </c>
      <c r="N395" s="41" t="s">
        <v>442</v>
      </c>
      <c r="O395" s="41" t="s">
        <v>443</v>
      </c>
      <c r="P395" s="41" t="s">
        <v>444</v>
      </c>
      <c r="Q395" s="41" t="s">
        <v>375</v>
      </c>
      <c r="R395" s="41" t="s">
        <v>415</v>
      </c>
      <c r="S395" s="41" t="s">
        <v>445</v>
      </c>
      <c r="T395" s="41" t="s">
        <v>446</v>
      </c>
      <c r="U395" s="41" t="s">
        <v>353</v>
      </c>
      <c r="V395" s="41" t="s">
        <v>447</v>
      </c>
      <c r="W395" s="41" t="s">
        <v>448</v>
      </c>
      <c r="Y395" s="41" t="s">
        <v>449</v>
      </c>
      <c r="Z395" s="41" t="s">
        <v>450</v>
      </c>
      <c r="AA395" s="41" t="s">
        <v>451</v>
      </c>
      <c r="AC395" s="41" t="s">
        <v>329</v>
      </c>
      <c r="AD395" s="41" t="s">
        <v>310</v>
      </c>
      <c r="AE395" s="41" t="s">
        <v>311</v>
      </c>
      <c r="AF395" s="41" t="s">
        <v>383</v>
      </c>
      <c r="AG395" s="41" t="s">
        <v>313</v>
      </c>
      <c r="AH395" s="41" t="s">
        <v>384</v>
      </c>
      <c r="AK395" s="22">
        <v>3</v>
      </c>
      <c r="AL395" s="22">
        <v>0.22</v>
      </c>
      <c r="AM395" s="17">
        <f>IF(A395="","",MATCH(A395,'Lista - Inversor'!$2:$2,0))</f>
        <v>19</v>
      </c>
      <c r="AN395" s="17">
        <f>IF(C395="","",MATCH(C395,'Lista - Inversor'!$S:$S,0)-2)</f>
        <v>76</v>
      </c>
    </row>
    <row r="396" spans="1:40" x14ac:dyDescent="0.35">
      <c r="A396" s="43" t="s">
        <v>287</v>
      </c>
      <c r="B396" s="17" t="str">
        <f t="shared" si="10"/>
        <v>MAC 36KTL3-XL</v>
      </c>
      <c r="C396" s="22" t="s">
        <v>2949</v>
      </c>
      <c r="AM396" s="17">
        <f>IF(A396="","",MATCH(A396,'Lista - Inversor'!$2:$2,0))</f>
        <v>19</v>
      </c>
      <c r="AN396" s="17">
        <f>IF(C396="","",MATCH(C396,'Lista - Inversor'!$S:$S,0)-2)</f>
        <v>77</v>
      </c>
    </row>
    <row r="397" spans="1:40" x14ac:dyDescent="0.35">
      <c r="A397" s="43" t="s">
        <v>287</v>
      </c>
      <c r="B397" s="17" t="str">
        <f t="shared" si="10"/>
        <v>MIN8000TL-X(E)</v>
      </c>
      <c r="C397" s="22" t="s">
        <v>2950</v>
      </c>
      <c r="D397" s="41" t="s">
        <v>288</v>
      </c>
      <c r="E397" s="17" t="s">
        <v>289</v>
      </c>
      <c r="F397" s="41" t="s">
        <v>290</v>
      </c>
      <c r="G397" s="41" t="s">
        <v>4190</v>
      </c>
      <c r="H397" s="41" t="s">
        <v>292</v>
      </c>
      <c r="I397" s="41" t="s">
        <v>293</v>
      </c>
      <c r="J397" s="41" t="s">
        <v>294</v>
      </c>
      <c r="K397" s="41" t="s">
        <v>295</v>
      </c>
      <c r="M397" s="41" t="s">
        <v>4191</v>
      </c>
      <c r="N397" s="41" t="s">
        <v>4192</v>
      </c>
      <c r="O397" s="41" t="s">
        <v>4193</v>
      </c>
      <c r="P397" s="41" t="s">
        <v>3826</v>
      </c>
      <c r="Q397" s="41" t="s">
        <v>300</v>
      </c>
      <c r="R397" s="41" t="s">
        <v>301</v>
      </c>
      <c r="S397" s="41" t="s">
        <v>415</v>
      </c>
      <c r="T397" s="41" t="s">
        <v>4194</v>
      </c>
      <c r="U397" s="41">
        <v>2</v>
      </c>
      <c r="V397" s="41" t="s">
        <v>304</v>
      </c>
      <c r="W397" s="41" t="s">
        <v>4195</v>
      </c>
      <c r="Y397" s="41" t="s">
        <v>3830</v>
      </c>
      <c r="Z397" s="41" t="s">
        <v>4196</v>
      </c>
      <c r="AA397" s="41" t="s">
        <v>308</v>
      </c>
      <c r="AB397" s="41">
        <v>1</v>
      </c>
      <c r="AC397" s="41" t="s">
        <v>309</v>
      </c>
      <c r="AD397" s="41" t="s">
        <v>310</v>
      </c>
      <c r="AE397" s="41" t="s">
        <v>311</v>
      </c>
      <c r="AF397" s="41" t="s">
        <v>312</v>
      </c>
      <c r="AG397" s="41" t="s">
        <v>313</v>
      </c>
      <c r="AI397" s="41" t="s">
        <v>314</v>
      </c>
      <c r="AK397" s="22">
        <v>1</v>
      </c>
      <c r="AL397" s="22">
        <v>0.22</v>
      </c>
      <c r="AM397" s="17">
        <f>IF(A397="","",MATCH(A397,'Lista - Inversor'!$2:$2,0))</f>
        <v>19</v>
      </c>
      <c r="AN397" s="17">
        <f>IF(C397="","",MATCH(C397,'Lista - Inversor'!$S:$S,0)-2)</f>
        <v>78</v>
      </c>
    </row>
    <row r="398" spans="1:40" x14ac:dyDescent="0.35">
      <c r="A398" s="43" t="s">
        <v>287</v>
      </c>
      <c r="B398" s="17" t="str">
        <f t="shared" si="10"/>
        <v>MID 20KTL3-XL</v>
      </c>
      <c r="C398" s="22" t="s">
        <v>2951</v>
      </c>
      <c r="D398" s="41" t="s">
        <v>390</v>
      </c>
      <c r="E398" s="17" t="s">
        <v>391</v>
      </c>
      <c r="F398" s="41" t="s">
        <v>576</v>
      </c>
      <c r="G398" s="41" t="s">
        <v>4099</v>
      </c>
      <c r="H398" s="41" t="s">
        <v>3979</v>
      </c>
      <c r="I398" s="41" t="s">
        <v>321</v>
      </c>
      <c r="J398" s="41" t="s">
        <v>294</v>
      </c>
      <c r="K398" s="41" t="s">
        <v>295</v>
      </c>
      <c r="N398" s="41" t="s">
        <v>465</v>
      </c>
      <c r="O398" s="41" t="s">
        <v>466</v>
      </c>
      <c r="P398" s="41" t="s">
        <v>414</v>
      </c>
      <c r="Q398" s="41" t="s">
        <v>375</v>
      </c>
      <c r="R398" s="41" t="s">
        <v>301</v>
      </c>
      <c r="S398" s="41" t="s">
        <v>416</v>
      </c>
      <c r="T398" s="41" t="s">
        <v>4022</v>
      </c>
      <c r="U398" s="41" t="s">
        <v>467</v>
      </c>
      <c r="V398" s="41" t="s">
        <v>468</v>
      </c>
      <c r="W398" s="41" t="s">
        <v>394</v>
      </c>
      <c r="Y398" s="41" t="s">
        <v>449</v>
      </c>
      <c r="Z398" s="41" t="s">
        <v>4023</v>
      </c>
      <c r="AA398" s="41" t="s">
        <v>308</v>
      </c>
      <c r="AC398" s="41" t="s">
        <v>329</v>
      </c>
      <c r="AD398" s="41" t="s">
        <v>310</v>
      </c>
      <c r="AE398" s="41" t="s">
        <v>311</v>
      </c>
      <c r="AF398" s="41" t="s">
        <v>383</v>
      </c>
      <c r="AG398" s="41" t="s">
        <v>313</v>
      </c>
      <c r="AH398" s="41" t="s">
        <v>384</v>
      </c>
      <c r="AK398" s="22">
        <v>3</v>
      </c>
      <c r="AL398" s="22">
        <v>0.22</v>
      </c>
      <c r="AM398" s="17">
        <f>IF(A398="","",MATCH(A398,'Lista - Inversor'!$2:$2,0))</f>
        <v>19</v>
      </c>
      <c r="AN398" s="17">
        <f>IF(C398="","",MATCH(C398,'Lista - Inversor'!$S:$S,0)-2)</f>
        <v>79</v>
      </c>
    </row>
    <row r="399" spans="1:40" x14ac:dyDescent="0.35">
      <c r="A399" s="43" t="s">
        <v>287</v>
      </c>
      <c r="B399" s="17" t="str">
        <f t="shared" si="10"/>
        <v>MIN 10000TL-X</v>
      </c>
      <c r="C399" s="22" t="s">
        <v>2952</v>
      </c>
      <c r="AM399" s="17">
        <f>IF(A399="","",MATCH(A399,'Lista - Inversor'!$2:$2,0))</f>
        <v>19</v>
      </c>
      <c r="AN399" s="17">
        <f>IF(C399="","",MATCH(C399,'Lista - Inversor'!$S:$S,0)-2)</f>
        <v>80</v>
      </c>
    </row>
    <row r="400" spans="1:40" x14ac:dyDescent="0.35">
      <c r="A400" s="43" t="s">
        <v>287</v>
      </c>
      <c r="B400" s="17" t="str">
        <f t="shared" si="10"/>
        <v>MAC 36KTL3-XL</v>
      </c>
      <c r="C400" s="22" t="s">
        <v>2953</v>
      </c>
      <c r="D400" s="41" t="s">
        <v>461</v>
      </c>
      <c r="E400" s="17" t="s">
        <v>462</v>
      </c>
      <c r="F400" s="41" t="s">
        <v>463</v>
      </c>
      <c r="G400" s="41" t="s">
        <v>4098</v>
      </c>
      <c r="H400" s="41" t="s">
        <v>3979</v>
      </c>
      <c r="I400" s="41" t="s">
        <v>411</v>
      </c>
      <c r="J400" s="41" t="s">
        <v>294</v>
      </c>
      <c r="K400" s="41" t="s">
        <v>295</v>
      </c>
      <c r="N400" s="41" t="s">
        <v>3980</v>
      </c>
      <c r="O400" s="41" t="s">
        <v>430</v>
      </c>
      <c r="P400" s="41" t="s">
        <v>444</v>
      </c>
      <c r="Q400" s="41" t="s">
        <v>375</v>
      </c>
      <c r="R400" s="41" t="s">
        <v>415</v>
      </c>
      <c r="S400" s="41" t="s">
        <v>445</v>
      </c>
      <c r="T400" s="41" t="s">
        <v>446</v>
      </c>
      <c r="U400" s="41" t="s">
        <v>353</v>
      </c>
      <c r="V400" s="41" t="s">
        <v>431</v>
      </c>
      <c r="W400" s="41" t="s">
        <v>4100</v>
      </c>
      <c r="Y400" s="41" t="s">
        <v>420</v>
      </c>
      <c r="Z400" s="41" t="s">
        <v>421</v>
      </c>
      <c r="AA400" s="41" t="s">
        <v>308</v>
      </c>
      <c r="AC400" s="41" t="s">
        <v>329</v>
      </c>
      <c r="AD400" s="41" t="s">
        <v>310</v>
      </c>
      <c r="AE400" s="41" t="s">
        <v>311</v>
      </c>
      <c r="AF400" s="41" t="s">
        <v>383</v>
      </c>
      <c r="AG400" s="41" t="s">
        <v>313</v>
      </c>
      <c r="AH400" s="41" t="s">
        <v>384</v>
      </c>
      <c r="AK400" s="22">
        <v>3</v>
      </c>
      <c r="AL400" s="22">
        <v>0.22</v>
      </c>
      <c r="AM400" s="17">
        <f>IF(A400="","",MATCH(A400,'Lista - Inversor'!$2:$2,0))</f>
        <v>19</v>
      </c>
      <c r="AN400" s="17">
        <f>IF(C400="","",MATCH(C400,'Lista - Inversor'!$S:$S,0)-2)</f>
        <v>81</v>
      </c>
    </row>
    <row r="401" spans="1:40" x14ac:dyDescent="0.35">
      <c r="A401" s="43" t="s">
        <v>287</v>
      </c>
      <c r="B401" s="17" t="str">
        <f t="shared" si="10"/>
        <v>MID 20KTL3-XL</v>
      </c>
      <c r="C401" s="22" t="s">
        <v>2954</v>
      </c>
      <c r="AM401" s="17">
        <f>IF(A401="","",MATCH(A401,'Lista - Inversor'!$2:$2,0))</f>
        <v>19</v>
      </c>
      <c r="AN401" s="17">
        <f>IF(C401="","",MATCH(C401,'Lista - Inversor'!$S:$S,0)-2)</f>
        <v>82</v>
      </c>
    </row>
    <row r="402" spans="1:40" x14ac:dyDescent="0.35">
      <c r="A402" s="43" t="s">
        <v>287</v>
      </c>
      <c r="B402" s="17" t="str">
        <f t="shared" si="10"/>
        <v>GW3KB-XS</v>
      </c>
      <c r="C402" s="22" t="s">
        <v>2955</v>
      </c>
      <c r="AM402" s="17">
        <f>IF(A402="","",MATCH(A402,'Lista - Inversor'!$2:$2,0))</f>
        <v>19</v>
      </c>
      <c r="AN402" s="17">
        <f>IF(C402="","",MATCH(C402,'Lista - Inversor'!$S:$S,0)-2)</f>
        <v>83</v>
      </c>
    </row>
    <row r="403" spans="1:40" x14ac:dyDescent="0.35">
      <c r="A403" s="43" t="s">
        <v>287</v>
      </c>
      <c r="B403" s="17" t="str">
        <f t="shared" si="10"/>
        <v>MID 36KTL3-X</v>
      </c>
      <c r="C403" s="22" t="s">
        <v>2956</v>
      </c>
      <c r="D403" s="41" t="s">
        <v>461</v>
      </c>
      <c r="E403" s="17" t="s">
        <v>462</v>
      </c>
      <c r="F403" s="41" t="s">
        <v>463</v>
      </c>
      <c r="G403" s="41" t="s">
        <v>464</v>
      </c>
      <c r="H403" s="41" t="s">
        <v>441</v>
      </c>
      <c r="I403" s="41" t="s">
        <v>411</v>
      </c>
      <c r="J403" s="41" t="s">
        <v>294</v>
      </c>
      <c r="K403" s="41" t="s">
        <v>295</v>
      </c>
      <c r="N403" s="41" t="s">
        <v>465</v>
      </c>
      <c r="O403" s="41" t="s">
        <v>466</v>
      </c>
      <c r="P403" s="41" t="s">
        <v>444</v>
      </c>
      <c r="Q403" s="41" t="s">
        <v>375</v>
      </c>
      <c r="R403" s="41" t="s">
        <v>415</v>
      </c>
      <c r="S403" s="41" t="s">
        <v>445</v>
      </c>
      <c r="T403" s="41" t="s">
        <v>446</v>
      </c>
      <c r="U403" s="41" t="s">
        <v>467</v>
      </c>
      <c r="V403" s="41" t="s">
        <v>468</v>
      </c>
      <c r="W403" s="41" t="s">
        <v>469</v>
      </c>
      <c r="Y403" s="41" t="s">
        <v>449</v>
      </c>
      <c r="Z403" s="41" t="s">
        <v>470</v>
      </c>
      <c r="AA403" s="41" t="s">
        <v>451</v>
      </c>
      <c r="AC403" s="41" t="s">
        <v>329</v>
      </c>
      <c r="AD403" s="41" t="s">
        <v>310</v>
      </c>
      <c r="AE403" s="41" t="s">
        <v>311</v>
      </c>
      <c r="AF403" s="41" t="s">
        <v>383</v>
      </c>
      <c r="AG403" s="41" t="s">
        <v>313</v>
      </c>
      <c r="AH403" s="41" t="s">
        <v>384</v>
      </c>
      <c r="AK403" s="22">
        <v>3</v>
      </c>
      <c r="AL403" s="22">
        <v>0.38</v>
      </c>
      <c r="AM403" s="17">
        <f>IF(A403="","",MATCH(A403,'Lista - Inversor'!$2:$2,0))</f>
        <v>19</v>
      </c>
      <c r="AN403" s="17">
        <f>IF(C403="","",MATCH(C403,'Lista - Inversor'!$S:$S,0)-2)</f>
        <v>84</v>
      </c>
    </row>
    <row r="404" spans="1:40" x14ac:dyDescent="0.35">
      <c r="A404" s="43" t="s">
        <v>287</v>
      </c>
      <c r="B404" s="17" t="str">
        <f t="shared" si="10"/>
        <v>MAC 30KTL3-XL</v>
      </c>
      <c r="C404" s="22" t="s">
        <v>2957</v>
      </c>
      <c r="AM404" s="17">
        <f>IF(A404="","",MATCH(A404,'Lista - Inversor'!$2:$2,0))</f>
        <v>19</v>
      </c>
      <c r="AN404" s="17">
        <f>IF(C404="","",MATCH(C404,'Lista - Inversor'!$S:$S,0)-2)</f>
        <v>85</v>
      </c>
    </row>
    <row r="405" spans="1:40" x14ac:dyDescent="0.35">
      <c r="A405" s="43" t="s">
        <v>287</v>
      </c>
      <c r="B405" s="17" t="str">
        <f t="shared" si="10"/>
        <v>GW5KBD-NS</v>
      </c>
      <c r="C405" s="22" t="s">
        <v>2958</v>
      </c>
      <c r="AM405" s="17">
        <f>IF(A405="","",MATCH(A405,'Lista - Inversor'!$2:$2,0))</f>
        <v>19</v>
      </c>
      <c r="AN405" s="17">
        <f>IF(C405="","",MATCH(C405,'Lista - Inversor'!$S:$S,0)-2)</f>
        <v>86</v>
      </c>
    </row>
    <row r="406" spans="1:40" x14ac:dyDescent="0.35">
      <c r="A406" s="43" t="s">
        <v>287</v>
      </c>
      <c r="B406" s="17" t="str">
        <f t="shared" si="10"/>
        <v>GW5KBD-NS</v>
      </c>
      <c r="C406" s="22" t="s">
        <v>2959</v>
      </c>
      <c r="AM406" s="17">
        <f>IF(A406="","",MATCH(A406,'Lista - Inversor'!$2:$2,0))</f>
        <v>19</v>
      </c>
      <c r="AN406" s="17">
        <f>IF(C406="","",MATCH(C406,'Lista - Inversor'!$S:$S,0)-2)</f>
        <v>87</v>
      </c>
    </row>
    <row r="407" spans="1:40" x14ac:dyDescent="0.35">
      <c r="A407" s="43" t="s">
        <v>287</v>
      </c>
      <c r="B407" s="17" t="str">
        <f t="shared" si="10"/>
        <v>MAC 15KTL-XL</v>
      </c>
      <c r="C407" s="22" t="s">
        <v>2960</v>
      </c>
      <c r="AM407" s="17">
        <f>IF(A407="","",MATCH(A407,'Lista - Inversor'!$2:$2,0))</f>
        <v>19</v>
      </c>
      <c r="AN407" s="17">
        <f>IF(C407="","",MATCH(C407,'Lista - Inversor'!$S:$S,0)-2)</f>
        <v>88</v>
      </c>
    </row>
    <row r="408" spans="1:40" x14ac:dyDescent="0.35">
      <c r="A408" s="43" t="s">
        <v>287</v>
      </c>
      <c r="B408" s="17" t="str">
        <f t="shared" si="10"/>
        <v>MID40KTL3-X</v>
      </c>
      <c r="C408" s="22" t="s">
        <v>2961</v>
      </c>
      <c r="D408" s="41" t="s">
        <v>471</v>
      </c>
      <c r="E408" s="17" t="s">
        <v>472</v>
      </c>
      <c r="F408" s="41" t="s">
        <v>473</v>
      </c>
      <c r="G408" s="41" t="s">
        <v>474</v>
      </c>
      <c r="H408" s="41" t="s">
        <v>441</v>
      </c>
      <c r="I408" s="41" t="s">
        <v>411</v>
      </c>
      <c r="J408" s="41" t="s">
        <v>294</v>
      </c>
      <c r="K408" s="41" t="s">
        <v>295</v>
      </c>
      <c r="N408" s="41" t="s">
        <v>465</v>
      </c>
      <c r="O408" s="41" t="s">
        <v>466</v>
      </c>
      <c r="P408" s="41" t="s">
        <v>444</v>
      </c>
      <c r="Q408" s="41" t="s">
        <v>375</v>
      </c>
      <c r="R408" s="41" t="s">
        <v>415</v>
      </c>
      <c r="S408" s="41" t="s">
        <v>445</v>
      </c>
      <c r="T408" s="41" t="s">
        <v>446</v>
      </c>
      <c r="U408" s="41" t="s">
        <v>467</v>
      </c>
      <c r="V408" s="41" t="s">
        <v>468</v>
      </c>
      <c r="W408" s="41" t="s">
        <v>475</v>
      </c>
      <c r="Y408" s="41" t="s">
        <v>449</v>
      </c>
      <c r="Z408" s="41" t="s">
        <v>470</v>
      </c>
      <c r="AA408" s="41" t="s">
        <v>451</v>
      </c>
      <c r="AC408" s="41" t="s">
        <v>329</v>
      </c>
      <c r="AD408" s="41" t="s">
        <v>310</v>
      </c>
      <c r="AE408" s="41" t="s">
        <v>311</v>
      </c>
      <c r="AF408" s="41" t="s">
        <v>383</v>
      </c>
      <c r="AG408" s="41" t="s">
        <v>313</v>
      </c>
      <c r="AH408" s="41" t="s">
        <v>384</v>
      </c>
      <c r="AK408" s="22">
        <v>3</v>
      </c>
      <c r="AL408" s="22">
        <v>0.38</v>
      </c>
      <c r="AM408" s="17">
        <f>IF(A408="","",MATCH(A408,'Lista - Inversor'!$2:$2,0))</f>
        <v>19</v>
      </c>
      <c r="AN408" s="17">
        <f>IF(C408="","",MATCH(C408,'Lista - Inversor'!$S:$S,0)-2)</f>
        <v>89</v>
      </c>
    </row>
    <row r="409" spans="1:40" x14ac:dyDescent="0.35">
      <c r="A409" s="43" t="s">
        <v>287</v>
      </c>
      <c r="B409" s="17" t="str">
        <f t="shared" si="10"/>
        <v>3000TL3-S</v>
      </c>
      <c r="C409" s="22" t="s">
        <v>2962</v>
      </c>
      <c r="AM409" s="17">
        <f>IF(A409="","",MATCH(A409,'Lista - Inversor'!$2:$2,0))</f>
        <v>19</v>
      </c>
      <c r="AN409" s="17">
        <f>IF(C409="","",MATCH(C409,'Lista - Inversor'!$S:$S,0)-2)</f>
        <v>90</v>
      </c>
    </row>
    <row r="410" spans="1:40" x14ac:dyDescent="0.35">
      <c r="A410" s="43" t="s">
        <v>287</v>
      </c>
      <c r="B410" s="17" t="str">
        <f t="shared" si="10"/>
        <v>MAC 22KTL3-XL</v>
      </c>
      <c r="C410" s="22" t="s">
        <v>2963</v>
      </c>
      <c r="AM410" s="17">
        <f>IF(A410="","",MATCH(A410,'Lista - Inversor'!$2:$2,0))</f>
        <v>19</v>
      </c>
      <c r="AN410" s="17">
        <f>IF(C410="","",MATCH(C410,'Lista - Inversor'!$S:$S,0)-2)</f>
        <v>91</v>
      </c>
    </row>
    <row r="411" spans="1:40" x14ac:dyDescent="0.35">
      <c r="A411" s="43" t="s">
        <v>287</v>
      </c>
      <c r="B411" s="17" t="str">
        <f t="shared" si="10"/>
        <v>MID 15 KTL3-X</v>
      </c>
      <c r="C411" s="22" t="s">
        <v>2964</v>
      </c>
      <c r="AM411" s="17">
        <f>IF(A411="","",MATCH(A411,'Lista - Inversor'!$2:$2,0))</f>
        <v>19</v>
      </c>
      <c r="AN411" s="17">
        <f>IF(C411="","",MATCH(C411,'Lista - Inversor'!$S:$S,0)-2)</f>
        <v>92</v>
      </c>
    </row>
    <row r="412" spans="1:40" x14ac:dyDescent="0.35">
      <c r="A412" s="43" t="s">
        <v>287</v>
      </c>
      <c r="B412" s="17" t="str">
        <f t="shared" si="10"/>
        <v>MIN7000TL-X(E)</v>
      </c>
      <c r="C412" s="22" t="s">
        <v>2965</v>
      </c>
      <c r="AM412" s="17">
        <f>IF(A412="","",MATCH(A412,'Lista - Inversor'!$2:$2,0))</f>
        <v>19</v>
      </c>
      <c r="AN412" s="17">
        <f>IF(C412="","",MATCH(C412,'Lista - Inversor'!$S:$S,0)-2)</f>
        <v>93</v>
      </c>
    </row>
    <row r="413" spans="1:40" x14ac:dyDescent="0.35">
      <c r="A413" s="43" t="s">
        <v>287</v>
      </c>
      <c r="B413" s="17" t="str">
        <f t="shared" si="10"/>
        <v>GW3000-XS</v>
      </c>
      <c r="C413" s="22" t="s">
        <v>2966</v>
      </c>
      <c r="AM413" s="17">
        <f>IF(A413="","",MATCH(A413,'Lista - Inversor'!$2:$2,0))</f>
        <v>19</v>
      </c>
      <c r="AN413" s="17">
        <f>IF(C413="","",MATCH(C413,'Lista - Inversor'!$S:$S,0)-2)</f>
        <v>94</v>
      </c>
    </row>
    <row r="414" spans="1:40" x14ac:dyDescent="0.35">
      <c r="A414" s="43" t="s">
        <v>287</v>
      </c>
      <c r="B414" s="17" t="str">
        <f t="shared" si="10"/>
        <v>MIN8000TL-X(E)</v>
      </c>
      <c r="C414" s="22" t="s">
        <v>2967</v>
      </c>
      <c r="AM414" s="17">
        <f>IF(A414="","",MATCH(A414,'Lista - Inversor'!$2:$2,0))</f>
        <v>19</v>
      </c>
      <c r="AN414" s="17">
        <f>IF(C414="","",MATCH(C414,'Lista - Inversor'!$S:$S,0)-2)</f>
        <v>95</v>
      </c>
    </row>
    <row r="415" spans="1:40" x14ac:dyDescent="0.35">
      <c r="A415" s="43" t="s">
        <v>287</v>
      </c>
      <c r="B415" s="17" t="str">
        <f t="shared" si="10"/>
        <v>MAC 30KTL3-XL.</v>
      </c>
      <c r="C415" s="22" t="s">
        <v>2968</v>
      </c>
      <c r="AM415" s="17">
        <f>IF(A415="","",MATCH(A415,'Lista - Inversor'!$2:$2,0))</f>
        <v>19</v>
      </c>
      <c r="AN415" s="17">
        <f>IF(C415="","",MATCH(C415,'Lista - Inversor'!$S:$S,0)-2)</f>
        <v>96</v>
      </c>
    </row>
    <row r="416" spans="1:40" x14ac:dyDescent="0.35">
      <c r="A416" s="43" t="s">
        <v>287</v>
      </c>
      <c r="B416" s="17" t="str">
        <f t="shared" si="10"/>
        <v>MID 30KTL3-X.</v>
      </c>
      <c r="C416" s="22" t="s">
        <v>2969</v>
      </c>
      <c r="D416" s="41" t="s">
        <v>452</v>
      </c>
      <c r="E416" s="17" t="s">
        <v>47</v>
      </c>
      <c r="F416" s="41" t="s">
        <v>453</v>
      </c>
      <c r="G416" s="41" t="s">
        <v>454</v>
      </c>
      <c r="H416" s="41" t="s">
        <v>441</v>
      </c>
      <c r="I416" s="41" t="s">
        <v>411</v>
      </c>
      <c r="J416" s="41" t="s">
        <v>294</v>
      </c>
      <c r="K416" s="41" t="s">
        <v>295</v>
      </c>
      <c r="N416" s="41" t="s">
        <v>442</v>
      </c>
      <c r="O416" s="41" t="s">
        <v>443</v>
      </c>
      <c r="P416" s="41" t="s">
        <v>444</v>
      </c>
      <c r="Q416" s="41" t="s">
        <v>375</v>
      </c>
      <c r="R416" s="41" t="s">
        <v>415</v>
      </c>
      <c r="S416" s="41" t="s">
        <v>445</v>
      </c>
      <c r="T416" s="41" t="s">
        <v>446</v>
      </c>
      <c r="U416" s="41" t="s">
        <v>353</v>
      </c>
      <c r="V416" s="41" t="s">
        <v>447</v>
      </c>
      <c r="W416" s="41" t="s">
        <v>455</v>
      </c>
      <c r="Y416" s="41" t="s">
        <v>449</v>
      </c>
      <c r="Z416" s="41" t="s">
        <v>450</v>
      </c>
      <c r="AA416" s="41" t="s">
        <v>451</v>
      </c>
      <c r="AC416" s="41" t="s">
        <v>329</v>
      </c>
      <c r="AD416" s="41" t="s">
        <v>310</v>
      </c>
      <c r="AE416" s="41" t="s">
        <v>311</v>
      </c>
      <c r="AF416" s="41" t="s">
        <v>383</v>
      </c>
      <c r="AG416" s="41" t="s">
        <v>313</v>
      </c>
      <c r="AH416" s="41" t="s">
        <v>384</v>
      </c>
      <c r="AK416" s="22">
        <v>3</v>
      </c>
      <c r="AL416" s="22">
        <v>0.38</v>
      </c>
      <c r="AM416" s="17">
        <f>IF(A416="","",MATCH(A416,'Lista - Inversor'!$2:$2,0))</f>
        <v>19</v>
      </c>
      <c r="AN416" s="17">
        <f>IF(C416="","",MATCH(C416,'Lista - Inversor'!$S:$S,0)-2)</f>
        <v>97</v>
      </c>
    </row>
    <row r="417" spans="1:40" x14ac:dyDescent="0.35">
      <c r="A417" s="43" t="s">
        <v>287</v>
      </c>
      <c r="B417" s="17" t="str">
        <f t="shared" si="10"/>
        <v>MIN8000TL-X</v>
      </c>
      <c r="C417" s="22" t="s">
        <v>2970</v>
      </c>
      <c r="AM417" s="17">
        <f>IF(A417="","",MATCH(A417,'Lista - Inversor'!$2:$2,0))</f>
        <v>19</v>
      </c>
      <c r="AN417" s="17">
        <f>IF(C417="","",MATCH(C417,'Lista - Inversor'!$S:$S,0)-2)</f>
        <v>98</v>
      </c>
    </row>
    <row r="418" spans="1:40" x14ac:dyDescent="0.35">
      <c r="A418" s="43" t="s">
        <v>708</v>
      </c>
      <c r="B418" s="17" t="str">
        <f t="shared" si="10"/>
        <v>SOFAR 7,5KTLM</v>
      </c>
      <c r="C418" s="22" t="s">
        <v>2003</v>
      </c>
      <c r="AM418" s="17">
        <f>IF(A418="","",MATCH(A418,'Lista - Inversor'!$2:$2,0))</f>
        <v>20</v>
      </c>
      <c r="AN418" s="17">
        <f>IF(C418="","",MATCH(C418,'Lista - Inversor'!$T:$T,0)-2)</f>
        <v>1</v>
      </c>
    </row>
    <row r="419" spans="1:40" x14ac:dyDescent="0.35">
      <c r="A419" s="43" t="s">
        <v>708</v>
      </c>
      <c r="B419" s="17" t="str">
        <f t="shared" si="10"/>
        <v>SOFAR 5KTLM-G2</v>
      </c>
      <c r="C419" s="22" t="s">
        <v>2060</v>
      </c>
      <c r="AM419" s="17">
        <f>IF(A419="","",MATCH(A419,'Lista - Inversor'!$2:$2,0))</f>
        <v>20</v>
      </c>
      <c r="AN419" s="17">
        <f>IF(C419="","",MATCH(C419,'Lista - Inversor'!$T:$T,0)-2)</f>
        <v>2</v>
      </c>
    </row>
    <row r="420" spans="1:40" x14ac:dyDescent="0.35">
      <c r="A420" s="43" t="s">
        <v>708</v>
      </c>
      <c r="B420" s="17" t="str">
        <f t="shared" si="10"/>
        <v>SOFAR 6KTM-G2</v>
      </c>
      <c r="C420" s="22" t="s">
        <v>2106</v>
      </c>
      <c r="AM420" s="17">
        <f>IF(A420="","",MATCH(A420,'Lista - Inversor'!$2:$2,0))</f>
        <v>20</v>
      </c>
      <c r="AN420" s="17">
        <f>IF(C420="","",MATCH(C420,'Lista - Inversor'!$T:$T,0)-2)</f>
        <v>3</v>
      </c>
    </row>
    <row r="421" spans="1:40" x14ac:dyDescent="0.35">
      <c r="A421" s="43" t="s">
        <v>708</v>
      </c>
      <c r="B421" s="17" t="str">
        <f t="shared" si="10"/>
        <v>SOFAR 4KTLM-G2</v>
      </c>
      <c r="C421" s="22" t="s">
        <v>2149</v>
      </c>
      <c r="AM421" s="17">
        <f>IF(A421="","",MATCH(A421,'Lista - Inversor'!$2:$2,0))</f>
        <v>20</v>
      </c>
      <c r="AN421" s="17">
        <f>IF(C421="","",MATCH(C421,'Lista - Inversor'!$T:$T,0)-2)</f>
        <v>4</v>
      </c>
    </row>
    <row r="422" spans="1:40" x14ac:dyDescent="0.35">
      <c r="A422" s="43" t="s">
        <v>708</v>
      </c>
      <c r="B422" s="17" t="str">
        <f t="shared" si="10"/>
        <v>SOFAR 3KTLM-G2</v>
      </c>
      <c r="C422" s="22" t="s">
        <v>2190</v>
      </c>
      <c r="AM422" s="17">
        <f>IF(A422="","",MATCH(A422,'Lista - Inversor'!$2:$2,0))</f>
        <v>20</v>
      </c>
      <c r="AN422" s="17">
        <f>IF(C422="","",MATCH(C422,'Lista - Inversor'!$T:$T,0)-2)</f>
        <v>5</v>
      </c>
    </row>
    <row r="423" spans="1:40" x14ac:dyDescent="0.35">
      <c r="A423" s="43" t="s">
        <v>708</v>
      </c>
      <c r="B423" s="17" t="str">
        <f t="shared" si="10"/>
        <v>SOFAR 11KTL-LV</v>
      </c>
      <c r="C423" s="22" t="s">
        <v>2228</v>
      </c>
      <c r="AM423" s="17">
        <f>IF(A423="","",MATCH(A423,'Lista - Inversor'!$2:$2,0))</f>
        <v>20</v>
      </c>
      <c r="AN423" s="17">
        <f>IF(C423="","",MATCH(C423,'Lista - Inversor'!$T:$T,0)-2)</f>
        <v>6</v>
      </c>
    </row>
    <row r="424" spans="1:40" x14ac:dyDescent="0.35">
      <c r="A424" s="43" t="s">
        <v>708</v>
      </c>
      <c r="B424" s="17" t="str">
        <f t="shared" si="10"/>
        <v>SOFAR 50000TL</v>
      </c>
      <c r="C424" s="22" t="s">
        <v>2261</v>
      </c>
      <c r="AM424" s="17">
        <f>IF(A424="","",MATCH(A424,'Lista - Inversor'!$2:$2,0))</f>
        <v>20</v>
      </c>
      <c r="AN424" s="17">
        <f>IF(C424="","",MATCH(C424,'Lista - Inversor'!$T:$T,0)-2)</f>
        <v>7</v>
      </c>
    </row>
    <row r="425" spans="1:40" x14ac:dyDescent="0.35">
      <c r="A425" s="43" t="s">
        <v>1970</v>
      </c>
      <c r="B425" s="17" t="str">
        <f t="shared" si="10"/>
        <v>HOPESUN 8KTL</v>
      </c>
      <c r="C425" s="22" t="s">
        <v>2004</v>
      </c>
      <c r="AM425" s="17">
        <f>IF(A425="","",MATCH(A425,'Lista - Inversor'!$2:$2,0))</f>
        <v>21</v>
      </c>
      <c r="AN425" s="17">
        <f>IF(C425="","",MATCH(C425,'Lista - Inversor'!$U:$U,0)-2)</f>
        <v>1</v>
      </c>
    </row>
    <row r="426" spans="1:40" x14ac:dyDescent="0.35">
      <c r="A426" s="43" t="s">
        <v>690</v>
      </c>
      <c r="B426" s="17" t="str">
        <f t="shared" si="10"/>
        <v>MI-500</v>
      </c>
      <c r="C426" s="22" t="s">
        <v>2005</v>
      </c>
      <c r="AM426" s="17">
        <f>IF(A426="","",MATCH(A426,'Lista - Inversor'!$2:$2,0))</f>
        <v>22</v>
      </c>
      <c r="AN426" s="17">
        <f>IF(C426="","",MATCH(C426,'Lista - Inversor'!$V:$V,0)-2)</f>
        <v>1</v>
      </c>
    </row>
    <row r="427" spans="1:40" x14ac:dyDescent="0.35">
      <c r="A427" s="43" t="s">
        <v>690</v>
      </c>
      <c r="B427" s="17" t="str">
        <f t="shared" si="10"/>
        <v>MI-1200</v>
      </c>
      <c r="C427" s="22" t="s">
        <v>2061</v>
      </c>
      <c r="AM427" s="17">
        <f>IF(A427="","",MATCH(A427,'Lista - Inversor'!$2:$2,0))</f>
        <v>22</v>
      </c>
      <c r="AN427" s="17">
        <f>IF(C427="","",MATCH(C427,'Lista - Inversor'!$V:$V,0)-2)</f>
        <v>2</v>
      </c>
    </row>
    <row r="428" spans="1:40" x14ac:dyDescent="0.35">
      <c r="A428" s="43" t="s">
        <v>690</v>
      </c>
      <c r="B428" s="17" t="str">
        <f t="shared" si="10"/>
        <v>MI-700</v>
      </c>
      <c r="C428" s="22" t="s">
        <v>2107</v>
      </c>
      <c r="AM428" s="17">
        <f>IF(A428="","",MATCH(A428,'Lista - Inversor'!$2:$2,0))</f>
        <v>22</v>
      </c>
      <c r="AN428" s="17">
        <f>IF(C428="","",MATCH(C428,'Lista - Inversor'!$V:$V,0)-2)</f>
        <v>3</v>
      </c>
    </row>
    <row r="429" spans="1:40" x14ac:dyDescent="0.35">
      <c r="A429" s="43" t="s">
        <v>690</v>
      </c>
      <c r="B429" s="17" t="str">
        <f t="shared" si="10"/>
        <v>MI-1500</v>
      </c>
      <c r="C429" s="22" t="s">
        <v>2150</v>
      </c>
      <c r="AM429" s="17">
        <f>IF(A429="","",MATCH(A429,'Lista - Inversor'!$2:$2,0))</f>
        <v>22</v>
      </c>
      <c r="AN429" s="17">
        <f>IF(C429="","",MATCH(C429,'Lista - Inversor'!$V:$V,0)-2)</f>
        <v>4</v>
      </c>
    </row>
    <row r="430" spans="1:40" x14ac:dyDescent="0.35">
      <c r="A430" s="43" t="s">
        <v>690</v>
      </c>
      <c r="B430" s="17" t="str">
        <f t="shared" si="10"/>
        <v>MI-1200T</v>
      </c>
      <c r="C430" s="22" t="s">
        <v>2191</v>
      </c>
      <c r="AM430" s="17">
        <f>IF(A430="","",MATCH(A430,'Lista - Inversor'!$2:$2,0))</f>
        <v>22</v>
      </c>
      <c r="AN430" s="17">
        <f>IF(C430="","",MATCH(C430,'Lista - Inversor'!$V:$V,0)-2)</f>
        <v>5</v>
      </c>
    </row>
    <row r="431" spans="1:40" x14ac:dyDescent="0.35">
      <c r="A431" s="43" t="s">
        <v>690</v>
      </c>
      <c r="B431" s="17" t="str">
        <f t="shared" si="10"/>
        <v>HM-1500</v>
      </c>
      <c r="C431" s="22" t="s">
        <v>2229</v>
      </c>
      <c r="AM431" s="17">
        <f>IF(A431="","",MATCH(A431,'Lista - Inversor'!$2:$2,0))</f>
        <v>22</v>
      </c>
      <c r="AN431" s="17">
        <f>IF(C431="","",MATCH(C431,'Lista - Inversor'!$V:$V,0)-2)</f>
        <v>6</v>
      </c>
    </row>
    <row r="432" spans="1:40" x14ac:dyDescent="0.35">
      <c r="A432" s="43" t="s">
        <v>690</v>
      </c>
      <c r="B432" s="17" t="str">
        <f t="shared" si="10"/>
        <v>HMS-2000-4T</v>
      </c>
      <c r="C432" s="22" t="s">
        <v>2262</v>
      </c>
      <c r="AM432" s="17">
        <f>IF(A432="","",MATCH(A432,'Lista - Inversor'!$2:$2,0))</f>
        <v>22</v>
      </c>
      <c r="AN432" s="17">
        <f>IF(C432="","",MATCH(C432,'Lista - Inversor'!$V:$V,0)-2)</f>
        <v>7</v>
      </c>
    </row>
    <row r="433" spans="1:40" x14ac:dyDescent="0.35">
      <c r="A433" s="43" t="s">
        <v>690</v>
      </c>
      <c r="B433" s="17" t="str">
        <f t="shared" si="10"/>
        <v>HMS-1800-4T</v>
      </c>
      <c r="C433" s="22" t="s">
        <v>2293</v>
      </c>
      <c r="AM433" s="17">
        <f>IF(A433="","",MATCH(A433,'Lista - Inversor'!$2:$2,0))</f>
        <v>22</v>
      </c>
      <c r="AN433" s="17">
        <f>IF(C433="","",MATCH(C433,'Lista - Inversor'!$V:$V,0)-2)</f>
        <v>8</v>
      </c>
    </row>
    <row r="434" spans="1:40" x14ac:dyDescent="0.35">
      <c r="A434" s="43" t="s">
        <v>684</v>
      </c>
      <c r="B434" s="17" t="str">
        <f t="shared" si="10"/>
        <v>SUN2000-8KTL</v>
      </c>
      <c r="C434" s="22" t="s">
        <v>2006</v>
      </c>
      <c r="AM434" s="17">
        <f>IF(A434="","",MATCH(A434,'Lista - Inversor'!$2:$2,0))</f>
        <v>23</v>
      </c>
      <c r="AN434" s="17">
        <f>IF(C434="","",MATCH(C434,'Lista - Inversor'!$W:$W,0)-2)</f>
        <v>1</v>
      </c>
    </row>
    <row r="435" spans="1:40" x14ac:dyDescent="0.35">
      <c r="A435" s="43" t="s">
        <v>684</v>
      </c>
      <c r="B435" s="17" t="str">
        <f t="shared" si="10"/>
        <v>SUN2000-12KTL</v>
      </c>
      <c r="C435" s="22" t="s">
        <v>2062</v>
      </c>
      <c r="AM435" s="17">
        <f>IF(A435="","",MATCH(A435,'Lista - Inversor'!$2:$2,0))</f>
        <v>23</v>
      </c>
      <c r="AN435" s="17">
        <f>IF(C435="","",MATCH(C435,'Lista - Inversor'!$W:$W,0)-2)</f>
        <v>2</v>
      </c>
    </row>
    <row r="436" spans="1:40" x14ac:dyDescent="0.35">
      <c r="A436" s="43" t="s">
        <v>684</v>
      </c>
      <c r="B436" s="17" t="str">
        <f t="shared" si="10"/>
        <v>SUN2000-17KTL</v>
      </c>
      <c r="C436" s="22" t="s">
        <v>2108</v>
      </c>
      <c r="AM436" s="17">
        <f>IF(A436="","",MATCH(A436,'Lista - Inversor'!$2:$2,0))</f>
        <v>23</v>
      </c>
      <c r="AN436" s="17">
        <f>IF(C436="","",MATCH(C436,'Lista - Inversor'!$W:$W,0)-2)</f>
        <v>3</v>
      </c>
    </row>
    <row r="437" spans="1:40" x14ac:dyDescent="0.35">
      <c r="A437" s="43" t="s">
        <v>684</v>
      </c>
      <c r="B437" s="17" t="str">
        <f t="shared" si="10"/>
        <v>SUN2000-20KTL</v>
      </c>
      <c r="C437" s="22" t="s">
        <v>2151</v>
      </c>
      <c r="AM437" s="17">
        <f>IF(A437="","",MATCH(A437,'Lista - Inversor'!$2:$2,0))</f>
        <v>23</v>
      </c>
      <c r="AN437" s="17">
        <f>IF(C437="","",MATCH(C437,'Lista - Inversor'!$W:$W,0)-2)</f>
        <v>4</v>
      </c>
    </row>
    <row r="438" spans="1:40" x14ac:dyDescent="0.35">
      <c r="A438" s="43" t="s">
        <v>684</v>
      </c>
      <c r="B438" s="17" t="str">
        <f t="shared" si="10"/>
        <v>SUN2000-33KTL</v>
      </c>
      <c r="C438" s="22" t="s">
        <v>2192</v>
      </c>
      <c r="AM438" s="17">
        <f>IF(A438="","",MATCH(A438,'Lista - Inversor'!$2:$2,0))</f>
        <v>23</v>
      </c>
      <c r="AN438" s="17">
        <f>IF(C438="","",MATCH(C438,'Lista - Inversor'!$W:$W,0)-2)</f>
        <v>5</v>
      </c>
    </row>
    <row r="439" spans="1:40" x14ac:dyDescent="0.35">
      <c r="A439" s="43" t="s">
        <v>684</v>
      </c>
      <c r="B439" s="17" t="str">
        <f t="shared" si="10"/>
        <v>SUN2000-36KTL</v>
      </c>
      <c r="C439" s="22" t="s">
        <v>2230</v>
      </c>
      <c r="AM439" s="17">
        <f>IF(A439="","",MATCH(A439,'Lista - Inversor'!$2:$2,0))</f>
        <v>23</v>
      </c>
      <c r="AN439" s="17">
        <f>IF(C439="","",MATCH(C439,'Lista - Inversor'!$W:$W,0)-2)</f>
        <v>6</v>
      </c>
    </row>
    <row r="440" spans="1:40" x14ac:dyDescent="0.35">
      <c r="A440" s="43" t="s">
        <v>684</v>
      </c>
      <c r="B440" s="17" t="str">
        <f t="shared" si="10"/>
        <v>SIW 500H - ST018</v>
      </c>
      <c r="C440" s="22" t="s">
        <v>2263</v>
      </c>
      <c r="AM440" s="17">
        <f>IF(A440="","",MATCH(A440,'Lista - Inversor'!$2:$2,0))</f>
        <v>23</v>
      </c>
      <c r="AN440" s="17">
        <f>IF(C440="","",MATCH(C440,'Lista - Inversor'!$W:$W,0)-2)</f>
        <v>7</v>
      </c>
    </row>
    <row r="441" spans="1:40" x14ac:dyDescent="0.35">
      <c r="A441" s="43" t="s">
        <v>684</v>
      </c>
      <c r="B441" s="17" t="str">
        <f t="shared" si="10"/>
        <v>SUN2000-60KTL-MO</v>
      </c>
      <c r="C441" s="22" t="s">
        <v>2294</v>
      </c>
      <c r="AM441" s="17">
        <f>IF(A441="","",MATCH(A441,'Lista - Inversor'!$2:$2,0))</f>
        <v>23</v>
      </c>
      <c r="AN441" s="17">
        <f>IF(C441="","",MATCH(C441,'Lista - Inversor'!$W:$W,0)-2)</f>
        <v>8</v>
      </c>
    </row>
    <row r="442" spans="1:40" x14ac:dyDescent="0.35">
      <c r="A442" s="43" t="s">
        <v>684</v>
      </c>
      <c r="B442" s="17" t="str">
        <f t="shared" si="10"/>
        <v>SIW 300 ST50</v>
      </c>
      <c r="C442" s="22" t="s">
        <v>2323</v>
      </c>
      <c r="AM442" s="17">
        <f>IF(A442="","",MATCH(A442,'Lista - Inversor'!$2:$2,0))</f>
        <v>23</v>
      </c>
      <c r="AN442" s="17">
        <f>IF(C442="","",MATCH(C442,'Lista - Inversor'!$W:$W,0)-2)</f>
        <v>9</v>
      </c>
    </row>
    <row r="443" spans="1:40" x14ac:dyDescent="0.35">
      <c r="A443" s="43" t="s">
        <v>684</v>
      </c>
      <c r="B443" s="17" t="str">
        <f t="shared" si="10"/>
        <v>SIW 300 ST020</v>
      </c>
      <c r="C443" s="22" t="s">
        <v>2351</v>
      </c>
      <c r="AM443" s="17">
        <f>IF(A443="","",MATCH(A443,'Lista - Inversor'!$2:$2,0))</f>
        <v>23</v>
      </c>
      <c r="AN443" s="17">
        <f>IF(C443="","",MATCH(C443,'Lista - Inversor'!$W:$W,0)-2)</f>
        <v>10</v>
      </c>
    </row>
    <row r="444" spans="1:40" x14ac:dyDescent="0.35">
      <c r="A444" s="43" t="s">
        <v>684</v>
      </c>
      <c r="B444" s="17" t="str">
        <f t="shared" si="10"/>
        <v>SIW 300 ST30</v>
      </c>
      <c r="C444" s="22" t="s">
        <v>2377</v>
      </c>
      <c r="AM444" s="17">
        <f>IF(A444="","",MATCH(A444,'Lista - Inversor'!$2:$2,0))</f>
        <v>23</v>
      </c>
      <c r="AN444" s="17">
        <f>IF(C444="","",MATCH(C444,'Lista - Inversor'!$W:$W,0)-2)</f>
        <v>11</v>
      </c>
    </row>
    <row r="445" spans="1:40" x14ac:dyDescent="0.35">
      <c r="A445" s="43" t="s">
        <v>684</v>
      </c>
      <c r="B445" s="17" t="str">
        <f t="shared" ref="B445:B508" si="11">RIGHT(C445,LEN(C445)-(FIND(" - ", C445)+2))</f>
        <v>SIW 300 ST040</v>
      </c>
      <c r="C445" s="22" t="s">
        <v>2402</v>
      </c>
      <c r="AM445" s="17">
        <f>IF(A445="","",MATCH(A445,'Lista - Inversor'!$2:$2,0))</f>
        <v>23</v>
      </c>
      <c r="AN445" s="17">
        <f>IF(C445="","",MATCH(C445,'Lista - Inversor'!$W:$W,0)-2)</f>
        <v>12</v>
      </c>
    </row>
    <row r="446" spans="1:40" x14ac:dyDescent="0.35">
      <c r="A446" s="43" t="s">
        <v>684</v>
      </c>
      <c r="B446" s="17" t="str">
        <f t="shared" si="11"/>
        <v>SUN 2000 13KTL</v>
      </c>
      <c r="C446" s="22" t="s">
        <v>2426</v>
      </c>
      <c r="AM446" s="17">
        <f>IF(A446="","",MATCH(A446,'Lista - Inversor'!$2:$2,0))</f>
        <v>23</v>
      </c>
      <c r="AN446" s="17">
        <f>IF(C446="","",MATCH(C446,'Lista - Inversor'!$W:$W,0)-2)</f>
        <v>13</v>
      </c>
    </row>
    <row r="447" spans="1:40" x14ac:dyDescent="0.35">
      <c r="A447" s="43" t="s">
        <v>684</v>
      </c>
      <c r="B447" s="17" t="str">
        <f t="shared" si="11"/>
        <v>SUN 2000L-5KTL</v>
      </c>
      <c r="C447" s="22" t="s">
        <v>2449</v>
      </c>
      <c r="AM447" s="17">
        <f>IF(A447="","",MATCH(A447,'Lista - Inversor'!$2:$2,0))</f>
        <v>23</v>
      </c>
      <c r="AN447" s="17">
        <f>IF(C447="","",MATCH(C447,'Lista - Inversor'!$W:$W,0)-2)</f>
        <v>14</v>
      </c>
    </row>
    <row r="448" spans="1:40" x14ac:dyDescent="0.35">
      <c r="A448" s="43" t="s">
        <v>684</v>
      </c>
      <c r="B448" s="17" t="str">
        <f t="shared" si="11"/>
        <v>SUN 2000L-3KTL</v>
      </c>
      <c r="C448" s="22" t="s">
        <v>2472</v>
      </c>
      <c r="AM448" s="17">
        <f>IF(A448="","",MATCH(A448,'Lista - Inversor'!$2:$2,0))</f>
        <v>23</v>
      </c>
      <c r="AN448" s="17">
        <f>IF(C448="","",MATCH(C448,'Lista - Inversor'!$W:$W,0)-2)</f>
        <v>15</v>
      </c>
    </row>
    <row r="449" spans="1:40" x14ac:dyDescent="0.35">
      <c r="A449" s="43" t="s">
        <v>684</v>
      </c>
      <c r="B449" s="17" t="str">
        <f t="shared" si="11"/>
        <v>SUN2000-100KTL-H1</v>
      </c>
      <c r="C449" s="22" t="s">
        <v>2493</v>
      </c>
      <c r="AM449" s="17">
        <f>IF(A449="","",MATCH(A449,'Lista - Inversor'!$2:$2,0))</f>
        <v>23</v>
      </c>
      <c r="AN449" s="17">
        <f>IF(C449="","",MATCH(C449,'Lista - Inversor'!$W:$W,0)-2)</f>
        <v>16</v>
      </c>
    </row>
    <row r="450" spans="1:40" x14ac:dyDescent="0.35">
      <c r="A450" s="43" t="s">
        <v>684</v>
      </c>
      <c r="B450" s="17" t="str">
        <f t="shared" si="11"/>
        <v>SUN2000-40KTL</v>
      </c>
      <c r="C450" s="22" t="s">
        <v>2513</v>
      </c>
      <c r="AM450" s="17">
        <f>IF(A450="","",MATCH(A450,'Lista - Inversor'!$2:$2,0))</f>
        <v>23</v>
      </c>
      <c r="AN450" s="17">
        <f>IF(C450="","",MATCH(C450,'Lista - Inversor'!$W:$W,0)-2)</f>
        <v>17</v>
      </c>
    </row>
    <row r="451" spans="1:40" x14ac:dyDescent="0.35">
      <c r="A451" s="43" t="s">
        <v>684</v>
      </c>
      <c r="B451" s="17" t="str">
        <f t="shared" si="11"/>
        <v>SUN2000-15KTL</v>
      </c>
      <c r="C451" s="22" t="s">
        <v>2533</v>
      </c>
      <c r="AM451" s="17">
        <f>IF(A451="","",MATCH(A451,'Lista - Inversor'!$2:$2,0))</f>
        <v>23</v>
      </c>
      <c r="AN451" s="17">
        <f>IF(C451="","",MATCH(C451,'Lista - Inversor'!$W:$W,0)-2)</f>
        <v>18</v>
      </c>
    </row>
    <row r="452" spans="1:40" x14ac:dyDescent="0.35">
      <c r="A452" s="43" t="s">
        <v>684</v>
      </c>
      <c r="B452" s="17" t="str">
        <f t="shared" si="11"/>
        <v>SUN2000L-4KTL</v>
      </c>
      <c r="C452" s="22" t="s">
        <v>2553</v>
      </c>
      <c r="AM452" s="17">
        <f>IF(A452="","",MATCH(A452,'Lista - Inversor'!$2:$2,0))</f>
        <v>23</v>
      </c>
      <c r="AN452" s="17">
        <f>IF(C452="","",MATCH(C452,'Lista - Inversor'!$W:$W,0)-2)</f>
        <v>19</v>
      </c>
    </row>
    <row r="453" spans="1:40" x14ac:dyDescent="0.35">
      <c r="A453" s="43" t="s">
        <v>684</v>
      </c>
      <c r="B453" s="17" t="str">
        <f t="shared" si="11"/>
        <v>SUN2000-30KTL</v>
      </c>
      <c r="C453" s="22" t="s">
        <v>2573</v>
      </c>
      <c r="AM453" s="17">
        <f>IF(A453="","",MATCH(A453,'Lista - Inversor'!$2:$2,0))</f>
        <v>23</v>
      </c>
      <c r="AN453" s="17">
        <f>IF(C453="","",MATCH(C453,'Lista - Inversor'!$W:$W,0)-2)</f>
        <v>20</v>
      </c>
    </row>
    <row r="454" spans="1:40" x14ac:dyDescent="0.35">
      <c r="A454" s="43" t="s">
        <v>684</v>
      </c>
      <c r="B454" s="17" t="str">
        <f t="shared" si="11"/>
        <v>SUN2000-20KTL-M0</v>
      </c>
      <c r="C454" s="22" t="s">
        <v>2592</v>
      </c>
      <c r="AM454" s="17">
        <f>IF(A454="","",MATCH(A454,'Lista - Inversor'!$2:$2,0))</f>
        <v>23</v>
      </c>
      <c r="AN454" s="17">
        <f>IF(C454="","",MATCH(C454,'Lista - Inversor'!$W:$W,0)-2)</f>
        <v>21</v>
      </c>
    </row>
    <row r="455" spans="1:40" x14ac:dyDescent="0.35">
      <c r="A455" s="43" t="s">
        <v>684</v>
      </c>
      <c r="B455" s="17" t="str">
        <f t="shared" si="11"/>
        <v>SUN2000-12KTL-MO</v>
      </c>
      <c r="C455" s="22" t="s">
        <v>2610</v>
      </c>
      <c r="AM455" s="17">
        <f>IF(A455="","",MATCH(A455,'Lista - Inversor'!$2:$2,0))</f>
        <v>23</v>
      </c>
      <c r="AN455" s="17">
        <f>IF(C455="","",MATCH(C455,'Lista - Inversor'!$W:$W,0)-2)</f>
        <v>22</v>
      </c>
    </row>
    <row r="456" spans="1:40" x14ac:dyDescent="0.35">
      <c r="A456" s="43" t="s">
        <v>684</v>
      </c>
      <c r="B456" s="17" t="str">
        <f t="shared" si="11"/>
        <v>SUN2000-33KTL-A</v>
      </c>
      <c r="C456" s="22" t="s">
        <v>2628</v>
      </c>
      <c r="AM456" s="17">
        <f>IF(A456="","",MATCH(A456,'Lista - Inversor'!$2:$2,0))</f>
        <v>23</v>
      </c>
      <c r="AN456" s="17">
        <f>IF(C456="","",MATCH(C456,'Lista - Inversor'!$W:$W,0)-2)</f>
        <v>23</v>
      </c>
    </row>
    <row r="457" spans="1:40" x14ac:dyDescent="0.35">
      <c r="A457" s="43" t="s">
        <v>684</v>
      </c>
      <c r="B457" s="17" t="str">
        <f t="shared" si="11"/>
        <v>SUN2000-15KTL-M0</v>
      </c>
      <c r="C457" s="22" t="s">
        <v>2645</v>
      </c>
      <c r="AM457" s="17">
        <f>IF(A457="","",MATCH(A457,'Lista - Inversor'!$2:$2,0))</f>
        <v>23</v>
      </c>
      <c r="AN457" s="17">
        <f>IF(C457="","",MATCH(C457,'Lista - Inversor'!$W:$W,0)-2)</f>
        <v>24</v>
      </c>
    </row>
    <row r="458" spans="1:40" x14ac:dyDescent="0.35">
      <c r="A458" s="43" t="s">
        <v>684</v>
      </c>
      <c r="B458" s="17" t="str">
        <f t="shared" si="11"/>
        <v>SUN2000L-2KTL</v>
      </c>
      <c r="C458" s="22" t="s">
        <v>2662</v>
      </c>
      <c r="AM458" s="17">
        <f>IF(A458="","",MATCH(A458,'Lista - Inversor'!$2:$2,0))</f>
        <v>23</v>
      </c>
      <c r="AN458" s="17">
        <f>IF(C458="","",MATCH(C458,'Lista - Inversor'!$W:$W,0)-2)</f>
        <v>25</v>
      </c>
    </row>
    <row r="459" spans="1:40" x14ac:dyDescent="0.35">
      <c r="A459" s="43" t="s">
        <v>684</v>
      </c>
      <c r="B459" s="17" t="str">
        <f t="shared" si="11"/>
        <v>SUN2000-60KTL-HV-D1-001</v>
      </c>
      <c r="C459" s="22" t="s">
        <v>2676</v>
      </c>
      <c r="AM459" s="17">
        <f>IF(A459="","",MATCH(A459,'Lista - Inversor'!$2:$2,0))</f>
        <v>23</v>
      </c>
      <c r="AN459" s="17">
        <f>IF(C459="","",MATCH(C459,'Lista - Inversor'!$W:$W,0)-2)</f>
        <v>26</v>
      </c>
    </row>
    <row r="460" spans="1:40" x14ac:dyDescent="0.35">
      <c r="A460" s="43" t="s">
        <v>684</v>
      </c>
      <c r="B460" s="17" t="str">
        <f t="shared" si="11"/>
        <v>SUN2000-4KTL-L1</v>
      </c>
      <c r="C460" s="22" t="s">
        <v>2690</v>
      </c>
      <c r="AM460" s="17">
        <f>IF(A460="","",MATCH(A460,'Lista - Inversor'!$2:$2,0))</f>
        <v>23</v>
      </c>
      <c r="AN460" s="17">
        <f>IF(C460="","",MATCH(C460,'Lista - Inversor'!$W:$W,0)-2)</f>
        <v>27</v>
      </c>
    </row>
    <row r="461" spans="1:40" x14ac:dyDescent="0.35">
      <c r="A461" s="43" t="s">
        <v>684</v>
      </c>
      <c r="B461" s="17" t="str">
        <f t="shared" si="11"/>
        <v>SUN2000-40KTL</v>
      </c>
      <c r="C461" s="22" t="s">
        <v>2703</v>
      </c>
      <c r="AM461" s="17">
        <f>IF(A461="","",MATCH(A461,'Lista - Inversor'!$2:$2,0))</f>
        <v>23</v>
      </c>
      <c r="AN461" s="17">
        <f>IF(C461="","",MATCH(C461,'Lista - Inversor'!$W:$W,0)-2)</f>
        <v>28</v>
      </c>
    </row>
    <row r="462" spans="1:40" x14ac:dyDescent="0.35">
      <c r="A462" s="43" t="s">
        <v>684</v>
      </c>
      <c r="B462" s="17" t="str">
        <f t="shared" si="11"/>
        <v>SUN2000-30KTL-M3</v>
      </c>
      <c r="C462" s="22" t="s">
        <v>2716</v>
      </c>
      <c r="AM462" s="17">
        <f>IF(A462="","",MATCH(A462,'Lista - Inversor'!$2:$2,0))</f>
        <v>23</v>
      </c>
      <c r="AN462" s="17">
        <f>IF(C462="","",MATCH(C462,'Lista - Inversor'!$W:$W,0)-2)</f>
        <v>29</v>
      </c>
    </row>
    <row r="463" spans="1:40" x14ac:dyDescent="0.35">
      <c r="A463" s="43" t="s">
        <v>684</v>
      </c>
      <c r="B463" s="17" t="str">
        <f t="shared" si="11"/>
        <v>SUN2000-215KTL-H0</v>
      </c>
      <c r="C463" s="22" t="s">
        <v>2729</v>
      </c>
      <c r="AM463" s="17">
        <f>IF(A463="","",MATCH(A463,'Lista - Inversor'!$2:$2,0))</f>
        <v>23</v>
      </c>
      <c r="AN463" s="17">
        <f>IF(C463="","",MATCH(C463,'Lista - Inversor'!$W:$W,0)-2)</f>
        <v>30</v>
      </c>
    </row>
    <row r="464" spans="1:40" x14ac:dyDescent="0.35">
      <c r="A464" s="43" t="s">
        <v>684</v>
      </c>
      <c r="B464" s="17" t="str">
        <f t="shared" si="11"/>
        <v>SUN2000-15KTL-M2</v>
      </c>
      <c r="C464" s="22" t="s">
        <v>2741</v>
      </c>
      <c r="AM464" s="17">
        <f>IF(A464="","",MATCH(A464,'Lista - Inversor'!$2:$2,0))</f>
        <v>23</v>
      </c>
      <c r="AN464" s="17">
        <f>IF(C464="","",MATCH(C464,'Lista - Inversor'!$W:$W,0)-2)</f>
        <v>31</v>
      </c>
    </row>
    <row r="465" spans="1:40" x14ac:dyDescent="0.35">
      <c r="A465" s="43" t="s">
        <v>684</v>
      </c>
      <c r="B465" s="17" t="str">
        <f t="shared" si="11"/>
        <v>SUN2000-20KTL-M3</v>
      </c>
      <c r="C465" s="22" t="s">
        <v>2753</v>
      </c>
      <c r="AM465" s="17">
        <f>IF(A465="","",MATCH(A465,'Lista - Inversor'!$2:$2,0))</f>
        <v>23</v>
      </c>
      <c r="AN465" s="17">
        <f>IF(C465="","",MATCH(C465,'Lista - Inversor'!$W:$W,0)-2)</f>
        <v>32</v>
      </c>
    </row>
    <row r="466" spans="1:40" x14ac:dyDescent="0.35">
      <c r="A466" s="43" t="s">
        <v>684</v>
      </c>
      <c r="B466" s="17" t="str">
        <f t="shared" si="11"/>
        <v>SUN2000-12KTL-M2</v>
      </c>
      <c r="C466" s="22" t="s">
        <v>2765</v>
      </c>
      <c r="AM466" s="17">
        <f>IF(A466="","",MATCH(A466,'Lista - Inversor'!$2:$2,0))</f>
        <v>23</v>
      </c>
      <c r="AN466" s="17">
        <f>IF(C466="","",MATCH(C466,'Lista - Inversor'!$W:$W,0)-2)</f>
        <v>33</v>
      </c>
    </row>
    <row r="467" spans="1:40" x14ac:dyDescent="0.35">
      <c r="A467" s="43" t="s">
        <v>684</v>
      </c>
      <c r="B467" s="17" t="str">
        <f t="shared" si="11"/>
        <v>SUN2000-100KTL-M1</v>
      </c>
      <c r="C467" s="22" t="s">
        <v>2777</v>
      </c>
      <c r="AM467" s="17">
        <f>IF(A467="","",MATCH(A467,'Lista - Inversor'!$2:$2,0))</f>
        <v>23</v>
      </c>
      <c r="AN467" s="17">
        <f>IF(C467="","",MATCH(C467,'Lista - Inversor'!$W:$W,0)-2)</f>
        <v>34</v>
      </c>
    </row>
    <row r="468" spans="1:40" x14ac:dyDescent="0.35">
      <c r="A468" s="43" t="s">
        <v>1971</v>
      </c>
      <c r="B468" s="17" t="str">
        <f t="shared" si="11"/>
        <v>HPK-3000</v>
      </c>
      <c r="C468" s="22" t="s">
        <v>2007</v>
      </c>
      <c r="AM468" s="17">
        <f>IF(A468="","",MATCH(A468,'Lista - Inversor'!$2:$2,0))</f>
        <v>24</v>
      </c>
      <c r="AN468" s="17">
        <f>IF(C468="","",MATCH(C468,'Lista - Inversor'!$X:$X,0)-2)</f>
        <v>1</v>
      </c>
    </row>
    <row r="469" spans="1:40" x14ac:dyDescent="0.35">
      <c r="A469" s="43" t="s">
        <v>1971</v>
      </c>
      <c r="B469" s="17" t="str">
        <f t="shared" si="11"/>
        <v>HPS-6500</v>
      </c>
      <c r="C469" s="22" t="s">
        <v>2063</v>
      </c>
      <c r="AM469" s="17">
        <f>IF(A469="","",MATCH(A469,'Lista - Inversor'!$2:$2,0))</f>
        <v>24</v>
      </c>
      <c r="AN469" s="17">
        <f>IF(C469="","",MATCH(C469,'Lista - Inversor'!$X:$X,0)-2)</f>
        <v>2</v>
      </c>
    </row>
    <row r="470" spans="1:40" x14ac:dyDescent="0.35">
      <c r="A470" s="43" t="s">
        <v>1971</v>
      </c>
      <c r="B470" s="17" t="str">
        <f t="shared" si="11"/>
        <v>HPS-8000</v>
      </c>
      <c r="C470" s="22" t="s">
        <v>2109</v>
      </c>
      <c r="AM470" s="17">
        <f>IF(A470="","",MATCH(A470,'Lista - Inversor'!$2:$2,0))</f>
        <v>24</v>
      </c>
      <c r="AN470" s="17">
        <f>IF(C470="","",MATCH(C470,'Lista - Inversor'!$X:$X,0)-2)</f>
        <v>3</v>
      </c>
    </row>
    <row r="471" spans="1:40" x14ac:dyDescent="0.35">
      <c r="A471" s="43" t="s">
        <v>1971</v>
      </c>
      <c r="B471" s="17" t="str">
        <f t="shared" si="11"/>
        <v>HPS-5000</v>
      </c>
      <c r="C471" s="22" t="s">
        <v>2152</v>
      </c>
      <c r="AM471" s="17">
        <f>IF(A471="","",MATCH(A471,'Lista - Inversor'!$2:$2,0))</f>
        <v>24</v>
      </c>
      <c r="AN471" s="17">
        <f>IF(C471="","",MATCH(C471,'Lista - Inversor'!$X:$X,0)-2)</f>
        <v>4</v>
      </c>
    </row>
    <row r="472" spans="1:40" x14ac:dyDescent="0.35">
      <c r="A472" s="43" t="s">
        <v>696</v>
      </c>
      <c r="B472" s="17" t="str">
        <f t="shared" si="11"/>
        <v>INGECON SUN 3PLAY TL M 100TL PRO 380</v>
      </c>
      <c r="C472" s="22" t="s">
        <v>2008</v>
      </c>
      <c r="AM472" s="17">
        <f>IF(A472="","",MATCH(A472,'Lista - Inversor'!$2:$2,0))</f>
        <v>25</v>
      </c>
      <c r="AN472" s="17">
        <f>IF(C472="","",MATCH(C472,'Lista - Inversor'!$Y:$Y,0)-2)</f>
        <v>1</v>
      </c>
    </row>
    <row r="473" spans="1:40" x14ac:dyDescent="0.35">
      <c r="A473" s="43" t="s">
        <v>696</v>
      </c>
      <c r="B473" s="17" t="str">
        <f t="shared" si="11"/>
        <v xml:space="preserve">3PLAY 55TL </v>
      </c>
      <c r="C473" s="22" t="s">
        <v>2064</v>
      </c>
      <c r="AM473" s="17">
        <f>IF(A473="","",MATCH(A473,'Lista - Inversor'!$2:$2,0))</f>
        <v>25</v>
      </c>
      <c r="AN473" s="17">
        <f>IF(C473="","",MATCH(C473,'Lista - Inversor'!$Y:$Y,0)-2)</f>
        <v>2</v>
      </c>
    </row>
    <row r="474" spans="1:40" x14ac:dyDescent="0.35">
      <c r="A474" s="43" t="s">
        <v>696</v>
      </c>
      <c r="B474" s="17" t="str">
        <f t="shared" si="11"/>
        <v>100TL 3PLAY PRO</v>
      </c>
      <c r="C474" s="22" t="s">
        <v>2110</v>
      </c>
      <c r="AM474" s="17">
        <f>IF(A474="","",MATCH(A474,'Lista - Inversor'!$2:$2,0))</f>
        <v>25</v>
      </c>
      <c r="AN474" s="17">
        <f>IF(C474="","",MATCH(C474,'Lista - Inversor'!$Y:$Y,0)-2)</f>
        <v>3</v>
      </c>
    </row>
    <row r="475" spans="1:40" x14ac:dyDescent="0.35">
      <c r="A475" s="43" t="s">
        <v>696</v>
      </c>
      <c r="B475" s="17" t="str">
        <f t="shared" si="11"/>
        <v>INGECON SUN 3PLAY TL M 100TL PRO 440VCA</v>
      </c>
      <c r="C475" s="22" t="s">
        <v>2153</v>
      </c>
      <c r="AM475" s="17">
        <f>IF(A475="","",MATCH(A475,'Lista - Inversor'!$2:$2,0))</f>
        <v>25</v>
      </c>
      <c r="AN475" s="17">
        <f>IF(C475="","",MATCH(C475,'Lista - Inversor'!$Y:$Y,0)-2)</f>
        <v>4</v>
      </c>
    </row>
    <row r="476" spans="1:40" x14ac:dyDescent="0.35">
      <c r="A476" s="43" t="s">
        <v>696</v>
      </c>
      <c r="B476" s="17" t="str">
        <f t="shared" si="11"/>
        <v>INGECONSUN 3 TL M</v>
      </c>
      <c r="C476" s="22" t="s">
        <v>2193</v>
      </c>
      <c r="AM476" s="17">
        <f>IF(A476="","",MATCH(A476,'Lista - Inversor'!$2:$2,0))</f>
        <v>25</v>
      </c>
      <c r="AN476" s="17">
        <f>IF(C476="","",MATCH(C476,'Lista - Inversor'!$Y:$Y,0)-2)</f>
        <v>5</v>
      </c>
    </row>
    <row r="477" spans="1:40" x14ac:dyDescent="0.35">
      <c r="A477" s="43" t="s">
        <v>696</v>
      </c>
      <c r="B477" s="17" t="str">
        <f t="shared" si="11"/>
        <v>INGECON SUN 3PLAY 160TL</v>
      </c>
      <c r="C477" s="22" t="s">
        <v>2231</v>
      </c>
      <c r="AM477" s="17">
        <f>IF(A477="","",MATCH(A477,'Lista - Inversor'!$2:$2,0))</f>
        <v>25</v>
      </c>
      <c r="AN477" s="17">
        <f>IF(C477="","",MATCH(C477,'Lista - Inversor'!$Y:$Y,0)-2)</f>
        <v>6</v>
      </c>
    </row>
    <row r="478" spans="1:40" x14ac:dyDescent="0.35">
      <c r="A478" s="43" t="s">
        <v>696</v>
      </c>
      <c r="B478" s="17" t="str">
        <f t="shared" si="11"/>
        <v>INGECON SUN 33TLM</v>
      </c>
      <c r="C478" s="22" t="s">
        <v>2264</v>
      </c>
      <c r="AM478" s="17">
        <f>IF(A478="","",MATCH(A478,'Lista - Inversor'!$2:$2,0))</f>
        <v>25</v>
      </c>
      <c r="AN478" s="17">
        <f>IF(C478="","",MATCH(C478,'Lista - Inversor'!$Y:$Y,0)-2)</f>
        <v>7</v>
      </c>
    </row>
    <row r="479" spans="1:40" x14ac:dyDescent="0.35">
      <c r="A479" s="43" t="s">
        <v>696</v>
      </c>
      <c r="B479" s="17" t="str">
        <f t="shared" si="11"/>
        <v>INGECON SUN 3 PLAY 160 TL STD</v>
      </c>
      <c r="C479" s="22" t="s">
        <v>2295</v>
      </c>
      <c r="AM479" s="17">
        <f>IF(A479="","",MATCH(A479,'Lista - Inversor'!$2:$2,0))</f>
        <v>25</v>
      </c>
      <c r="AN479" s="17">
        <f>IF(C479="","",MATCH(C479,'Lista - Inversor'!$Y:$Y,0)-2)</f>
        <v>8</v>
      </c>
    </row>
    <row r="480" spans="1:40" x14ac:dyDescent="0.35">
      <c r="A480" s="43" t="s">
        <v>696</v>
      </c>
      <c r="B480" s="17" t="str">
        <f t="shared" si="11"/>
        <v>INGECON SUN 3PLAY-160TL PRO</v>
      </c>
      <c r="C480" s="22" t="s">
        <v>2324</v>
      </c>
      <c r="AM480" s="17">
        <f>IF(A480="","",MATCH(A480,'Lista - Inversor'!$2:$2,0))</f>
        <v>25</v>
      </c>
      <c r="AN480" s="17">
        <f>IF(C480="","",MATCH(C480,'Lista - Inversor'!$Y:$Y,0)-2)</f>
        <v>9</v>
      </c>
    </row>
    <row r="481" spans="1:40" x14ac:dyDescent="0.35">
      <c r="A481" s="43" t="s">
        <v>698</v>
      </c>
      <c r="B481" s="17" t="str">
        <f t="shared" si="11"/>
        <v>EGT 12046X</v>
      </c>
      <c r="C481" s="22" t="s">
        <v>2009</v>
      </c>
      <c r="AM481" s="17">
        <f>IF(A481="","",MATCH(A481,'Lista - Inversor'!$2:$2,0))</f>
        <v>26</v>
      </c>
      <c r="AN481" s="17">
        <f>IF(C481="","",MATCH(C481,'Lista - Inversor'!$Z:$Z,0)-2)</f>
        <v>1</v>
      </c>
    </row>
    <row r="482" spans="1:40" x14ac:dyDescent="0.35">
      <c r="A482" s="43" t="s">
        <v>698</v>
      </c>
      <c r="B482" s="17" t="str">
        <f t="shared" si="11"/>
        <v>EGT 12033X</v>
      </c>
      <c r="C482" s="22" t="s">
        <v>2065</v>
      </c>
      <c r="AM482" s="17">
        <f>IF(A482="","",MATCH(A482,'Lista - Inversor'!$2:$2,0))</f>
        <v>26</v>
      </c>
      <c r="AN482" s="17">
        <f>IF(C482="","",MATCH(C482,'Lista - Inversor'!$Z:$Z,0)-2)</f>
        <v>2</v>
      </c>
    </row>
    <row r="483" spans="1:40" x14ac:dyDescent="0.35">
      <c r="A483" s="43" t="s">
        <v>698</v>
      </c>
      <c r="B483" s="17" t="str">
        <f t="shared" si="11"/>
        <v>EGT 6000 PRO</v>
      </c>
      <c r="C483" s="22" t="s">
        <v>2111</v>
      </c>
      <c r="AM483" s="17">
        <f>IF(A483="","",MATCH(A483,'Lista - Inversor'!$2:$2,0))</f>
        <v>26</v>
      </c>
      <c r="AN483" s="17">
        <f>IF(C483="","",MATCH(C483,'Lista - Inversor'!$Z:$Z,0)-2)</f>
        <v>3</v>
      </c>
    </row>
    <row r="484" spans="1:40" x14ac:dyDescent="0.35">
      <c r="A484" s="43" t="s">
        <v>698</v>
      </c>
      <c r="B484" s="17" t="str">
        <f t="shared" si="11"/>
        <v>EGT 2500 PRO</v>
      </c>
      <c r="C484" s="22" t="s">
        <v>2154</v>
      </c>
      <c r="AM484" s="17">
        <f>IF(A484="","",MATCH(A484,'Lista - Inversor'!$2:$2,0))</f>
        <v>26</v>
      </c>
      <c r="AN484" s="17">
        <f>IF(C484="","",MATCH(C484,'Lista - Inversor'!$Z:$Z,0)-2)</f>
        <v>4</v>
      </c>
    </row>
    <row r="485" spans="1:40" x14ac:dyDescent="0.35">
      <c r="A485" s="43" t="s">
        <v>698</v>
      </c>
      <c r="B485" s="17" t="str">
        <f t="shared" si="11"/>
        <v xml:space="preserve">EGT 3212X </v>
      </c>
      <c r="C485" s="22" t="s">
        <v>2194</v>
      </c>
      <c r="AM485" s="17">
        <f>IF(A485="","",MATCH(A485,'Lista - Inversor'!$2:$2,0))</f>
        <v>26</v>
      </c>
      <c r="AN485" s="17">
        <f>IF(C485="","",MATCH(C485,'Lista - Inversor'!$Z:$Z,0)-2)</f>
        <v>5</v>
      </c>
    </row>
    <row r="486" spans="1:40" x14ac:dyDescent="0.35">
      <c r="A486" s="43" t="s">
        <v>698</v>
      </c>
      <c r="B486" s="17" t="str">
        <f t="shared" si="11"/>
        <v>EGT 8000 PRO</v>
      </c>
      <c r="C486" s="22" t="s">
        <v>2232</v>
      </c>
      <c r="AM486" s="17">
        <f>IF(A486="","",MATCH(A486,'Lista - Inversor'!$2:$2,0))</f>
        <v>26</v>
      </c>
      <c r="AN486" s="17">
        <f>IF(C486="","",MATCH(C486,'Lista - Inversor'!$Z:$Z,0)-2)</f>
        <v>6</v>
      </c>
    </row>
    <row r="487" spans="1:40" x14ac:dyDescent="0.35">
      <c r="A487" s="43" t="s">
        <v>698</v>
      </c>
      <c r="B487" s="17" t="str">
        <f t="shared" si="11"/>
        <v>EGT 10500 PRO</v>
      </c>
      <c r="C487" s="22" t="s">
        <v>2265</v>
      </c>
      <c r="AM487" s="17">
        <f>IF(A487="","",MATCH(A487,'Lista - Inversor'!$2:$2,0))</f>
        <v>26</v>
      </c>
      <c r="AN487" s="17">
        <f>IF(C487="","",MATCH(C487,'Lista - Inversor'!$Z:$Z,0)-2)</f>
        <v>7</v>
      </c>
    </row>
    <row r="488" spans="1:40" x14ac:dyDescent="0.35">
      <c r="A488" s="43" t="s">
        <v>698</v>
      </c>
      <c r="B488" s="17" t="str">
        <f t="shared" si="11"/>
        <v>EGT 3000 LITE</v>
      </c>
      <c r="C488" s="22" t="s">
        <v>2296</v>
      </c>
      <c r="AM488" s="17">
        <f>IF(A488="","",MATCH(A488,'Lista - Inversor'!$2:$2,0))</f>
        <v>26</v>
      </c>
      <c r="AN488" s="17">
        <f>IF(C488="","",MATCH(C488,'Lista - Inversor'!$Z:$Z,0)-2)</f>
        <v>8</v>
      </c>
    </row>
    <row r="489" spans="1:40" x14ac:dyDescent="0.35">
      <c r="A489" s="43" t="s">
        <v>698</v>
      </c>
      <c r="B489" s="17" t="str">
        <f t="shared" si="11"/>
        <v>EGT 4600 PRO</v>
      </c>
      <c r="C489" s="22" t="s">
        <v>2325</v>
      </c>
      <c r="AM489" s="17">
        <f>IF(A489="","",MATCH(A489,'Lista - Inversor'!$2:$2,0))</f>
        <v>26</v>
      </c>
      <c r="AN489" s="17">
        <f>IF(C489="","",MATCH(C489,'Lista - Inversor'!$Z:$Z,0)-2)</f>
        <v>9</v>
      </c>
    </row>
    <row r="490" spans="1:40" x14ac:dyDescent="0.35">
      <c r="A490" s="43" t="s">
        <v>698</v>
      </c>
      <c r="B490" s="17" t="str">
        <f t="shared" si="11"/>
        <v>EGT 22000 MAX</v>
      </c>
      <c r="C490" s="22" t="s">
        <v>2352</v>
      </c>
      <c r="AM490" s="17">
        <f>IF(A490="","",MATCH(A490,'Lista - Inversor'!$2:$2,0))</f>
        <v>26</v>
      </c>
      <c r="AN490" s="17">
        <f>IF(C490="","",MATCH(C490,'Lista - Inversor'!$Z:$Z,0)-2)</f>
        <v>10</v>
      </c>
    </row>
    <row r="491" spans="1:40" x14ac:dyDescent="0.35">
      <c r="A491" s="43" t="s">
        <v>698</v>
      </c>
      <c r="B491" s="17" t="str">
        <f t="shared" si="11"/>
        <v>EGT 20000 MAX</v>
      </c>
      <c r="C491" s="22" t="s">
        <v>2378</v>
      </c>
      <c r="AM491" s="17">
        <f>IF(A491="","",MATCH(A491,'Lista - Inversor'!$2:$2,0))</f>
        <v>26</v>
      </c>
      <c r="AN491" s="17">
        <f>IF(C491="","",MATCH(C491,'Lista - Inversor'!$Z:$Z,0)-2)</f>
        <v>11</v>
      </c>
    </row>
    <row r="492" spans="1:40" x14ac:dyDescent="0.35">
      <c r="A492" s="43" t="s">
        <v>698</v>
      </c>
      <c r="B492" s="17" t="str">
        <f t="shared" si="11"/>
        <v>EGT 3600 PRO</v>
      </c>
      <c r="C492" s="22" t="s">
        <v>2403</v>
      </c>
      <c r="AM492" s="17">
        <f>IF(A492="","",MATCH(A492,'Lista - Inversor'!$2:$2,0))</f>
        <v>26</v>
      </c>
      <c r="AN492" s="17">
        <f>IF(C492="","",MATCH(C492,'Lista - Inversor'!$Z:$Z,0)-2)</f>
        <v>12</v>
      </c>
    </row>
    <row r="493" spans="1:40" x14ac:dyDescent="0.35">
      <c r="A493" s="43" t="s">
        <v>698</v>
      </c>
      <c r="B493" s="17" t="str">
        <f t="shared" si="11"/>
        <v>EGT 9000 PRO</v>
      </c>
      <c r="C493" s="22" t="s">
        <v>2427</v>
      </c>
      <c r="AM493" s="17">
        <f>IF(A493="","",MATCH(A493,'Lista - Inversor'!$2:$2,0))</f>
        <v>26</v>
      </c>
      <c r="AN493" s="17">
        <f>IF(C493="","",MATCH(C493,'Lista - Inversor'!$Z:$Z,0)-2)</f>
        <v>13</v>
      </c>
    </row>
    <row r="494" spans="1:40" x14ac:dyDescent="0.35">
      <c r="A494" s="43" t="s">
        <v>698</v>
      </c>
      <c r="B494" s="17" t="str">
        <f t="shared" si="11"/>
        <v>EGT 2000 LITE</v>
      </c>
      <c r="C494" s="22" t="s">
        <v>2450</v>
      </c>
      <c r="AM494" s="17">
        <f>IF(A494="","",MATCH(A494,'Lista - Inversor'!$2:$2,0))</f>
        <v>26</v>
      </c>
      <c r="AN494" s="17">
        <f>IF(C494="","",MATCH(C494,'Lista - Inversor'!$Z:$Z,0)-2)</f>
        <v>14</v>
      </c>
    </row>
    <row r="495" spans="1:40" x14ac:dyDescent="0.35">
      <c r="A495" s="43" t="s">
        <v>698</v>
      </c>
      <c r="B495" s="17" t="str">
        <f t="shared" si="11"/>
        <v>EGT 1600 LITE</v>
      </c>
      <c r="C495" s="22" t="s">
        <v>2473</v>
      </c>
      <c r="AM495" s="17">
        <f>IF(A495="","",MATCH(A495,'Lista - Inversor'!$2:$2,0))</f>
        <v>26</v>
      </c>
      <c r="AN495" s="17">
        <f>IF(C495="","",MATCH(C495,'Lista - Inversor'!$Z:$Z,0)-2)</f>
        <v>15</v>
      </c>
    </row>
    <row r="496" spans="1:40" x14ac:dyDescent="0.35">
      <c r="A496" s="43" t="s">
        <v>698</v>
      </c>
      <c r="B496" s="17" t="str">
        <f t="shared" si="11"/>
        <v>EGT 1500 MAX 220V</v>
      </c>
      <c r="C496" s="22" t="s">
        <v>2494</v>
      </c>
      <c r="AM496" s="17">
        <f>IF(A496="","",MATCH(A496,'Lista - Inversor'!$2:$2,0))</f>
        <v>26</v>
      </c>
      <c r="AN496" s="17">
        <f>IF(C496="","",MATCH(C496,'Lista - Inversor'!$Z:$Z,0)-2)</f>
        <v>16</v>
      </c>
    </row>
    <row r="497" spans="1:40" x14ac:dyDescent="0.35">
      <c r="A497" s="43" t="s">
        <v>698</v>
      </c>
      <c r="B497" s="17" t="str">
        <f t="shared" si="11"/>
        <v>EGT-1200 MICRO</v>
      </c>
      <c r="C497" s="22" t="s">
        <v>2514</v>
      </c>
      <c r="AM497" s="17">
        <f>IF(A497="","",MATCH(A497,'Lista - Inversor'!$2:$2,0))</f>
        <v>26</v>
      </c>
      <c r="AN497" s="17">
        <f>IF(C497="","",MATCH(C497,'Lista - Inversor'!$Z:$Z,0)-2)</f>
        <v>17</v>
      </c>
    </row>
    <row r="498" spans="1:40" x14ac:dyDescent="0.35">
      <c r="A498" s="43" t="s">
        <v>698</v>
      </c>
      <c r="B498" s="17" t="str">
        <f t="shared" si="11"/>
        <v>EGT 15000 MAX 220V</v>
      </c>
      <c r="C498" s="22" t="s">
        <v>2534</v>
      </c>
      <c r="AM498" s="17">
        <f>IF(A498="","",MATCH(A498,'Lista - Inversor'!$2:$2,0))</f>
        <v>26</v>
      </c>
      <c r="AN498" s="17">
        <f>IF(C498="","",MATCH(C498,'Lista - Inversor'!$Z:$Z,0)-2)</f>
        <v>18</v>
      </c>
    </row>
    <row r="499" spans="1:40" x14ac:dyDescent="0.35">
      <c r="A499" s="43" t="s">
        <v>698</v>
      </c>
      <c r="B499" s="17" t="str">
        <f t="shared" si="11"/>
        <v>EGT 1200 MICRO</v>
      </c>
      <c r="C499" s="22" t="s">
        <v>2554</v>
      </c>
      <c r="AM499" s="17">
        <f>IF(A499="","",MATCH(A499,'Lista - Inversor'!$2:$2,0))</f>
        <v>26</v>
      </c>
      <c r="AN499" s="17">
        <f>IF(C499="","",MATCH(C499,'Lista - Inversor'!$Z:$Z,0)-2)</f>
        <v>19</v>
      </c>
    </row>
    <row r="500" spans="1:40" x14ac:dyDescent="0.35">
      <c r="A500" s="43" t="s">
        <v>698</v>
      </c>
      <c r="B500" s="17" t="str">
        <f t="shared" si="11"/>
        <v>EGT 10000 PRO G2 10KW</v>
      </c>
      <c r="C500" s="22" t="s">
        <v>2574</v>
      </c>
      <c r="AM500" s="17">
        <f>IF(A500="","",MATCH(A500,'Lista - Inversor'!$2:$2,0))</f>
        <v>26</v>
      </c>
      <c r="AN500" s="17">
        <f>IF(C500="","",MATCH(C500,'Lista - Inversor'!$Z:$Z,0)-2)</f>
        <v>20</v>
      </c>
    </row>
    <row r="501" spans="1:40" x14ac:dyDescent="0.35">
      <c r="A501" s="43" t="s">
        <v>698</v>
      </c>
      <c r="B501" s="17" t="str">
        <f t="shared" si="11"/>
        <v>EGT 40000 MAX</v>
      </c>
      <c r="C501" s="22" t="s">
        <v>2593</v>
      </c>
      <c r="AM501" s="17">
        <f>IF(A501="","",MATCH(A501,'Lista - Inversor'!$2:$2,0))</f>
        <v>26</v>
      </c>
      <c r="AN501" s="17">
        <f>IF(C501="","",MATCH(C501,'Lista - Inversor'!$Z:$Z,0)-2)</f>
        <v>21</v>
      </c>
    </row>
    <row r="502" spans="1:40" x14ac:dyDescent="0.35">
      <c r="A502" s="43" t="s">
        <v>698</v>
      </c>
      <c r="B502" s="17" t="str">
        <f t="shared" si="11"/>
        <v>EGT-600 MICRO</v>
      </c>
      <c r="C502" s="22" t="s">
        <v>2611</v>
      </c>
      <c r="AM502" s="17">
        <f>IF(A502="","",MATCH(A502,'Lista - Inversor'!$2:$2,0))</f>
        <v>26</v>
      </c>
      <c r="AN502" s="17">
        <f>IF(C502="","",MATCH(C502,'Lista - Inversor'!$Z:$Z,0)-2)</f>
        <v>22</v>
      </c>
    </row>
    <row r="503" spans="1:40" x14ac:dyDescent="0.35">
      <c r="A503" s="43" t="s">
        <v>702</v>
      </c>
      <c r="B503" s="17" t="str">
        <f t="shared" si="11"/>
        <v>BG17KTR</v>
      </c>
      <c r="C503" s="22" t="s">
        <v>2010</v>
      </c>
      <c r="AM503" s="17">
        <f>IF(A503="","",MATCH(A503,'Lista - Inversor'!$2:$2,0))</f>
        <v>27</v>
      </c>
      <c r="AN503" s="17">
        <f>IF(C503="","",MATCH(C503,'Lista - Inversor'!$AA:$AA,0)-2)</f>
        <v>1</v>
      </c>
    </row>
    <row r="504" spans="1:40" x14ac:dyDescent="0.35">
      <c r="A504" s="43" t="s">
        <v>702</v>
      </c>
      <c r="B504" s="17" t="str">
        <f t="shared" si="11"/>
        <v>MG3KTL</v>
      </c>
      <c r="C504" s="22" t="s">
        <v>2066</v>
      </c>
      <c r="AM504" s="17">
        <f>IF(A504="","",MATCH(A504,'Lista - Inversor'!$2:$2,0))</f>
        <v>27</v>
      </c>
      <c r="AN504" s="17">
        <f>IF(C504="","",MATCH(C504,'Lista - Inversor'!$AA:$AA,0)-2)</f>
        <v>2</v>
      </c>
    </row>
    <row r="505" spans="1:40" x14ac:dyDescent="0.35">
      <c r="A505" s="43" t="s">
        <v>702</v>
      </c>
      <c r="B505" s="17" t="str">
        <f t="shared" si="11"/>
        <v>IMARS MG 5KTL</v>
      </c>
      <c r="C505" s="22" t="s">
        <v>2112</v>
      </c>
      <c r="AM505" s="17">
        <f>IF(A505="","",MATCH(A505,'Lista - Inversor'!$2:$2,0))</f>
        <v>27</v>
      </c>
      <c r="AN505" s="17">
        <f>IF(C505="","",MATCH(C505,'Lista - Inversor'!$AA:$AA,0)-2)</f>
        <v>3</v>
      </c>
    </row>
    <row r="506" spans="1:40" x14ac:dyDescent="0.35">
      <c r="A506" s="43" t="s">
        <v>702</v>
      </c>
      <c r="B506" s="17" t="str">
        <f t="shared" si="11"/>
        <v>BG40KTR</v>
      </c>
      <c r="C506" s="22" t="s">
        <v>2155</v>
      </c>
      <c r="AM506" s="17">
        <f>IF(A506="","",MATCH(A506,'Lista - Inversor'!$2:$2,0))</f>
        <v>27</v>
      </c>
      <c r="AN506" s="17">
        <f>IF(C506="","",MATCH(C506,'Lista - Inversor'!$AA:$AA,0)-2)</f>
        <v>4</v>
      </c>
    </row>
    <row r="507" spans="1:40" x14ac:dyDescent="0.35">
      <c r="A507" s="43" t="s">
        <v>702</v>
      </c>
      <c r="B507" s="17" t="str">
        <f t="shared" si="11"/>
        <v>IMARS MG6KTL- 2M</v>
      </c>
      <c r="C507" s="22" t="s">
        <v>2195</v>
      </c>
      <c r="AM507" s="17">
        <f>IF(A507="","",MATCH(A507,'Lista - Inversor'!$2:$2,0))</f>
        <v>27</v>
      </c>
      <c r="AN507" s="17">
        <f>IF(C507="","",MATCH(C507,'Lista - Inversor'!$AA:$AA,0)-2)</f>
        <v>5</v>
      </c>
    </row>
    <row r="508" spans="1:40" x14ac:dyDescent="0.35">
      <c r="A508" s="43" t="s">
        <v>1972</v>
      </c>
      <c r="B508" s="17" t="str">
        <f t="shared" si="11"/>
        <v>SPI3000 B2</v>
      </c>
      <c r="C508" s="22" t="s">
        <v>2011</v>
      </c>
      <c r="AM508" s="17">
        <f>IF(A508="","",MATCH(A508,'Lista - Inversor'!$2:$2,0))</f>
        <v>28</v>
      </c>
      <c r="AN508" s="17">
        <f>IF(C508="","",MATCH(C508,'Lista - Inversor'!$AB:$AB,0)-2)</f>
        <v>1</v>
      </c>
    </row>
    <row r="509" spans="1:40" x14ac:dyDescent="0.35">
      <c r="A509" s="43" t="s">
        <v>1972</v>
      </c>
      <c r="B509" s="17" t="str">
        <f t="shared" ref="B509:B572" si="12">RIGHT(C509,LEN(C509)-(FIND(" - ", C509)+2))</f>
        <v>SPI6000-B2</v>
      </c>
      <c r="C509" s="22" t="s">
        <v>2067</v>
      </c>
      <c r="AM509" s="17">
        <f>IF(A509="","",MATCH(A509,'Lista - Inversor'!$2:$2,0))</f>
        <v>28</v>
      </c>
      <c r="AN509" s="17">
        <f>IF(C509="","",MATCH(C509,'Lista - Inversor'!$AB:$AB,0)-2)</f>
        <v>2</v>
      </c>
    </row>
    <row r="510" spans="1:40" x14ac:dyDescent="0.35">
      <c r="A510" s="43" t="s">
        <v>1972</v>
      </c>
      <c r="B510" s="17" t="str">
        <f t="shared" si="12"/>
        <v>SPI15K</v>
      </c>
      <c r="C510" s="22" t="s">
        <v>2113</v>
      </c>
      <c r="AM510" s="17">
        <f>IF(A510="","",MATCH(A510,'Lista - Inversor'!$2:$2,0))</f>
        <v>28</v>
      </c>
      <c r="AN510" s="17">
        <f>IF(C510="","",MATCH(C510,'Lista - Inversor'!$AB:$AB,0)-2)</f>
        <v>3</v>
      </c>
    </row>
    <row r="511" spans="1:40" x14ac:dyDescent="0.35">
      <c r="A511" s="43" t="s">
        <v>1972</v>
      </c>
      <c r="B511" s="17" t="str">
        <f t="shared" si="12"/>
        <v>SPI75K-B</v>
      </c>
      <c r="C511" s="22" t="s">
        <v>2156</v>
      </c>
      <c r="AM511" s="17">
        <f>IF(A511="","",MATCH(A511,'Lista - Inversor'!$2:$2,0))</f>
        <v>28</v>
      </c>
      <c r="AN511" s="17">
        <f>IF(C511="","",MATCH(C511,'Lista - Inversor'!$AB:$AB,0)-2)</f>
        <v>4</v>
      </c>
    </row>
    <row r="512" spans="1:40" x14ac:dyDescent="0.35">
      <c r="A512" s="43" t="s">
        <v>1972</v>
      </c>
      <c r="B512" s="17" t="str">
        <f t="shared" si="12"/>
        <v>SPI40K-B</v>
      </c>
      <c r="C512" s="22" t="s">
        <v>2196</v>
      </c>
      <c r="AM512" s="17">
        <f>IF(A512="","",MATCH(A512,'Lista - Inversor'!$2:$2,0))</f>
        <v>28</v>
      </c>
      <c r="AN512" s="17">
        <f>IF(C512="","",MATCH(C512,'Lista - Inversor'!$AB:$AB,0)-2)</f>
        <v>5</v>
      </c>
    </row>
    <row r="513" spans="1:40" x14ac:dyDescent="0.35">
      <c r="A513" s="43" t="s">
        <v>706</v>
      </c>
      <c r="B513" s="17" t="str">
        <f t="shared" si="12"/>
        <v>KOMECO 5KW</v>
      </c>
      <c r="C513" s="22" t="s">
        <v>2012</v>
      </c>
      <c r="AM513" s="17">
        <f>IF(A513="","",MATCH(A513,'Lista - Inversor'!$2:$2,0))</f>
        <v>29</v>
      </c>
      <c r="AN513" s="17">
        <f>IF(C513="","",MATCH(C513,'Lista - Inversor'!$AC:$AC,0)-2)</f>
        <v>1</v>
      </c>
    </row>
    <row r="514" spans="1:40" x14ac:dyDescent="0.35">
      <c r="A514" s="43" t="s">
        <v>706</v>
      </c>
      <c r="B514" s="17" t="str">
        <f t="shared" si="12"/>
        <v>KOMECO 32KW</v>
      </c>
      <c r="C514" s="22" t="s">
        <v>2068</v>
      </c>
      <c r="AM514" s="17">
        <f>IF(A514="","",MATCH(A514,'Lista - Inversor'!$2:$2,0))</f>
        <v>29</v>
      </c>
      <c r="AN514" s="17">
        <f>IF(C514="","",MATCH(C514,'Lista - Inversor'!$AC:$AC,0)-2)</f>
        <v>2</v>
      </c>
    </row>
    <row r="515" spans="1:40" x14ac:dyDescent="0.35">
      <c r="A515" s="43" t="s">
        <v>706</v>
      </c>
      <c r="B515" s="17" t="str">
        <f t="shared" si="12"/>
        <v>KOFV IN 12KW 220V - AR</v>
      </c>
      <c r="C515" s="22" t="s">
        <v>2114</v>
      </c>
      <c r="AM515" s="17">
        <f>IF(A515="","",MATCH(A515,'Lista - Inversor'!$2:$2,0))</f>
        <v>29</v>
      </c>
      <c r="AN515" s="17">
        <f>IF(C515="","",MATCH(C515,'Lista - Inversor'!$AC:$AC,0)-2)</f>
        <v>3</v>
      </c>
    </row>
    <row r="516" spans="1:40" x14ac:dyDescent="0.35">
      <c r="A516" s="43" t="s">
        <v>706</v>
      </c>
      <c r="B516" s="17" t="str">
        <f t="shared" si="12"/>
        <v>KOFV IN 3KW-AR</v>
      </c>
      <c r="C516" s="22" t="s">
        <v>2157</v>
      </c>
      <c r="AM516" s="17">
        <f>IF(A516="","",MATCH(A516,'Lista - Inversor'!$2:$2,0))</f>
        <v>29</v>
      </c>
      <c r="AN516" s="17">
        <f>IF(C516="","",MATCH(C516,'Lista - Inversor'!$AC:$AC,0)-2)</f>
        <v>4</v>
      </c>
    </row>
    <row r="517" spans="1:40" x14ac:dyDescent="0.35">
      <c r="A517" s="43" t="s">
        <v>706</v>
      </c>
      <c r="B517" s="17" t="str">
        <f t="shared" si="12"/>
        <v>KOFV IN 20KW - AR</v>
      </c>
      <c r="C517" s="22" t="s">
        <v>2197</v>
      </c>
      <c r="AM517" s="17">
        <f>IF(A517="","",MATCH(A517,'Lista - Inversor'!$2:$2,0))</f>
        <v>29</v>
      </c>
      <c r="AN517" s="17">
        <f>IF(C517="","",MATCH(C517,'Lista - Inversor'!$AC:$AC,0)-2)</f>
        <v>5</v>
      </c>
    </row>
    <row r="518" spans="1:40" x14ac:dyDescent="0.35">
      <c r="A518" s="43" t="s">
        <v>675</v>
      </c>
      <c r="B518" s="17" t="str">
        <f t="shared" si="12"/>
        <v>KSG-20K</v>
      </c>
      <c r="C518" s="22" t="s">
        <v>2013</v>
      </c>
      <c r="AM518" s="17">
        <f>IF(A518="","",MATCH(A518,'Lista - Inversor'!$2:$2,0))</f>
        <v>30</v>
      </c>
      <c r="AN518" s="17">
        <f>IF(C518="","",MATCH(C518,'Lista - Inversor'!$AD:$AD,0)-2)</f>
        <v>1</v>
      </c>
    </row>
    <row r="519" spans="1:40" x14ac:dyDescent="0.35">
      <c r="A519" s="43" t="s">
        <v>675</v>
      </c>
      <c r="B519" s="17" t="str">
        <f t="shared" si="12"/>
        <v>KSG-12K-LV</v>
      </c>
      <c r="C519" s="22" t="s">
        <v>2069</v>
      </c>
      <c r="AM519" s="17">
        <f>IF(A519="","",MATCH(A519,'Lista - Inversor'!$2:$2,0))</f>
        <v>30</v>
      </c>
      <c r="AN519" s="17">
        <f>IF(C519="","",MATCH(C519,'Lista - Inversor'!$AD:$AD,0)-2)</f>
        <v>2</v>
      </c>
    </row>
    <row r="520" spans="1:40" x14ac:dyDescent="0.35">
      <c r="A520" s="43" t="s">
        <v>675</v>
      </c>
      <c r="B520" s="17" t="str">
        <f t="shared" si="12"/>
        <v>KSG-DM 15KW</v>
      </c>
      <c r="C520" s="22" t="s">
        <v>2115</v>
      </c>
      <c r="AM520" s="17">
        <f>IF(A520="","",MATCH(A520,'Lista - Inversor'!$2:$2,0))</f>
        <v>30</v>
      </c>
      <c r="AN520" s="17">
        <f>IF(C520="","",MATCH(C520,'Lista - Inversor'!$AD:$AD,0)-2)</f>
        <v>3</v>
      </c>
    </row>
    <row r="521" spans="1:40" x14ac:dyDescent="0.35">
      <c r="A521" s="43" t="s">
        <v>675</v>
      </c>
      <c r="B521" s="17" t="str">
        <f t="shared" si="12"/>
        <v>KSG-3K-SM</v>
      </c>
      <c r="C521" s="22" t="s">
        <v>2158</v>
      </c>
      <c r="AM521" s="17">
        <f>IF(A521="","",MATCH(A521,'Lista - Inversor'!$2:$2,0))</f>
        <v>30</v>
      </c>
      <c r="AN521" s="17">
        <f>IF(C521="","",MATCH(C521,'Lista - Inversor'!$AD:$AD,0)-2)</f>
        <v>4</v>
      </c>
    </row>
    <row r="522" spans="1:40" x14ac:dyDescent="0.35">
      <c r="A522" s="43" t="s">
        <v>675</v>
      </c>
      <c r="B522" s="17" t="str">
        <f t="shared" si="12"/>
        <v>KSG-32K-LV</v>
      </c>
      <c r="C522" s="22" t="s">
        <v>2198</v>
      </c>
      <c r="AM522" s="17">
        <f>IF(A522="","",MATCH(A522,'Lista - Inversor'!$2:$2,0))</f>
        <v>30</v>
      </c>
      <c r="AN522" s="17">
        <f>IF(C522="","",MATCH(C522,'Lista - Inversor'!$AD:$AD,0)-2)</f>
        <v>5</v>
      </c>
    </row>
    <row r="523" spans="1:40" x14ac:dyDescent="0.35">
      <c r="A523" s="43" t="s">
        <v>675</v>
      </c>
      <c r="B523" s="17" t="str">
        <f t="shared" si="12"/>
        <v>KSG-30K</v>
      </c>
      <c r="C523" s="22" t="s">
        <v>2233</v>
      </c>
      <c r="AM523" s="17">
        <f>IF(A523="","",MATCH(A523,'Lista - Inversor'!$2:$2,0))</f>
        <v>30</v>
      </c>
      <c r="AN523" s="17">
        <f>IF(C523="","",MATCH(C523,'Lista - Inversor'!$AD:$AD,0)-2)</f>
        <v>6</v>
      </c>
    </row>
    <row r="524" spans="1:40" x14ac:dyDescent="0.35">
      <c r="A524" s="43" t="s">
        <v>675</v>
      </c>
      <c r="B524" s="17" t="str">
        <f t="shared" si="12"/>
        <v>KSG-36K</v>
      </c>
      <c r="C524" s="22" t="s">
        <v>2266</v>
      </c>
      <c r="AM524" s="17">
        <f>IF(A524="","",MATCH(A524,'Lista - Inversor'!$2:$2,0))</f>
        <v>30</v>
      </c>
      <c r="AN524" s="17">
        <f>IF(C524="","",MATCH(C524,'Lista - Inversor'!$AD:$AD,0)-2)</f>
        <v>7</v>
      </c>
    </row>
    <row r="525" spans="1:40" x14ac:dyDescent="0.35">
      <c r="A525" s="43" t="s">
        <v>675</v>
      </c>
      <c r="B525" s="17" t="str">
        <f t="shared" si="12"/>
        <v>KSG-50K</v>
      </c>
      <c r="C525" s="22" t="s">
        <v>2297</v>
      </c>
      <c r="AM525" s="17">
        <f>IF(A525="","",MATCH(A525,'Lista - Inversor'!$2:$2,0))</f>
        <v>30</v>
      </c>
      <c r="AN525" s="17">
        <f>IF(C525="","",MATCH(C525,'Lista - Inversor'!$AD:$AD,0)-2)</f>
        <v>8</v>
      </c>
    </row>
    <row r="526" spans="1:40" x14ac:dyDescent="0.35">
      <c r="A526" s="43" t="s">
        <v>675</v>
      </c>
      <c r="B526" s="17" t="str">
        <f t="shared" si="12"/>
        <v>KSG-60K</v>
      </c>
      <c r="C526" s="22" t="s">
        <v>2326</v>
      </c>
      <c r="AM526" s="17">
        <f>IF(A526="","",MATCH(A526,'Lista - Inversor'!$2:$2,0))</f>
        <v>30</v>
      </c>
      <c r="AN526" s="17">
        <f>IF(C526="","",MATCH(C526,'Lista - Inversor'!$AD:$AD,0)-2)</f>
        <v>9</v>
      </c>
    </row>
    <row r="527" spans="1:40" x14ac:dyDescent="0.35">
      <c r="A527" s="43" t="s">
        <v>675</v>
      </c>
      <c r="B527" s="17" t="str">
        <f t="shared" si="12"/>
        <v>KSG-5K-DM</v>
      </c>
      <c r="C527" s="22" t="s">
        <v>2353</v>
      </c>
      <c r="AM527" s="17">
        <f>IF(A527="","",MATCH(A527,'Lista - Inversor'!$2:$2,0))</f>
        <v>30</v>
      </c>
      <c r="AN527" s="17">
        <f>IF(C527="","",MATCH(C527,'Lista - Inversor'!$AD:$AD,0)-2)</f>
        <v>10</v>
      </c>
    </row>
    <row r="528" spans="1:40" x14ac:dyDescent="0.35">
      <c r="A528" s="43" t="s">
        <v>1973</v>
      </c>
      <c r="B528" s="17" t="str">
        <f t="shared" si="12"/>
        <v>GT1-5K-D</v>
      </c>
      <c r="C528" s="22" t="s">
        <v>2014</v>
      </c>
      <c r="AM528" s="17">
        <f>IF(A528="","",MATCH(A528,'Lista - Inversor'!$2:$2,0))</f>
        <v>31</v>
      </c>
      <c r="AN528" s="17">
        <f>IF(C528="","",MATCH(C528,'Lista - Inversor'!$AE:$AE,0)-2)</f>
        <v>1</v>
      </c>
    </row>
    <row r="529" spans="1:40" x14ac:dyDescent="0.35">
      <c r="A529" s="43" t="s">
        <v>1973</v>
      </c>
      <c r="B529" s="17" t="str">
        <f t="shared" si="12"/>
        <v>GT1 - 3K-S</v>
      </c>
      <c r="C529" s="22" t="s">
        <v>2070</v>
      </c>
      <c r="AM529" s="17">
        <f>IF(A529="","",MATCH(A529,'Lista - Inversor'!$2:$2,0))</f>
        <v>31</v>
      </c>
      <c r="AN529" s="17">
        <f>IF(C529="","",MATCH(C529,'Lista - Inversor'!$AE:$AE,0)-2)</f>
        <v>2</v>
      </c>
    </row>
    <row r="530" spans="1:40" x14ac:dyDescent="0.35">
      <c r="A530" s="43" t="s">
        <v>1973</v>
      </c>
      <c r="B530" s="17" t="str">
        <f t="shared" si="12"/>
        <v>GT1-6K-D</v>
      </c>
      <c r="C530" s="22" t="s">
        <v>2116</v>
      </c>
      <c r="AM530" s="17">
        <f>IF(A530="","",MATCH(A530,'Lista - Inversor'!$2:$2,0))</f>
        <v>31</v>
      </c>
      <c r="AN530" s="17">
        <f>IF(C530="","",MATCH(C530,'Lista - Inversor'!$AE:$AE,0)-2)</f>
        <v>3</v>
      </c>
    </row>
    <row r="531" spans="1:40" x14ac:dyDescent="0.35">
      <c r="A531" s="43" t="s">
        <v>1973</v>
      </c>
      <c r="B531" s="17" t="str">
        <f t="shared" si="12"/>
        <v>GT1-8K-D</v>
      </c>
      <c r="C531" s="22" t="s">
        <v>2159</v>
      </c>
      <c r="AM531" s="17">
        <f>IF(A531="","",MATCH(A531,'Lista - Inversor'!$2:$2,0))</f>
        <v>31</v>
      </c>
      <c r="AN531" s="17">
        <f>IF(C531="","",MATCH(C531,'Lista - Inversor'!$AE:$AE,0)-2)</f>
        <v>4</v>
      </c>
    </row>
    <row r="532" spans="1:40" x14ac:dyDescent="0.35">
      <c r="A532" s="43" t="s">
        <v>1973</v>
      </c>
      <c r="B532" s="17" t="str">
        <f t="shared" si="12"/>
        <v>GT1-10K-D</v>
      </c>
      <c r="C532" s="22" t="s">
        <v>2199</v>
      </c>
      <c r="AM532" s="17">
        <f>IF(A532="","",MATCH(A532,'Lista - Inversor'!$2:$2,0))</f>
        <v>31</v>
      </c>
      <c r="AN532" s="17">
        <f>IF(C532="","",MATCH(C532,'Lista - Inversor'!$AE:$AE,0)-2)</f>
        <v>5</v>
      </c>
    </row>
    <row r="533" spans="1:40" x14ac:dyDescent="0.35">
      <c r="A533" s="43" t="s">
        <v>707</v>
      </c>
      <c r="B533" s="17" t="str">
        <f t="shared" si="12"/>
        <v>HPS-3000D</v>
      </c>
      <c r="C533" s="22" t="s">
        <v>2015</v>
      </c>
      <c r="AM533" s="17">
        <f>IF(A533="","",MATCH(A533,'Lista - Inversor'!$2:$2,0))</f>
        <v>32</v>
      </c>
      <c r="AN533" s="17">
        <f>IF(C533="","",MATCH(C533,'Lista - Inversor'!$AF:$AF,0)-2)</f>
        <v>1</v>
      </c>
    </row>
    <row r="534" spans="1:40" x14ac:dyDescent="0.35">
      <c r="A534" s="43" t="s">
        <v>1974</v>
      </c>
      <c r="B534" s="17" t="str">
        <f t="shared" si="12"/>
        <v>SF5KTN</v>
      </c>
      <c r="C534" s="22" t="s">
        <v>2016</v>
      </c>
      <c r="AM534" s="17">
        <f>IF(A534="","",MATCH(A534,'Lista - Inversor'!$2:$2,0))</f>
        <v>33</v>
      </c>
      <c r="AN534" s="17">
        <f>IF(C534="","",MATCH(C534,'Lista - Inversor'!$AG:$AG,0)-2)</f>
        <v>1</v>
      </c>
    </row>
    <row r="535" spans="1:40" x14ac:dyDescent="0.35">
      <c r="A535" s="43" t="s">
        <v>687</v>
      </c>
      <c r="B535" s="17" t="str">
        <f t="shared" si="12"/>
        <v>BDM-300X2</v>
      </c>
      <c r="C535" s="22" t="s">
        <v>2017</v>
      </c>
      <c r="AM535" s="17">
        <f>IF(A535="","",MATCH(A535,'Lista - Inversor'!$2:$2,0))</f>
        <v>34</v>
      </c>
      <c r="AN535" s="17">
        <f>IF(C535="","",MATCH(C535,'Lista - Inversor'!$AH:$AH,0)-2)</f>
        <v>1</v>
      </c>
    </row>
    <row r="536" spans="1:40" x14ac:dyDescent="0.35">
      <c r="A536" s="43" t="s">
        <v>687</v>
      </c>
      <c r="B536" s="17" t="str">
        <f t="shared" si="12"/>
        <v>600W</v>
      </c>
      <c r="C536" s="22" t="s">
        <v>2071</v>
      </c>
      <c r="AM536" s="17">
        <f>IF(A536="","",MATCH(A536,'Lista - Inversor'!$2:$2,0))</f>
        <v>34</v>
      </c>
      <c r="AN536" s="17">
        <f>IF(C536="","",MATCH(C536,'Lista - Inversor'!$AH:$AH,0)-2)</f>
        <v>2</v>
      </c>
    </row>
    <row r="537" spans="1:40" x14ac:dyDescent="0.35">
      <c r="A537" s="43" t="s">
        <v>688</v>
      </c>
      <c r="B537" s="17" t="str">
        <f t="shared" si="12"/>
        <v>1K5-GSM1</v>
      </c>
      <c r="C537" s="22" t="s">
        <v>2018</v>
      </c>
      <c r="AM537" s="17">
        <f>IF(A537="","",MATCH(A537,'Lista - Inversor'!$2:$2,0))</f>
        <v>35</v>
      </c>
      <c r="AN537" s="17">
        <f>IF(C537="","",MATCH(C537,'Lista - Inversor'!$AI:$AI,0)-2)</f>
        <v>1</v>
      </c>
    </row>
    <row r="538" spans="1:40" x14ac:dyDescent="0.35">
      <c r="A538" s="43" t="s">
        <v>688</v>
      </c>
      <c r="B538" s="17" t="str">
        <f t="shared" si="12"/>
        <v>3K-GSM1</v>
      </c>
      <c r="C538" s="22" t="s">
        <v>2072</v>
      </c>
      <c r="AM538" s="17">
        <f>IF(A538="","",MATCH(A538,'Lista - Inversor'!$2:$2,0))</f>
        <v>35</v>
      </c>
      <c r="AN538" s="17">
        <f>IF(C538="","",MATCH(C538,'Lista - Inversor'!$AI:$AI,0)-2)</f>
        <v>2</v>
      </c>
    </row>
    <row r="539" spans="1:40" x14ac:dyDescent="0.35">
      <c r="A539" s="43" t="s">
        <v>688</v>
      </c>
      <c r="B539" s="17" t="str">
        <f t="shared" si="12"/>
        <v>5K-GDM1</v>
      </c>
      <c r="C539" s="22" t="s">
        <v>2117</v>
      </c>
      <c r="AM539" s="17">
        <f>IF(A539="","",MATCH(A539,'Lista - Inversor'!$2:$2,0))</f>
        <v>35</v>
      </c>
      <c r="AN539" s="17">
        <f>IF(C539="","",MATCH(C539,'Lista - Inversor'!$AI:$AI,0)-2)</f>
        <v>3</v>
      </c>
    </row>
    <row r="540" spans="1:40" x14ac:dyDescent="0.35">
      <c r="A540" s="43" t="s">
        <v>688</v>
      </c>
      <c r="B540" s="17" t="str">
        <f t="shared" si="12"/>
        <v>15K - GDT1</v>
      </c>
      <c r="C540" s="22" t="s">
        <v>2160</v>
      </c>
      <c r="AM540" s="17">
        <f>IF(A540="","",MATCH(A540,'Lista - Inversor'!$2:$2,0))</f>
        <v>35</v>
      </c>
      <c r="AN540" s="17">
        <f>IF(C540="","",MATCH(C540,'Lista - Inversor'!$AI:$AI,0)-2)</f>
        <v>4</v>
      </c>
    </row>
    <row r="541" spans="1:40" x14ac:dyDescent="0.35">
      <c r="A541" s="43" t="s">
        <v>699</v>
      </c>
      <c r="B541" s="17" t="str">
        <f t="shared" si="12"/>
        <v>SOLIS-3920K-4G</v>
      </c>
      <c r="C541" s="22" t="s">
        <v>2019</v>
      </c>
      <c r="AM541" s="17">
        <f>IF(A541="","",MATCH(A541,'Lista - Inversor'!$2:$2,0))</f>
        <v>36</v>
      </c>
      <c r="AN541" s="17">
        <f>IF(C541="","",MATCH(C541,'Lista - Inversor'!$AJ:$AJ,0)-2)</f>
        <v>1</v>
      </c>
    </row>
    <row r="542" spans="1:40" x14ac:dyDescent="0.35">
      <c r="A542" s="43" t="s">
        <v>699</v>
      </c>
      <c r="B542" s="17" t="str">
        <f t="shared" si="12"/>
        <v>SOLIS-1P5K-4G</v>
      </c>
      <c r="C542" s="22" t="s">
        <v>2073</v>
      </c>
      <c r="AM542" s="17">
        <f>IF(A542="","",MATCH(A542,'Lista - Inversor'!$2:$2,0))</f>
        <v>36</v>
      </c>
      <c r="AN542" s="17">
        <f>IF(C542="","",MATCH(C542,'Lista - Inversor'!$AJ:$AJ,0)-2)</f>
        <v>2</v>
      </c>
    </row>
    <row r="543" spans="1:40" x14ac:dyDescent="0.35">
      <c r="A543" s="43" t="s">
        <v>699</v>
      </c>
      <c r="B543" s="17" t="str">
        <f t="shared" si="12"/>
        <v>SOLIS-1P7K-4G</v>
      </c>
      <c r="C543" s="22" t="s">
        <v>2118</v>
      </c>
      <c r="AM543" s="17">
        <f>IF(A543="","",MATCH(A543,'Lista - Inversor'!$2:$2,0))</f>
        <v>36</v>
      </c>
      <c r="AN543" s="17">
        <f>IF(C543="","",MATCH(C543,'Lista - Inversor'!$AJ:$AJ,0)-2)</f>
        <v>3</v>
      </c>
    </row>
    <row r="544" spans="1:40" x14ac:dyDescent="0.35">
      <c r="A544" s="43" t="s">
        <v>1975</v>
      </c>
      <c r="B544" s="17" t="str">
        <f t="shared" si="12"/>
        <v>PS3KSI</v>
      </c>
      <c r="C544" s="22" t="s">
        <v>2020</v>
      </c>
      <c r="AM544" s="17">
        <f>IF(A544="","",MATCH(A544,'Lista - Inversor'!$2:$2,0))</f>
        <v>37</v>
      </c>
      <c r="AN544" s="17">
        <f>IF(C544="","",MATCH(C544,'Lista - Inversor'!$AK:$AK,0)-2)</f>
        <v>1</v>
      </c>
    </row>
    <row r="545" spans="1:40" x14ac:dyDescent="0.35">
      <c r="A545" s="43" t="s">
        <v>1975</v>
      </c>
      <c r="B545" s="17" t="str">
        <f t="shared" si="12"/>
        <v>PS5KSI</v>
      </c>
      <c r="C545" s="22" t="s">
        <v>2074</v>
      </c>
      <c r="AM545" s="17">
        <f>IF(A545="","",MATCH(A545,'Lista - Inversor'!$2:$2,0))</f>
        <v>37</v>
      </c>
      <c r="AN545" s="17">
        <f>IF(C545="","",MATCH(C545,'Lista - Inversor'!$AK:$AK,0)-2)</f>
        <v>2</v>
      </c>
    </row>
    <row r="546" spans="1:40" x14ac:dyDescent="0.35">
      <c r="A546" s="43" t="s">
        <v>683</v>
      </c>
      <c r="B546" s="17" t="str">
        <f t="shared" si="12"/>
        <v>3K-TL2</v>
      </c>
      <c r="C546" s="22" t="s">
        <v>2021</v>
      </c>
      <c r="AM546" s="17">
        <f>IF(A546="","",MATCH(A546,'Lista - Inversor'!$2:$2,0))</f>
        <v>38</v>
      </c>
      <c r="AN546" s="17">
        <f>IF(C546="","",MATCH(C546,'Lista - Inversor'!$AL:$AL,0)-2)</f>
        <v>1</v>
      </c>
    </row>
    <row r="547" spans="1:40" x14ac:dyDescent="0.35">
      <c r="A547" s="43" t="s">
        <v>683</v>
      </c>
      <c r="B547" s="17" t="str">
        <f t="shared" si="12"/>
        <v>4K-TL2</v>
      </c>
      <c r="C547" s="22" t="s">
        <v>2075</v>
      </c>
      <c r="AM547" s="17">
        <f>IF(A547="","",MATCH(A547,'Lista - Inversor'!$2:$2,0))</f>
        <v>38</v>
      </c>
      <c r="AN547" s="17">
        <f>IF(C547="","",MATCH(C547,'Lista - Inversor'!$AL:$AL,0)-2)</f>
        <v>2</v>
      </c>
    </row>
    <row r="548" spans="1:40" x14ac:dyDescent="0.35">
      <c r="A548" s="43" t="s">
        <v>683</v>
      </c>
      <c r="B548" s="17" t="str">
        <f t="shared" si="12"/>
        <v>5K-TL2</v>
      </c>
      <c r="C548" s="22" t="s">
        <v>2119</v>
      </c>
      <c r="AM548" s="17">
        <f>IF(A548="","",MATCH(A548,'Lista - Inversor'!$2:$2,0))</f>
        <v>38</v>
      </c>
      <c r="AN548" s="17">
        <f>IF(C548="","",MATCH(C548,'Lista - Inversor'!$AL:$AL,0)-2)</f>
        <v>3</v>
      </c>
    </row>
    <row r="549" spans="1:40" x14ac:dyDescent="0.35">
      <c r="A549" s="43" t="s">
        <v>683</v>
      </c>
      <c r="B549" s="17" t="str">
        <f t="shared" si="12"/>
        <v>M600</v>
      </c>
      <c r="C549" s="22" t="s">
        <v>2161</v>
      </c>
      <c r="AM549" s="17">
        <f>IF(A549="","",MATCH(A549,'Lista - Inversor'!$2:$2,0))</f>
        <v>38</v>
      </c>
      <c r="AN549" s="17">
        <f>IF(C549="","",MATCH(C549,'Lista - Inversor'!$AL:$AL,0)-2)</f>
        <v>4</v>
      </c>
    </row>
    <row r="550" spans="1:40" x14ac:dyDescent="0.35">
      <c r="A550" s="43" t="s">
        <v>683</v>
      </c>
      <c r="B550" s="17" t="str">
        <f t="shared" si="12"/>
        <v>13K-TL3</v>
      </c>
      <c r="C550" s="22" t="s">
        <v>2200</v>
      </c>
      <c r="AM550" s="17">
        <f>IF(A550="","",MATCH(A550,'Lista - Inversor'!$2:$2,0))</f>
        <v>38</v>
      </c>
      <c r="AN550" s="17">
        <f>IF(C550="","",MATCH(C550,'Lista - Inversor'!$AL:$AL,0)-2)</f>
        <v>5</v>
      </c>
    </row>
    <row r="551" spans="1:40" x14ac:dyDescent="0.35">
      <c r="A551" s="43" t="s">
        <v>683</v>
      </c>
      <c r="B551" s="17" t="str">
        <f t="shared" si="12"/>
        <v>10K-TL3</v>
      </c>
      <c r="C551" s="22" t="s">
        <v>2234</v>
      </c>
      <c r="AM551" s="17">
        <f>IF(A551="","",MATCH(A551,'Lista - Inversor'!$2:$2,0))</f>
        <v>38</v>
      </c>
      <c r="AN551" s="17">
        <f>IF(C551="","",MATCH(C551,'Lista - Inversor'!$AL:$AL,0)-2)</f>
        <v>6</v>
      </c>
    </row>
    <row r="552" spans="1:40" x14ac:dyDescent="0.35">
      <c r="A552" s="43" t="s">
        <v>683</v>
      </c>
      <c r="B552" s="17" t="str">
        <f t="shared" si="12"/>
        <v>50K-TL3-H</v>
      </c>
      <c r="C552" s="22" t="s">
        <v>2267</v>
      </c>
      <c r="AM552" s="17">
        <f>IF(A552="","",MATCH(A552,'Lista - Inversor'!$2:$2,0))</f>
        <v>38</v>
      </c>
      <c r="AN552" s="17">
        <f>IF(C552="","",MATCH(C552,'Lista - Inversor'!$AL:$AL,0)-2)</f>
        <v>7</v>
      </c>
    </row>
    <row r="553" spans="1:40" x14ac:dyDescent="0.35">
      <c r="A553" s="43" t="s">
        <v>685</v>
      </c>
      <c r="B553" s="17" t="str">
        <f t="shared" si="12"/>
        <v>PHB1500-NS</v>
      </c>
      <c r="C553" s="22" t="s">
        <v>2022</v>
      </c>
      <c r="AM553" s="17">
        <f>IF(A553="","",MATCH(A553,'Lista - Inversor'!$2:$2,0))</f>
        <v>39</v>
      </c>
      <c r="AN553" s="17">
        <f>IF(C553="","",MATCH(C553,'Lista - Inversor'!$AM:$AM,0)-2)</f>
        <v>1</v>
      </c>
    </row>
    <row r="554" spans="1:40" x14ac:dyDescent="0.35">
      <c r="A554" s="43" t="s">
        <v>685</v>
      </c>
      <c r="B554" s="17" t="str">
        <f t="shared" si="12"/>
        <v>PHB3000-NS</v>
      </c>
      <c r="C554" s="22" t="s">
        <v>2076</v>
      </c>
      <c r="AM554" s="17">
        <f>IF(A554="","",MATCH(A554,'Lista - Inversor'!$2:$2,0))</f>
        <v>39</v>
      </c>
      <c r="AN554" s="17">
        <f>IF(C554="","",MATCH(C554,'Lista - Inversor'!$AM:$AM,0)-2)</f>
        <v>2</v>
      </c>
    </row>
    <row r="555" spans="1:40" x14ac:dyDescent="0.35">
      <c r="A555" s="43" t="s">
        <v>685</v>
      </c>
      <c r="B555" s="17" t="str">
        <f t="shared" si="12"/>
        <v>PHB5000D-NS</v>
      </c>
      <c r="C555" s="22" t="s">
        <v>2120</v>
      </c>
      <c r="AM555" s="17">
        <f>IF(A555="","",MATCH(A555,'Lista - Inversor'!$2:$2,0))</f>
        <v>39</v>
      </c>
      <c r="AN555" s="17">
        <f>IF(C555="","",MATCH(C555,'Lista - Inversor'!$AM:$AM,0)-2)</f>
        <v>3</v>
      </c>
    </row>
    <row r="556" spans="1:40" x14ac:dyDescent="0.35">
      <c r="A556" s="43" t="s">
        <v>685</v>
      </c>
      <c r="B556" s="17" t="str">
        <f t="shared" si="12"/>
        <v>PHB60K-MT</v>
      </c>
      <c r="C556" s="22" t="s">
        <v>2162</v>
      </c>
      <c r="AM556" s="17">
        <f>IF(A556="","",MATCH(A556,'Lista - Inversor'!$2:$2,0))</f>
        <v>39</v>
      </c>
      <c r="AN556" s="17">
        <f>IF(C556="","",MATCH(C556,'Lista - Inversor'!$AM:$AM,0)-2)</f>
        <v>4</v>
      </c>
    </row>
    <row r="557" spans="1:40" x14ac:dyDescent="0.35">
      <c r="A557" s="43" t="s">
        <v>685</v>
      </c>
      <c r="B557" s="17" t="str">
        <f t="shared" si="12"/>
        <v>PHB14K-DT</v>
      </c>
      <c r="C557" s="22" t="s">
        <v>2201</v>
      </c>
      <c r="AM557" s="17">
        <f>IF(A557="","",MATCH(A557,'Lista - Inversor'!$2:$2,0))</f>
        <v>39</v>
      </c>
      <c r="AN557" s="17">
        <f>IF(C557="","",MATCH(C557,'Lista - Inversor'!$AM:$AM,0)-2)</f>
        <v>5</v>
      </c>
    </row>
    <row r="558" spans="1:40" x14ac:dyDescent="0.35">
      <c r="A558" s="43" t="s">
        <v>685</v>
      </c>
      <c r="B558" s="17" t="str">
        <f t="shared" si="12"/>
        <v>PHB25K-DT</v>
      </c>
      <c r="C558" s="22" t="s">
        <v>2235</v>
      </c>
      <c r="AM558" s="17">
        <f>IF(A558="","",MATCH(A558,'Lista - Inversor'!$2:$2,0))</f>
        <v>39</v>
      </c>
      <c r="AN558" s="17">
        <f>IF(C558="","",MATCH(C558,'Lista - Inversor'!$AM:$AM,0)-2)</f>
        <v>6</v>
      </c>
    </row>
    <row r="559" spans="1:40" x14ac:dyDescent="0.35">
      <c r="A559" s="43" t="s">
        <v>685</v>
      </c>
      <c r="B559" s="17" t="str">
        <f t="shared" si="12"/>
        <v>PHB20K-DT</v>
      </c>
      <c r="C559" s="22" t="s">
        <v>2268</v>
      </c>
      <c r="AM559" s="17">
        <f>IF(A559="","",MATCH(A559,'Lista - Inversor'!$2:$2,0))</f>
        <v>39</v>
      </c>
      <c r="AN559" s="17">
        <f>IF(C559="","",MATCH(C559,'Lista - Inversor'!$AM:$AM,0)-2)</f>
        <v>7</v>
      </c>
    </row>
    <row r="560" spans="1:40" x14ac:dyDescent="0.35">
      <c r="A560" s="43" t="s">
        <v>685</v>
      </c>
      <c r="B560" s="17" t="str">
        <f t="shared" si="12"/>
        <v>PHB35K-MT</v>
      </c>
      <c r="C560" s="22" t="s">
        <v>2298</v>
      </c>
      <c r="AM560" s="17">
        <f>IF(A560="","",MATCH(A560,'Lista - Inversor'!$2:$2,0))</f>
        <v>39</v>
      </c>
      <c r="AN560" s="17">
        <f>IF(C560="","",MATCH(C560,'Lista - Inversor'!$AM:$AM,0)-2)</f>
        <v>8</v>
      </c>
    </row>
    <row r="561" spans="1:40" x14ac:dyDescent="0.35">
      <c r="A561" s="43" t="s">
        <v>685</v>
      </c>
      <c r="B561" s="17" t="str">
        <f t="shared" si="12"/>
        <v>PHB20K-MT</v>
      </c>
      <c r="C561" s="22" t="s">
        <v>2327</v>
      </c>
      <c r="AM561" s="17">
        <f>IF(A561="","",MATCH(A561,'Lista - Inversor'!$2:$2,0))</f>
        <v>39</v>
      </c>
      <c r="AN561" s="17">
        <f>IF(C561="","",MATCH(C561,'Lista - Inversor'!$AM:$AM,0)-2)</f>
        <v>9</v>
      </c>
    </row>
    <row r="562" spans="1:40" x14ac:dyDescent="0.35">
      <c r="A562" s="43" t="s">
        <v>685</v>
      </c>
      <c r="B562" s="17" t="str">
        <f t="shared" si="12"/>
        <v xml:space="preserve">PHB36K-MT </v>
      </c>
      <c r="C562" s="22" t="s">
        <v>2354</v>
      </c>
      <c r="AM562" s="17">
        <f>IF(A562="","",MATCH(A562,'Lista - Inversor'!$2:$2,0))</f>
        <v>39</v>
      </c>
      <c r="AN562" s="17">
        <f>IF(C562="","",MATCH(C562,'Lista - Inversor'!$AM:$AM,0)-2)</f>
        <v>10</v>
      </c>
    </row>
    <row r="563" spans="1:40" x14ac:dyDescent="0.35">
      <c r="A563" s="43" t="s">
        <v>685</v>
      </c>
      <c r="B563" s="17" t="str">
        <f t="shared" si="12"/>
        <v>PHB75K-MT</v>
      </c>
      <c r="C563" s="22" t="s">
        <v>2379</v>
      </c>
      <c r="AM563" s="17">
        <f>IF(A563="","",MATCH(A563,'Lista - Inversor'!$2:$2,0))</f>
        <v>39</v>
      </c>
      <c r="AN563" s="17">
        <f>IF(C563="","",MATCH(C563,'Lista - Inversor'!$AM:$AM,0)-2)</f>
        <v>11</v>
      </c>
    </row>
    <row r="564" spans="1:40" x14ac:dyDescent="0.35">
      <c r="A564" s="43" t="s">
        <v>685</v>
      </c>
      <c r="B564" s="17" t="str">
        <f t="shared" si="12"/>
        <v>PHB 8500-MS</v>
      </c>
      <c r="C564" s="22" t="s">
        <v>2404</v>
      </c>
      <c r="AM564" s="17">
        <f>IF(A564="","",MATCH(A564,'Lista - Inversor'!$2:$2,0))</f>
        <v>39</v>
      </c>
      <c r="AN564" s="17">
        <f>IF(C564="","",MATCH(C564,'Lista - Inversor'!$AM:$AM,0)-2)</f>
        <v>12</v>
      </c>
    </row>
    <row r="565" spans="1:40" x14ac:dyDescent="0.35">
      <c r="A565" s="43" t="s">
        <v>685</v>
      </c>
      <c r="B565" s="17" t="str">
        <f t="shared" si="12"/>
        <v>PHB780-XS</v>
      </c>
      <c r="C565" s="22" t="s">
        <v>2428</v>
      </c>
      <c r="AM565" s="17">
        <f>IF(A565="","",MATCH(A565,'Lista - Inversor'!$2:$2,0))</f>
        <v>39</v>
      </c>
      <c r="AN565" s="17">
        <f>IF(C565="","",MATCH(C565,'Lista - Inversor'!$AM:$AM,0)-2)</f>
        <v>13</v>
      </c>
    </row>
    <row r="566" spans="1:40" x14ac:dyDescent="0.35">
      <c r="A566" s="43" t="s">
        <v>685</v>
      </c>
      <c r="B566" s="17" t="str">
        <f t="shared" si="12"/>
        <v>PHB85K-MT</v>
      </c>
      <c r="C566" s="22" t="s">
        <v>2451</v>
      </c>
      <c r="AM566" s="17">
        <f>IF(A566="","",MATCH(A566,'Lista - Inversor'!$2:$2,0))</f>
        <v>39</v>
      </c>
      <c r="AN566" s="17">
        <f>IF(C566="","",MATCH(C566,'Lista - Inversor'!$AM:$AM,0)-2)</f>
        <v>14</v>
      </c>
    </row>
    <row r="567" spans="1:40" x14ac:dyDescent="0.35">
      <c r="A567" s="43" t="s">
        <v>685</v>
      </c>
      <c r="B567" s="17" t="str">
        <f t="shared" si="12"/>
        <v>PHB50K-MT</v>
      </c>
      <c r="C567" s="22" t="s">
        <v>2474</v>
      </c>
      <c r="AM567" s="17">
        <f>IF(A567="","",MATCH(A567,'Lista - Inversor'!$2:$2,0))</f>
        <v>39</v>
      </c>
      <c r="AN567" s="17">
        <f>IF(C567="","",MATCH(C567,'Lista - Inversor'!$AM:$AM,0)-2)</f>
        <v>15</v>
      </c>
    </row>
    <row r="568" spans="1:40" x14ac:dyDescent="0.35">
      <c r="A568" s="43" t="s">
        <v>685</v>
      </c>
      <c r="B568" s="17" t="str">
        <f t="shared" si="12"/>
        <v>PHB1500-XS</v>
      </c>
      <c r="C568" s="22" t="s">
        <v>2495</v>
      </c>
      <c r="AM568" s="17">
        <f>IF(A568="","",MATCH(A568,'Lista - Inversor'!$2:$2,0))</f>
        <v>39</v>
      </c>
      <c r="AN568" s="17">
        <f>IF(C568="","",MATCH(C568,'Lista - Inversor'!$AM:$AM,0)-2)</f>
        <v>16</v>
      </c>
    </row>
    <row r="569" spans="1:40" x14ac:dyDescent="0.35">
      <c r="A569" s="43" t="s">
        <v>685</v>
      </c>
      <c r="B569" s="17" t="str">
        <f t="shared" si="12"/>
        <v>PHB12KN-DT</v>
      </c>
      <c r="C569" s="22" t="s">
        <v>2515</v>
      </c>
      <c r="AM569" s="17">
        <f>IF(A569="","",MATCH(A569,'Lista - Inversor'!$2:$2,0))</f>
        <v>39</v>
      </c>
      <c r="AN569" s="17">
        <f>IF(C569="","",MATCH(C569,'Lista - Inversor'!$AM:$AM,0)-2)</f>
        <v>17</v>
      </c>
    </row>
    <row r="570" spans="1:40" x14ac:dyDescent="0.35">
      <c r="A570" s="43" t="s">
        <v>685</v>
      </c>
      <c r="B570" s="17" t="str">
        <f t="shared" si="12"/>
        <v>PHB15K-MT</v>
      </c>
      <c r="C570" s="22" t="s">
        <v>2535</v>
      </c>
      <c r="AM570" s="17">
        <f>IF(A570="","",MATCH(A570,'Lista - Inversor'!$2:$2,0))</f>
        <v>39</v>
      </c>
      <c r="AN570" s="17">
        <f>IF(C570="","",MATCH(C570,'Lista - Inversor'!$AM:$AM,0)-2)</f>
        <v>18</v>
      </c>
    </row>
    <row r="571" spans="1:40" x14ac:dyDescent="0.35">
      <c r="A571" s="43" t="s">
        <v>685</v>
      </c>
      <c r="B571" s="17" t="str">
        <f t="shared" si="12"/>
        <v>PHB6000D-NS</v>
      </c>
      <c r="C571" s="22" t="s">
        <v>2555</v>
      </c>
      <c r="AM571" s="17">
        <f>IF(A571="","",MATCH(A571,'Lista - Inversor'!$2:$2,0))</f>
        <v>39</v>
      </c>
      <c r="AN571" s="17">
        <f>IF(C571="","",MATCH(C571,'Lista - Inversor'!$AM:$AM,0)-2)</f>
        <v>19</v>
      </c>
    </row>
    <row r="572" spans="1:40" x14ac:dyDescent="0.35">
      <c r="A572" s="43" t="s">
        <v>685</v>
      </c>
      <c r="B572" s="17" t="str">
        <f t="shared" si="12"/>
        <v>PHB21KT-DT</v>
      </c>
      <c r="C572" s="22" t="s">
        <v>2575</v>
      </c>
      <c r="AM572" s="17">
        <f>IF(A572="","",MATCH(A572,'Lista - Inversor'!$2:$2,0))</f>
        <v>39</v>
      </c>
      <c r="AN572" s="17">
        <f>IF(C572="","",MATCH(C572,'Lista - Inversor'!$AM:$AM,0)-2)</f>
        <v>20</v>
      </c>
    </row>
    <row r="573" spans="1:40" x14ac:dyDescent="0.35">
      <c r="A573" s="43" t="s">
        <v>685</v>
      </c>
      <c r="B573" s="17" t="str">
        <f t="shared" ref="B573:B636" si="13">RIGHT(C573,LEN(C573)-(FIND(" - ", C573)+2))</f>
        <v>PHB3000N-XS</v>
      </c>
      <c r="C573" s="22" t="s">
        <v>2594</v>
      </c>
      <c r="AM573" s="17">
        <f>IF(A573="","",MATCH(A573,'Lista - Inversor'!$2:$2,0))</f>
        <v>39</v>
      </c>
      <c r="AN573" s="17">
        <f>IF(C573="","",MATCH(C573,'Lista - Inversor'!$AM:$AM,0)-2)</f>
        <v>21</v>
      </c>
    </row>
    <row r="574" spans="1:40" x14ac:dyDescent="0.35">
      <c r="A574" s="43" t="s">
        <v>685</v>
      </c>
      <c r="B574" s="17" t="str">
        <f t="shared" si="13"/>
        <v>PHB 35KS-MT</v>
      </c>
      <c r="C574" s="22" t="s">
        <v>2612</v>
      </c>
      <c r="AM574" s="17">
        <f>IF(A574="","",MATCH(A574,'Lista - Inversor'!$2:$2,0))</f>
        <v>39</v>
      </c>
      <c r="AN574" s="17">
        <f>IF(C574="","",MATCH(C574,'Lista - Inversor'!$AM:$AM,0)-2)</f>
        <v>22</v>
      </c>
    </row>
    <row r="575" spans="1:40" x14ac:dyDescent="0.35">
      <c r="A575" s="43" t="s">
        <v>685</v>
      </c>
      <c r="B575" s="17" t="str">
        <f t="shared" si="13"/>
        <v>PHB5000T-DS</v>
      </c>
      <c r="C575" s="22" t="s">
        <v>2629</v>
      </c>
      <c r="AM575" s="17">
        <f>IF(A575="","",MATCH(A575,'Lista - Inversor'!$2:$2,0))</f>
        <v>39</v>
      </c>
      <c r="AN575" s="17">
        <f>IF(C575="","",MATCH(C575,'Lista - Inversor'!$AM:$AM,0)-2)</f>
        <v>23</v>
      </c>
    </row>
    <row r="576" spans="1:40" x14ac:dyDescent="0.35">
      <c r="A576" s="43" t="s">
        <v>685</v>
      </c>
      <c r="B576" s="17" t="str">
        <f t="shared" si="13"/>
        <v>PHB6000-MS</v>
      </c>
      <c r="C576" s="22" t="s">
        <v>2646</v>
      </c>
      <c r="AM576" s="17">
        <f>IF(A576="","",MATCH(A576,'Lista - Inversor'!$2:$2,0))</f>
        <v>39</v>
      </c>
      <c r="AN576" s="17">
        <f>IF(C576="","",MATCH(C576,'Lista - Inversor'!$AM:$AM,0)-2)</f>
        <v>24</v>
      </c>
    </row>
    <row r="577" spans="1:40" x14ac:dyDescent="0.35">
      <c r="A577" s="43" t="s">
        <v>678</v>
      </c>
      <c r="B577" s="17" t="str">
        <f t="shared" si="13"/>
        <v>020K</v>
      </c>
      <c r="C577" s="22" t="s">
        <v>2023</v>
      </c>
      <c r="AM577" s="17">
        <f>IF(A577="","",MATCH(A577,'Lista - Inversor'!$2:$2,0))</f>
        <v>40</v>
      </c>
      <c r="AN577" s="17">
        <f>IF(C577="","",MATCH(C577,'Lista - Inversor'!$AN:$AN,0)-2)</f>
        <v>1</v>
      </c>
    </row>
    <row r="578" spans="1:40" x14ac:dyDescent="0.35">
      <c r="A578" s="43" t="s">
        <v>678</v>
      </c>
      <c r="B578" s="17" t="str">
        <f t="shared" si="13"/>
        <v>017K</v>
      </c>
      <c r="C578" s="22" t="s">
        <v>2077</v>
      </c>
      <c r="AM578" s="17">
        <f>IF(A578="","",MATCH(A578,'Lista - Inversor'!$2:$2,0))</f>
        <v>40</v>
      </c>
      <c r="AN578" s="17">
        <f>IF(C578="","",MATCH(C578,'Lista - Inversor'!$AN:$AN,0)-2)</f>
        <v>2</v>
      </c>
    </row>
    <row r="579" spans="1:40" x14ac:dyDescent="0.35">
      <c r="A579" s="43" t="s">
        <v>678</v>
      </c>
      <c r="B579" s="17" t="str">
        <f t="shared" si="13"/>
        <v>013K</v>
      </c>
      <c r="C579" s="22" t="s">
        <v>2121</v>
      </c>
      <c r="AM579" s="17">
        <f>IF(A579="","",MATCH(A579,'Lista - Inversor'!$2:$2,0))</f>
        <v>40</v>
      </c>
      <c r="AN579" s="17">
        <f>IF(C579="","",MATCH(C579,'Lista - Inversor'!$AN:$AN,0)-2)</f>
        <v>3</v>
      </c>
    </row>
    <row r="580" spans="1:40" x14ac:dyDescent="0.35">
      <c r="A580" s="43" t="s">
        <v>678</v>
      </c>
      <c r="B580" s="17" t="str">
        <f t="shared" si="13"/>
        <v>010K</v>
      </c>
      <c r="C580" s="22" t="s">
        <v>2163</v>
      </c>
      <c r="AM580" s="17">
        <f>IF(A580="","",MATCH(A580,'Lista - Inversor'!$2:$2,0))</f>
        <v>40</v>
      </c>
      <c r="AN580" s="17">
        <f>IF(C580="","",MATCH(C580,'Lista - Inversor'!$AN:$AN,0)-2)</f>
        <v>4</v>
      </c>
    </row>
    <row r="581" spans="1:40" x14ac:dyDescent="0.35">
      <c r="A581" s="43" t="s">
        <v>678</v>
      </c>
      <c r="B581" s="17" t="str">
        <f t="shared" si="13"/>
        <v>008K</v>
      </c>
      <c r="C581" s="22" t="s">
        <v>2202</v>
      </c>
      <c r="AM581" s="17">
        <f>IF(A581="","",MATCH(A581,'Lista - Inversor'!$2:$2,0))</f>
        <v>40</v>
      </c>
      <c r="AN581" s="17">
        <f>IF(C581="","",MATCH(C581,'Lista - Inversor'!$AN:$AN,0)-2)</f>
        <v>5</v>
      </c>
    </row>
    <row r="582" spans="1:40" x14ac:dyDescent="0.35">
      <c r="A582" s="43" t="s">
        <v>678</v>
      </c>
      <c r="B582" s="17" t="str">
        <f t="shared" si="13"/>
        <v>40K</v>
      </c>
      <c r="C582" s="22" t="s">
        <v>2236</v>
      </c>
      <c r="AM582" s="17">
        <f>IF(A582="","",MATCH(A582,'Lista - Inversor'!$2:$2,0))</f>
        <v>40</v>
      </c>
      <c r="AN582" s="17">
        <f>IF(C582="","",MATCH(C582,'Lista - Inversor'!$AN:$AN,0)-2)</f>
        <v>6</v>
      </c>
    </row>
    <row r="583" spans="1:40" x14ac:dyDescent="0.35">
      <c r="A583" s="43" t="s">
        <v>678</v>
      </c>
      <c r="B583" s="17" t="str">
        <f t="shared" si="13"/>
        <v>46K-MV</v>
      </c>
      <c r="C583" s="22" t="s">
        <v>2269</v>
      </c>
      <c r="AM583" s="17">
        <f>IF(A583="","",MATCH(A583,'Lista - Inversor'!$2:$2,0))</f>
        <v>40</v>
      </c>
      <c r="AN583" s="17">
        <f>IF(C583="","",MATCH(C583,'Lista - Inversor'!$AN:$AN,0)-2)</f>
        <v>7</v>
      </c>
    </row>
    <row r="584" spans="1:40" x14ac:dyDescent="0.35">
      <c r="A584" s="43" t="s">
        <v>678</v>
      </c>
      <c r="B584" s="17" t="str">
        <f t="shared" si="13"/>
        <v>REFUSOL 22,000W</v>
      </c>
      <c r="C584" s="22" t="s">
        <v>2299</v>
      </c>
      <c r="AM584" s="17">
        <f>IF(A584="","",MATCH(A584,'Lista - Inversor'!$2:$2,0))</f>
        <v>40</v>
      </c>
      <c r="AN584" s="17">
        <f>IF(C584="","",MATCH(C584,'Lista - Inversor'!$AN:$AN,0)-2)</f>
        <v>8</v>
      </c>
    </row>
    <row r="585" spans="1:40" x14ac:dyDescent="0.35">
      <c r="A585" s="43" t="s">
        <v>678</v>
      </c>
      <c r="B585" s="17" t="str">
        <f t="shared" si="13"/>
        <v>20 K 865P020.000</v>
      </c>
      <c r="C585" s="22" t="s">
        <v>2328</v>
      </c>
      <c r="AM585" s="17">
        <f>IF(A585="","",MATCH(A585,'Lista - Inversor'!$2:$2,0))</f>
        <v>40</v>
      </c>
      <c r="AN585" s="17">
        <f>IF(C585="","",MATCH(C585,'Lista - Inversor'!$AN:$AN,0)-2)</f>
        <v>9</v>
      </c>
    </row>
    <row r="586" spans="1:40" x14ac:dyDescent="0.35">
      <c r="A586" s="43" t="s">
        <v>678</v>
      </c>
      <c r="B586" s="17" t="str">
        <f t="shared" si="13"/>
        <v>REFUONE 3K-2T</v>
      </c>
      <c r="C586" s="22" t="s">
        <v>2355</v>
      </c>
      <c r="AM586" s="17">
        <f>IF(A586="","",MATCH(A586,'Lista - Inversor'!$2:$2,0))</f>
        <v>40</v>
      </c>
      <c r="AN586" s="17">
        <f>IF(C586="","",MATCH(C586,'Lista - Inversor'!$AN:$AN,0)-2)</f>
        <v>10</v>
      </c>
    </row>
    <row r="587" spans="1:40" x14ac:dyDescent="0.35">
      <c r="A587" s="43" t="s">
        <v>678</v>
      </c>
      <c r="B587" s="17" t="str">
        <f t="shared" si="13"/>
        <v>REFUONE 5K-2T</v>
      </c>
      <c r="C587" s="22" t="s">
        <v>2380</v>
      </c>
      <c r="AM587" s="17">
        <f>IF(A587="","",MATCH(A587,'Lista - Inversor'!$2:$2,0))</f>
        <v>40</v>
      </c>
      <c r="AN587" s="17">
        <f>IF(C587="","",MATCH(C587,'Lista - Inversor'!$AN:$AN,0)-2)</f>
        <v>11</v>
      </c>
    </row>
    <row r="588" spans="1:40" x14ac:dyDescent="0.35">
      <c r="A588" s="43" t="s">
        <v>678</v>
      </c>
      <c r="B588" s="17" t="str">
        <f t="shared" si="13"/>
        <v>801P002300 3KW</v>
      </c>
      <c r="C588" s="22" t="s">
        <v>2405</v>
      </c>
      <c r="AM588" s="17">
        <f>IF(A588="","",MATCH(A588,'Lista - Inversor'!$2:$2,0))</f>
        <v>40</v>
      </c>
      <c r="AN588" s="17">
        <f>IF(C588="","",MATCH(C588,'Lista - Inversor'!$AN:$AN,0)-2)</f>
        <v>12</v>
      </c>
    </row>
    <row r="589" spans="1:40" x14ac:dyDescent="0.35">
      <c r="A589" s="43" t="s">
        <v>678</v>
      </c>
      <c r="B589" s="17" t="str">
        <f t="shared" si="13"/>
        <v>842P0400.10</v>
      </c>
      <c r="C589" s="22" t="s">
        <v>2429</v>
      </c>
      <c r="AM589" s="17">
        <f>IF(A589="","",MATCH(A589,'Lista - Inversor'!$2:$2,0))</f>
        <v>40</v>
      </c>
      <c r="AN589" s="17">
        <f>IF(C589="","",MATCH(C589,'Lista - Inversor'!$AN:$AN,0)-2)</f>
        <v>13</v>
      </c>
    </row>
    <row r="590" spans="1:40" x14ac:dyDescent="0.35">
      <c r="A590" s="43" t="s">
        <v>678</v>
      </c>
      <c r="B590" s="17" t="str">
        <f t="shared" si="13"/>
        <v>7K-2T</v>
      </c>
      <c r="C590" s="22" t="s">
        <v>2452</v>
      </c>
      <c r="AM590" s="17">
        <f>IF(A590="","",MATCH(A590,'Lista - Inversor'!$2:$2,0))</f>
        <v>40</v>
      </c>
      <c r="AN590" s="17">
        <f>IF(C590="","",MATCH(C590,'Lista - Inversor'!$AN:$AN,0)-2)</f>
        <v>14</v>
      </c>
    </row>
    <row r="591" spans="1:40" x14ac:dyDescent="0.35">
      <c r="A591" s="43" t="s">
        <v>678</v>
      </c>
      <c r="B591" s="17" t="str">
        <f t="shared" si="13"/>
        <v>11K</v>
      </c>
      <c r="C591" s="22" t="s">
        <v>2475</v>
      </c>
      <c r="AM591" s="17">
        <f>IF(A591="","",MATCH(A591,'Lista - Inversor'!$2:$2,0))</f>
        <v>40</v>
      </c>
      <c r="AN591" s="17">
        <f>IF(C591="","",MATCH(C591,'Lista - Inversor'!$AN:$AN,0)-2)</f>
        <v>15</v>
      </c>
    </row>
    <row r="592" spans="1:40" x14ac:dyDescent="0.35">
      <c r="A592" s="43" t="s">
        <v>678</v>
      </c>
      <c r="B592" s="17" t="str">
        <f t="shared" si="13"/>
        <v>REFUONE 7K- 2T</v>
      </c>
      <c r="C592" s="22" t="s">
        <v>2496</v>
      </c>
      <c r="AM592" s="17">
        <f>IF(A592="","",MATCH(A592,'Lista - Inversor'!$2:$2,0))</f>
        <v>40</v>
      </c>
      <c r="AN592" s="17">
        <f>IF(C592="","",MATCH(C592,'Lista - Inversor'!$AN:$AN,0)-2)</f>
        <v>16</v>
      </c>
    </row>
    <row r="593" spans="1:40" x14ac:dyDescent="0.35">
      <c r="A593" s="43" t="s">
        <v>678</v>
      </c>
      <c r="B593" s="17" t="str">
        <f t="shared" si="13"/>
        <v>801P005200 5KW</v>
      </c>
      <c r="C593" s="22" t="s">
        <v>2516</v>
      </c>
      <c r="AM593" s="17">
        <f>IF(A593="","",MATCH(A593,'Lista - Inversor'!$2:$2,0))</f>
        <v>40</v>
      </c>
      <c r="AN593" s="17">
        <f>IF(C593="","",MATCH(C593,'Lista - Inversor'!$AN:$AN,0)-2)</f>
        <v>17</v>
      </c>
    </row>
    <row r="594" spans="1:40" x14ac:dyDescent="0.35">
      <c r="A594" s="43" t="s">
        <v>678</v>
      </c>
      <c r="B594" s="17" t="str">
        <f t="shared" si="13"/>
        <v>801P003200 3KW</v>
      </c>
      <c r="C594" s="22" t="s">
        <v>2536</v>
      </c>
      <c r="AM594" s="17">
        <f>IF(A594="","",MATCH(A594,'Lista - Inversor'!$2:$2,0))</f>
        <v>40</v>
      </c>
      <c r="AN594" s="17">
        <f>IF(C594="","",MATCH(C594,'Lista - Inversor'!$AN:$AN,0)-2)</f>
        <v>18</v>
      </c>
    </row>
    <row r="595" spans="1:40" x14ac:dyDescent="0.35">
      <c r="A595" s="43" t="s">
        <v>678</v>
      </c>
      <c r="B595" s="17" t="str">
        <f t="shared" si="13"/>
        <v>23K</v>
      </c>
      <c r="C595" s="22" t="s">
        <v>2556</v>
      </c>
      <c r="AM595" s="17">
        <f>IF(A595="","",MATCH(A595,'Lista - Inversor'!$2:$2,0))</f>
        <v>40</v>
      </c>
      <c r="AN595" s="17">
        <f>IF(C595="","",MATCH(C595,'Lista - Inversor'!$AN:$AN,0)-2)</f>
        <v>19</v>
      </c>
    </row>
    <row r="596" spans="1:40" x14ac:dyDescent="0.35">
      <c r="A596" s="43" t="s">
        <v>678</v>
      </c>
      <c r="B596" s="17" t="str">
        <f t="shared" si="13"/>
        <v>REFUONE 1,6K-1T</v>
      </c>
      <c r="C596" s="22" t="s">
        <v>2576</v>
      </c>
      <c r="AM596" s="17">
        <f>IF(A596="","",MATCH(A596,'Lista - Inversor'!$2:$2,0))</f>
        <v>40</v>
      </c>
      <c r="AN596" s="17">
        <f>IF(C596="","",MATCH(C596,'Lista - Inversor'!$AN:$AN,0)-2)</f>
        <v>20</v>
      </c>
    </row>
    <row r="597" spans="1:40" x14ac:dyDescent="0.35">
      <c r="A597" s="43" t="s">
        <v>678</v>
      </c>
      <c r="B597" s="17" t="str">
        <f t="shared" si="13"/>
        <v>11K 865P020.000</v>
      </c>
      <c r="C597" s="22" t="s">
        <v>2595</v>
      </c>
      <c r="AM597" s="17">
        <f>IF(A597="","",MATCH(A597,'Lista - Inversor'!$2:$2,0))</f>
        <v>40</v>
      </c>
      <c r="AN597" s="17">
        <f>IF(C597="","",MATCH(C597,'Lista - Inversor'!$AN:$AN,0)-2)</f>
        <v>21</v>
      </c>
    </row>
    <row r="598" spans="1:40" x14ac:dyDescent="0.35">
      <c r="A598" s="43" t="s">
        <v>678</v>
      </c>
      <c r="B598" s="17" t="str">
        <f t="shared" si="13"/>
        <v>801P007200 7,5KW</v>
      </c>
      <c r="C598" s="22" t="s">
        <v>2613</v>
      </c>
      <c r="AM598" s="17">
        <f>IF(A598="","",MATCH(A598,'Lista - Inversor'!$2:$2,0))</f>
        <v>40</v>
      </c>
      <c r="AN598" s="17">
        <f>IF(C598="","",MATCH(C598,'Lista - Inversor'!$AN:$AN,0)-2)</f>
        <v>22</v>
      </c>
    </row>
    <row r="599" spans="1:40" x14ac:dyDescent="0.35">
      <c r="A599" s="43" t="s">
        <v>678</v>
      </c>
      <c r="B599" s="17" t="str">
        <f t="shared" si="13"/>
        <v>REFUSOL 20K</v>
      </c>
      <c r="C599" s="22" t="s">
        <v>2630</v>
      </c>
      <c r="AM599" s="17">
        <f>IF(A599="","",MATCH(A599,'Lista - Inversor'!$2:$2,0))</f>
        <v>40</v>
      </c>
      <c r="AN599" s="17">
        <f>IF(C599="","",MATCH(C599,'Lista - Inversor'!$AN:$AN,0)-2)</f>
        <v>23</v>
      </c>
    </row>
    <row r="600" spans="1:40" x14ac:dyDescent="0.35">
      <c r="A600" s="43" t="s">
        <v>678</v>
      </c>
      <c r="B600" s="17" t="str">
        <f t="shared" si="13"/>
        <v>840P040.010</v>
      </c>
      <c r="C600" s="22" t="s">
        <v>2647</v>
      </c>
      <c r="AM600" s="17">
        <f>IF(A600="","",MATCH(A600,'Lista - Inversor'!$2:$2,0))</f>
        <v>40</v>
      </c>
      <c r="AN600" s="17">
        <f>IF(C600="","",MATCH(C600,'Lista - Inversor'!$AN:$AN,0)-2)</f>
        <v>24</v>
      </c>
    </row>
    <row r="601" spans="1:40" x14ac:dyDescent="0.35">
      <c r="A601" s="43" t="s">
        <v>678</v>
      </c>
      <c r="B601" s="17" t="str">
        <f t="shared" si="13"/>
        <v>865P020.000 11K</v>
      </c>
      <c r="C601" s="22" t="s">
        <v>2663</v>
      </c>
      <c r="AM601" s="17">
        <f>IF(A601="","",MATCH(A601,'Lista - Inversor'!$2:$2,0))</f>
        <v>40</v>
      </c>
      <c r="AN601" s="17">
        <f>IF(C601="","",MATCH(C601,'Lista - Inversor'!$AN:$AN,0)-2)</f>
        <v>25</v>
      </c>
    </row>
    <row r="602" spans="1:40" x14ac:dyDescent="0.35">
      <c r="A602" s="43" t="s">
        <v>678</v>
      </c>
      <c r="B602" s="17" t="str">
        <f t="shared" si="13"/>
        <v>REFUSOL 008K-020K</v>
      </c>
      <c r="C602" s="22" t="s">
        <v>2677</v>
      </c>
      <c r="AM602" s="17">
        <f>IF(A602="","",MATCH(A602,'Lista - Inversor'!$2:$2,0))</f>
        <v>40</v>
      </c>
      <c r="AN602" s="17">
        <f>IF(C602="","",MATCH(C602,'Lista - Inversor'!$AN:$AN,0)-2)</f>
        <v>26</v>
      </c>
    </row>
    <row r="603" spans="1:40" x14ac:dyDescent="0.35">
      <c r="A603" s="43" t="s">
        <v>678</v>
      </c>
      <c r="B603" s="17" t="str">
        <f t="shared" si="13"/>
        <v>REFUONE 5K-2T</v>
      </c>
      <c r="C603" s="22" t="s">
        <v>2691</v>
      </c>
      <c r="AM603" s="17">
        <f>IF(A603="","",MATCH(A603,'Lista - Inversor'!$2:$2,0))</f>
        <v>40</v>
      </c>
      <c r="AN603" s="17">
        <f>IF(C603="","",MATCH(C603,'Lista - Inversor'!$AN:$AN,0)-2)</f>
        <v>27</v>
      </c>
    </row>
    <row r="604" spans="1:40" x14ac:dyDescent="0.35">
      <c r="A604" s="43" t="s">
        <v>678</v>
      </c>
      <c r="B604" s="17" t="str">
        <f t="shared" si="13"/>
        <v>008K-020K</v>
      </c>
      <c r="C604" s="22" t="s">
        <v>2704</v>
      </c>
      <c r="AM604" s="17">
        <f>IF(A604="","",MATCH(A604,'Lista - Inversor'!$2:$2,0))</f>
        <v>40</v>
      </c>
      <c r="AN604" s="17">
        <f>IF(C604="","",MATCH(C604,'Lista - Inversor'!$AN:$AN,0)-2)</f>
        <v>28</v>
      </c>
    </row>
    <row r="605" spans="1:40" x14ac:dyDescent="0.35">
      <c r="A605" s="43" t="s">
        <v>678</v>
      </c>
      <c r="B605" s="17" t="str">
        <f t="shared" si="13"/>
        <v>REFUSOL 40K</v>
      </c>
      <c r="C605" s="22" t="s">
        <v>2717</v>
      </c>
      <c r="AM605" s="17">
        <f>IF(A605="","",MATCH(A605,'Lista - Inversor'!$2:$2,0))</f>
        <v>40</v>
      </c>
      <c r="AN605" s="17">
        <f>IF(C605="","",MATCH(C605,'Lista - Inversor'!$AN:$AN,0)-2)</f>
        <v>29</v>
      </c>
    </row>
    <row r="606" spans="1:40" x14ac:dyDescent="0.35">
      <c r="A606" s="43" t="s">
        <v>678</v>
      </c>
      <c r="B606" s="17" t="str">
        <f t="shared" si="13"/>
        <v>33K-2T</v>
      </c>
      <c r="C606" s="22" t="s">
        <v>2730</v>
      </c>
      <c r="AM606" s="17">
        <f>IF(A606="","",MATCH(A606,'Lista - Inversor'!$2:$2,0))</f>
        <v>40</v>
      </c>
      <c r="AN606" s="17">
        <f>IF(C606="","",MATCH(C606,'Lista - Inversor'!$AN:$AN,0)-2)</f>
        <v>30</v>
      </c>
    </row>
    <row r="607" spans="1:40" x14ac:dyDescent="0.35">
      <c r="A607" s="43" t="s">
        <v>678</v>
      </c>
      <c r="B607" s="17" t="str">
        <f t="shared" si="13"/>
        <v xml:space="preserve">25K-2T </v>
      </c>
      <c r="C607" s="22" t="s">
        <v>2742</v>
      </c>
      <c r="AM607" s="17">
        <f>IF(A607="","",MATCH(A607,'Lista - Inversor'!$2:$2,0))</f>
        <v>40</v>
      </c>
      <c r="AN607" s="17">
        <f>IF(C607="","",MATCH(C607,'Lista - Inversor'!$AN:$AN,0)-2)</f>
        <v>31</v>
      </c>
    </row>
    <row r="608" spans="1:40" x14ac:dyDescent="0.35">
      <c r="A608" s="43" t="s">
        <v>678</v>
      </c>
      <c r="B608" s="17" t="str">
        <f t="shared" si="13"/>
        <v>850P025-13K</v>
      </c>
      <c r="C608" s="22" t="s">
        <v>2754</v>
      </c>
      <c r="AM608" s="17">
        <f>IF(A608="","",MATCH(A608,'Lista - Inversor'!$2:$2,0))</f>
        <v>40</v>
      </c>
      <c r="AN608" s="17">
        <f>IF(C608="","",MATCH(C608,'Lista - Inversor'!$AN:$AN,0)-2)</f>
        <v>32</v>
      </c>
    </row>
    <row r="609" spans="1:40" x14ac:dyDescent="0.35">
      <c r="A609" s="43" t="s">
        <v>678</v>
      </c>
      <c r="B609" s="17" t="str">
        <f t="shared" si="13"/>
        <v>50K-3T (26KW)</v>
      </c>
      <c r="C609" s="22" t="s">
        <v>2766</v>
      </c>
      <c r="AM609" s="17">
        <f>IF(A609="","",MATCH(A609,'Lista - Inversor'!$2:$2,0))</f>
        <v>40</v>
      </c>
      <c r="AN609" s="17">
        <f>IF(C609="","",MATCH(C609,'Lista - Inversor'!$AN:$AN,0)-2)</f>
        <v>33</v>
      </c>
    </row>
    <row r="610" spans="1:40" x14ac:dyDescent="0.35">
      <c r="A610" s="43" t="s">
        <v>678</v>
      </c>
      <c r="B610" s="17" t="str">
        <f t="shared" si="13"/>
        <v>50K-3T</v>
      </c>
      <c r="C610" s="22" t="s">
        <v>2778</v>
      </c>
      <c r="AM610" s="17">
        <f>IF(A610="","",MATCH(A610,'Lista - Inversor'!$2:$2,0))</f>
        <v>40</v>
      </c>
      <c r="AN610" s="17">
        <f>IF(C610="","",MATCH(C610,'Lista - Inversor'!$AN:$AN,0)-2)</f>
        <v>34</v>
      </c>
    </row>
    <row r="611" spans="1:40" x14ac:dyDescent="0.35">
      <c r="A611" s="43" t="s">
        <v>678</v>
      </c>
      <c r="B611" s="17" t="str">
        <f t="shared" si="13"/>
        <v>25K-2T (13KW)</v>
      </c>
      <c r="C611" s="22" t="s">
        <v>2789</v>
      </c>
      <c r="AM611" s="17">
        <f>IF(A611="","",MATCH(A611,'Lista - Inversor'!$2:$2,0))</f>
        <v>40</v>
      </c>
      <c r="AN611" s="17">
        <f>IF(C611="","",MATCH(C611,'Lista - Inversor'!$AN:$AN,0)-2)</f>
        <v>35</v>
      </c>
    </row>
    <row r="612" spans="1:40" x14ac:dyDescent="0.35">
      <c r="A612" s="43" t="s">
        <v>678</v>
      </c>
      <c r="B612" s="17" t="str">
        <f t="shared" si="13"/>
        <v>33K-2T (18KW)</v>
      </c>
      <c r="C612" s="22" t="s">
        <v>2800</v>
      </c>
      <c r="AM612" s="17">
        <f>IF(A612="","",MATCH(A612,'Lista - Inversor'!$2:$2,0))</f>
        <v>40</v>
      </c>
      <c r="AN612" s="17">
        <f>IF(C612="","",MATCH(C612,'Lista - Inversor'!$AN:$AN,0)-2)</f>
        <v>36</v>
      </c>
    </row>
    <row r="613" spans="1:40" x14ac:dyDescent="0.35">
      <c r="A613" s="43" t="s">
        <v>678</v>
      </c>
      <c r="B613" s="17" t="str">
        <f t="shared" si="13"/>
        <v>867P013.010-13K</v>
      </c>
      <c r="C613" s="22" t="s">
        <v>2810</v>
      </c>
      <c r="AM613" s="17">
        <f>IF(A613="","",MATCH(A613,'Lista - Inversor'!$2:$2,0))</f>
        <v>40</v>
      </c>
      <c r="AN613" s="17">
        <f>IF(C613="","",MATCH(C613,'Lista - Inversor'!$AN:$AN,0)-2)</f>
        <v>37</v>
      </c>
    </row>
    <row r="614" spans="1:40" x14ac:dyDescent="0.35">
      <c r="A614" s="43" t="s">
        <v>678</v>
      </c>
      <c r="B614" s="17" t="str">
        <f t="shared" si="13"/>
        <v>25K-2T (13.5KW)</v>
      </c>
      <c r="C614" s="22" t="s">
        <v>2819</v>
      </c>
      <c r="AM614" s="17">
        <f>IF(A614="","",MATCH(A614,'Lista - Inversor'!$2:$2,0))</f>
        <v>40</v>
      </c>
      <c r="AN614" s="17">
        <f>IF(C614="","",MATCH(C614,'Lista - Inversor'!$AN:$AN,0)-2)</f>
        <v>38</v>
      </c>
    </row>
    <row r="615" spans="1:40" x14ac:dyDescent="0.35">
      <c r="A615" s="43" t="s">
        <v>678</v>
      </c>
      <c r="B615" s="17" t="str">
        <f t="shared" si="13"/>
        <v>REFUSOL 33K-2T</v>
      </c>
      <c r="C615" s="22" t="s">
        <v>2828</v>
      </c>
      <c r="AM615" s="17">
        <f>IF(A615="","",MATCH(A615,'Lista - Inversor'!$2:$2,0))</f>
        <v>40</v>
      </c>
      <c r="AN615" s="17">
        <f>IF(C615="","",MATCH(C615,'Lista - Inversor'!$AN:$AN,0)-2)</f>
        <v>39</v>
      </c>
    </row>
    <row r="616" spans="1:40" x14ac:dyDescent="0.35">
      <c r="A616" s="43" t="s">
        <v>678</v>
      </c>
      <c r="B616" s="17" t="str">
        <f t="shared" si="13"/>
        <v>801P1K6100</v>
      </c>
      <c r="C616" s="22" t="s">
        <v>2837</v>
      </c>
      <c r="AM616" s="17">
        <f>IF(A616="","",MATCH(A616,'Lista - Inversor'!$2:$2,0))</f>
        <v>40</v>
      </c>
      <c r="AN616" s="17">
        <f>IF(C616="","",MATCH(C616,'Lista - Inversor'!$AN:$AN,0)-2)</f>
        <v>40</v>
      </c>
    </row>
    <row r="617" spans="1:40" x14ac:dyDescent="0.35">
      <c r="A617" s="43" t="s">
        <v>678</v>
      </c>
      <c r="B617" s="17" t="str">
        <f t="shared" si="13"/>
        <v>25K-2T(25KW-380V)</v>
      </c>
      <c r="C617" s="22" t="s">
        <v>2845</v>
      </c>
      <c r="AM617" s="17">
        <f>IF(A617="","",MATCH(A617,'Lista - Inversor'!$2:$2,0))</f>
        <v>40</v>
      </c>
      <c r="AN617" s="17">
        <f>IF(C617="","",MATCH(C617,'Lista - Inversor'!$AN:$AN,0)-2)</f>
        <v>41</v>
      </c>
    </row>
    <row r="618" spans="1:40" x14ac:dyDescent="0.35">
      <c r="A618" s="43" t="s">
        <v>678</v>
      </c>
      <c r="B618" s="17" t="str">
        <f t="shared" si="13"/>
        <v>REFUSOL 50K-3T</v>
      </c>
      <c r="C618" s="22" t="s">
        <v>2853</v>
      </c>
      <c r="AM618" s="17">
        <f>IF(A618="","",MATCH(A618,'Lista - Inversor'!$2:$2,0))</f>
        <v>40</v>
      </c>
      <c r="AN618" s="17">
        <f>IF(C618="","",MATCH(C618,'Lista - Inversor'!$AN:$AN,0)-2)</f>
        <v>42</v>
      </c>
    </row>
    <row r="619" spans="1:40" x14ac:dyDescent="0.35">
      <c r="A619" s="43" t="s">
        <v>678</v>
      </c>
      <c r="B619" s="17" t="str">
        <f t="shared" si="13"/>
        <v>REFUONE 1,6K-1T</v>
      </c>
      <c r="C619" s="22" t="s">
        <v>2861</v>
      </c>
      <c r="AM619" s="17">
        <f>IF(A619="","",MATCH(A619,'Lista - Inversor'!$2:$2,0))</f>
        <v>40</v>
      </c>
      <c r="AN619" s="17">
        <f>IF(C619="","",MATCH(C619,'Lista - Inversor'!$AN:$AN,0)-2)</f>
        <v>43</v>
      </c>
    </row>
    <row r="620" spans="1:40" x14ac:dyDescent="0.35">
      <c r="A620" s="43" t="s">
        <v>678</v>
      </c>
      <c r="B620" s="17" t="str">
        <f t="shared" si="13"/>
        <v>50K-3T (27,5KW)</v>
      </c>
      <c r="C620" s="22" t="s">
        <v>2869</v>
      </c>
      <c r="AM620" s="17">
        <f>IF(A620="","",MATCH(A620,'Lista - Inversor'!$2:$2,0))</f>
        <v>40</v>
      </c>
      <c r="AN620" s="17">
        <f>IF(C620="","",MATCH(C620,'Lista - Inversor'!$AN:$AN,0)-2)</f>
        <v>44</v>
      </c>
    </row>
    <row r="621" spans="1:40" x14ac:dyDescent="0.35">
      <c r="A621" s="43" t="s">
        <v>678</v>
      </c>
      <c r="B621" s="17" t="str">
        <f t="shared" si="13"/>
        <v>33K-2T (17,1KW)</v>
      </c>
      <c r="C621" s="22" t="s">
        <v>2876</v>
      </c>
      <c r="AM621" s="17">
        <f>IF(A621="","",MATCH(A621,'Lista - Inversor'!$2:$2,0))</f>
        <v>40</v>
      </c>
      <c r="AN621" s="17">
        <f>IF(C621="","",MATCH(C621,'Lista - Inversor'!$AN:$AN,0)-2)</f>
        <v>45</v>
      </c>
    </row>
    <row r="622" spans="1:40" x14ac:dyDescent="0.35">
      <c r="A622" s="43" t="s">
        <v>678</v>
      </c>
      <c r="B622" s="17" t="str">
        <f t="shared" si="13"/>
        <v>REFUSOL 40K (22KW)</v>
      </c>
      <c r="C622" s="22" t="s">
        <v>2883</v>
      </c>
      <c r="AM622" s="17">
        <f>IF(A622="","",MATCH(A622,'Lista - Inversor'!$2:$2,0))</f>
        <v>40</v>
      </c>
      <c r="AN622" s="17">
        <f>IF(C622="","",MATCH(C622,'Lista - Inversor'!$AN:$AN,0)-2)</f>
        <v>46</v>
      </c>
    </row>
    <row r="623" spans="1:40" x14ac:dyDescent="0.35">
      <c r="A623" s="43" t="s">
        <v>678</v>
      </c>
      <c r="B623" s="17" t="str">
        <f t="shared" si="13"/>
        <v>REFUSOL 40K (22KW - 220V)</v>
      </c>
      <c r="C623" s="22" t="s">
        <v>2889</v>
      </c>
      <c r="AM623" s="17">
        <f>IF(A623="","",MATCH(A623,'Lista - Inversor'!$2:$2,0))</f>
        <v>40</v>
      </c>
      <c r="AN623" s="17">
        <f>IF(C623="","",MATCH(C623,'Lista - Inversor'!$AN:$AN,0)-2)</f>
        <v>47</v>
      </c>
    </row>
    <row r="624" spans="1:40" x14ac:dyDescent="0.35">
      <c r="A624" s="43" t="s">
        <v>678</v>
      </c>
      <c r="B624" s="17" t="str">
        <f t="shared" si="13"/>
        <v>25K-2T 850P025200</v>
      </c>
      <c r="C624" s="22" t="s">
        <v>2895</v>
      </c>
      <c r="AM624" s="17">
        <f>IF(A624="","",MATCH(A624,'Lista - Inversor'!$2:$2,0))</f>
        <v>40</v>
      </c>
      <c r="AN624" s="17">
        <f>IF(C624="","",MATCH(C624,'Lista - Inversor'!$AN:$AN,0)-2)</f>
        <v>48</v>
      </c>
    </row>
    <row r="625" spans="1:40" x14ac:dyDescent="0.35">
      <c r="A625" s="43" t="s">
        <v>678</v>
      </c>
      <c r="B625" s="17" t="str">
        <f t="shared" si="13"/>
        <v>RUFUONE 3.3K-1T</v>
      </c>
      <c r="C625" s="22" t="s">
        <v>2900</v>
      </c>
      <c r="AM625" s="17">
        <f>IF(A625="","",MATCH(A625,'Lista - Inversor'!$2:$2,0))</f>
        <v>40</v>
      </c>
      <c r="AN625" s="17">
        <f>IF(C625="","",MATCH(C625,'Lista - Inversor'!$AN:$AN,0)-2)</f>
        <v>49</v>
      </c>
    </row>
    <row r="626" spans="1:40" x14ac:dyDescent="0.35">
      <c r="A626" s="43" t="s">
        <v>678</v>
      </c>
      <c r="B626" s="17" t="str">
        <f t="shared" si="13"/>
        <v>REFUSOL 33K-2T</v>
      </c>
      <c r="C626" s="22" t="s">
        <v>2905</v>
      </c>
      <c r="AM626" s="17">
        <f>IF(A626="","",MATCH(A626,'Lista - Inversor'!$2:$2,0))</f>
        <v>40</v>
      </c>
      <c r="AN626" s="17">
        <f>IF(C626="","",MATCH(C626,'Lista - Inversor'!$AN:$AN,0)-2)</f>
        <v>50</v>
      </c>
    </row>
    <row r="627" spans="1:40" x14ac:dyDescent="0.35">
      <c r="A627" s="43" t="s">
        <v>703</v>
      </c>
      <c r="B627" s="17" t="str">
        <f t="shared" si="13"/>
        <v>NAC3K-SS</v>
      </c>
      <c r="C627" s="22" t="s">
        <v>2024</v>
      </c>
      <c r="AM627" s="17">
        <f>IF(A627="","",MATCH(A627,'Lista - Inversor'!$2:$2,0))</f>
        <v>41</v>
      </c>
      <c r="AN627" s="17">
        <f>IF(C627="","",MATCH(C627,'Lista - Inversor'!$AO:$AO,0)-2)</f>
        <v>1</v>
      </c>
    </row>
    <row r="628" spans="1:40" x14ac:dyDescent="0.35">
      <c r="A628" s="43" t="s">
        <v>703</v>
      </c>
      <c r="B628" s="17" t="str">
        <f t="shared" si="13"/>
        <v>NAC5K-DS</v>
      </c>
      <c r="C628" s="22" t="s">
        <v>2078</v>
      </c>
      <c r="AM628" s="17">
        <f>IF(A628="","",MATCH(A628,'Lista - Inversor'!$2:$2,0))</f>
        <v>41</v>
      </c>
      <c r="AN628" s="17">
        <f>IF(C628="","",MATCH(C628,'Lista - Inversor'!$AO:$AO,0)-2)</f>
        <v>2</v>
      </c>
    </row>
    <row r="629" spans="1:40" x14ac:dyDescent="0.35">
      <c r="A629" s="43" t="s">
        <v>703</v>
      </c>
      <c r="B629" s="17" t="str">
        <f t="shared" si="13"/>
        <v>NAC8K-DS</v>
      </c>
      <c r="C629" s="22" t="s">
        <v>2122</v>
      </c>
      <c r="AM629" s="17">
        <f>IF(A629="","",MATCH(A629,'Lista - Inversor'!$2:$2,0))</f>
        <v>41</v>
      </c>
      <c r="AN629" s="17">
        <f>IF(C629="","",MATCH(C629,'Lista - Inversor'!$AO:$AO,0)-2)</f>
        <v>3</v>
      </c>
    </row>
    <row r="630" spans="1:40" x14ac:dyDescent="0.35">
      <c r="A630" s="43" t="s">
        <v>703</v>
      </c>
      <c r="B630" s="17" t="str">
        <f t="shared" si="13"/>
        <v>NAC 33K-DT</v>
      </c>
      <c r="C630" s="22" t="s">
        <v>2164</v>
      </c>
      <c r="AM630" s="17">
        <f>IF(A630="","",MATCH(A630,'Lista - Inversor'!$2:$2,0))</f>
        <v>41</v>
      </c>
      <c r="AN630" s="17">
        <f>IF(C630="","",MATCH(C630,'Lista - Inversor'!$AO:$AO,0)-2)</f>
        <v>4</v>
      </c>
    </row>
    <row r="631" spans="1:40" x14ac:dyDescent="0.35">
      <c r="A631" s="43" t="s">
        <v>703</v>
      </c>
      <c r="B631" s="17" t="str">
        <f t="shared" si="13"/>
        <v>NAC25K-DT</v>
      </c>
      <c r="C631" s="22" t="s">
        <v>2203</v>
      </c>
      <c r="AM631" s="17">
        <f>IF(A631="","",MATCH(A631,'Lista - Inversor'!$2:$2,0))</f>
        <v>41</v>
      </c>
      <c r="AN631" s="17">
        <f>IF(C631="","",MATCH(C631,'Lista - Inversor'!$AO:$AO,0)-2)</f>
        <v>5</v>
      </c>
    </row>
    <row r="632" spans="1:40" x14ac:dyDescent="0.35">
      <c r="A632" s="43" t="s">
        <v>703</v>
      </c>
      <c r="B632" s="17" t="str">
        <f t="shared" si="13"/>
        <v>NAC20K-DT</v>
      </c>
      <c r="C632" s="22" t="s">
        <v>2237</v>
      </c>
      <c r="AM632" s="17">
        <f>IF(A632="","",MATCH(A632,'Lista - Inversor'!$2:$2,0))</f>
        <v>41</v>
      </c>
      <c r="AN632" s="17">
        <f>IF(C632="","",MATCH(C632,'Lista - Inversor'!$AO:$AO,0)-2)</f>
        <v>6</v>
      </c>
    </row>
    <row r="633" spans="1:40" x14ac:dyDescent="0.35">
      <c r="A633" s="43" t="s">
        <v>703</v>
      </c>
      <c r="B633" s="17" t="str">
        <f t="shared" si="13"/>
        <v>NAC15K-DT</v>
      </c>
      <c r="C633" s="22" t="s">
        <v>2270</v>
      </c>
      <c r="AM633" s="17">
        <f>IF(A633="","",MATCH(A633,'Lista - Inversor'!$2:$2,0))</f>
        <v>41</v>
      </c>
      <c r="AN633" s="17">
        <f>IF(C633="","",MATCH(C633,'Lista - Inversor'!$AO:$AO,0)-2)</f>
        <v>7</v>
      </c>
    </row>
    <row r="634" spans="1:40" x14ac:dyDescent="0.35">
      <c r="A634" s="43" t="s">
        <v>703</v>
      </c>
      <c r="B634" s="17" t="str">
        <f t="shared" si="13"/>
        <v>NAC60K</v>
      </c>
      <c r="C634" s="22" t="s">
        <v>2300</v>
      </c>
      <c r="AM634" s="17">
        <f>IF(A634="","",MATCH(A634,'Lista - Inversor'!$2:$2,0))</f>
        <v>41</v>
      </c>
      <c r="AN634" s="17">
        <f>IF(C634="","",MATCH(C634,'Lista - Inversor'!$AO:$AO,0)-2)</f>
        <v>8</v>
      </c>
    </row>
    <row r="635" spans="1:40" x14ac:dyDescent="0.35">
      <c r="A635" s="43" t="s">
        <v>703</v>
      </c>
      <c r="B635" s="17" t="str">
        <f t="shared" si="13"/>
        <v>R3-15K-DT</v>
      </c>
      <c r="C635" s="22" t="s">
        <v>2329</v>
      </c>
      <c r="AM635" s="17">
        <f>IF(A635="","",MATCH(A635,'Lista - Inversor'!$2:$2,0))</f>
        <v>41</v>
      </c>
      <c r="AN635" s="17">
        <f>IF(C635="","",MATCH(C635,'Lista - Inversor'!$AO:$AO,0)-2)</f>
        <v>9</v>
      </c>
    </row>
    <row r="636" spans="1:40" x14ac:dyDescent="0.35">
      <c r="A636" s="43" t="s">
        <v>703</v>
      </c>
      <c r="B636" s="17" t="str">
        <f t="shared" si="13"/>
        <v>NAC8K-DS</v>
      </c>
      <c r="C636" s="22" t="s">
        <v>2356</v>
      </c>
      <c r="AM636" s="17">
        <f>IF(A636="","",MATCH(A636,'Lista - Inversor'!$2:$2,0))</f>
        <v>41</v>
      </c>
      <c r="AN636" s="17">
        <f>IF(C636="","",MATCH(C636,'Lista - Inversor'!$AO:$AO,0)-2)</f>
        <v>10</v>
      </c>
    </row>
    <row r="637" spans="1:40" x14ac:dyDescent="0.35">
      <c r="A637" s="43" t="s">
        <v>703</v>
      </c>
      <c r="B637" s="17" t="str">
        <f t="shared" ref="B637:B700" si="14">RIGHT(C637,LEN(C637)-(FIND(" - ", C637)+2))</f>
        <v>R1-8K-DS</v>
      </c>
      <c r="C637" s="22" t="s">
        <v>2381</v>
      </c>
      <c r="AM637" s="17">
        <f>IF(A637="","",MATCH(A637,'Lista - Inversor'!$2:$2,0))</f>
        <v>41</v>
      </c>
      <c r="AN637" s="17">
        <f>IF(C637="","",MATCH(C637,'Lista - Inversor'!$AO:$AO,0)-2)</f>
        <v>11</v>
      </c>
    </row>
    <row r="638" spans="1:40" x14ac:dyDescent="0.35">
      <c r="A638" s="43" t="s">
        <v>703</v>
      </c>
      <c r="B638" s="17" t="str">
        <f t="shared" si="14"/>
        <v>R1-3K3-SS</v>
      </c>
      <c r="C638" s="22" t="s">
        <v>2406</v>
      </c>
      <c r="AM638" s="17">
        <f>IF(A638="","",MATCH(A638,'Lista - Inversor'!$2:$2,0))</f>
        <v>41</v>
      </c>
      <c r="AN638" s="17">
        <f>IF(C638="","",MATCH(C638,'Lista - Inversor'!$AO:$AO,0)-2)</f>
        <v>12</v>
      </c>
    </row>
    <row r="639" spans="1:40" x14ac:dyDescent="0.35">
      <c r="A639" s="43" t="s">
        <v>703</v>
      </c>
      <c r="B639" s="17" t="str">
        <f t="shared" si="14"/>
        <v>R1-10K5-DS</v>
      </c>
      <c r="C639" s="22" t="s">
        <v>2430</v>
      </c>
      <c r="AM639" s="17">
        <f>IF(A639="","",MATCH(A639,'Lista - Inversor'!$2:$2,0))</f>
        <v>41</v>
      </c>
      <c r="AN639" s="17">
        <f>IF(C639="","",MATCH(C639,'Lista - Inversor'!$AO:$AO,0)-2)</f>
        <v>13</v>
      </c>
    </row>
    <row r="640" spans="1:40" x14ac:dyDescent="0.35">
      <c r="A640" s="43" t="s">
        <v>703</v>
      </c>
      <c r="B640" s="17" t="str">
        <f t="shared" si="14"/>
        <v>NAC6K-DS</v>
      </c>
      <c r="C640" s="22" t="s">
        <v>2453</v>
      </c>
      <c r="AM640" s="17">
        <f>IF(A640="","",MATCH(A640,'Lista - Inversor'!$2:$2,0))</f>
        <v>41</v>
      </c>
      <c r="AN640" s="17">
        <f>IF(C640="","",MATCH(C640,'Lista - Inversor'!$AO:$AO,0)-2)</f>
        <v>14</v>
      </c>
    </row>
    <row r="641" spans="1:40" x14ac:dyDescent="0.35">
      <c r="A641" s="43" t="s">
        <v>703</v>
      </c>
      <c r="B641" s="17" t="str">
        <f t="shared" si="14"/>
        <v>NAC50K</v>
      </c>
      <c r="C641" s="22" t="s">
        <v>2476</v>
      </c>
      <c r="AM641" s="17">
        <f>IF(A641="","",MATCH(A641,'Lista - Inversor'!$2:$2,0))</f>
        <v>41</v>
      </c>
      <c r="AN641" s="17">
        <f>IF(C641="","",MATCH(C641,'Lista - Inversor'!$AO:$AO,0)-2)</f>
        <v>15</v>
      </c>
    </row>
    <row r="642" spans="1:40" x14ac:dyDescent="0.35">
      <c r="A642" s="43" t="s">
        <v>476</v>
      </c>
      <c r="B642" s="17" t="str">
        <f t="shared" si="14"/>
        <v>SF5KTN</v>
      </c>
      <c r="C642" s="22" t="s">
        <v>2025</v>
      </c>
      <c r="AM642" s="17">
        <f>IF(A642="","",MATCH(A642,'Lista - Inversor'!$2:$2,0))</f>
        <v>42</v>
      </c>
      <c r="AN642" s="17">
        <f>IF(C642="","",MATCH(C642,'Lista - Inversor'!$AP:$AP,0)-2)</f>
        <v>1</v>
      </c>
    </row>
    <row r="643" spans="1:40" x14ac:dyDescent="0.35">
      <c r="A643" s="43" t="s">
        <v>476</v>
      </c>
      <c r="B643" s="17" t="str">
        <f t="shared" si="14"/>
        <v>RENO 500</v>
      </c>
      <c r="C643" s="22" t="s">
        <v>2079</v>
      </c>
      <c r="D643" s="41" t="s">
        <v>477</v>
      </c>
      <c r="E643" s="17" t="s">
        <v>497</v>
      </c>
      <c r="F643" s="41" t="s">
        <v>498</v>
      </c>
      <c r="G643" s="41" t="s">
        <v>480</v>
      </c>
      <c r="H643" s="41" t="s">
        <v>481</v>
      </c>
      <c r="I643" s="41" t="s">
        <v>482</v>
      </c>
      <c r="J643" s="41" t="s">
        <v>294</v>
      </c>
      <c r="K643" s="41" t="s">
        <v>483</v>
      </c>
      <c r="M643" s="41" t="s">
        <v>499</v>
      </c>
      <c r="N643" s="41" t="s">
        <v>485</v>
      </c>
      <c r="O643" s="41" t="s">
        <v>486</v>
      </c>
      <c r="P643" s="41" t="s">
        <v>487</v>
      </c>
      <c r="Q643" s="41" t="s">
        <v>488</v>
      </c>
      <c r="R643" s="41" t="s">
        <v>481</v>
      </c>
      <c r="S643" s="41" t="s">
        <v>489</v>
      </c>
      <c r="T643" s="41" t="s">
        <v>490</v>
      </c>
      <c r="U643" s="41" t="s">
        <v>315</v>
      </c>
      <c r="V643" s="41" t="s">
        <v>304</v>
      </c>
      <c r="W643" s="41" t="s">
        <v>491</v>
      </c>
      <c r="Y643" s="41" t="s">
        <v>492</v>
      </c>
      <c r="Z643" s="41" t="s">
        <v>493</v>
      </c>
      <c r="AA643" s="41" t="s">
        <v>494</v>
      </c>
      <c r="AB643" s="41" t="s">
        <v>57</v>
      </c>
      <c r="AC643" s="41" t="s">
        <v>495</v>
      </c>
      <c r="AD643" s="41" t="s">
        <v>310</v>
      </c>
      <c r="AE643" s="41" t="s">
        <v>311</v>
      </c>
      <c r="AF643" s="41" t="s">
        <v>496</v>
      </c>
      <c r="AG643" s="41" t="s">
        <v>313</v>
      </c>
      <c r="AI643" s="41" t="s">
        <v>314</v>
      </c>
      <c r="AK643" s="22">
        <v>1</v>
      </c>
      <c r="AL643" s="22">
        <v>0.22</v>
      </c>
      <c r="AM643" s="17">
        <f>IF(A643="","",MATCH(A643,'Lista - Inversor'!$2:$2,0))</f>
        <v>42</v>
      </c>
      <c r="AN643" s="17">
        <f>IF(C643="","",MATCH(C643,'Lista - Inversor'!$AP:$AP,0)-2)</f>
        <v>2</v>
      </c>
    </row>
    <row r="644" spans="1:40" x14ac:dyDescent="0.35">
      <c r="A644" s="43" t="s">
        <v>476</v>
      </c>
      <c r="B644" s="17" t="str">
        <f t="shared" si="14"/>
        <v>RENO 3000HD</v>
      </c>
      <c r="C644" s="22" t="s">
        <v>2123</v>
      </c>
      <c r="AM644" s="17">
        <f>IF(A644="","",MATCH(A644,'Lista - Inversor'!$2:$2,0))</f>
        <v>42</v>
      </c>
      <c r="AN644" s="17">
        <f>IF(C644="","",MATCH(C644,'Lista - Inversor'!$AP:$AP,0)-2)</f>
        <v>3</v>
      </c>
    </row>
    <row r="645" spans="1:40" x14ac:dyDescent="0.35">
      <c r="A645" s="43" t="s">
        <v>476</v>
      </c>
      <c r="B645" s="17" t="str">
        <f t="shared" si="14"/>
        <v>RENO-4K PLUS</v>
      </c>
      <c r="C645" s="22" t="s">
        <v>2165</v>
      </c>
      <c r="AM645" s="17">
        <f>IF(A645="","",MATCH(A645,'Lista - Inversor'!$2:$2,0))</f>
        <v>42</v>
      </c>
      <c r="AN645" s="17">
        <f>IF(C645="","",MATCH(C645,'Lista - Inversor'!$AP:$AP,0)-2)</f>
        <v>4</v>
      </c>
    </row>
    <row r="646" spans="1:40" x14ac:dyDescent="0.35">
      <c r="A646" s="43" t="s">
        <v>476</v>
      </c>
      <c r="B646" s="17" t="str">
        <f t="shared" si="14"/>
        <v>B&amp;B POWER/SF5000TL</v>
      </c>
      <c r="C646" s="22" t="s">
        <v>2204</v>
      </c>
      <c r="AM646" s="17">
        <f>IF(A646="","",MATCH(A646,'Lista - Inversor'!$2:$2,0))</f>
        <v>42</v>
      </c>
      <c r="AN646" s="17">
        <f>IF(C646="","",MATCH(C646,'Lista - Inversor'!$AP:$AP,0)-2)</f>
        <v>5</v>
      </c>
    </row>
    <row r="647" spans="1:40" x14ac:dyDescent="0.35">
      <c r="A647" s="43" t="s">
        <v>476</v>
      </c>
      <c r="B647" s="17" t="str">
        <f t="shared" si="14"/>
        <v>RENO 30K-LV</v>
      </c>
      <c r="C647" s="22" t="s">
        <v>2238</v>
      </c>
      <c r="AM647" s="17">
        <f>IF(A647="","",MATCH(A647,'Lista - Inversor'!$2:$2,0))</f>
        <v>42</v>
      </c>
      <c r="AN647" s="17">
        <f>IF(C647="","",MATCH(C647,'Lista - Inversor'!$AP:$AP,0)-2)</f>
        <v>6</v>
      </c>
    </row>
    <row r="648" spans="1:40" x14ac:dyDescent="0.35">
      <c r="A648" s="43" t="s">
        <v>476</v>
      </c>
      <c r="B648" s="17" t="str">
        <f t="shared" si="14"/>
        <v>RENO 20K-LV</v>
      </c>
      <c r="C648" s="22" t="s">
        <v>2271</v>
      </c>
      <c r="AM648" s="17">
        <f>IF(A648="","",MATCH(A648,'Lista - Inversor'!$2:$2,0))</f>
        <v>42</v>
      </c>
      <c r="AN648" s="17">
        <f>IF(C648="","",MATCH(C648,'Lista - Inversor'!$AP:$AP,0)-2)</f>
        <v>7</v>
      </c>
    </row>
    <row r="649" spans="1:40" x14ac:dyDescent="0.35">
      <c r="A649" s="43" t="s">
        <v>476</v>
      </c>
      <c r="B649" s="17" t="str">
        <f t="shared" si="14"/>
        <v>5K PLUS</v>
      </c>
      <c r="C649" s="22" t="s">
        <v>2301</v>
      </c>
      <c r="AM649" s="17">
        <f>IF(A649="","",MATCH(A649,'Lista - Inversor'!$2:$2,0))</f>
        <v>42</v>
      </c>
      <c r="AN649" s="17">
        <f>IF(C649="","",MATCH(C649,'Lista - Inversor'!$AP:$AP,0)-2)</f>
        <v>8</v>
      </c>
    </row>
    <row r="650" spans="1:40" x14ac:dyDescent="0.35">
      <c r="A650" s="43" t="s">
        <v>476</v>
      </c>
      <c r="B650" s="17" t="str">
        <f t="shared" si="14"/>
        <v>RENO-60K</v>
      </c>
      <c r="C650" s="22" t="s">
        <v>2330</v>
      </c>
      <c r="AM650" s="17">
        <f>IF(A650="","",MATCH(A650,'Lista - Inversor'!$2:$2,0))</f>
        <v>42</v>
      </c>
      <c r="AN650" s="17">
        <f>IF(C650="","",MATCH(C650,'Lista - Inversor'!$AP:$AP,0)-2)</f>
        <v>9</v>
      </c>
    </row>
    <row r="651" spans="1:40" x14ac:dyDescent="0.35">
      <c r="A651" s="43" t="s">
        <v>476</v>
      </c>
      <c r="B651" s="17" t="str">
        <f t="shared" si="14"/>
        <v>SF3KTN</v>
      </c>
      <c r="C651" s="22" t="s">
        <v>2357</v>
      </c>
      <c r="AM651" s="17">
        <f>IF(A651="","",MATCH(A651,'Lista - Inversor'!$2:$2,0))</f>
        <v>42</v>
      </c>
      <c r="AN651" s="17">
        <f>IF(C651="","",MATCH(C651,'Lista - Inversor'!$AP:$AP,0)-2)</f>
        <v>10</v>
      </c>
    </row>
    <row r="652" spans="1:40" x14ac:dyDescent="0.35">
      <c r="A652" s="43" t="s">
        <v>476</v>
      </c>
      <c r="B652" s="17" t="str">
        <f t="shared" si="14"/>
        <v>RENO-10K</v>
      </c>
      <c r="C652" s="22" t="s">
        <v>2382</v>
      </c>
      <c r="AM652" s="17">
        <f>IF(A652="","",MATCH(A652,'Lista - Inversor'!$2:$2,0))</f>
        <v>42</v>
      </c>
      <c r="AN652" s="17">
        <f>IF(C652="","",MATCH(C652,'Lista - Inversor'!$AP:$AP,0)-2)</f>
        <v>11</v>
      </c>
    </row>
    <row r="653" spans="1:40" x14ac:dyDescent="0.35">
      <c r="A653" s="43" t="s">
        <v>476</v>
      </c>
      <c r="B653" s="17" t="str">
        <f t="shared" si="14"/>
        <v>RENO 50K</v>
      </c>
      <c r="C653" s="22" t="s">
        <v>2407</v>
      </c>
      <c r="AM653" s="17">
        <f>IF(A653="","",MATCH(A653,'Lista - Inversor'!$2:$2,0))</f>
        <v>42</v>
      </c>
      <c r="AN653" s="17">
        <f>IF(C653="","",MATCH(C653,'Lista - Inversor'!$AP:$AP,0)-2)</f>
        <v>12</v>
      </c>
    </row>
    <row r="654" spans="1:40" x14ac:dyDescent="0.35">
      <c r="A654" s="43" t="s">
        <v>476</v>
      </c>
      <c r="B654" s="17" t="str">
        <f t="shared" si="14"/>
        <v>RENO-560</v>
      </c>
      <c r="C654" s="22" t="s">
        <v>2431</v>
      </c>
      <c r="D654" s="41" t="s">
        <v>477</v>
      </c>
      <c r="E654" s="17" t="s">
        <v>478</v>
      </c>
      <c r="F654" s="41" t="s">
        <v>479</v>
      </c>
      <c r="G654" s="41" t="s">
        <v>480</v>
      </c>
      <c r="H654" s="41" t="s">
        <v>481</v>
      </c>
      <c r="I654" s="41" t="s">
        <v>482</v>
      </c>
      <c r="J654" s="41" t="s">
        <v>294</v>
      </c>
      <c r="K654" s="41" t="s">
        <v>483</v>
      </c>
      <c r="M654" s="41" t="s">
        <v>484</v>
      </c>
      <c r="N654" s="41" t="s">
        <v>485</v>
      </c>
      <c r="O654" s="41" t="s">
        <v>486</v>
      </c>
      <c r="P654" s="41" t="s">
        <v>487</v>
      </c>
      <c r="Q654" s="41" t="s">
        <v>488</v>
      </c>
      <c r="R654" s="41" t="s">
        <v>481</v>
      </c>
      <c r="S654" s="41" t="s">
        <v>489</v>
      </c>
      <c r="T654" s="41" t="s">
        <v>490</v>
      </c>
      <c r="U654" s="41" t="s">
        <v>315</v>
      </c>
      <c r="V654" s="41" t="s">
        <v>304</v>
      </c>
      <c r="W654" s="41" t="s">
        <v>491</v>
      </c>
      <c r="Y654" s="41" t="s">
        <v>492</v>
      </c>
      <c r="Z654" s="41" t="s">
        <v>493</v>
      </c>
      <c r="AA654" s="41" t="s">
        <v>494</v>
      </c>
      <c r="AB654" s="41" t="s">
        <v>57</v>
      </c>
      <c r="AC654" s="41" t="s">
        <v>495</v>
      </c>
      <c r="AD654" s="41" t="s">
        <v>310</v>
      </c>
      <c r="AE654" s="41" t="s">
        <v>311</v>
      </c>
      <c r="AF654" s="41" t="s">
        <v>496</v>
      </c>
      <c r="AG654" s="41" t="s">
        <v>313</v>
      </c>
      <c r="AI654" s="41" t="s">
        <v>314</v>
      </c>
      <c r="AK654" s="22">
        <v>1</v>
      </c>
      <c r="AL654" s="22">
        <v>0.22</v>
      </c>
      <c r="AM654" s="17">
        <f>IF(A654="","",MATCH(A654,'Lista - Inversor'!$2:$2,0))</f>
        <v>42</v>
      </c>
      <c r="AN654" s="17">
        <f>IF(C654="","",MATCH(C654,'Lista - Inversor'!$AP:$AP,0)-2)</f>
        <v>13</v>
      </c>
    </row>
    <row r="655" spans="1:40" x14ac:dyDescent="0.35">
      <c r="A655" s="43" t="s">
        <v>476</v>
      </c>
      <c r="B655" s="17" t="str">
        <f t="shared" si="14"/>
        <v>RENO 8K-PLUS</v>
      </c>
      <c r="C655" s="22" t="s">
        <v>2454</v>
      </c>
      <c r="AM655" s="17">
        <f>IF(A655="","",MATCH(A655,'Lista - Inversor'!$2:$2,0))</f>
        <v>42</v>
      </c>
      <c r="AN655" s="17">
        <f>IF(C655="","",MATCH(C655,'Lista - Inversor'!$AP:$AP,0)-2)</f>
        <v>14</v>
      </c>
    </row>
    <row r="656" spans="1:40" x14ac:dyDescent="0.35">
      <c r="A656" s="43" t="s">
        <v>476</v>
      </c>
      <c r="B656" s="17" t="str">
        <f t="shared" si="14"/>
        <v>RENO-3K PLUS</v>
      </c>
      <c r="C656" s="22" t="s">
        <v>2477</v>
      </c>
      <c r="AM656" s="17">
        <f>IF(A656="","",MATCH(A656,'Lista - Inversor'!$2:$2,0))</f>
        <v>42</v>
      </c>
      <c r="AN656" s="17">
        <f>IF(C656="","",MATCH(C656,'Lista - Inversor'!$AP:$AP,0)-2)</f>
        <v>15</v>
      </c>
    </row>
    <row r="657" spans="1:40" x14ac:dyDescent="0.35">
      <c r="A657" s="43" t="s">
        <v>476</v>
      </c>
      <c r="B657" s="17" t="str">
        <f t="shared" si="14"/>
        <v>RENO-8K</v>
      </c>
      <c r="C657" s="22" t="s">
        <v>2497</v>
      </c>
      <c r="AM657" s="17">
        <f>IF(A657="","",MATCH(A657,'Lista - Inversor'!$2:$2,0))</f>
        <v>42</v>
      </c>
      <c r="AN657" s="17">
        <f>IF(C657="","",MATCH(C657,'Lista - Inversor'!$AP:$AP,0)-2)</f>
        <v>16</v>
      </c>
    </row>
    <row r="658" spans="1:40" x14ac:dyDescent="0.35">
      <c r="A658" s="43" t="s">
        <v>476</v>
      </c>
      <c r="B658" s="17" t="str">
        <f t="shared" si="14"/>
        <v xml:space="preserve">RENO-5K-PLUS </v>
      </c>
      <c r="C658" s="22" t="s">
        <v>2517</v>
      </c>
      <c r="AM658" s="17">
        <f>IF(A658="","",MATCH(A658,'Lista - Inversor'!$2:$2,0))</f>
        <v>42</v>
      </c>
      <c r="AN658" s="17">
        <f>IF(C658="","",MATCH(C658,'Lista - Inversor'!$AP:$AP,0)-2)</f>
        <v>17</v>
      </c>
    </row>
    <row r="659" spans="1:40" x14ac:dyDescent="0.35">
      <c r="A659" s="43" t="s">
        <v>476</v>
      </c>
      <c r="B659" s="17" t="str">
        <f t="shared" si="14"/>
        <v>RENO-15K</v>
      </c>
      <c r="C659" s="22" t="s">
        <v>2537</v>
      </c>
      <c r="AM659" s="17">
        <f>IF(A659="","",MATCH(A659,'Lista - Inversor'!$2:$2,0))</f>
        <v>42</v>
      </c>
      <c r="AN659" s="17">
        <f>IF(C659="","",MATCH(C659,'Lista - Inversor'!$AP:$AP,0)-2)</f>
        <v>18</v>
      </c>
    </row>
    <row r="660" spans="1:40" x14ac:dyDescent="0.35">
      <c r="A660" s="43" t="s">
        <v>476</v>
      </c>
      <c r="B660" s="17" t="str">
        <f t="shared" si="14"/>
        <v>RENO560-LV</v>
      </c>
      <c r="C660" s="22" t="s">
        <v>2557</v>
      </c>
      <c r="AM660" s="17">
        <f>IF(A660="","",MATCH(A660,'Lista - Inversor'!$2:$2,0))</f>
        <v>42</v>
      </c>
      <c r="AN660" s="17">
        <f>IF(C660="","",MATCH(C660,'Lista - Inversor'!$AP:$AP,0)-2)</f>
        <v>19</v>
      </c>
    </row>
    <row r="661" spans="1:40" x14ac:dyDescent="0.35">
      <c r="A661" s="43" t="s">
        <v>476</v>
      </c>
      <c r="B661" s="17" t="str">
        <f t="shared" si="14"/>
        <v xml:space="preserve">RENO-75K-NG </v>
      </c>
      <c r="C661" s="22" t="s">
        <v>2577</v>
      </c>
      <c r="AM661" s="17">
        <f>IF(A661="","",MATCH(A661,'Lista - Inversor'!$2:$2,0))</f>
        <v>42</v>
      </c>
      <c r="AN661" s="17">
        <f>IF(C661="","",MATCH(C661,'Lista - Inversor'!$AP:$AP,0)-2)</f>
        <v>20</v>
      </c>
    </row>
    <row r="662" spans="1:40" x14ac:dyDescent="0.35">
      <c r="A662" s="43" t="s">
        <v>476</v>
      </c>
      <c r="B662" s="17" t="str">
        <f t="shared" si="14"/>
        <v>RENO-20K</v>
      </c>
      <c r="C662" s="22" t="s">
        <v>2596</v>
      </c>
      <c r="AM662" s="17">
        <f>IF(A662="","",MATCH(A662,'Lista - Inversor'!$2:$2,0))</f>
        <v>42</v>
      </c>
      <c r="AN662" s="17">
        <f>IF(C662="","",MATCH(C662,'Lista - Inversor'!$AP:$AP,0)-2)</f>
        <v>21</v>
      </c>
    </row>
    <row r="663" spans="1:40" x14ac:dyDescent="0.35">
      <c r="A663" s="43" t="s">
        <v>476</v>
      </c>
      <c r="B663" s="17" t="str">
        <f t="shared" si="14"/>
        <v>RENO-40K-NG</v>
      </c>
      <c r="C663" s="22" t="s">
        <v>2614</v>
      </c>
      <c r="AM663" s="17">
        <f>IF(A663="","",MATCH(A663,'Lista - Inversor'!$2:$2,0))</f>
        <v>42</v>
      </c>
      <c r="AN663" s="17">
        <f>IF(C663="","",MATCH(C663,'Lista - Inversor'!$AP:$AP,0)-2)</f>
        <v>22</v>
      </c>
    </row>
    <row r="664" spans="1:40" x14ac:dyDescent="0.35">
      <c r="A664" s="43" t="s">
        <v>476</v>
      </c>
      <c r="B664" s="17" t="str">
        <f t="shared" si="14"/>
        <v>RENO 4K PLUS</v>
      </c>
      <c r="C664" s="22" t="s">
        <v>2631</v>
      </c>
      <c r="AM664" s="17">
        <f>IF(A664="","",MATCH(A664,'Lista - Inversor'!$2:$2,0))</f>
        <v>42</v>
      </c>
      <c r="AN664" s="17">
        <f>IF(C664="","",MATCH(C664,'Lista - Inversor'!$AP:$AP,0)-2)</f>
        <v>23</v>
      </c>
    </row>
    <row r="665" spans="1:40" x14ac:dyDescent="0.35">
      <c r="A665" s="43" t="s">
        <v>476</v>
      </c>
      <c r="B665" s="17" t="str">
        <f t="shared" si="14"/>
        <v>RENO1300</v>
      </c>
      <c r="C665" s="22" t="s">
        <v>2648</v>
      </c>
      <c r="AM665" s="17">
        <f>IF(A665="","",MATCH(A665,'Lista - Inversor'!$2:$2,0))</f>
        <v>42</v>
      </c>
      <c r="AN665" s="17">
        <f>IF(C665="","",MATCH(C665,'Lista - Inversor'!$AP:$AP,0)-2)</f>
        <v>24</v>
      </c>
    </row>
    <row r="666" spans="1:40" x14ac:dyDescent="0.35">
      <c r="A666" s="43" t="s">
        <v>476</v>
      </c>
      <c r="B666" s="17" t="str">
        <f t="shared" si="14"/>
        <v>RENO-7.7K</v>
      </c>
      <c r="C666" s="22" t="s">
        <v>2664</v>
      </c>
      <c r="AM666" s="17">
        <f>IF(A666="","",MATCH(A666,'Lista - Inversor'!$2:$2,0))</f>
        <v>42</v>
      </c>
      <c r="AN666" s="17">
        <f>IF(C666="","",MATCH(C666,'Lista - Inversor'!$AP:$AP,0)-2)</f>
        <v>25</v>
      </c>
    </row>
    <row r="667" spans="1:40" x14ac:dyDescent="0.35">
      <c r="A667" s="43" t="s">
        <v>476</v>
      </c>
      <c r="B667" s="17" t="str">
        <f t="shared" si="14"/>
        <v>RENO 30K-NG</v>
      </c>
      <c r="C667" s="22" t="s">
        <v>2678</v>
      </c>
      <c r="AM667" s="17">
        <f>IF(A667="","",MATCH(A667,'Lista - Inversor'!$2:$2,0))</f>
        <v>42</v>
      </c>
      <c r="AN667" s="17">
        <f>IF(C667="","",MATCH(C667,'Lista - Inversor'!$AP:$AP,0)-2)</f>
        <v>26</v>
      </c>
    </row>
    <row r="668" spans="1:40" x14ac:dyDescent="0.35">
      <c r="A668" s="43" t="s">
        <v>523</v>
      </c>
      <c r="B668" s="17" t="str">
        <f t="shared" si="14"/>
        <v>SUNUNO PLUS 1K</v>
      </c>
      <c r="C668" s="22" t="s">
        <v>2026</v>
      </c>
      <c r="AM668" s="17">
        <f>IF(A668="","",MATCH(A668,'Lista - Inversor'!$2:$2,0))</f>
        <v>43</v>
      </c>
      <c r="AN668" s="17">
        <f>IF(C668="","",MATCH(C668,'Lista - Inversor'!$AQ:$AQ,0)-2)</f>
        <v>1</v>
      </c>
    </row>
    <row r="669" spans="1:40" x14ac:dyDescent="0.35">
      <c r="A669" s="43" t="s">
        <v>523</v>
      </c>
      <c r="B669" s="17" t="str">
        <f t="shared" si="14"/>
        <v>SUNUNO PLUS 1.5K</v>
      </c>
      <c r="C669" s="22" t="s">
        <v>2080</v>
      </c>
      <c r="AM669" s="17">
        <f>IF(A669="","",MATCH(A669,'Lista - Inversor'!$2:$2,0))</f>
        <v>43</v>
      </c>
      <c r="AN669" s="17">
        <f>IF(C669="","",MATCH(C669,'Lista - Inversor'!$AQ:$AQ,0)-2)</f>
        <v>2</v>
      </c>
    </row>
    <row r="670" spans="1:40" x14ac:dyDescent="0.35">
      <c r="A670" s="43" t="s">
        <v>523</v>
      </c>
      <c r="B670" s="17" t="str">
        <f t="shared" si="14"/>
        <v>SUNUNO PLUS 2K</v>
      </c>
      <c r="C670" s="22" t="s">
        <v>2124</v>
      </c>
      <c r="AM670" s="17">
        <f>IF(A670="","",MATCH(A670,'Lista - Inversor'!$2:$2,0))</f>
        <v>43</v>
      </c>
      <c r="AN670" s="17">
        <f>IF(C670="","",MATCH(C670,'Lista - Inversor'!$AQ:$AQ,0)-2)</f>
        <v>3</v>
      </c>
    </row>
    <row r="671" spans="1:40" x14ac:dyDescent="0.35">
      <c r="A671" s="43" t="s">
        <v>523</v>
      </c>
      <c r="B671" s="17" t="str">
        <f t="shared" si="14"/>
        <v>SUNUNO PLUS 2.5K</v>
      </c>
      <c r="C671" s="22" t="s">
        <v>2166</v>
      </c>
      <c r="AM671" s="17">
        <f>IF(A671="","",MATCH(A671,'Lista - Inversor'!$2:$2,0))</f>
        <v>43</v>
      </c>
      <c r="AN671" s="17">
        <f>IF(C671="","",MATCH(C671,'Lista - Inversor'!$AQ:$AQ,0)-2)</f>
        <v>4</v>
      </c>
    </row>
    <row r="672" spans="1:40" x14ac:dyDescent="0.35">
      <c r="A672" s="43" t="s">
        <v>523</v>
      </c>
      <c r="B672" s="17" t="str">
        <f t="shared" si="14"/>
        <v>SUNUNO PLUS 3K</v>
      </c>
      <c r="C672" s="22" t="s">
        <v>2205</v>
      </c>
      <c r="AM672" s="17">
        <f>IF(A672="","",MATCH(A672,'Lista - Inversor'!$2:$2,0))</f>
        <v>43</v>
      </c>
      <c r="AN672" s="17">
        <f>IF(C672="","",MATCH(C672,'Lista - Inversor'!$AQ:$AQ,0)-2)</f>
        <v>5</v>
      </c>
    </row>
    <row r="673" spans="1:40" x14ac:dyDescent="0.35">
      <c r="A673" s="43" t="s">
        <v>523</v>
      </c>
      <c r="B673" s="17" t="str">
        <f t="shared" si="14"/>
        <v>SUNUNO PLUS 3K-M</v>
      </c>
      <c r="C673" s="22" t="s">
        <v>2239</v>
      </c>
      <c r="AM673" s="17">
        <f>IF(A673="","",MATCH(A673,'Lista - Inversor'!$2:$2,0))</f>
        <v>43</v>
      </c>
      <c r="AN673" s="17">
        <f>IF(C673="","",MATCH(C673,'Lista - Inversor'!$AQ:$AQ,0)-2)</f>
        <v>6</v>
      </c>
    </row>
    <row r="674" spans="1:40" x14ac:dyDescent="0.35">
      <c r="A674" s="43" t="s">
        <v>523</v>
      </c>
      <c r="B674" s="17" t="str">
        <f t="shared" si="14"/>
        <v>SUNUNO PLUS 4K-M</v>
      </c>
      <c r="C674" s="22" t="s">
        <v>2272</v>
      </c>
      <c r="AM674" s="17">
        <f>IF(A674="","",MATCH(A674,'Lista - Inversor'!$2:$2,0))</f>
        <v>43</v>
      </c>
      <c r="AN674" s="17">
        <f>IF(C674="","",MATCH(C674,'Lista - Inversor'!$AQ:$AQ,0)-2)</f>
        <v>7</v>
      </c>
    </row>
    <row r="675" spans="1:40" x14ac:dyDescent="0.35">
      <c r="A675" s="43" t="s">
        <v>523</v>
      </c>
      <c r="B675" s="17" t="str">
        <f t="shared" si="14"/>
        <v>SUNUNO PLUS 5K-M</v>
      </c>
      <c r="C675" s="22" t="s">
        <v>2302</v>
      </c>
      <c r="AM675" s="17">
        <f>IF(A675="","",MATCH(A675,'Lista - Inversor'!$2:$2,0))</f>
        <v>43</v>
      </c>
      <c r="AN675" s="17">
        <f>IF(C675="","",MATCH(C675,'Lista - Inversor'!$AQ:$AQ,0)-2)</f>
        <v>8</v>
      </c>
    </row>
    <row r="676" spans="1:40" x14ac:dyDescent="0.35">
      <c r="A676" s="43" t="s">
        <v>523</v>
      </c>
      <c r="B676" s="17" t="str">
        <f t="shared" si="14"/>
        <v>SUNTRIO-TL15K</v>
      </c>
      <c r="C676" s="22" t="s">
        <v>2331</v>
      </c>
      <c r="AM676" s="17">
        <f>IF(A676="","",MATCH(A676,'Lista - Inversor'!$2:$2,0))</f>
        <v>43</v>
      </c>
      <c r="AN676" s="17">
        <f>IF(C676="","",MATCH(C676,'Lista - Inversor'!$AQ:$AQ,0)-2)</f>
        <v>9</v>
      </c>
    </row>
    <row r="677" spans="1:40" x14ac:dyDescent="0.35">
      <c r="A677" s="43" t="s">
        <v>523</v>
      </c>
      <c r="B677" s="17" t="str">
        <f t="shared" si="14"/>
        <v>SUNTRIO-TL 12K</v>
      </c>
      <c r="C677" s="22" t="s">
        <v>2358</v>
      </c>
      <c r="AM677" s="17">
        <f>IF(A677="","",MATCH(A677,'Lista - Inversor'!$2:$2,0))</f>
        <v>43</v>
      </c>
      <c r="AN677" s="17">
        <f>IF(C677="","",MATCH(C677,'Lista - Inversor'!$AQ:$AQ,0)-2)</f>
        <v>10</v>
      </c>
    </row>
    <row r="678" spans="1:40" x14ac:dyDescent="0.35">
      <c r="A678" s="43" t="s">
        <v>523</v>
      </c>
      <c r="B678" s="17" t="str">
        <f t="shared" si="14"/>
        <v>SUNTRIO-TL 17K</v>
      </c>
      <c r="C678" s="22" t="s">
        <v>2383</v>
      </c>
      <c r="AM678" s="17">
        <f>IF(A678="","",MATCH(A678,'Lista - Inversor'!$2:$2,0))</f>
        <v>43</v>
      </c>
      <c r="AN678" s="17">
        <f>IF(C678="","",MATCH(C678,'Lista - Inversor'!$AQ:$AQ,0)-2)</f>
        <v>11</v>
      </c>
    </row>
    <row r="679" spans="1:40" x14ac:dyDescent="0.35">
      <c r="A679" s="43" t="s">
        <v>523</v>
      </c>
      <c r="B679" s="17" t="str">
        <f t="shared" si="14"/>
        <v>SUNTRIO-TL 20K</v>
      </c>
      <c r="C679" s="22" t="s">
        <v>2408</v>
      </c>
      <c r="AM679" s="17">
        <f>IF(A679="","",MATCH(A679,'Lista - Inversor'!$2:$2,0))</f>
        <v>43</v>
      </c>
      <c r="AN679" s="17">
        <f>IF(C679="","",MATCH(C679,'Lista - Inversor'!$AQ:$AQ,0)-2)</f>
        <v>12</v>
      </c>
    </row>
    <row r="680" spans="1:40" x14ac:dyDescent="0.35">
      <c r="A680" s="43" t="s">
        <v>523</v>
      </c>
      <c r="B680" s="17" t="str">
        <f t="shared" si="14"/>
        <v>SUNTRIO PLUS 50K</v>
      </c>
      <c r="C680" s="22" t="s">
        <v>2432</v>
      </c>
      <c r="AM680" s="17">
        <f>IF(A680="","",MATCH(A680,'Lista - Inversor'!$2:$2,0))</f>
        <v>43</v>
      </c>
      <c r="AN680" s="17">
        <f>IF(C680="","",MATCH(C680,'Lista - Inversor'!$AQ:$AQ,0)-2)</f>
        <v>13</v>
      </c>
    </row>
    <row r="681" spans="1:40" x14ac:dyDescent="0.35">
      <c r="A681" s="43" t="s">
        <v>523</v>
      </c>
      <c r="B681" s="17" t="str">
        <f t="shared" si="14"/>
        <v>SUNTRIO PLUS 33K</v>
      </c>
      <c r="C681" s="22" t="s">
        <v>2455</v>
      </c>
      <c r="D681" s="41" t="s">
        <v>452</v>
      </c>
      <c r="E681" s="17" t="s">
        <v>47</v>
      </c>
      <c r="F681" s="41" t="s">
        <v>524</v>
      </c>
      <c r="G681" s="41" t="s">
        <v>525</v>
      </c>
      <c r="H681" s="41" t="s">
        <v>441</v>
      </c>
      <c r="I681" s="41" t="s">
        <v>504</v>
      </c>
      <c r="J681" s="41" t="s">
        <v>294</v>
      </c>
      <c r="K681" s="41" t="s">
        <v>295</v>
      </c>
      <c r="N681" s="41" t="s">
        <v>526</v>
      </c>
      <c r="P681" s="41" t="s">
        <v>444</v>
      </c>
      <c r="Q681" s="41" t="s">
        <v>414</v>
      </c>
      <c r="R681" s="41" t="s">
        <v>527</v>
      </c>
      <c r="S681" s="41" t="s">
        <v>445</v>
      </c>
      <c r="T681" s="41" t="s">
        <v>528</v>
      </c>
      <c r="U681" s="41" t="s">
        <v>353</v>
      </c>
      <c r="V681" s="41" t="s">
        <v>447</v>
      </c>
      <c r="W681" s="41" t="s">
        <v>529</v>
      </c>
      <c r="Y681" s="41" t="s">
        <v>530</v>
      </c>
      <c r="Z681" s="41" t="s">
        <v>531</v>
      </c>
      <c r="AA681" s="41" t="s">
        <v>532</v>
      </c>
      <c r="AB681" s="41" t="s">
        <v>533</v>
      </c>
      <c r="AC681" s="41" t="s">
        <v>534</v>
      </c>
      <c r="AD681" s="41" t="s">
        <v>310</v>
      </c>
      <c r="AE681" s="41" t="s">
        <v>535</v>
      </c>
      <c r="AF681" s="41" t="s">
        <v>312</v>
      </c>
      <c r="AG681" s="41" t="s">
        <v>313</v>
      </c>
      <c r="AH681" s="41" t="s">
        <v>384</v>
      </c>
      <c r="AM681" s="17">
        <f>IF(A681="","",MATCH(A681,'Lista - Inversor'!$2:$2,0))</f>
        <v>43</v>
      </c>
      <c r="AN681" s="17">
        <f>IF(C681="","",MATCH(C681,'Lista - Inversor'!$AQ:$AQ,0)-2)</f>
        <v>14</v>
      </c>
    </row>
    <row r="682" spans="1:40" x14ac:dyDescent="0.35">
      <c r="A682" s="43" t="s">
        <v>523</v>
      </c>
      <c r="B682" s="17" t="str">
        <f t="shared" si="14"/>
        <v>SUNTRIO PLUS 25K</v>
      </c>
      <c r="C682" s="22" t="s">
        <v>2478</v>
      </c>
      <c r="AM682" s="17">
        <f>IF(A682="","",MATCH(A682,'Lista - Inversor'!$2:$2,0))</f>
        <v>43</v>
      </c>
      <c r="AN682" s="17">
        <f>IF(C682="","",MATCH(C682,'Lista - Inversor'!$AQ:$AQ,0)-2)</f>
        <v>15</v>
      </c>
    </row>
    <row r="683" spans="1:40" x14ac:dyDescent="0.35">
      <c r="A683" s="43" t="s">
        <v>523</v>
      </c>
      <c r="B683" s="17" t="str">
        <f t="shared" si="14"/>
        <v>SANTORI TL40 PLUS</v>
      </c>
      <c r="C683" s="22" t="s">
        <v>2498</v>
      </c>
      <c r="AM683" s="17">
        <f>IF(A683="","",MATCH(A683,'Lista - Inversor'!$2:$2,0))</f>
        <v>43</v>
      </c>
      <c r="AN683" s="17">
        <f>IF(C683="","",MATCH(C683,'Lista - Inversor'!$AQ:$AQ,0)-2)</f>
        <v>16</v>
      </c>
    </row>
    <row r="684" spans="1:40" x14ac:dyDescent="0.35">
      <c r="A684" s="43" t="s">
        <v>523</v>
      </c>
      <c r="B684" s="17" t="str">
        <f t="shared" si="14"/>
        <v>SUNUNO PLUS 6K-M</v>
      </c>
      <c r="C684" s="22" t="s">
        <v>2518</v>
      </c>
      <c r="AM684" s="17">
        <f>IF(A684="","",MATCH(A684,'Lista - Inversor'!$2:$2,0))</f>
        <v>43</v>
      </c>
      <c r="AN684" s="17">
        <f>IF(C684="","",MATCH(C684,'Lista - Inversor'!$AQ:$AQ,0)-2)</f>
        <v>17</v>
      </c>
    </row>
    <row r="685" spans="1:40" x14ac:dyDescent="0.35">
      <c r="A685" s="43" t="s">
        <v>523</v>
      </c>
      <c r="B685" s="17" t="str">
        <f t="shared" si="14"/>
        <v>SAJ SUNTRIO PLUS 40K</v>
      </c>
      <c r="C685" s="22" t="s">
        <v>2538</v>
      </c>
      <c r="AM685" s="17">
        <f>IF(A685="","",MATCH(A685,'Lista - Inversor'!$2:$2,0))</f>
        <v>43</v>
      </c>
      <c r="AN685" s="17">
        <f>IF(C685="","",MATCH(C685,'Lista - Inversor'!$AQ:$AQ,0)-2)</f>
        <v>18</v>
      </c>
    </row>
    <row r="686" spans="1:40" x14ac:dyDescent="0.35">
      <c r="A686" s="43" t="s">
        <v>523</v>
      </c>
      <c r="B686" s="17" t="str">
        <f t="shared" si="14"/>
        <v>SUNTRIO PLUS 20K</v>
      </c>
      <c r="C686" s="22" t="s">
        <v>2558</v>
      </c>
      <c r="AM686" s="17">
        <f>IF(A686="","",MATCH(A686,'Lista - Inversor'!$2:$2,0))</f>
        <v>43</v>
      </c>
      <c r="AN686" s="17">
        <f>IF(C686="","",MATCH(C686,'Lista - Inversor'!$AQ:$AQ,0)-2)</f>
        <v>19</v>
      </c>
    </row>
    <row r="687" spans="1:40" x14ac:dyDescent="0.35">
      <c r="A687" s="43" t="s">
        <v>523</v>
      </c>
      <c r="B687" s="17" t="str">
        <f t="shared" si="14"/>
        <v xml:space="preserve">SUNTRIO PLUS 12K </v>
      </c>
      <c r="C687" s="22" t="s">
        <v>2578</v>
      </c>
      <c r="AM687" s="17">
        <f>IF(A687="","",MATCH(A687,'Lista - Inversor'!$2:$2,0))</f>
        <v>43</v>
      </c>
      <c r="AN687" s="17">
        <f>IF(C687="","",MATCH(C687,'Lista - Inversor'!$AQ:$AQ,0)-2)</f>
        <v>20</v>
      </c>
    </row>
    <row r="688" spans="1:40" x14ac:dyDescent="0.35">
      <c r="A688" s="43" t="s">
        <v>523</v>
      </c>
      <c r="B688" s="17" t="str">
        <f t="shared" si="14"/>
        <v>SUNTRIO PLUS 17KVA</v>
      </c>
      <c r="C688" s="22" t="s">
        <v>2597</v>
      </c>
      <c r="AM688" s="17">
        <f>IF(A688="","",MATCH(A688,'Lista - Inversor'!$2:$2,0))</f>
        <v>43</v>
      </c>
      <c r="AN688" s="17">
        <f>IF(C688="","",MATCH(C688,'Lista - Inversor'!$AQ:$AQ,0)-2)</f>
        <v>21</v>
      </c>
    </row>
    <row r="689" spans="1:40" x14ac:dyDescent="0.35">
      <c r="A689" s="43" t="s">
        <v>523</v>
      </c>
      <c r="B689" s="17" t="str">
        <f t="shared" si="14"/>
        <v>SUNUNO PLUS 6K-M</v>
      </c>
      <c r="C689" s="22" t="s">
        <v>2615</v>
      </c>
      <c r="AM689" s="17">
        <f>IF(A689="","",MATCH(A689,'Lista - Inversor'!$2:$2,0))</f>
        <v>43</v>
      </c>
      <c r="AN689" s="17">
        <f>IF(C689="","",MATCH(C689,'Lista - Inversor'!$AQ:$AQ,0)-2)</f>
        <v>22</v>
      </c>
    </row>
    <row r="690" spans="1:40" x14ac:dyDescent="0.35">
      <c r="A690" s="43" t="s">
        <v>523</v>
      </c>
      <c r="B690" s="17" t="str">
        <f t="shared" si="14"/>
        <v>SUNUNO PLUS 60K-M</v>
      </c>
      <c r="C690" s="22" t="s">
        <v>2632</v>
      </c>
      <c r="D690" s="41" t="s">
        <v>426</v>
      </c>
      <c r="E690" s="17" t="s">
        <v>360</v>
      </c>
      <c r="F690" s="41" t="s">
        <v>536</v>
      </c>
      <c r="G690" s="41" t="s">
        <v>537</v>
      </c>
      <c r="H690" s="41" t="s">
        <v>441</v>
      </c>
      <c r="I690" s="41" t="s">
        <v>504</v>
      </c>
      <c r="J690" s="41" t="s">
        <v>294</v>
      </c>
      <c r="K690" s="41" t="s">
        <v>295</v>
      </c>
      <c r="N690" s="41" t="s">
        <v>538</v>
      </c>
      <c r="P690" s="41" t="s">
        <v>375</v>
      </c>
      <c r="Q690" s="41" t="s">
        <v>539</v>
      </c>
      <c r="R690" s="41" t="s">
        <v>527</v>
      </c>
      <c r="S690" s="41" t="s">
        <v>445</v>
      </c>
      <c r="T690" s="41" t="s">
        <v>540</v>
      </c>
      <c r="U690" s="41" t="s">
        <v>353</v>
      </c>
      <c r="V690" s="41" t="s">
        <v>431</v>
      </c>
      <c r="W690" s="41" t="s">
        <v>541</v>
      </c>
      <c r="Y690" s="41" t="s">
        <v>542</v>
      </c>
      <c r="Z690" s="41" t="s">
        <v>543</v>
      </c>
      <c r="AA690" s="41" t="s">
        <v>532</v>
      </c>
      <c r="AB690" s="41" t="s">
        <v>533</v>
      </c>
      <c r="AC690" s="41" t="s">
        <v>534</v>
      </c>
      <c r="AD690" s="41" t="s">
        <v>310</v>
      </c>
      <c r="AE690" s="41" t="s">
        <v>535</v>
      </c>
      <c r="AF690" s="41" t="s">
        <v>312</v>
      </c>
      <c r="AG690" s="41" t="s">
        <v>313</v>
      </c>
      <c r="AH690" s="41" t="s">
        <v>384</v>
      </c>
      <c r="AM690" s="17">
        <f>IF(A690="","",MATCH(A690,'Lista - Inversor'!$2:$2,0))</f>
        <v>43</v>
      </c>
      <c r="AN690" s="17">
        <f>IF(C690="","",MATCH(C690,'Lista - Inversor'!$AQ:$AQ,0)-2)</f>
        <v>23</v>
      </c>
    </row>
    <row r="691" spans="1:40" x14ac:dyDescent="0.35">
      <c r="A691" s="43" t="s">
        <v>523</v>
      </c>
      <c r="B691" s="17" t="str">
        <f t="shared" si="14"/>
        <v>SUNTRIO PLUS 15K</v>
      </c>
      <c r="C691" s="22" t="s">
        <v>2649</v>
      </c>
      <c r="AM691" s="17">
        <f>IF(A691="","",MATCH(A691,'Lista - Inversor'!$2:$2,0))</f>
        <v>43</v>
      </c>
      <c r="AN691" s="17">
        <f>IF(C691="","",MATCH(C691,'Lista - Inversor'!$AQ:$AQ,0)-2)</f>
        <v>24</v>
      </c>
    </row>
    <row r="692" spans="1:40" x14ac:dyDescent="0.35">
      <c r="A692" s="43" t="s">
        <v>523</v>
      </c>
      <c r="B692" s="17" t="str">
        <f t="shared" si="14"/>
        <v>R5-8K-S2</v>
      </c>
      <c r="C692" s="22" t="s">
        <v>2665</v>
      </c>
      <c r="AM692" s="17">
        <f>IF(A692="","",MATCH(A692,'Lista - Inversor'!$2:$2,0))</f>
        <v>43</v>
      </c>
      <c r="AN692" s="17">
        <f>IF(C692="","",MATCH(C692,'Lista - Inversor'!$AQ:$AQ,0)-2)</f>
        <v>25</v>
      </c>
    </row>
    <row r="693" spans="1:40" x14ac:dyDescent="0.35">
      <c r="A693" s="43" t="s">
        <v>523</v>
      </c>
      <c r="B693" s="17" t="str">
        <f t="shared" si="14"/>
        <v>R5-3K-S2</v>
      </c>
      <c r="C693" s="22" t="s">
        <v>2679</v>
      </c>
      <c r="AM693" s="17">
        <f>IF(A693="","",MATCH(A693,'Lista - Inversor'!$2:$2,0))</f>
        <v>43</v>
      </c>
      <c r="AN693" s="17">
        <f>IF(C693="","",MATCH(C693,'Lista - Inversor'!$AQ:$AQ,0)-2)</f>
        <v>26</v>
      </c>
    </row>
    <row r="694" spans="1:40" x14ac:dyDescent="0.35">
      <c r="A694" s="43" t="s">
        <v>523</v>
      </c>
      <c r="B694" s="17" t="str">
        <f t="shared" si="14"/>
        <v>R5-5K-S2</v>
      </c>
      <c r="C694" s="22" t="s">
        <v>2692</v>
      </c>
      <c r="AM694" s="17">
        <f>IF(A694="","",MATCH(A694,'Lista - Inversor'!$2:$2,0))</f>
        <v>43</v>
      </c>
      <c r="AN694" s="17">
        <f>IF(C694="","",MATCH(C694,'Lista - Inversor'!$AQ:$AQ,0)-2)</f>
        <v>27</v>
      </c>
    </row>
    <row r="695" spans="1:40" x14ac:dyDescent="0.35">
      <c r="A695" s="43" t="s">
        <v>523</v>
      </c>
      <c r="B695" s="17" t="str">
        <f t="shared" si="14"/>
        <v>R5-7K-S2</v>
      </c>
      <c r="C695" s="22" t="s">
        <v>2705</v>
      </c>
      <c r="AM695" s="17">
        <f>IF(A695="","",MATCH(A695,'Lista - Inversor'!$2:$2,0))</f>
        <v>43</v>
      </c>
      <c r="AN695" s="17">
        <f>IF(C695="","",MATCH(C695,'Lista - Inversor'!$AQ:$AQ,0)-2)</f>
        <v>28</v>
      </c>
    </row>
    <row r="696" spans="1:40" x14ac:dyDescent="0.35">
      <c r="A696" s="43" t="s">
        <v>523</v>
      </c>
      <c r="B696" s="17" t="str">
        <f t="shared" si="14"/>
        <v>R5-4K-S2</v>
      </c>
      <c r="C696" s="22" t="s">
        <v>2718</v>
      </c>
      <c r="AM696" s="17">
        <f>IF(A696="","",MATCH(A696,'Lista - Inversor'!$2:$2,0))</f>
        <v>43</v>
      </c>
      <c r="AN696" s="17">
        <f>IF(C696="","",MATCH(C696,'Lista - Inversor'!$AQ:$AQ,0)-2)</f>
        <v>29</v>
      </c>
    </row>
    <row r="697" spans="1:40" x14ac:dyDescent="0.35">
      <c r="A697" s="43" t="s">
        <v>523</v>
      </c>
      <c r="B697" s="17" t="str">
        <f t="shared" si="14"/>
        <v>R5-6K-S2</v>
      </c>
      <c r="C697" s="22" t="s">
        <v>2731</v>
      </c>
      <c r="AM697" s="17">
        <f>IF(A697="","",MATCH(A697,'Lista - Inversor'!$2:$2,0))</f>
        <v>43</v>
      </c>
      <c r="AN697" s="17">
        <f>IF(C697="","",MATCH(C697,'Lista - Inversor'!$AQ:$AQ,0)-2)</f>
        <v>30</v>
      </c>
    </row>
    <row r="698" spans="1:40" x14ac:dyDescent="0.35">
      <c r="A698" s="43" t="s">
        <v>523</v>
      </c>
      <c r="B698" s="17" t="str">
        <f t="shared" si="14"/>
        <v>R5-2K-S1</v>
      </c>
      <c r="C698" s="22" t="s">
        <v>2743</v>
      </c>
      <c r="AM698" s="17">
        <f>IF(A698="","",MATCH(A698,'Lista - Inversor'!$2:$2,0))</f>
        <v>43</v>
      </c>
      <c r="AN698" s="17">
        <f>IF(C698="","",MATCH(C698,'Lista - Inversor'!$AQ:$AQ,0)-2)</f>
        <v>31</v>
      </c>
    </row>
    <row r="699" spans="1:40" x14ac:dyDescent="0.35">
      <c r="A699" s="43" t="s">
        <v>523</v>
      </c>
      <c r="B699" s="17" t="str">
        <f t="shared" si="14"/>
        <v>RS-3K-S1</v>
      </c>
      <c r="C699" s="22" t="s">
        <v>2755</v>
      </c>
      <c r="AM699" s="17">
        <f>IF(A699="","",MATCH(A699,'Lista - Inversor'!$2:$2,0))</f>
        <v>43</v>
      </c>
      <c r="AN699" s="17">
        <f>IF(C699="","",MATCH(C699,'Lista - Inversor'!$AQ:$AQ,0)-2)</f>
        <v>32</v>
      </c>
    </row>
    <row r="700" spans="1:40" x14ac:dyDescent="0.35">
      <c r="A700" s="43" t="s">
        <v>523</v>
      </c>
      <c r="B700" s="17" t="str">
        <f t="shared" si="14"/>
        <v>R5-10K-T2</v>
      </c>
      <c r="C700" s="22" t="s">
        <v>2767</v>
      </c>
      <c r="AM700" s="17">
        <f>IF(A700="","",MATCH(A700,'Lista - Inversor'!$2:$2,0))</f>
        <v>43</v>
      </c>
      <c r="AN700" s="17">
        <f>IF(C700="","",MATCH(C700,'Lista - Inversor'!$AQ:$AQ,0)-2)</f>
        <v>33</v>
      </c>
    </row>
    <row r="701" spans="1:40" x14ac:dyDescent="0.35">
      <c r="A701" s="43" t="s">
        <v>523</v>
      </c>
      <c r="B701" s="17" t="str">
        <f t="shared" ref="B701:B764" si="15">RIGHT(C701,LEN(C701)-(FIND(" - ", C701)+2))</f>
        <v>R5-15K-T2</v>
      </c>
      <c r="C701" s="22" t="s">
        <v>2779</v>
      </c>
      <c r="AM701" s="17">
        <f>IF(A701="","",MATCH(A701,'Lista - Inversor'!$2:$2,0))</f>
        <v>43</v>
      </c>
      <c r="AN701" s="17">
        <f>IF(C701="","",MATCH(C701,'Lista - Inversor'!$AQ:$AQ,0)-2)</f>
        <v>34</v>
      </c>
    </row>
    <row r="702" spans="1:40" x14ac:dyDescent="0.35">
      <c r="A702" s="43" t="s">
        <v>523</v>
      </c>
      <c r="B702" s="17" t="str">
        <f t="shared" si="15"/>
        <v>SUNTRIO PLUS 25K-LV</v>
      </c>
      <c r="C702" s="22" t="s">
        <v>2790</v>
      </c>
      <c r="AM702" s="17">
        <f>IF(A702="","",MATCH(A702,'Lista - Inversor'!$2:$2,0))</f>
        <v>43</v>
      </c>
      <c r="AN702" s="17">
        <f>IF(C702="","",MATCH(C702,'Lista - Inversor'!$AQ:$AQ,0)-2)</f>
        <v>35</v>
      </c>
    </row>
    <row r="703" spans="1:40" x14ac:dyDescent="0.35">
      <c r="A703" s="43" t="s">
        <v>523</v>
      </c>
      <c r="B703" s="17" t="str">
        <f t="shared" si="15"/>
        <v>R5-20K-T2</v>
      </c>
      <c r="C703" s="22" t="s">
        <v>2801</v>
      </c>
      <c r="AM703" s="17">
        <f>IF(A703="","",MATCH(A703,'Lista - Inversor'!$2:$2,0))</f>
        <v>43</v>
      </c>
      <c r="AN703" s="17">
        <f>IF(C703="","",MATCH(C703,'Lista - Inversor'!$AQ:$AQ,0)-2)</f>
        <v>36</v>
      </c>
    </row>
    <row r="704" spans="1:40" x14ac:dyDescent="0.35">
      <c r="A704" s="43" t="s">
        <v>1976</v>
      </c>
      <c r="B704" s="17" t="str">
        <f t="shared" si="15"/>
        <v>SE3KTL-S1</v>
      </c>
      <c r="C704" s="22" t="s">
        <v>2027</v>
      </c>
      <c r="AM704" s="17">
        <f>IF(A704="","",MATCH(A704,'Lista - Inversor'!$2:$2,0))</f>
        <v>44</v>
      </c>
      <c r="AN704" s="17">
        <f>IF(C704="","",MATCH(C704,'Lista - Inversor'!$AR:$AR,0)-2)</f>
        <v>1</v>
      </c>
    </row>
    <row r="705" spans="1:40" x14ac:dyDescent="0.35">
      <c r="A705" s="43" t="s">
        <v>693</v>
      </c>
      <c r="B705" s="17" t="str">
        <f t="shared" si="15"/>
        <v>TOURIGA 3000 26 Z</v>
      </c>
      <c r="C705" s="22" t="s">
        <v>2028</v>
      </c>
      <c r="AM705" s="17">
        <f>IF(A705="","",MATCH(A705,'Lista - Inversor'!$2:$2,0))</f>
        <v>45</v>
      </c>
      <c r="AN705" s="17">
        <f>IF(C705="","",MATCH(C705,'Lista - Inversor'!$AS:$AS,0)-2)</f>
        <v>1</v>
      </c>
    </row>
    <row r="706" spans="1:40" x14ac:dyDescent="0.35">
      <c r="A706" s="43" t="s">
        <v>676</v>
      </c>
      <c r="B706" s="17" t="str">
        <f t="shared" si="15"/>
        <v>SUNNY BOY 3.0</v>
      </c>
      <c r="C706" s="22" t="s">
        <v>2029</v>
      </c>
      <c r="AM706" s="17">
        <f>IF(A706="","",MATCH(A706,'Lista - Inversor'!$2:$2,0))</f>
        <v>46</v>
      </c>
      <c r="AN706" s="17">
        <f>IF(C706="","",MATCH(C706,'Lista - Inversor'!$AT:$AT,0)-2)</f>
        <v>1</v>
      </c>
    </row>
    <row r="707" spans="1:40" x14ac:dyDescent="0.35">
      <c r="A707" s="43" t="s">
        <v>676</v>
      </c>
      <c r="B707" s="17" t="str">
        <f t="shared" si="15"/>
        <v>SUNNY BOY 3.6</v>
      </c>
      <c r="C707" s="22" t="s">
        <v>2081</v>
      </c>
      <c r="AM707" s="17">
        <f>IF(A707="","",MATCH(A707,'Lista - Inversor'!$2:$2,0))</f>
        <v>46</v>
      </c>
      <c r="AN707" s="17">
        <f>IF(C707="","",MATCH(C707,'Lista - Inversor'!$AT:$AT,0)-2)</f>
        <v>2</v>
      </c>
    </row>
    <row r="708" spans="1:40" x14ac:dyDescent="0.35">
      <c r="A708" s="43" t="s">
        <v>676</v>
      </c>
      <c r="B708" s="17" t="str">
        <f t="shared" si="15"/>
        <v>SUNNY BOY 4.0</v>
      </c>
      <c r="C708" s="22" t="s">
        <v>2125</v>
      </c>
      <c r="AM708" s="17">
        <f>IF(A708="","",MATCH(A708,'Lista - Inversor'!$2:$2,0))</f>
        <v>46</v>
      </c>
      <c r="AN708" s="17">
        <f>IF(C708="","",MATCH(C708,'Lista - Inversor'!$AT:$AT,0)-2)</f>
        <v>3</v>
      </c>
    </row>
    <row r="709" spans="1:40" x14ac:dyDescent="0.35">
      <c r="A709" s="43" t="s">
        <v>676</v>
      </c>
      <c r="B709" s="17" t="str">
        <f t="shared" si="15"/>
        <v>SUNNY BOY 5.0</v>
      </c>
      <c r="C709" s="22" t="s">
        <v>2167</v>
      </c>
      <c r="AM709" s="17">
        <f>IF(A709="","",MATCH(A709,'Lista - Inversor'!$2:$2,0))</f>
        <v>46</v>
      </c>
      <c r="AN709" s="17">
        <f>IF(C709="","",MATCH(C709,'Lista - Inversor'!$AT:$AT,0)-2)</f>
        <v>4</v>
      </c>
    </row>
    <row r="710" spans="1:40" x14ac:dyDescent="0.35">
      <c r="A710" s="43" t="s">
        <v>676</v>
      </c>
      <c r="B710" s="17" t="str">
        <f t="shared" si="15"/>
        <v>SUNNY BOY 1.5</v>
      </c>
      <c r="C710" s="22" t="s">
        <v>2206</v>
      </c>
      <c r="AM710" s="17">
        <f>IF(A710="","",MATCH(A710,'Lista - Inversor'!$2:$2,0))</f>
        <v>46</v>
      </c>
      <c r="AN710" s="17">
        <f>IF(C710="","",MATCH(C710,'Lista - Inversor'!$AT:$AT,0)-2)</f>
        <v>5</v>
      </c>
    </row>
    <row r="711" spans="1:40" x14ac:dyDescent="0.35">
      <c r="A711" s="43" t="s">
        <v>676</v>
      </c>
      <c r="B711" s="17" t="str">
        <f t="shared" si="15"/>
        <v>SUNNY BOY 2.5</v>
      </c>
      <c r="C711" s="22" t="s">
        <v>2240</v>
      </c>
      <c r="AM711" s="17">
        <f>IF(A711="","",MATCH(A711,'Lista - Inversor'!$2:$2,0))</f>
        <v>46</v>
      </c>
      <c r="AN711" s="17">
        <f>IF(C711="","",MATCH(C711,'Lista - Inversor'!$AT:$AT,0)-2)</f>
        <v>6</v>
      </c>
    </row>
    <row r="712" spans="1:40" x14ac:dyDescent="0.35">
      <c r="A712" s="43" t="s">
        <v>676</v>
      </c>
      <c r="B712" s="17" t="str">
        <f t="shared" si="15"/>
        <v>SUNNY TRIPOWER 60</v>
      </c>
      <c r="C712" s="22" t="s">
        <v>2273</v>
      </c>
      <c r="AM712" s="17">
        <f>IF(A712="","",MATCH(A712,'Lista - Inversor'!$2:$2,0))</f>
        <v>46</v>
      </c>
      <c r="AN712" s="17">
        <f>IF(C712="","",MATCH(C712,'Lista - Inversor'!$AT:$AT,0)-2)</f>
        <v>7</v>
      </c>
    </row>
    <row r="713" spans="1:40" x14ac:dyDescent="0.35">
      <c r="A713" s="43" t="s">
        <v>676</v>
      </c>
      <c r="B713" s="17" t="str">
        <f t="shared" si="15"/>
        <v>SUNNY TRIPOWER 20000TL</v>
      </c>
      <c r="C713" s="22" t="s">
        <v>2303</v>
      </c>
      <c r="AM713" s="17">
        <f>IF(A713="","",MATCH(A713,'Lista - Inversor'!$2:$2,0))</f>
        <v>46</v>
      </c>
      <c r="AN713" s="17">
        <f>IF(C713="","",MATCH(C713,'Lista - Inversor'!$AT:$AT,0)-2)</f>
        <v>8</v>
      </c>
    </row>
    <row r="714" spans="1:40" x14ac:dyDescent="0.35">
      <c r="A714" s="43" t="s">
        <v>676</v>
      </c>
      <c r="B714" s="17" t="str">
        <f t="shared" si="15"/>
        <v>SUNNY TRIPOWER CORE1 STP 50-40</v>
      </c>
      <c r="C714" s="22" t="s">
        <v>2332</v>
      </c>
      <c r="AM714" s="17">
        <f>IF(A714="","",MATCH(A714,'Lista - Inversor'!$2:$2,0))</f>
        <v>46</v>
      </c>
      <c r="AN714" s="17">
        <f>IF(C714="","",MATCH(C714,'Lista - Inversor'!$AT:$AT,0)-2)</f>
        <v>9</v>
      </c>
    </row>
    <row r="715" spans="1:40" x14ac:dyDescent="0.35">
      <c r="A715" s="43" t="s">
        <v>676</v>
      </c>
      <c r="B715" s="17" t="str">
        <f t="shared" si="15"/>
        <v>SB4.0-1AV-40</v>
      </c>
      <c r="C715" s="22" t="s">
        <v>2359</v>
      </c>
      <c r="AM715" s="17">
        <f>IF(A715="","",MATCH(A715,'Lista - Inversor'!$2:$2,0))</f>
        <v>46</v>
      </c>
      <c r="AN715" s="17">
        <f>IF(C715="","",MATCH(C715,'Lista - Inversor'!$AT:$AT,0)-2)</f>
        <v>10</v>
      </c>
    </row>
    <row r="716" spans="1:40" x14ac:dyDescent="0.35">
      <c r="A716" s="43" t="s">
        <v>676</v>
      </c>
      <c r="B716" s="17" t="str">
        <f t="shared" si="15"/>
        <v>SB3.0-1AV-40</v>
      </c>
      <c r="C716" s="22" t="s">
        <v>2384</v>
      </c>
      <c r="AM716" s="17">
        <f>IF(A716="","",MATCH(A716,'Lista - Inversor'!$2:$2,0))</f>
        <v>46</v>
      </c>
      <c r="AN716" s="17">
        <f>IF(C716="","",MATCH(C716,'Lista - Inversor'!$AT:$AT,0)-2)</f>
        <v>11</v>
      </c>
    </row>
    <row r="717" spans="1:40" x14ac:dyDescent="0.35">
      <c r="A717" s="43" t="s">
        <v>676</v>
      </c>
      <c r="B717" s="17" t="str">
        <f t="shared" si="15"/>
        <v>SHP75-10 75KW</v>
      </c>
      <c r="C717" s="22" t="s">
        <v>2409</v>
      </c>
      <c r="AM717" s="17">
        <f>IF(A717="","",MATCH(A717,'Lista - Inversor'!$2:$2,0))</f>
        <v>46</v>
      </c>
      <c r="AN717" s="17">
        <f>IF(C717="","",MATCH(C717,'Lista - Inversor'!$AT:$AT,0)-2)</f>
        <v>12</v>
      </c>
    </row>
    <row r="718" spans="1:40" x14ac:dyDescent="0.35">
      <c r="A718" s="43" t="s">
        <v>676</v>
      </c>
      <c r="B718" s="17" t="str">
        <f t="shared" si="15"/>
        <v>SB5.0-1AV-40</v>
      </c>
      <c r="C718" s="22" t="s">
        <v>2433</v>
      </c>
      <c r="AM718" s="17">
        <f>IF(A718="","",MATCH(A718,'Lista - Inversor'!$2:$2,0))</f>
        <v>46</v>
      </c>
      <c r="AN718" s="17">
        <f>IF(C718="","",MATCH(C718,'Lista - Inversor'!$AT:$AT,0)-2)</f>
        <v>13</v>
      </c>
    </row>
    <row r="719" spans="1:40" x14ac:dyDescent="0.35">
      <c r="A719" s="43" t="s">
        <v>676</v>
      </c>
      <c r="B719" s="17" t="str">
        <f t="shared" si="15"/>
        <v>SUNNY TRIPOWER 50</v>
      </c>
      <c r="C719" s="22" t="s">
        <v>2456</v>
      </c>
      <c r="AM719" s="17">
        <f>IF(A719="","",MATCH(A719,'Lista - Inversor'!$2:$2,0))</f>
        <v>46</v>
      </c>
      <c r="AN719" s="17">
        <f>IF(C719="","",MATCH(C719,'Lista - Inversor'!$AT:$AT,0)-2)</f>
        <v>14</v>
      </c>
    </row>
    <row r="720" spans="1:40" x14ac:dyDescent="0.35">
      <c r="A720" s="43" t="s">
        <v>676</v>
      </c>
      <c r="B720" s="17" t="str">
        <f t="shared" si="15"/>
        <v>15000 TL</v>
      </c>
      <c r="C720" s="22" t="s">
        <v>2479</v>
      </c>
      <c r="AM720" s="17">
        <f>IF(A720="","",MATCH(A720,'Lista - Inversor'!$2:$2,0))</f>
        <v>46</v>
      </c>
      <c r="AN720" s="17">
        <f>IF(C720="","",MATCH(C720,'Lista - Inversor'!$AT:$AT,0)-2)</f>
        <v>15</v>
      </c>
    </row>
    <row r="721" spans="1:40" x14ac:dyDescent="0.35">
      <c r="A721" s="43" t="s">
        <v>676</v>
      </c>
      <c r="B721" s="17" t="str">
        <f t="shared" si="15"/>
        <v>SB2.5-1VL-40</v>
      </c>
      <c r="C721" s="22" t="s">
        <v>2499</v>
      </c>
      <c r="AM721" s="17">
        <f>IF(A721="","",MATCH(A721,'Lista - Inversor'!$2:$2,0))</f>
        <v>46</v>
      </c>
      <c r="AN721" s="17">
        <f>IF(C721="","",MATCH(C721,'Lista - Inversor'!$AT:$AT,0)-2)</f>
        <v>16</v>
      </c>
    </row>
    <row r="722" spans="1:40" x14ac:dyDescent="0.35">
      <c r="A722" s="43" t="s">
        <v>676</v>
      </c>
      <c r="B722" s="17" t="str">
        <f t="shared" si="15"/>
        <v>SUNNY BOY 6KW</v>
      </c>
      <c r="C722" s="22" t="s">
        <v>2519</v>
      </c>
      <c r="AM722" s="17">
        <f>IF(A722="","",MATCH(A722,'Lista - Inversor'!$2:$2,0))</f>
        <v>46</v>
      </c>
      <c r="AN722" s="17">
        <f>IF(C722="","",MATCH(C722,'Lista - Inversor'!$AT:$AT,0)-2)</f>
        <v>17</v>
      </c>
    </row>
    <row r="723" spans="1:40" x14ac:dyDescent="0.35">
      <c r="A723" s="43" t="s">
        <v>676</v>
      </c>
      <c r="B723" s="17" t="str">
        <f t="shared" si="15"/>
        <v>SUNNY TRIPOWER 25000TL</v>
      </c>
      <c r="C723" s="22" t="s">
        <v>2539</v>
      </c>
      <c r="AM723" s="17">
        <f>IF(A723="","",MATCH(A723,'Lista - Inversor'!$2:$2,0))</f>
        <v>46</v>
      </c>
      <c r="AN723" s="17">
        <f>IF(C723="","",MATCH(C723,'Lista - Inversor'!$AT:$AT,0)-2)</f>
        <v>18</v>
      </c>
    </row>
    <row r="724" spans="1:40" x14ac:dyDescent="0.35">
      <c r="A724" s="43" t="s">
        <v>676</v>
      </c>
      <c r="B724" s="17" t="str">
        <f t="shared" si="15"/>
        <v xml:space="preserve">SUNNY HIGHPOWER PEAK1 </v>
      </c>
      <c r="C724" s="22" t="s">
        <v>2559</v>
      </c>
      <c r="AM724" s="17">
        <f>IF(A724="","",MATCH(A724,'Lista - Inversor'!$2:$2,0))</f>
        <v>46</v>
      </c>
      <c r="AN724" s="17">
        <f>IF(C724="","",MATCH(C724,'Lista - Inversor'!$AT:$AT,0)-2)</f>
        <v>19</v>
      </c>
    </row>
    <row r="725" spans="1:40" x14ac:dyDescent="0.35">
      <c r="A725" s="43" t="s">
        <v>676</v>
      </c>
      <c r="B725" s="17" t="str">
        <f t="shared" si="15"/>
        <v>SB4.0.1AV-41</v>
      </c>
      <c r="C725" s="22" t="s">
        <v>2579</v>
      </c>
      <c r="AM725" s="17">
        <f>IF(A725="","",MATCH(A725,'Lista - Inversor'!$2:$2,0))</f>
        <v>46</v>
      </c>
      <c r="AN725" s="17">
        <f>IF(C725="","",MATCH(C725,'Lista - Inversor'!$AT:$AT,0)-2)</f>
        <v>20</v>
      </c>
    </row>
    <row r="726" spans="1:40" x14ac:dyDescent="0.35">
      <c r="A726" s="43" t="s">
        <v>676</v>
      </c>
      <c r="B726" s="17" t="str">
        <f t="shared" si="15"/>
        <v>SUNNY BOY 6.0</v>
      </c>
      <c r="C726" s="22" t="s">
        <v>2598</v>
      </c>
      <c r="AM726" s="17">
        <f>IF(A726="","",MATCH(A726,'Lista - Inversor'!$2:$2,0))</f>
        <v>46</v>
      </c>
      <c r="AN726" s="17">
        <f>IF(C726="","",MATCH(C726,'Lista - Inversor'!$AT:$AT,0)-2)</f>
        <v>21</v>
      </c>
    </row>
    <row r="727" spans="1:40" x14ac:dyDescent="0.35">
      <c r="A727" s="43" t="s">
        <v>676</v>
      </c>
      <c r="B727" s="17" t="str">
        <f t="shared" si="15"/>
        <v>SUNNY TRIPOWER CORE 1 STP 50-40</v>
      </c>
      <c r="C727" s="22" t="s">
        <v>2616</v>
      </c>
      <c r="AM727" s="17">
        <f>IF(A727="","",MATCH(A727,'Lista - Inversor'!$2:$2,0))</f>
        <v>46</v>
      </c>
      <c r="AN727" s="17">
        <f>IF(C727="","",MATCH(C727,'Lista - Inversor'!$AT:$AT,0)-2)</f>
        <v>22</v>
      </c>
    </row>
    <row r="728" spans="1:40" x14ac:dyDescent="0.35">
      <c r="A728" s="43" t="s">
        <v>676</v>
      </c>
      <c r="B728" s="17" t="str">
        <f t="shared" si="15"/>
        <v>SB6.0-1AV-41</v>
      </c>
      <c r="C728" s="22" t="s">
        <v>2633</v>
      </c>
      <c r="AM728" s="17">
        <f>IF(A728="","",MATCH(A728,'Lista - Inversor'!$2:$2,0))</f>
        <v>46</v>
      </c>
      <c r="AN728" s="17">
        <f>IF(C728="","",MATCH(C728,'Lista - Inversor'!$AT:$AT,0)-2)</f>
        <v>23</v>
      </c>
    </row>
    <row r="729" spans="1:40" x14ac:dyDescent="0.35">
      <c r="A729" s="43" t="s">
        <v>676</v>
      </c>
      <c r="B729" s="17" t="str">
        <f t="shared" si="15"/>
        <v>SB5.0-1AV-41</v>
      </c>
      <c r="C729" s="22" t="s">
        <v>2650</v>
      </c>
      <c r="AM729" s="17">
        <f>IF(A729="","",MATCH(A729,'Lista - Inversor'!$2:$2,0))</f>
        <v>46</v>
      </c>
      <c r="AN729" s="17">
        <f>IF(C729="","",MATCH(C729,'Lista - Inversor'!$AT:$AT,0)-2)</f>
        <v>24</v>
      </c>
    </row>
    <row r="730" spans="1:40" x14ac:dyDescent="0.35">
      <c r="A730" s="43" t="s">
        <v>686</v>
      </c>
      <c r="B730" s="17" t="str">
        <f t="shared" si="15"/>
        <v>3KTLM-G2</v>
      </c>
      <c r="C730" s="22" t="s">
        <v>2030</v>
      </c>
      <c r="AM730" s="17">
        <f>IF(A730="","",MATCH(A730,'Lista - Inversor'!$2:$2,0))</f>
        <v>47</v>
      </c>
      <c r="AN730" s="17">
        <f>IF(C730="","",MATCH(C730,'Lista - Inversor'!$AU:$AU,0)-2)</f>
        <v>1</v>
      </c>
    </row>
    <row r="731" spans="1:40" x14ac:dyDescent="0.35">
      <c r="A731" s="43" t="s">
        <v>686</v>
      </c>
      <c r="B731" s="17" t="str">
        <f t="shared" si="15"/>
        <v>3.6KTLM-G2</v>
      </c>
      <c r="C731" s="22" t="s">
        <v>2082</v>
      </c>
      <c r="AM731" s="17">
        <f>IF(A731="","",MATCH(A731,'Lista - Inversor'!$2:$2,0))</f>
        <v>47</v>
      </c>
      <c r="AN731" s="17">
        <f>IF(C731="","",MATCH(C731,'Lista - Inversor'!$AU:$AU,0)-2)</f>
        <v>2</v>
      </c>
    </row>
    <row r="732" spans="1:40" x14ac:dyDescent="0.35">
      <c r="A732" s="43" t="s">
        <v>686</v>
      </c>
      <c r="B732" s="17" t="str">
        <f t="shared" si="15"/>
        <v>4KTLM-G2</v>
      </c>
      <c r="C732" s="22" t="s">
        <v>2126</v>
      </c>
      <c r="AM732" s="17">
        <f>IF(A732="","",MATCH(A732,'Lista - Inversor'!$2:$2,0))</f>
        <v>47</v>
      </c>
      <c r="AN732" s="17">
        <f>IF(C732="","",MATCH(C732,'Lista - Inversor'!$AU:$AU,0)-2)</f>
        <v>3</v>
      </c>
    </row>
    <row r="733" spans="1:40" x14ac:dyDescent="0.35">
      <c r="A733" s="43" t="s">
        <v>686</v>
      </c>
      <c r="B733" s="17" t="str">
        <f t="shared" si="15"/>
        <v>4.6KTLM-G2</v>
      </c>
      <c r="C733" s="22" t="s">
        <v>2168</v>
      </c>
      <c r="AM733" s="17">
        <f>IF(A733="","",MATCH(A733,'Lista - Inversor'!$2:$2,0))</f>
        <v>47</v>
      </c>
      <c r="AN733" s="17">
        <f>IF(C733="","",MATCH(C733,'Lista - Inversor'!$AU:$AU,0)-2)</f>
        <v>4</v>
      </c>
    </row>
    <row r="734" spans="1:40" x14ac:dyDescent="0.35">
      <c r="A734" s="43" t="s">
        <v>686</v>
      </c>
      <c r="B734" s="17" t="str">
        <f t="shared" si="15"/>
        <v>5KTLM-G2</v>
      </c>
      <c r="C734" s="22" t="s">
        <v>2207</v>
      </c>
      <c r="AM734" s="17">
        <f>IF(A734="","",MATCH(A734,'Lista - Inversor'!$2:$2,0))</f>
        <v>47</v>
      </c>
      <c r="AN734" s="17">
        <f>IF(C734="","",MATCH(C734,'Lista - Inversor'!$AU:$AU,0)-2)</f>
        <v>5</v>
      </c>
    </row>
    <row r="735" spans="1:40" x14ac:dyDescent="0.35">
      <c r="A735" s="43" t="s">
        <v>686</v>
      </c>
      <c r="B735" s="17" t="str">
        <f t="shared" si="15"/>
        <v>6KTLM-G2</v>
      </c>
      <c r="C735" s="22" t="s">
        <v>2241</v>
      </c>
      <c r="AM735" s="17">
        <f>IF(A735="","",MATCH(A735,'Lista - Inversor'!$2:$2,0))</f>
        <v>47</v>
      </c>
      <c r="AN735" s="17">
        <f>IF(C735="","",MATCH(C735,'Lista - Inversor'!$AU:$AU,0)-2)</f>
        <v>6</v>
      </c>
    </row>
    <row r="736" spans="1:40" x14ac:dyDescent="0.35">
      <c r="A736" s="43" t="s">
        <v>686</v>
      </c>
      <c r="B736" s="17" t="str">
        <f t="shared" si="15"/>
        <v>7.5KTLM</v>
      </c>
      <c r="C736" s="22" t="s">
        <v>2274</v>
      </c>
      <c r="AM736" s="17">
        <f>IF(A736="","",MATCH(A736,'Lista - Inversor'!$2:$2,0))</f>
        <v>47</v>
      </c>
      <c r="AN736" s="17">
        <f>IF(C736="","",MATCH(C736,'Lista - Inversor'!$AU:$AU,0)-2)</f>
        <v>7</v>
      </c>
    </row>
    <row r="737" spans="1:40" x14ac:dyDescent="0.35">
      <c r="A737" s="43" t="s">
        <v>686</v>
      </c>
      <c r="B737" s="17" t="str">
        <f t="shared" si="15"/>
        <v>33000TL</v>
      </c>
      <c r="C737" s="22" t="s">
        <v>2304</v>
      </c>
      <c r="AM737" s="17">
        <f>IF(A737="","",MATCH(A737,'Lista - Inversor'!$2:$2,0))</f>
        <v>47</v>
      </c>
      <c r="AN737" s="17">
        <f>IF(C737="","",MATCH(C737,'Lista - Inversor'!$AU:$AU,0)-2)</f>
        <v>8</v>
      </c>
    </row>
    <row r="738" spans="1:40" x14ac:dyDescent="0.35">
      <c r="A738" s="43" t="s">
        <v>686</v>
      </c>
      <c r="B738" s="17" t="str">
        <f t="shared" si="15"/>
        <v>11KTL-X</v>
      </c>
      <c r="C738" s="22" t="s">
        <v>2333</v>
      </c>
      <c r="AM738" s="17">
        <f>IF(A738="","",MATCH(A738,'Lista - Inversor'!$2:$2,0))</f>
        <v>47</v>
      </c>
      <c r="AN738" s="17">
        <f>IF(C738="","",MATCH(C738,'Lista - Inversor'!$AU:$AU,0)-2)</f>
        <v>9</v>
      </c>
    </row>
    <row r="739" spans="1:40" x14ac:dyDescent="0.35">
      <c r="A739" s="43" t="s">
        <v>686</v>
      </c>
      <c r="B739" s="17" t="str">
        <f t="shared" si="15"/>
        <v>12KTL-X</v>
      </c>
      <c r="C739" s="22" t="s">
        <v>2360</v>
      </c>
      <c r="AM739" s="17">
        <f>IF(A739="","",MATCH(A739,'Lista - Inversor'!$2:$2,0))</f>
        <v>47</v>
      </c>
      <c r="AN739" s="17">
        <f>IF(C739="","",MATCH(C739,'Lista - Inversor'!$AU:$AU,0)-2)</f>
        <v>10</v>
      </c>
    </row>
    <row r="740" spans="1:40" x14ac:dyDescent="0.35">
      <c r="A740" s="43" t="s">
        <v>686</v>
      </c>
      <c r="B740" s="17" t="str">
        <f t="shared" si="15"/>
        <v>60000TL</v>
      </c>
      <c r="C740" s="22" t="s">
        <v>2385</v>
      </c>
      <c r="AM740" s="17">
        <f>IF(A740="","",MATCH(A740,'Lista - Inversor'!$2:$2,0))</f>
        <v>47</v>
      </c>
      <c r="AN740" s="17">
        <f>IF(C740="","",MATCH(C740,'Lista - Inversor'!$AU:$AU,0)-2)</f>
        <v>11</v>
      </c>
    </row>
    <row r="741" spans="1:40" x14ac:dyDescent="0.35">
      <c r="A741" s="43" t="s">
        <v>686</v>
      </c>
      <c r="B741" s="17" t="str">
        <f t="shared" si="15"/>
        <v>50000TL</v>
      </c>
      <c r="C741" s="22" t="s">
        <v>2410</v>
      </c>
      <c r="AM741" s="17">
        <f>IF(A741="","",MATCH(A741,'Lista - Inversor'!$2:$2,0))</f>
        <v>47</v>
      </c>
      <c r="AN741" s="17">
        <f>IF(C741="","",MATCH(C741,'Lista - Inversor'!$AU:$AU,0)-2)</f>
        <v>12</v>
      </c>
    </row>
    <row r="742" spans="1:40" x14ac:dyDescent="0.35">
      <c r="A742" s="43" t="s">
        <v>686</v>
      </c>
      <c r="B742" s="17" t="str">
        <f t="shared" si="15"/>
        <v>70000TL</v>
      </c>
      <c r="C742" s="22" t="s">
        <v>2434</v>
      </c>
      <c r="AM742" s="17">
        <f>IF(A742="","",MATCH(A742,'Lista - Inversor'!$2:$2,0))</f>
        <v>47</v>
      </c>
      <c r="AN742" s="17">
        <f>IF(C742="","",MATCH(C742,'Lista - Inversor'!$AU:$AU,0)-2)</f>
        <v>13</v>
      </c>
    </row>
    <row r="743" spans="1:40" x14ac:dyDescent="0.35">
      <c r="A743" s="43" t="s">
        <v>686</v>
      </c>
      <c r="B743" s="17" t="str">
        <f t="shared" si="15"/>
        <v>30000TL</v>
      </c>
      <c r="C743" s="22" t="s">
        <v>2457</v>
      </c>
      <c r="AM743" s="17">
        <f>IF(A743="","",MATCH(A743,'Lista - Inversor'!$2:$2,0))</f>
        <v>47</v>
      </c>
      <c r="AN743" s="17">
        <f>IF(C743="","",MATCH(C743,'Lista - Inversor'!$AU:$AU,0)-2)</f>
        <v>14</v>
      </c>
    </row>
    <row r="744" spans="1:40" x14ac:dyDescent="0.35">
      <c r="A744" s="43" t="s">
        <v>686</v>
      </c>
      <c r="B744" s="17" t="str">
        <f t="shared" si="15"/>
        <v>15000TL</v>
      </c>
      <c r="C744" s="22" t="s">
        <v>2480</v>
      </c>
      <c r="AM744" s="17">
        <f>IF(A744="","",MATCH(A744,'Lista - Inversor'!$2:$2,0))</f>
        <v>47</v>
      </c>
      <c r="AN744" s="17">
        <f>IF(C744="","",MATCH(C744,'Lista - Inversor'!$AU:$AU,0)-2)</f>
        <v>15</v>
      </c>
    </row>
    <row r="745" spans="1:40" x14ac:dyDescent="0.35">
      <c r="A745" s="43" t="s">
        <v>686</v>
      </c>
      <c r="B745" s="17" t="str">
        <f t="shared" si="15"/>
        <v>20000 TL</v>
      </c>
      <c r="C745" s="22" t="s">
        <v>2500</v>
      </c>
      <c r="AM745" s="17">
        <f>IF(A745="","",MATCH(A745,'Lista - Inversor'!$2:$2,0))</f>
        <v>47</v>
      </c>
      <c r="AN745" s="17">
        <f>IF(C745="","",MATCH(C745,'Lista - Inversor'!$AU:$AU,0)-2)</f>
        <v>16</v>
      </c>
    </row>
    <row r="746" spans="1:40" x14ac:dyDescent="0.35">
      <c r="A746" s="43" t="s">
        <v>686</v>
      </c>
      <c r="B746" s="17" t="str">
        <f t="shared" si="15"/>
        <v>3000 TL</v>
      </c>
      <c r="C746" s="22" t="s">
        <v>2520</v>
      </c>
      <c r="AM746" s="17">
        <f>IF(A746="","",MATCH(A746,'Lista - Inversor'!$2:$2,0))</f>
        <v>47</v>
      </c>
      <c r="AN746" s="17">
        <f>IF(C746="","",MATCH(C746,'Lista - Inversor'!$AU:$AU,0)-2)</f>
        <v>17</v>
      </c>
    </row>
    <row r="747" spans="1:40" x14ac:dyDescent="0.35">
      <c r="A747" s="43" t="s">
        <v>686</v>
      </c>
      <c r="B747" s="17" t="str">
        <f t="shared" si="15"/>
        <v>25000TL</v>
      </c>
      <c r="C747" s="22" t="s">
        <v>2540</v>
      </c>
      <c r="AM747" s="17">
        <f>IF(A747="","",MATCH(A747,'Lista - Inversor'!$2:$2,0))</f>
        <v>47</v>
      </c>
      <c r="AN747" s="17">
        <f>IF(C747="","",MATCH(C747,'Lista - Inversor'!$AU:$AU,0)-2)</f>
        <v>18</v>
      </c>
    </row>
    <row r="748" spans="1:40" x14ac:dyDescent="0.35">
      <c r="A748" s="43" t="s">
        <v>686</v>
      </c>
      <c r="B748" s="17" t="str">
        <f t="shared" si="15"/>
        <v>20000TL-G2</v>
      </c>
      <c r="C748" s="22" t="s">
        <v>2560</v>
      </c>
      <c r="AM748" s="17">
        <f>IF(A748="","",MATCH(A748,'Lista - Inversor'!$2:$2,0))</f>
        <v>47</v>
      </c>
      <c r="AN748" s="17">
        <f>IF(C748="","",MATCH(C748,'Lista - Inversor'!$AU:$AU,0)-2)</f>
        <v>19</v>
      </c>
    </row>
    <row r="749" spans="1:40" x14ac:dyDescent="0.35">
      <c r="A749" s="43" t="s">
        <v>686</v>
      </c>
      <c r="B749" s="17" t="str">
        <f t="shared" si="15"/>
        <v>30000TL-G2</v>
      </c>
      <c r="C749" s="22" t="s">
        <v>2580</v>
      </c>
      <c r="AM749" s="17">
        <f>IF(A749="","",MATCH(A749,'Lista - Inversor'!$2:$2,0))</f>
        <v>47</v>
      </c>
      <c r="AN749" s="17">
        <f>IF(C749="","",MATCH(C749,'Lista - Inversor'!$AU:$AU,0)-2)</f>
        <v>20</v>
      </c>
    </row>
    <row r="750" spans="1:40" x14ac:dyDescent="0.35">
      <c r="A750" s="43" t="s">
        <v>686</v>
      </c>
      <c r="B750" s="17" t="str">
        <f t="shared" si="15"/>
        <v>33000TL-G2</v>
      </c>
      <c r="C750" s="22" t="s">
        <v>2599</v>
      </c>
      <c r="AM750" s="17">
        <f>IF(A750="","",MATCH(A750,'Lista - Inversor'!$2:$2,0))</f>
        <v>47</v>
      </c>
      <c r="AN750" s="17">
        <f>IF(C750="","",MATCH(C750,'Lista - Inversor'!$AU:$AU,0)-2)</f>
        <v>21</v>
      </c>
    </row>
    <row r="751" spans="1:40" x14ac:dyDescent="0.35">
      <c r="A751" s="43" t="s">
        <v>686</v>
      </c>
      <c r="B751" s="17" t="str">
        <f t="shared" si="15"/>
        <v>25000TL-G2</v>
      </c>
      <c r="C751" s="22" t="s">
        <v>2617</v>
      </c>
      <c r="AM751" s="17">
        <f>IF(A751="","",MATCH(A751,'Lista - Inversor'!$2:$2,0))</f>
        <v>47</v>
      </c>
      <c r="AN751" s="17">
        <f>IF(C751="","",MATCH(C751,'Lista - Inversor'!$AU:$AU,0)-2)</f>
        <v>22</v>
      </c>
    </row>
    <row r="752" spans="1:40" x14ac:dyDescent="0.35">
      <c r="A752" s="43" t="s">
        <v>686</v>
      </c>
      <c r="B752" s="17" t="str">
        <f t="shared" si="15"/>
        <v>SOFAR 5KTLM-G2</v>
      </c>
      <c r="C752" s="22" t="s">
        <v>2634</v>
      </c>
      <c r="AM752" s="17">
        <f>IF(A752="","",MATCH(A752,'Lista - Inversor'!$2:$2,0))</f>
        <v>47</v>
      </c>
      <c r="AN752" s="17">
        <f>IF(C752="","",MATCH(C752,'Lista - Inversor'!$AU:$AU,0)-2)</f>
        <v>23</v>
      </c>
    </row>
    <row r="753" spans="1:40" x14ac:dyDescent="0.35">
      <c r="A753" s="43" t="s">
        <v>686</v>
      </c>
      <c r="B753" s="17" t="str">
        <f t="shared" si="15"/>
        <v>3000TL</v>
      </c>
      <c r="C753" s="22" t="s">
        <v>2651</v>
      </c>
      <c r="AM753" s="17">
        <f>IF(A753="","",MATCH(A753,'Lista - Inversor'!$2:$2,0))</f>
        <v>47</v>
      </c>
      <c r="AN753" s="17">
        <f>IF(C753="","",MATCH(C753,'Lista - Inversor'!$AU:$AU,0)-2)</f>
        <v>24</v>
      </c>
    </row>
    <row r="754" spans="1:40" x14ac:dyDescent="0.35">
      <c r="A754" s="43" t="s">
        <v>686</v>
      </c>
      <c r="B754" s="17" t="str">
        <f t="shared" si="15"/>
        <v>50000TL-G2</v>
      </c>
      <c r="C754" s="22" t="s">
        <v>2666</v>
      </c>
      <c r="AM754" s="17">
        <f>IF(A754="","",MATCH(A754,'Lista - Inversor'!$2:$2,0))</f>
        <v>47</v>
      </c>
      <c r="AN754" s="17">
        <f>IF(C754="","",MATCH(C754,'Lista - Inversor'!$AU:$AU,0)-2)</f>
        <v>25</v>
      </c>
    </row>
    <row r="755" spans="1:40" x14ac:dyDescent="0.35">
      <c r="A755" s="43" t="s">
        <v>686</v>
      </c>
      <c r="B755" s="17" t="str">
        <f t="shared" si="15"/>
        <v>1600-TL-G3</v>
      </c>
      <c r="C755" s="22" t="s">
        <v>2680</v>
      </c>
      <c r="AM755" s="17">
        <f>IF(A755="","",MATCH(A755,'Lista - Inversor'!$2:$2,0))</f>
        <v>47</v>
      </c>
      <c r="AN755" s="17">
        <f>IF(C755="","",MATCH(C755,'Lista - Inversor'!$AU:$AU,0)-2)</f>
        <v>26</v>
      </c>
    </row>
    <row r="756" spans="1:40" x14ac:dyDescent="0.35">
      <c r="A756" s="43" t="s">
        <v>686</v>
      </c>
      <c r="B756" s="17" t="str">
        <f t="shared" si="15"/>
        <v>13500TL-LV</v>
      </c>
      <c r="C756" s="22" t="s">
        <v>2693</v>
      </c>
      <c r="AM756" s="17">
        <f>IF(A756="","",MATCH(A756,'Lista - Inversor'!$2:$2,0))</f>
        <v>47</v>
      </c>
      <c r="AN756" s="17">
        <f>IF(C756="","",MATCH(C756,'Lista - Inversor'!$AU:$AU,0)-2)</f>
        <v>27</v>
      </c>
    </row>
    <row r="757" spans="1:40" x14ac:dyDescent="0.35">
      <c r="A757" s="43" t="s">
        <v>686</v>
      </c>
      <c r="B757" s="17" t="str">
        <f t="shared" si="15"/>
        <v>27500 TL-LV</v>
      </c>
      <c r="C757" s="22" t="s">
        <v>2706</v>
      </c>
      <c r="AM757" s="17">
        <f>IF(A757="","",MATCH(A757,'Lista - Inversor'!$2:$2,0))</f>
        <v>47</v>
      </c>
      <c r="AN757" s="17">
        <f>IF(C757="","",MATCH(C757,'Lista - Inversor'!$AU:$AU,0)-2)</f>
        <v>28</v>
      </c>
    </row>
    <row r="758" spans="1:40" x14ac:dyDescent="0.35">
      <c r="A758" s="43" t="s">
        <v>686</v>
      </c>
      <c r="B758" s="17" t="str">
        <f t="shared" si="15"/>
        <v>SOFAR 3300TL-G3</v>
      </c>
      <c r="C758" s="22" t="s">
        <v>2719</v>
      </c>
      <c r="AM758" s="17">
        <f>IF(A758="","",MATCH(A758,'Lista - Inversor'!$2:$2,0))</f>
        <v>47</v>
      </c>
      <c r="AN758" s="17">
        <f>IF(C758="","",MATCH(C758,'Lista - Inversor'!$AU:$AU,0)-2)</f>
        <v>29</v>
      </c>
    </row>
    <row r="759" spans="1:40" x14ac:dyDescent="0.35">
      <c r="A759" s="43" t="s">
        <v>686</v>
      </c>
      <c r="B759" s="17" t="str">
        <f t="shared" si="15"/>
        <v>1600TL-G3</v>
      </c>
      <c r="C759" s="22" t="s">
        <v>2732</v>
      </c>
      <c r="AM759" s="17">
        <f>IF(A759="","",MATCH(A759,'Lista - Inversor'!$2:$2,0))</f>
        <v>47</v>
      </c>
      <c r="AN759" s="17">
        <f>IF(C759="","",MATCH(C759,'Lista - Inversor'!$AU:$AU,0)-2)</f>
        <v>30</v>
      </c>
    </row>
    <row r="760" spans="1:40" x14ac:dyDescent="0.35">
      <c r="A760" s="43" t="s">
        <v>686</v>
      </c>
      <c r="B760" s="17" t="str">
        <f t="shared" si="15"/>
        <v>33000TL-LV</v>
      </c>
      <c r="C760" s="22" t="s">
        <v>2744</v>
      </c>
      <c r="AM760" s="17">
        <f>IF(A760="","",MATCH(A760,'Lista - Inversor'!$2:$2,0))</f>
        <v>47</v>
      </c>
      <c r="AN760" s="17">
        <f>IF(C760="","",MATCH(C760,'Lista - Inversor'!$AU:$AU,0)-2)</f>
        <v>31</v>
      </c>
    </row>
    <row r="761" spans="1:40" x14ac:dyDescent="0.35">
      <c r="A761" s="43" t="s">
        <v>686</v>
      </c>
      <c r="B761" s="17" t="str">
        <f t="shared" si="15"/>
        <v>SOFAR 11000TL-LV</v>
      </c>
      <c r="C761" s="22" t="s">
        <v>2756</v>
      </c>
      <c r="AM761" s="17">
        <f>IF(A761="","",MATCH(A761,'Lista - Inversor'!$2:$2,0))</f>
        <v>47</v>
      </c>
      <c r="AN761" s="17">
        <f>IF(C761="","",MATCH(C761,'Lista - Inversor'!$AU:$AU,0)-2)</f>
        <v>32</v>
      </c>
    </row>
    <row r="762" spans="1:40" x14ac:dyDescent="0.35">
      <c r="A762" s="43" t="s">
        <v>686</v>
      </c>
      <c r="B762" s="17" t="str">
        <f t="shared" si="15"/>
        <v>16500TL-LV</v>
      </c>
      <c r="C762" s="22" t="s">
        <v>2768</v>
      </c>
      <c r="AM762" s="17">
        <f>IF(A762="","",MATCH(A762,'Lista - Inversor'!$2:$2,0))</f>
        <v>47</v>
      </c>
      <c r="AN762" s="17">
        <f>IF(C762="","",MATCH(C762,'Lista - Inversor'!$AU:$AU,0)-2)</f>
        <v>33</v>
      </c>
    </row>
    <row r="763" spans="1:40" x14ac:dyDescent="0.35">
      <c r="A763" s="43" t="s">
        <v>686</v>
      </c>
      <c r="B763" s="17" t="str">
        <f t="shared" si="15"/>
        <v>3300TL-G3</v>
      </c>
      <c r="C763" s="22" t="s">
        <v>2780</v>
      </c>
      <c r="AM763" s="17">
        <f>IF(A763="","",MATCH(A763,'Lista - Inversor'!$2:$2,0))</f>
        <v>47</v>
      </c>
      <c r="AN763" s="17">
        <f>IF(C763="","",MATCH(C763,'Lista - Inversor'!$AU:$AU,0)-2)</f>
        <v>34</v>
      </c>
    </row>
    <row r="764" spans="1:40" x14ac:dyDescent="0.35">
      <c r="A764" s="43" t="s">
        <v>686</v>
      </c>
      <c r="B764" s="17" t="str">
        <f t="shared" si="15"/>
        <v>18000TL-LV</v>
      </c>
      <c r="C764" s="22" t="s">
        <v>2791</v>
      </c>
      <c r="AM764" s="17">
        <f>IF(A764="","",MATCH(A764,'Lista - Inversor'!$2:$2,0))</f>
        <v>47</v>
      </c>
      <c r="AN764" s="17">
        <f>IF(C764="","",MATCH(C764,'Lista - Inversor'!$AU:$AU,0)-2)</f>
        <v>35</v>
      </c>
    </row>
    <row r="765" spans="1:40" x14ac:dyDescent="0.35">
      <c r="A765" s="43" t="s">
        <v>686</v>
      </c>
      <c r="B765" s="17" t="str">
        <f t="shared" ref="B765:B828" si="16">RIGHT(C765,LEN(C765)-(FIND(" - ", C765)+2))</f>
        <v>8,8KTL-X</v>
      </c>
      <c r="C765" s="22" t="s">
        <v>2802</v>
      </c>
      <c r="AM765" s="17">
        <f>IF(A765="","",MATCH(A765,'Lista - Inversor'!$2:$2,0))</f>
        <v>47</v>
      </c>
      <c r="AN765" s="17">
        <f>IF(C765="","",MATCH(C765,'Lista - Inversor'!$AU:$AU,0)-2)</f>
        <v>36</v>
      </c>
    </row>
    <row r="766" spans="1:40" x14ac:dyDescent="0.35">
      <c r="A766" s="43" t="s">
        <v>686</v>
      </c>
      <c r="B766" s="17" t="str">
        <f t="shared" si="16"/>
        <v>15000TL-G2</v>
      </c>
      <c r="C766" s="22" t="s">
        <v>2811</v>
      </c>
      <c r="AM766" s="17">
        <f>IF(A766="","",MATCH(A766,'Lista - Inversor'!$2:$2,0))</f>
        <v>47</v>
      </c>
      <c r="AN766" s="17">
        <f>IF(C766="","",MATCH(C766,'Lista - Inversor'!$AU:$AU,0)-2)</f>
        <v>37</v>
      </c>
    </row>
    <row r="767" spans="1:40" x14ac:dyDescent="0.35">
      <c r="A767" s="43" t="s">
        <v>686</v>
      </c>
      <c r="B767" s="17" t="str">
        <f t="shared" si="16"/>
        <v>SOFAR 75KTL</v>
      </c>
      <c r="C767" s="22" t="s">
        <v>2820</v>
      </c>
      <c r="AM767" s="17">
        <f>IF(A767="","",MATCH(A767,'Lista - Inversor'!$2:$2,0))</f>
        <v>47</v>
      </c>
      <c r="AN767" s="17">
        <f>IF(C767="","",MATCH(C767,'Lista - Inversor'!$AU:$AU,0)-2)</f>
        <v>38</v>
      </c>
    </row>
    <row r="768" spans="1:40" x14ac:dyDescent="0.35">
      <c r="A768" s="43" t="s">
        <v>686</v>
      </c>
      <c r="B768" s="17" t="str">
        <f t="shared" si="16"/>
        <v>SOFAR 7,5KTLM</v>
      </c>
      <c r="C768" s="22" t="s">
        <v>2829</v>
      </c>
      <c r="AM768" s="17">
        <f>IF(A768="","",MATCH(A768,'Lista - Inversor'!$2:$2,0))</f>
        <v>47</v>
      </c>
      <c r="AN768" s="17">
        <f>IF(C768="","",MATCH(C768,'Lista - Inversor'!$AU:$AU,0)-2)</f>
        <v>39</v>
      </c>
    </row>
    <row r="769" spans="1:40" x14ac:dyDescent="0.35">
      <c r="A769" s="43" t="s">
        <v>686</v>
      </c>
      <c r="B769" s="17" t="str">
        <f t="shared" si="16"/>
        <v>SOFAR 100KTL</v>
      </c>
      <c r="C769" s="22" t="s">
        <v>2838</v>
      </c>
      <c r="AM769" s="17">
        <f>IF(A769="","",MATCH(A769,'Lista - Inversor'!$2:$2,0))</f>
        <v>47</v>
      </c>
      <c r="AN769" s="17">
        <f>IF(C769="","",MATCH(C769,'Lista - Inversor'!$AU:$AU,0)-2)</f>
        <v>40</v>
      </c>
    </row>
    <row r="770" spans="1:40" x14ac:dyDescent="0.35">
      <c r="A770" s="43" t="s">
        <v>686</v>
      </c>
      <c r="B770" s="17" t="str">
        <f t="shared" si="16"/>
        <v>4KTLM-G3 4KW</v>
      </c>
      <c r="C770" s="22" t="s">
        <v>2846</v>
      </c>
      <c r="AM770" s="17">
        <f>IF(A770="","",MATCH(A770,'Lista - Inversor'!$2:$2,0))</f>
        <v>47</v>
      </c>
      <c r="AN770" s="17">
        <f>IF(C770="","",MATCH(C770,'Lista - Inversor'!$AU:$AU,0)-2)</f>
        <v>41</v>
      </c>
    </row>
    <row r="771" spans="1:40" x14ac:dyDescent="0.35">
      <c r="A771" s="43" t="s">
        <v>686</v>
      </c>
      <c r="B771" s="17" t="str">
        <f t="shared" si="16"/>
        <v>SOFAR 6KTM-G2</v>
      </c>
      <c r="C771" s="22" t="s">
        <v>2854</v>
      </c>
      <c r="AM771" s="17">
        <f>IF(A771="","",MATCH(A771,'Lista - Inversor'!$2:$2,0))</f>
        <v>47</v>
      </c>
      <c r="AN771" s="17">
        <f>IF(C771="","",MATCH(C771,'Lista - Inversor'!$AU:$AU,0)-2)</f>
        <v>42</v>
      </c>
    </row>
    <row r="772" spans="1:40" x14ac:dyDescent="0.35">
      <c r="A772" s="43" t="s">
        <v>686</v>
      </c>
      <c r="B772" s="17" t="str">
        <f t="shared" si="16"/>
        <v>SOFAR13500TL-LV</v>
      </c>
      <c r="C772" s="22" t="s">
        <v>2862</v>
      </c>
      <c r="AM772" s="17">
        <f>IF(A772="","",MATCH(A772,'Lista - Inversor'!$2:$2,0))</f>
        <v>47</v>
      </c>
      <c r="AN772" s="17">
        <f>IF(C772="","",MATCH(C772,'Lista - Inversor'!$AU:$AU,0)-2)</f>
        <v>43</v>
      </c>
    </row>
    <row r="773" spans="1:40" x14ac:dyDescent="0.35">
      <c r="A773" s="43" t="s">
        <v>689</v>
      </c>
      <c r="B773" s="17" t="str">
        <f t="shared" si="16"/>
        <v>SE-TL4KA</v>
      </c>
      <c r="C773" s="22" t="s">
        <v>2031</v>
      </c>
      <c r="AM773" s="17">
        <f>IF(A773="","",MATCH(A773,'Lista - Inversor'!$2:$2,0))</f>
        <v>48</v>
      </c>
      <c r="AN773" s="17">
        <f>IF(C773="","",MATCH(C773,'Lista - Inversor'!$AV:$AV,0)-2)</f>
        <v>1</v>
      </c>
    </row>
    <row r="774" spans="1:40" x14ac:dyDescent="0.35">
      <c r="A774" s="43" t="s">
        <v>689</v>
      </c>
      <c r="B774" s="17" t="str">
        <f t="shared" si="16"/>
        <v>SE-TL4KB</v>
      </c>
      <c r="C774" s="22" t="s">
        <v>2083</v>
      </c>
      <c r="AM774" s="17">
        <f>IF(A774="","",MATCH(A774,'Lista - Inversor'!$2:$2,0))</f>
        <v>48</v>
      </c>
      <c r="AN774" s="17">
        <f>IF(C774="","",MATCH(C774,'Lista - Inversor'!$AV:$AV,0)-2)</f>
        <v>2</v>
      </c>
    </row>
    <row r="775" spans="1:40" x14ac:dyDescent="0.35">
      <c r="A775" s="43" t="s">
        <v>689</v>
      </c>
      <c r="B775" s="17" t="str">
        <f t="shared" si="16"/>
        <v>SE-3TL25K</v>
      </c>
      <c r="C775" s="22" t="s">
        <v>2127</v>
      </c>
      <c r="AM775" s="17">
        <f>IF(A775="","",MATCH(A775,'Lista - Inversor'!$2:$2,0))</f>
        <v>48</v>
      </c>
      <c r="AN775" s="17">
        <f>IF(C775="","",MATCH(C775,'Lista - Inversor'!$AV:$AV,0)-2)</f>
        <v>3</v>
      </c>
    </row>
    <row r="776" spans="1:40" x14ac:dyDescent="0.35">
      <c r="A776" s="43" t="s">
        <v>689</v>
      </c>
      <c r="B776" s="17" t="str">
        <f t="shared" si="16"/>
        <v>SE-TL5K</v>
      </c>
      <c r="C776" s="22" t="s">
        <v>2169</v>
      </c>
      <c r="AM776" s="17">
        <f>IF(A776="","",MATCH(A776,'Lista - Inversor'!$2:$2,0))</f>
        <v>48</v>
      </c>
      <c r="AN776" s="17">
        <f>IF(C776="","",MATCH(C776,'Lista - Inversor'!$AV:$AV,0)-2)</f>
        <v>4</v>
      </c>
    </row>
    <row r="777" spans="1:40" x14ac:dyDescent="0.35">
      <c r="A777" s="43" t="s">
        <v>689</v>
      </c>
      <c r="B777" s="17" t="str">
        <f t="shared" si="16"/>
        <v>30KW</v>
      </c>
      <c r="C777" s="22" t="s">
        <v>2208</v>
      </c>
      <c r="AM777" s="17">
        <f>IF(A777="","",MATCH(A777,'Lista - Inversor'!$2:$2,0))</f>
        <v>48</v>
      </c>
      <c r="AN777" s="17">
        <f>IF(C777="","",MATCH(C777,'Lista - Inversor'!$AV:$AV,0)-2)</f>
        <v>5</v>
      </c>
    </row>
    <row r="778" spans="1:40" x14ac:dyDescent="0.35">
      <c r="A778" s="43" t="s">
        <v>689</v>
      </c>
      <c r="B778" s="17" t="str">
        <f t="shared" si="16"/>
        <v>SE-TL3KA</v>
      </c>
      <c r="C778" s="22" t="s">
        <v>2242</v>
      </c>
      <c r="AM778" s="17">
        <f>IF(A778="","",MATCH(A778,'Lista - Inversor'!$2:$2,0))</f>
        <v>48</v>
      </c>
      <c r="AN778" s="17">
        <f>IF(C778="","",MATCH(C778,'Lista - Inversor'!$AV:$AV,0)-2)</f>
        <v>6</v>
      </c>
    </row>
    <row r="779" spans="1:40" x14ac:dyDescent="0.35">
      <c r="A779" s="43" t="s">
        <v>689</v>
      </c>
      <c r="B779" s="17" t="str">
        <f t="shared" si="16"/>
        <v>SE3TL 30K</v>
      </c>
      <c r="C779" s="22" t="s">
        <v>2275</v>
      </c>
      <c r="AM779" s="17">
        <f>IF(A779="","",MATCH(A779,'Lista - Inversor'!$2:$2,0))</f>
        <v>48</v>
      </c>
      <c r="AN779" s="17">
        <f>IF(C779="","",MATCH(C779,'Lista - Inversor'!$AV:$AV,0)-2)</f>
        <v>7</v>
      </c>
    </row>
    <row r="780" spans="1:40" x14ac:dyDescent="0.35">
      <c r="A780" s="43" t="s">
        <v>689</v>
      </c>
      <c r="B780" s="17" t="str">
        <f t="shared" si="16"/>
        <v>SE-TL 2K</v>
      </c>
      <c r="C780" s="22" t="s">
        <v>2305</v>
      </c>
      <c r="AM780" s="17">
        <f>IF(A780="","",MATCH(A780,'Lista - Inversor'!$2:$2,0))</f>
        <v>48</v>
      </c>
      <c r="AN780" s="17">
        <f>IF(C780="","",MATCH(C780,'Lista - Inversor'!$AV:$AV,0)-2)</f>
        <v>8</v>
      </c>
    </row>
    <row r="781" spans="1:40" x14ac:dyDescent="0.35">
      <c r="A781" s="43" t="s">
        <v>682</v>
      </c>
      <c r="B781" s="17" t="str">
        <f t="shared" si="16"/>
        <v>SE12.5K</v>
      </c>
      <c r="C781" s="22" t="s">
        <v>2032</v>
      </c>
      <c r="AM781" s="17">
        <f>IF(A781="","",MATCH(A781,'Lista - Inversor'!$2:$2,0))</f>
        <v>49</v>
      </c>
      <c r="AN781" s="17">
        <f>IF(C781="","",MATCH(C781,'Lista - Inversor'!$AW:$AW,0)-2)</f>
        <v>1</v>
      </c>
    </row>
    <row r="782" spans="1:40" x14ac:dyDescent="0.35">
      <c r="A782" s="43" t="s">
        <v>682</v>
      </c>
      <c r="B782" s="17" t="str">
        <f t="shared" si="16"/>
        <v>SE15K</v>
      </c>
      <c r="C782" s="22" t="s">
        <v>2084</v>
      </c>
      <c r="AM782" s="17">
        <f>IF(A782="","",MATCH(A782,'Lista - Inversor'!$2:$2,0))</f>
        <v>49</v>
      </c>
      <c r="AN782" s="17">
        <f>IF(C782="","",MATCH(C782,'Lista - Inversor'!$AW:$AW,0)-2)</f>
        <v>2</v>
      </c>
    </row>
    <row r="783" spans="1:40" x14ac:dyDescent="0.35">
      <c r="A783" s="43" t="s">
        <v>682</v>
      </c>
      <c r="B783" s="17" t="str">
        <f t="shared" si="16"/>
        <v>SE16K</v>
      </c>
      <c r="C783" s="22" t="s">
        <v>2128</v>
      </c>
      <c r="AM783" s="17">
        <f>IF(A783="","",MATCH(A783,'Lista - Inversor'!$2:$2,0))</f>
        <v>49</v>
      </c>
      <c r="AN783" s="17">
        <f>IF(C783="","",MATCH(C783,'Lista - Inversor'!$AW:$AW,0)-2)</f>
        <v>3</v>
      </c>
    </row>
    <row r="784" spans="1:40" x14ac:dyDescent="0.35">
      <c r="A784" s="43" t="s">
        <v>682</v>
      </c>
      <c r="B784" s="17" t="str">
        <f t="shared" si="16"/>
        <v>SE17K</v>
      </c>
      <c r="C784" s="22" t="s">
        <v>2170</v>
      </c>
      <c r="AM784" s="17">
        <f>IF(A784="","",MATCH(A784,'Lista - Inversor'!$2:$2,0))</f>
        <v>49</v>
      </c>
      <c r="AN784" s="17">
        <f>IF(C784="","",MATCH(C784,'Lista - Inversor'!$AW:$AW,0)-2)</f>
        <v>4</v>
      </c>
    </row>
    <row r="785" spans="1:40" x14ac:dyDescent="0.35">
      <c r="A785" s="43" t="s">
        <v>682</v>
      </c>
      <c r="B785" s="17" t="str">
        <f t="shared" si="16"/>
        <v>SE25K</v>
      </c>
      <c r="C785" s="22" t="s">
        <v>2209</v>
      </c>
      <c r="AM785" s="17">
        <f>IF(A785="","",MATCH(A785,'Lista - Inversor'!$2:$2,0))</f>
        <v>49</v>
      </c>
      <c r="AN785" s="17">
        <f>IF(C785="","",MATCH(C785,'Lista - Inversor'!$AW:$AW,0)-2)</f>
        <v>5</v>
      </c>
    </row>
    <row r="786" spans="1:40" x14ac:dyDescent="0.35">
      <c r="A786" s="43" t="s">
        <v>682</v>
      </c>
      <c r="B786" s="17" t="str">
        <f t="shared" si="16"/>
        <v>SE27.6K</v>
      </c>
      <c r="C786" s="22" t="s">
        <v>2243</v>
      </c>
      <c r="AM786" s="17">
        <f>IF(A786="","",MATCH(A786,'Lista - Inversor'!$2:$2,0))</f>
        <v>49</v>
      </c>
      <c r="AN786" s="17">
        <f>IF(C786="","",MATCH(C786,'Lista - Inversor'!$AW:$AW,0)-2)</f>
        <v>6</v>
      </c>
    </row>
    <row r="787" spans="1:40" x14ac:dyDescent="0.35">
      <c r="A787" s="43" t="s">
        <v>682</v>
      </c>
      <c r="B787" s="17" t="str">
        <f t="shared" si="16"/>
        <v xml:space="preserve">SE75K    </v>
      </c>
      <c r="C787" s="22" t="s">
        <v>2276</v>
      </c>
      <c r="AM787" s="17">
        <f>IF(A787="","",MATCH(A787,'Lista - Inversor'!$2:$2,0))</f>
        <v>49</v>
      </c>
      <c r="AN787" s="17">
        <f>IF(C787="","",MATCH(C787,'Lista - Inversor'!$AW:$AW,0)-2)</f>
        <v>7</v>
      </c>
    </row>
    <row r="788" spans="1:40" x14ac:dyDescent="0.35">
      <c r="A788" s="43" t="s">
        <v>682</v>
      </c>
      <c r="B788" s="17" t="str">
        <f t="shared" si="16"/>
        <v>SE27.6K - 15.2KW</v>
      </c>
      <c r="C788" s="22" t="s">
        <v>2306</v>
      </c>
      <c r="AM788" s="17">
        <f>IF(A788="","",MATCH(A788,'Lista - Inversor'!$2:$2,0))</f>
        <v>49</v>
      </c>
      <c r="AN788" s="17">
        <f>IF(C788="","",MATCH(C788,'Lista - Inversor'!$AW:$AW,0)-2)</f>
        <v>8</v>
      </c>
    </row>
    <row r="789" spans="1:40" x14ac:dyDescent="0.35">
      <c r="A789" s="43" t="s">
        <v>682</v>
      </c>
      <c r="B789" s="17" t="str">
        <f t="shared" si="16"/>
        <v>SE27,6K - 26,4KW</v>
      </c>
      <c r="C789" s="22" t="s">
        <v>2334</v>
      </c>
      <c r="AM789" s="17">
        <f>IF(A789="","",MATCH(A789,'Lista - Inversor'!$2:$2,0))</f>
        <v>49</v>
      </c>
      <c r="AN789" s="17">
        <f>IF(C789="","",MATCH(C789,'Lista - Inversor'!$AW:$AW,0)-2)</f>
        <v>9</v>
      </c>
    </row>
    <row r="790" spans="1:40" x14ac:dyDescent="0.35">
      <c r="A790" s="43" t="s">
        <v>682</v>
      </c>
      <c r="B790" s="17" t="str">
        <f t="shared" si="16"/>
        <v>SE17K - 9,9KW</v>
      </c>
      <c r="C790" s="22" t="s">
        <v>2361</v>
      </c>
      <c r="AM790" s="17">
        <f>IF(A790="","",MATCH(A790,'Lista - Inversor'!$2:$2,0))</f>
        <v>49</v>
      </c>
      <c r="AN790" s="17">
        <f>IF(C790="","",MATCH(C790,'Lista - Inversor'!$AW:$AW,0)-2)</f>
        <v>10</v>
      </c>
    </row>
    <row r="791" spans="1:40" x14ac:dyDescent="0.35">
      <c r="A791" s="43" t="s">
        <v>682</v>
      </c>
      <c r="B791" s="17" t="str">
        <f t="shared" si="16"/>
        <v>SE75K-127/220</v>
      </c>
      <c r="C791" s="22" t="s">
        <v>2386</v>
      </c>
      <c r="AM791" s="17">
        <f>IF(A791="","",MATCH(A791,'Lista - Inversor'!$2:$2,0))</f>
        <v>49</v>
      </c>
      <c r="AN791" s="17">
        <f>IF(C791="","",MATCH(C791,'Lista - Inversor'!$AW:$AW,0)-2)</f>
        <v>11</v>
      </c>
    </row>
    <row r="792" spans="1:40" x14ac:dyDescent="0.35">
      <c r="A792" s="43" t="s">
        <v>682</v>
      </c>
      <c r="B792" s="17" t="str">
        <f t="shared" si="16"/>
        <v>SE3680H</v>
      </c>
      <c r="C792" s="22" t="s">
        <v>2411</v>
      </c>
      <c r="AM792" s="17">
        <f>IF(A792="","",MATCH(A792,'Lista - Inversor'!$2:$2,0))</f>
        <v>49</v>
      </c>
      <c r="AN792" s="17">
        <f>IF(C792="","",MATCH(C792,'Lista - Inversor'!$AW:$AW,0)-2)</f>
        <v>12</v>
      </c>
    </row>
    <row r="793" spans="1:40" x14ac:dyDescent="0.35">
      <c r="A793" s="43" t="s">
        <v>682</v>
      </c>
      <c r="B793" s="17" t="str">
        <f t="shared" si="16"/>
        <v>SE6000H</v>
      </c>
      <c r="C793" s="22" t="s">
        <v>2435</v>
      </c>
      <c r="AM793" s="17">
        <f>IF(A793="","",MATCH(A793,'Lista - Inversor'!$2:$2,0))</f>
        <v>49</v>
      </c>
      <c r="AN793" s="17">
        <f>IF(C793="","",MATCH(C793,'Lista - Inversor'!$AW:$AW,0)-2)</f>
        <v>13</v>
      </c>
    </row>
    <row r="794" spans="1:40" x14ac:dyDescent="0.35">
      <c r="A794" s="43" t="s">
        <v>682</v>
      </c>
      <c r="B794" s="17" t="str">
        <f t="shared" si="16"/>
        <v>SE9200H</v>
      </c>
      <c r="C794" s="22" t="s">
        <v>2458</v>
      </c>
      <c r="AM794" s="17">
        <f>IF(A794="","",MATCH(A794,'Lista - Inversor'!$2:$2,0))</f>
        <v>49</v>
      </c>
      <c r="AN794" s="17">
        <f>IF(C794="","",MATCH(C794,'Lista - Inversor'!$AW:$AW,0)-2)</f>
        <v>14</v>
      </c>
    </row>
    <row r="795" spans="1:40" x14ac:dyDescent="0.35">
      <c r="A795" s="43" t="s">
        <v>682</v>
      </c>
      <c r="B795" s="17" t="str">
        <f t="shared" si="16"/>
        <v>SE27.6K - 220V</v>
      </c>
      <c r="C795" s="22" t="s">
        <v>2481</v>
      </c>
      <c r="AM795" s="17">
        <f>IF(A795="","",MATCH(A795,'Lista - Inversor'!$2:$2,0))</f>
        <v>49</v>
      </c>
      <c r="AN795" s="17">
        <f>IF(C795="","",MATCH(C795,'Lista - Inversor'!$AW:$AW,0)-2)</f>
        <v>15</v>
      </c>
    </row>
    <row r="796" spans="1:40" x14ac:dyDescent="0.35">
      <c r="A796" s="43" t="s">
        <v>682</v>
      </c>
      <c r="B796" s="17" t="str">
        <f t="shared" si="16"/>
        <v>SE20.1K</v>
      </c>
      <c r="C796" s="22" t="s">
        <v>2501</v>
      </c>
      <c r="AM796" s="17">
        <f>IF(A796="","",MATCH(A796,'Lista - Inversor'!$2:$2,0))</f>
        <v>49</v>
      </c>
      <c r="AN796" s="17">
        <f>IF(C796="","",MATCH(C796,'Lista - Inversor'!$AW:$AW,0)-2)</f>
        <v>16</v>
      </c>
    </row>
    <row r="797" spans="1:40" x14ac:dyDescent="0.35">
      <c r="A797" s="43" t="s">
        <v>682</v>
      </c>
      <c r="B797" s="17" t="str">
        <f t="shared" si="16"/>
        <v>SE75K - 43,5 - 127/220</v>
      </c>
      <c r="C797" s="22" t="s">
        <v>2521</v>
      </c>
      <c r="AM797" s="17">
        <f>IF(A797="","",MATCH(A797,'Lista - Inversor'!$2:$2,0))</f>
        <v>49</v>
      </c>
      <c r="AN797" s="17">
        <f>IF(C797="","",MATCH(C797,'Lista - Inversor'!$AW:$AW,0)-2)</f>
        <v>17</v>
      </c>
    </row>
    <row r="798" spans="1:40" x14ac:dyDescent="0.35">
      <c r="A798" s="43" t="s">
        <v>682</v>
      </c>
      <c r="B798" s="17" t="str">
        <f t="shared" si="16"/>
        <v>SE 20,1K</v>
      </c>
      <c r="C798" s="22" t="s">
        <v>2541</v>
      </c>
      <c r="AM798" s="17">
        <f>IF(A798="","",MATCH(A798,'Lista - Inversor'!$2:$2,0))</f>
        <v>49</v>
      </c>
      <c r="AN798" s="17">
        <f>IF(C798="","",MATCH(C798,'Lista - Inversor'!$AW:$AW,0)-2)</f>
        <v>18</v>
      </c>
    </row>
    <row r="799" spans="1:40" x14ac:dyDescent="0.35">
      <c r="A799" s="43" t="s">
        <v>682</v>
      </c>
      <c r="B799" s="17" t="str">
        <f t="shared" si="16"/>
        <v>SE75K - 45,6KW</v>
      </c>
      <c r="C799" s="22" t="s">
        <v>2561</v>
      </c>
      <c r="AM799" s="17">
        <f>IF(A799="","",MATCH(A799,'Lista - Inversor'!$2:$2,0))</f>
        <v>49</v>
      </c>
      <c r="AN799" s="17">
        <f>IF(C799="","",MATCH(C799,'Lista - Inversor'!$AW:$AW,0)-2)</f>
        <v>19</v>
      </c>
    </row>
    <row r="800" spans="1:40" x14ac:dyDescent="0.35">
      <c r="A800" s="43" t="s">
        <v>682</v>
      </c>
      <c r="B800" s="17" t="str">
        <f t="shared" si="16"/>
        <v>SE33.3K</v>
      </c>
      <c r="C800" s="22" t="s">
        <v>2581</v>
      </c>
      <c r="AM800" s="17">
        <f>IF(A800="","",MATCH(A800,'Lista - Inversor'!$2:$2,0))</f>
        <v>49</v>
      </c>
      <c r="AN800" s="17">
        <f>IF(C800="","",MATCH(C800,'Lista - Inversor'!$AW:$AW,0)-2)</f>
        <v>20</v>
      </c>
    </row>
    <row r="801" spans="1:40" x14ac:dyDescent="0.35">
      <c r="A801" s="43" t="s">
        <v>1977</v>
      </c>
      <c r="B801" s="17" t="str">
        <f t="shared" si="16"/>
        <v>X1-5.0-TD</v>
      </c>
      <c r="C801" s="22" t="s">
        <v>2033</v>
      </c>
      <c r="AM801" s="17">
        <f>IF(A801="","",MATCH(A801,'Lista - Inversor'!$2:$2,0))</f>
        <v>50</v>
      </c>
      <c r="AN801" s="17">
        <f>IF(C801="","",MATCH(C801,'Lista - Inversor'!$AX:$AX,0)-2)</f>
        <v>1</v>
      </c>
    </row>
    <row r="802" spans="1:40" x14ac:dyDescent="0.35">
      <c r="A802" s="43" t="s">
        <v>513</v>
      </c>
      <c r="B802" s="17" t="str">
        <f t="shared" si="16"/>
        <v>SOLIS - 1P5K - 4G</v>
      </c>
      <c r="C802" s="22" t="s">
        <v>2034</v>
      </c>
      <c r="AM802" s="17">
        <f>IF(A802="","",MATCH(A802,'Lista - Inversor'!$2:$2,0))</f>
        <v>51</v>
      </c>
      <c r="AN802" s="17">
        <f>IF(C802="","",MATCH(C802,'Lista - Inversor'!$AY:$AY,0)-2)</f>
        <v>1</v>
      </c>
    </row>
    <row r="803" spans="1:40" x14ac:dyDescent="0.35">
      <c r="A803" s="43" t="s">
        <v>513</v>
      </c>
      <c r="B803" s="17" t="str">
        <f t="shared" si="16"/>
        <v>3000 - 4G</v>
      </c>
      <c r="C803" s="22" t="s">
        <v>2085</v>
      </c>
      <c r="AM803" s="17">
        <f>IF(A803="","",MATCH(A803,'Lista - Inversor'!$2:$2,0))</f>
        <v>51</v>
      </c>
      <c r="AN803" s="17">
        <f>IF(C803="","",MATCH(C803,'Lista - Inversor'!$AY:$AY,0)-2)</f>
        <v>2</v>
      </c>
    </row>
    <row r="804" spans="1:40" x14ac:dyDescent="0.35">
      <c r="A804" s="43" t="s">
        <v>513</v>
      </c>
      <c r="B804" s="17" t="str">
        <f t="shared" si="16"/>
        <v>SOLIS - 1P4K - 4G</v>
      </c>
      <c r="C804" s="22" t="s">
        <v>2129</v>
      </c>
      <c r="AM804" s="17">
        <f>IF(A804="","",MATCH(A804,'Lista - Inversor'!$2:$2,0))</f>
        <v>51</v>
      </c>
      <c r="AN804" s="17">
        <f>IF(C804="","",MATCH(C804,'Lista - Inversor'!$AY:$AY,0)-2)</f>
        <v>3</v>
      </c>
    </row>
    <row r="805" spans="1:40" x14ac:dyDescent="0.35">
      <c r="A805" s="43" t="s">
        <v>513</v>
      </c>
      <c r="B805" s="17" t="str">
        <f t="shared" si="16"/>
        <v>SOLIS - 1P7K - 4G</v>
      </c>
      <c r="C805" s="22" t="s">
        <v>2171</v>
      </c>
      <c r="AM805" s="17">
        <f>IF(A805="","",MATCH(A805,'Lista - Inversor'!$2:$2,0))</f>
        <v>51</v>
      </c>
      <c r="AN805" s="17">
        <f>IF(C805="","",MATCH(C805,'Lista - Inversor'!$AY:$AY,0)-2)</f>
        <v>4</v>
      </c>
    </row>
    <row r="806" spans="1:40" x14ac:dyDescent="0.35">
      <c r="A806" s="43" t="s">
        <v>513</v>
      </c>
      <c r="B806" s="17" t="str">
        <f t="shared" si="16"/>
        <v>SOLIS 15KW</v>
      </c>
      <c r="C806" s="22" t="s">
        <v>2210</v>
      </c>
      <c r="AM806" s="17">
        <f>IF(A806="","",MATCH(A806,'Lista - Inversor'!$2:$2,0))</f>
        <v>51</v>
      </c>
      <c r="AN806" s="17">
        <f>IF(C806="","",MATCH(C806,'Lista - Inversor'!$AY:$AY,0)-2)</f>
        <v>5</v>
      </c>
    </row>
    <row r="807" spans="1:40" x14ac:dyDescent="0.35">
      <c r="A807" s="43" t="s">
        <v>513</v>
      </c>
      <c r="B807" s="17" t="str">
        <f t="shared" si="16"/>
        <v>SOLIS-60K-4G</v>
      </c>
      <c r="C807" s="22" t="s">
        <v>2244</v>
      </c>
      <c r="D807" s="41" t="s">
        <v>426</v>
      </c>
      <c r="E807" s="17" t="s">
        <v>360</v>
      </c>
      <c r="F807" s="41" t="s">
        <v>514</v>
      </c>
      <c r="G807" s="41" t="s">
        <v>515</v>
      </c>
      <c r="H807" s="41" t="s">
        <v>516</v>
      </c>
      <c r="I807" s="41" t="s">
        <v>504</v>
      </c>
      <c r="J807" s="41" t="s">
        <v>294</v>
      </c>
      <c r="K807" s="41" t="s">
        <v>295</v>
      </c>
      <c r="N807" s="41" t="s">
        <v>517</v>
      </c>
      <c r="O807" s="41" t="s">
        <v>518</v>
      </c>
      <c r="P807" s="41" t="s">
        <v>414</v>
      </c>
      <c r="Q807" s="41" t="s">
        <v>414</v>
      </c>
      <c r="S807" s="41" t="s">
        <v>377</v>
      </c>
      <c r="T807" s="41" t="s">
        <v>417</v>
      </c>
      <c r="U807" s="41" t="s">
        <v>467</v>
      </c>
      <c r="V807" s="41" t="s">
        <v>519</v>
      </c>
      <c r="Y807" s="41" t="s">
        <v>520</v>
      </c>
      <c r="Z807" s="41" t="s">
        <v>521</v>
      </c>
      <c r="AA807" s="41" t="s">
        <v>308</v>
      </c>
      <c r="AC807" s="41" t="s">
        <v>329</v>
      </c>
      <c r="AD807" s="41" t="s">
        <v>310</v>
      </c>
      <c r="AE807" s="41" t="s">
        <v>522</v>
      </c>
      <c r="AF807" s="41" t="s">
        <v>312</v>
      </c>
      <c r="AG807" s="41" t="s">
        <v>313</v>
      </c>
      <c r="AH807" s="41" t="s">
        <v>384</v>
      </c>
      <c r="AK807" s="22">
        <v>3</v>
      </c>
      <c r="AL807" s="22">
        <v>0.38</v>
      </c>
      <c r="AM807" s="17">
        <f>IF(A807="","",MATCH(A807,'Lista - Inversor'!$2:$2,0))</f>
        <v>51</v>
      </c>
      <c r="AN807" s="17">
        <f>IF(C807="","",MATCH(C807,'Lista - Inversor'!$AY:$AY,0)-2)</f>
        <v>6</v>
      </c>
    </row>
    <row r="808" spans="1:40" x14ac:dyDescent="0.35">
      <c r="A808" s="43" t="s">
        <v>513</v>
      </c>
      <c r="B808" s="17" t="str">
        <f t="shared" si="16"/>
        <v>SOLIS 3P15K-4G</v>
      </c>
      <c r="C808" s="22" t="s">
        <v>2277</v>
      </c>
      <c r="AM808" s="17">
        <f>IF(A808="","",MATCH(A808,'Lista - Inversor'!$2:$2,0))</f>
        <v>51</v>
      </c>
      <c r="AN808" s="17">
        <f>IF(C808="","",MATCH(C808,'Lista - Inversor'!$AY:$AY,0)-2)</f>
        <v>7</v>
      </c>
    </row>
    <row r="809" spans="1:40" x14ac:dyDescent="0.35">
      <c r="A809" s="43" t="s">
        <v>513</v>
      </c>
      <c r="B809" s="17" t="str">
        <f t="shared" si="16"/>
        <v>SOLIS-50K</v>
      </c>
      <c r="C809" s="22" t="s">
        <v>2307</v>
      </c>
      <c r="D809" s="41" t="s">
        <v>407</v>
      </c>
      <c r="E809" s="17">
        <v>50</v>
      </c>
      <c r="F809" s="41" t="s">
        <v>409</v>
      </c>
      <c r="G809" s="22" t="s">
        <v>4104</v>
      </c>
      <c r="H809" s="22" t="s">
        <v>4105</v>
      </c>
      <c r="I809" s="41" t="s">
        <v>504</v>
      </c>
      <c r="J809" s="41" t="s">
        <v>294</v>
      </c>
      <c r="K809" s="41" t="s">
        <v>295</v>
      </c>
      <c r="N809" s="41" t="s">
        <v>517</v>
      </c>
      <c r="O809" s="41" t="s">
        <v>518</v>
      </c>
      <c r="P809" s="41" t="s">
        <v>414</v>
      </c>
      <c r="Q809" s="41" t="s">
        <v>414</v>
      </c>
      <c r="R809" s="41" t="s">
        <v>415</v>
      </c>
      <c r="S809" s="41" t="s">
        <v>377</v>
      </c>
      <c r="T809" s="41" t="s">
        <v>417</v>
      </c>
      <c r="U809" s="41" t="s">
        <v>467</v>
      </c>
      <c r="V809" s="41" t="s">
        <v>519</v>
      </c>
      <c r="Y809" s="41" t="s">
        <v>520</v>
      </c>
      <c r="Z809" s="41" t="s">
        <v>521</v>
      </c>
      <c r="AA809" s="41" t="s">
        <v>308</v>
      </c>
      <c r="AC809" s="41" t="s">
        <v>329</v>
      </c>
      <c r="AD809" s="41" t="s">
        <v>310</v>
      </c>
      <c r="AE809" s="41" t="s">
        <v>522</v>
      </c>
      <c r="AF809" s="41" t="s">
        <v>312</v>
      </c>
      <c r="AG809" s="41" t="s">
        <v>313</v>
      </c>
      <c r="AH809" s="41" t="s">
        <v>384</v>
      </c>
      <c r="AK809" s="22">
        <v>3</v>
      </c>
      <c r="AL809" s="22">
        <v>0.38</v>
      </c>
      <c r="AM809" s="17">
        <f>IF(A809="","",MATCH(A809,'Lista - Inversor'!$2:$2,0))</f>
        <v>51</v>
      </c>
      <c r="AN809" s="17">
        <f>IF(C809="","",MATCH(C809,'Lista - Inversor'!$AY:$AY,0)-2)</f>
        <v>8</v>
      </c>
    </row>
    <row r="810" spans="1:40" x14ac:dyDescent="0.35">
      <c r="A810" s="43" t="s">
        <v>513</v>
      </c>
      <c r="B810" s="17" t="str">
        <f t="shared" si="16"/>
        <v>3P17K-4G</v>
      </c>
      <c r="C810" s="22" t="s">
        <v>2335</v>
      </c>
      <c r="AM810" s="17">
        <f>IF(A810="","",MATCH(A810,'Lista - Inversor'!$2:$2,0))</f>
        <v>51</v>
      </c>
      <c r="AN810" s="17">
        <f>IF(C810="","",MATCH(C810,'Lista - Inversor'!$AY:$AY,0)-2)</f>
        <v>9</v>
      </c>
    </row>
    <row r="811" spans="1:40" x14ac:dyDescent="0.35">
      <c r="A811" s="43" t="s">
        <v>513</v>
      </c>
      <c r="B811" s="17" t="str">
        <f t="shared" si="16"/>
        <v>SOLIS-25K</v>
      </c>
      <c r="C811" s="22" t="s">
        <v>2362</v>
      </c>
      <c r="AM811" s="17">
        <f>IF(A811="","",MATCH(A811,'Lista - Inversor'!$2:$2,0))</f>
        <v>51</v>
      </c>
      <c r="AN811" s="17">
        <f>IF(C811="","",MATCH(C811,'Lista - Inversor'!$AY:$AY,0)-2)</f>
        <v>10</v>
      </c>
    </row>
    <row r="812" spans="1:40" x14ac:dyDescent="0.35">
      <c r="A812" s="43" t="s">
        <v>513</v>
      </c>
      <c r="B812" s="17" t="str">
        <f t="shared" si="16"/>
        <v>1P8K-4G</v>
      </c>
      <c r="C812" s="22" t="s">
        <v>2387</v>
      </c>
      <c r="AM812" s="17">
        <f>IF(A812="","",MATCH(A812,'Lista - Inversor'!$2:$2,0))</f>
        <v>51</v>
      </c>
      <c r="AN812" s="17">
        <f>IF(C812="","",MATCH(C812,'Lista - Inversor'!$AY:$AY,0)-2)</f>
        <v>11</v>
      </c>
    </row>
    <row r="813" spans="1:40" x14ac:dyDescent="0.35">
      <c r="A813" s="43" t="s">
        <v>513</v>
      </c>
      <c r="B813" s="17" t="str">
        <f t="shared" si="16"/>
        <v>SOLIS 3P20K-4G</v>
      </c>
      <c r="C813" s="22" t="s">
        <v>2412</v>
      </c>
      <c r="AM813" s="17">
        <f>IF(A813="","",MATCH(A813,'Lista - Inversor'!$2:$2,0))</f>
        <v>51</v>
      </c>
      <c r="AN813" s="17">
        <f>IF(C813="","",MATCH(C813,'Lista - Inversor'!$AY:$AY,0)-2)</f>
        <v>12</v>
      </c>
    </row>
    <row r="814" spans="1:40" x14ac:dyDescent="0.35">
      <c r="A814" s="43" t="s">
        <v>513</v>
      </c>
      <c r="B814" s="17" t="str">
        <f t="shared" si="16"/>
        <v>3P12K-4G</v>
      </c>
      <c r="C814" s="22" t="s">
        <v>2436</v>
      </c>
      <c r="AM814" s="17">
        <f>IF(A814="","",MATCH(A814,'Lista - Inversor'!$2:$2,0))</f>
        <v>51</v>
      </c>
      <c r="AN814" s="17">
        <f>IF(C814="","",MATCH(C814,'Lista - Inversor'!$AY:$AY,0)-2)</f>
        <v>13</v>
      </c>
    </row>
    <row r="815" spans="1:40" x14ac:dyDescent="0.35">
      <c r="A815" s="43" t="s">
        <v>513</v>
      </c>
      <c r="B815" s="17" t="str">
        <f t="shared" si="16"/>
        <v>SOLIS-3P5K-4G</v>
      </c>
      <c r="C815" s="22" t="s">
        <v>2459</v>
      </c>
      <c r="AM815" s="17">
        <f>IF(A815="","",MATCH(A815,'Lista - Inversor'!$2:$2,0))</f>
        <v>51</v>
      </c>
      <c r="AN815" s="17">
        <f>IF(C815="","",MATCH(C815,'Lista - Inversor'!$AY:$AY,0)-2)</f>
        <v>14</v>
      </c>
    </row>
    <row r="816" spans="1:40" x14ac:dyDescent="0.35">
      <c r="A816" s="43" t="s">
        <v>513</v>
      </c>
      <c r="B816" s="17" t="str">
        <f t="shared" si="16"/>
        <v>SOLIS-MINI-3000-4G</v>
      </c>
      <c r="C816" s="22" t="s">
        <v>2482</v>
      </c>
      <c r="AM816" s="17">
        <f>IF(A816="","",MATCH(A816,'Lista - Inversor'!$2:$2,0))</f>
        <v>51</v>
      </c>
      <c r="AN816" s="17">
        <f>IF(C816="","",MATCH(C816,'Lista - Inversor'!$AY:$AY,0)-2)</f>
        <v>15</v>
      </c>
    </row>
    <row r="817" spans="1:40" x14ac:dyDescent="0.35">
      <c r="A817" s="43" t="s">
        <v>513</v>
      </c>
      <c r="B817" s="17" t="str">
        <f t="shared" si="16"/>
        <v>1P9K-4G</v>
      </c>
      <c r="C817" s="22" t="s">
        <v>2502</v>
      </c>
      <c r="AM817" s="17">
        <f>IF(A817="","",MATCH(A817,'Lista - Inversor'!$2:$2,0))</f>
        <v>51</v>
      </c>
      <c r="AN817" s="17">
        <f>IF(C817="","",MATCH(C817,'Lista - Inversor'!$AY:$AY,0)-2)</f>
        <v>16</v>
      </c>
    </row>
    <row r="818" spans="1:40" x14ac:dyDescent="0.35">
      <c r="A818" s="43" t="s">
        <v>513</v>
      </c>
      <c r="B818" s="17" t="str">
        <f t="shared" si="16"/>
        <v>SOLIS-20K-LV</v>
      </c>
      <c r="C818" s="22" t="s">
        <v>2522</v>
      </c>
      <c r="AM818" s="17">
        <f>IF(A818="","",MATCH(A818,'Lista - Inversor'!$2:$2,0))</f>
        <v>51</v>
      </c>
      <c r="AN818" s="17">
        <f>IF(C818="","",MATCH(C818,'Lista - Inversor'!$AY:$AY,0)-2)</f>
        <v>17</v>
      </c>
    </row>
    <row r="819" spans="1:40" x14ac:dyDescent="0.35">
      <c r="A819" s="43" t="s">
        <v>513</v>
      </c>
      <c r="B819" s="17" t="str">
        <f t="shared" si="16"/>
        <v>SOLIS-MINI-2000-4G</v>
      </c>
      <c r="C819" s="22" t="s">
        <v>2542</v>
      </c>
      <c r="AM819" s="17">
        <f>IF(A819="","",MATCH(A819,'Lista - Inversor'!$2:$2,0))</f>
        <v>51</v>
      </c>
      <c r="AN819" s="17">
        <f>IF(C819="","",MATCH(C819,'Lista - Inversor'!$AY:$AY,0)-2)</f>
        <v>18</v>
      </c>
    </row>
    <row r="820" spans="1:40" x14ac:dyDescent="0.35">
      <c r="A820" s="43" t="s">
        <v>513</v>
      </c>
      <c r="B820" s="17" t="str">
        <f t="shared" si="16"/>
        <v>SOLIS-1P10K-4G</v>
      </c>
      <c r="C820" s="22" t="s">
        <v>2562</v>
      </c>
      <c r="AM820" s="17">
        <f>IF(A820="","",MATCH(A820,'Lista - Inversor'!$2:$2,0))</f>
        <v>51</v>
      </c>
      <c r="AN820" s="17">
        <f>IF(C820="","",MATCH(C820,'Lista - Inversor'!$AY:$AY,0)-2)</f>
        <v>19</v>
      </c>
    </row>
    <row r="821" spans="1:40" x14ac:dyDescent="0.35">
      <c r="A821" s="43" t="s">
        <v>513</v>
      </c>
      <c r="B821" s="17" t="str">
        <f t="shared" si="16"/>
        <v>SOLIS-30K</v>
      </c>
      <c r="C821" s="22" t="s">
        <v>2582</v>
      </c>
      <c r="AM821" s="17">
        <f>IF(A821="","",MATCH(A821,'Lista - Inversor'!$2:$2,0))</f>
        <v>51</v>
      </c>
      <c r="AN821" s="17">
        <f>IF(C821="","",MATCH(C821,'Lista - Inversor'!$AY:$AY,0)-2)</f>
        <v>20</v>
      </c>
    </row>
    <row r="822" spans="1:40" x14ac:dyDescent="0.35">
      <c r="A822" s="43" t="s">
        <v>513</v>
      </c>
      <c r="B822" s="17" t="str">
        <f t="shared" si="16"/>
        <v>1P8K-4G</v>
      </c>
      <c r="C822" s="22" t="s">
        <v>2600</v>
      </c>
      <c r="AM822" s="17">
        <f>IF(A822="","",MATCH(A822,'Lista - Inversor'!$2:$2,0))</f>
        <v>51</v>
      </c>
      <c r="AN822" s="17">
        <f>IF(C822="","",MATCH(C822,'Lista - Inversor'!$AY:$AY,0)-2)</f>
        <v>21</v>
      </c>
    </row>
    <row r="823" spans="1:40" x14ac:dyDescent="0.35">
      <c r="A823" s="43" t="s">
        <v>513</v>
      </c>
      <c r="B823" s="17" t="str">
        <f t="shared" si="16"/>
        <v>SOLIS-1P8K-4G</v>
      </c>
      <c r="C823" s="22" t="s">
        <v>2618</v>
      </c>
      <c r="AM823" s="17">
        <f>IF(A823="","",MATCH(A823,'Lista - Inversor'!$2:$2,0))</f>
        <v>51</v>
      </c>
      <c r="AN823" s="17">
        <f>IF(C823="","",MATCH(C823,'Lista - Inversor'!$AY:$AY,0)-2)</f>
        <v>22</v>
      </c>
    </row>
    <row r="824" spans="1:40" x14ac:dyDescent="0.35">
      <c r="A824" s="43" t="s">
        <v>513</v>
      </c>
      <c r="B824" s="17" t="str">
        <f t="shared" si="16"/>
        <v>SOLIS-15K-LV</v>
      </c>
      <c r="C824" s="22" t="s">
        <v>2635</v>
      </c>
      <c r="AM824" s="17">
        <f>IF(A824="","",MATCH(A824,'Lista - Inversor'!$2:$2,0))</f>
        <v>51</v>
      </c>
      <c r="AN824" s="17">
        <f>IF(C824="","",MATCH(C824,'Lista - Inversor'!$AY:$AY,0)-2)</f>
        <v>23</v>
      </c>
    </row>
    <row r="825" spans="1:40" x14ac:dyDescent="0.35">
      <c r="A825" s="43" t="s">
        <v>513</v>
      </c>
      <c r="B825" s="17" t="str">
        <f t="shared" si="16"/>
        <v>SOLIS-30K-LV</v>
      </c>
      <c r="C825" s="22" t="s">
        <v>2652</v>
      </c>
      <c r="AM825" s="17">
        <f>IF(A825="","",MATCH(A825,'Lista - Inversor'!$2:$2,0))</f>
        <v>51</v>
      </c>
      <c r="AN825" s="17">
        <f>IF(C825="","",MATCH(C825,'Lista - Inversor'!$AY:$AY,0)-2)</f>
        <v>24</v>
      </c>
    </row>
    <row r="826" spans="1:40" x14ac:dyDescent="0.35">
      <c r="A826" s="43" t="s">
        <v>513</v>
      </c>
      <c r="B826" s="17" t="str">
        <f t="shared" si="16"/>
        <v>SOLIS-75K-5G</v>
      </c>
      <c r="C826" s="22" t="s">
        <v>2667</v>
      </c>
      <c r="D826" s="41" t="s">
        <v>4106</v>
      </c>
      <c r="E826" s="17">
        <v>75</v>
      </c>
      <c r="F826" s="41" t="s">
        <v>4107</v>
      </c>
      <c r="G826" s="41" t="s">
        <v>4108</v>
      </c>
      <c r="H826" s="22" t="s">
        <v>4105</v>
      </c>
      <c r="I826" s="41" t="s">
        <v>504</v>
      </c>
      <c r="J826" s="41" t="s">
        <v>294</v>
      </c>
      <c r="K826" s="41" t="s">
        <v>295</v>
      </c>
      <c r="N826" s="41" t="s">
        <v>4109</v>
      </c>
      <c r="O826" s="41" t="s">
        <v>4110</v>
      </c>
      <c r="P826" s="41" t="s">
        <v>444</v>
      </c>
      <c r="Q826" s="41" t="s">
        <v>4111</v>
      </c>
      <c r="R826" s="41" t="s">
        <v>415</v>
      </c>
      <c r="S826" s="41" t="s">
        <v>377</v>
      </c>
      <c r="T826" s="41" t="s">
        <v>446</v>
      </c>
      <c r="U826" s="41" t="s">
        <v>4112</v>
      </c>
      <c r="V826" s="41" t="s">
        <v>4113</v>
      </c>
      <c r="Y826" s="41" t="s">
        <v>4114</v>
      </c>
      <c r="Z826" s="41" t="s">
        <v>4115</v>
      </c>
      <c r="AA826" s="41" t="s">
        <v>3832</v>
      </c>
      <c r="AC826" s="41" t="s">
        <v>329</v>
      </c>
      <c r="AD826" s="41" t="s">
        <v>310</v>
      </c>
      <c r="AE826" s="41" t="s">
        <v>522</v>
      </c>
      <c r="AF826" s="41" t="s">
        <v>312</v>
      </c>
      <c r="AG826" s="41" t="s">
        <v>313</v>
      </c>
      <c r="AH826" s="41" t="s">
        <v>384</v>
      </c>
      <c r="AK826" s="22">
        <v>3</v>
      </c>
      <c r="AL826" s="22">
        <v>0.38</v>
      </c>
      <c r="AM826" s="17">
        <f>IF(A826="","",MATCH(A826,'Lista - Inversor'!$2:$2,0))</f>
        <v>51</v>
      </c>
      <c r="AN826" s="17">
        <f>IF(C826="","",MATCH(C826,'Lista - Inversor'!$AY:$AY,0)-2)</f>
        <v>25</v>
      </c>
    </row>
    <row r="827" spans="1:40" x14ac:dyDescent="0.35">
      <c r="A827" s="43" t="s">
        <v>513</v>
      </c>
      <c r="B827" s="17" t="str">
        <f t="shared" si="16"/>
        <v>SOLIS-30K-5G</v>
      </c>
      <c r="C827" s="22" t="s">
        <v>2681</v>
      </c>
      <c r="AM827" s="17">
        <f>IF(A827="","",MATCH(A827,'Lista - Inversor'!$2:$2,0))</f>
        <v>51</v>
      </c>
      <c r="AN827" s="17">
        <f>IF(C827="","",MATCH(C827,'Lista - Inversor'!$AY:$AY,0)-2)</f>
        <v>26</v>
      </c>
    </row>
    <row r="828" spans="1:40" x14ac:dyDescent="0.35">
      <c r="A828" s="43" t="s">
        <v>513</v>
      </c>
      <c r="B828" s="17" t="str">
        <f t="shared" si="16"/>
        <v>SOLIS-25K-LV</v>
      </c>
      <c r="C828" s="22" t="s">
        <v>2694</v>
      </c>
      <c r="AM828" s="17">
        <f>IF(A828="","",MATCH(A828,'Lista - Inversor'!$2:$2,0))</f>
        <v>51</v>
      </c>
      <c r="AN828" s="17">
        <f>IF(C828="","",MATCH(C828,'Lista - Inversor'!$AY:$AY,0)-2)</f>
        <v>27</v>
      </c>
    </row>
    <row r="829" spans="1:40" x14ac:dyDescent="0.35">
      <c r="A829" s="43" t="s">
        <v>513</v>
      </c>
      <c r="B829" s="17" t="str">
        <f t="shared" ref="B829:B892" si="17">RIGHT(C829,LEN(C829)-(FIND(" - ", C829)+2))</f>
        <v>1P7K-5G</v>
      </c>
      <c r="C829" s="22" t="s">
        <v>2707</v>
      </c>
      <c r="AM829" s="17">
        <f>IF(A829="","",MATCH(A829,'Lista - Inversor'!$2:$2,0))</f>
        <v>51</v>
      </c>
      <c r="AN829" s="17">
        <f>IF(C829="","",MATCH(C829,'Lista - Inversor'!$AY:$AY,0)-2)</f>
        <v>28</v>
      </c>
    </row>
    <row r="830" spans="1:40" x14ac:dyDescent="0.35">
      <c r="A830" s="43" t="s">
        <v>513</v>
      </c>
      <c r="B830" s="17" t="str">
        <f t="shared" si="17"/>
        <v>SOLIS-25K-5G</v>
      </c>
      <c r="C830" s="22" t="s">
        <v>2720</v>
      </c>
      <c r="AM830" s="17">
        <f>IF(A830="","",MATCH(A830,'Lista - Inversor'!$2:$2,0))</f>
        <v>51</v>
      </c>
      <c r="AN830" s="17">
        <f>IF(C830="","",MATCH(C830,'Lista - Inversor'!$AY:$AY,0)-2)</f>
        <v>29</v>
      </c>
    </row>
    <row r="831" spans="1:40" x14ac:dyDescent="0.35">
      <c r="A831" s="43" t="s">
        <v>513</v>
      </c>
      <c r="B831" s="17" t="str">
        <f t="shared" si="17"/>
        <v>SOLIS-1P9K-4G</v>
      </c>
      <c r="C831" s="22" t="s">
        <v>2733</v>
      </c>
      <c r="AM831" s="17">
        <f>IF(A831="","",MATCH(A831,'Lista - Inversor'!$2:$2,0))</f>
        <v>51</v>
      </c>
      <c r="AN831" s="17">
        <f>IF(C831="","",MATCH(C831,'Lista - Inversor'!$AY:$AY,0)-2)</f>
        <v>30</v>
      </c>
    </row>
    <row r="832" spans="1:40" x14ac:dyDescent="0.35">
      <c r="A832" s="43" t="s">
        <v>513</v>
      </c>
      <c r="B832" s="17" t="str">
        <f t="shared" si="17"/>
        <v>SOLIS-1P7.7K-5G</v>
      </c>
      <c r="C832" s="22" t="s">
        <v>2745</v>
      </c>
      <c r="AM832" s="17">
        <f>IF(A832="","",MATCH(A832,'Lista - Inversor'!$2:$2,0))</f>
        <v>51</v>
      </c>
      <c r="AN832" s="17">
        <f>IF(C832="","",MATCH(C832,'Lista - Inversor'!$AY:$AY,0)-2)</f>
        <v>31</v>
      </c>
    </row>
    <row r="833" spans="1:40" x14ac:dyDescent="0.35">
      <c r="A833" s="43" t="s">
        <v>513</v>
      </c>
      <c r="B833" s="17" t="str">
        <f t="shared" si="17"/>
        <v>SOLIS--1P6K-4G</v>
      </c>
      <c r="C833" s="22" t="s">
        <v>2757</v>
      </c>
      <c r="AM833" s="17">
        <f>IF(A833="","",MATCH(A833,'Lista - Inversor'!$2:$2,0))</f>
        <v>51</v>
      </c>
      <c r="AN833" s="17">
        <f>IF(C833="","",MATCH(C833,'Lista - Inversor'!$AY:$AY,0)-2)</f>
        <v>32</v>
      </c>
    </row>
    <row r="834" spans="1:40" x14ac:dyDescent="0.35">
      <c r="A834" s="43" t="s">
        <v>513</v>
      </c>
      <c r="B834" s="17" t="str">
        <f t="shared" si="17"/>
        <v>SOLIS-40K-HV-5G</v>
      </c>
      <c r="C834" s="22" t="s">
        <v>2769</v>
      </c>
      <c r="AM834" s="17">
        <f>IF(A834="","",MATCH(A834,'Lista - Inversor'!$2:$2,0))</f>
        <v>51</v>
      </c>
      <c r="AN834" s="17">
        <f>IF(C834="","",MATCH(C834,'Lista - Inversor'!$AY:$AY,0)-2)</f>
        <v>33</v>
      </c>
    </row>
    <row r="835" spans="1:40" x14ac:dyDescent="0.35">
      <c r="A835" s="43" t="s">
        <v>513</v>
      </c>
      <c r="B835" s="17" t="str">
        <f t="shared" si="17"/>
        <v>SOLIS-60K-LV-5G</v>
      </c>
      <c r="C835" s="22" t="s">
        <v>2781</v>
      </c>
      <c r="AM835" s="17">
        <f>IF(A835="","",MATCH(A835,'Lista - Inversor'!$2:$2,0))</f>
        <v>51</v>
      </c>
      <c r="AN835" s="17">
        <f>IF(C835="","",MATCH(C835,'Lista - Inversor'!$AY:$AY,0)-2)</f>
        <v>34</v>
      </c>
    </row>
    <row r="836" spans="1:40" x14ac:dyDescent="0.35">
      <c r="A836" s="43" t="s">
        <v>513</v>
      </c>
      <c r="B836" s="17" t="str">
        <f t="shared" si="17"/>
        <v>S5-GC15K-LV</v>
      </c>
      <c r="C836" s="22" t="s">
        <v>2792</v>
      </c>
      <c r="AM836" s="17">
        <f>IF(A836="","",MATCH(A836,'Lista - Inversor'!$2:$2,0))</f>
        <v>51</v>
      </c>
      <c r="AN836" s="17">
        <f>IF(C836="","",MATCH(C836,'Lista - Inversor'!$AY:$AY,0)-2)</f>
        <v>35</v>
      </c>
    </row>
    <row r="837" spans="1:40" x14ac:dyDescent="0.35">
      <c r="A837" s="43" t="s">
        <v>513</v>
      </c>
      <c r="B837" s="17" t="str">
        <f t="shared" si="17"/>
        <v>S6-GR1P4K</v>
      </c>
      <c r="C837" s="22" t="s">
        <v>2803</v>
      </c>
      <c r="AM837" s="17">
        <f>IF(A837="","",MATCH(A837,'Lista - Inversor'!$2:$2,0))</f>
        <v>51</v>
      </c>
      <c r="AN837" s="17">
        <f>IF(C837="","",MATCH(C837,'Lista - Inversor'!$AY:$AY,0)-2)</f>
        <v>36</v>
      </c>
    </row>
    <row r="838" spans="1:40" x14ac:dyDescent="0.35">
      <c r="A838" s="43" t="s">
        <v>513</v>
      </c>
      <c r="B838" s="17" t="str">
        <f t="shared" si="17"/>
        <v>S6-GR1P5K</v>
      </c>
      <c r="C838" s="22" t="s">
        <v>2812</v>
      </c>
      <c r="AM838" s="17">
        <f>IF(A838="","",MATCH(A838,'Lista - Inversor'!$2:$2,0))</f>
        <v>51</v>
      </c>
      <c r="AN838" s="17">
        <f>IF(C838="","",MATCH(C838,'Lista - Inversor'!$AY:$AY,0)-2)</f>
        <v>37</v>
      </c>
    </row>
    <row r="839" spans="1:40" x14ac:dyDescent="0.35">
      <c r="A839" s="43" t="s">
        <v>513</v>
      </c>
      <c r="B839" s="17" t="str">
        <f t="shared" si="17"/>
        <v>SOLIS-15K-LV 5G</v>
      </c>
      <c r="C839" s="22" t="s">
        <v>2821</v>
      </c>
      <c r="AM839" s="17">
        <f>IF(A839="","",MATCH(A839,'Lista - Inversor'!$2:$2,0))</f>
        <v>51</v>
      </c>
      <c r="AN839" s="17">
        <f>IF(C839="","",MATCH(C839,'Lista - Inversor'!$AY:$AY,0)-2)</f>
        <v>38</v>
      </c>
    </row>
    <row r="840" spans="1:40" x14ac:dyDescent="0.35">
      <c r="A840" s="43" t="s">
        <v>513</v>
      </c>
      <c r="B840" s="17" t="str">
        <f t="shared" si="17"/>
        <v>SOLIS-50K-LV-5G</v>
      </c>
      <c r="C840" s="22" t="s">
        <v>2830</v>
      </c>
      <c r="AM840" s="17">
        <f>IF(A840="","",MATCH(A840,'Lista - Inversor'!$2:$2,0))</f>
        <v>51</v>
      </c>
      <c r="AN840" s="17">
        <f>IF(C840="","",MATCH(C840,'Lista - Inversor'!$AY:$AY,0)-2)</f>
        <v>39</v>
      </c>
    </row>
    <row r="841" spans="1:40" x14ac:dyDescent="0.35">
      <c r="A841" s="43" t="s">
        <v>513</v>
      </c>
      <c r="B841" s="17" t="str">
        <f t="shared" si="17"/>
        <v>SOLIS-20K-LV</v>
      </c>
      <c r="C841" s="22" t="s">
        <v>2839</v>
      </c>
      <c r="AM841" s="17">
        <f>IF(A841="","",MATCH(A841,'Lista - Inversor'!$2:$2,0))</f>
        <v>51</v>
      </c>
      <c r="AN841" s="17">
        <f>IF(C841="","",MATCH(C841,'Lista - Inversor'!$AY:$AY,0)-2)</f>
        <v>40</v>
      </c>
    </row>
    <row r="842" spans="1:40" x14ac:dyDescent="0.35">
      <c r="A842" s="43" t="s">
        <v>513</v>
      </c>
      <c r="B842" s="17" t="str">
        <f t="shared" si="17"/>
        <v xml:space="preserve"> SOLIS-40K-5G</v>
      </c>
      <c r="C842" s="22" t="s">
        <v>2847</v>
      </c>
      <c r="AM842" s="17">
        <f>IF(A842="","",MATCH(A842,'Lista - Inversor'!$2:$2,0))</f>
        <v>51</v>
      </c>
      <c r="AN842" s="17">
        <f>IF(C842="","",MATCH(C842,'Lista - Inversor'!$AY:$AY,0)-2)</f>
        <v>41</v>
      </c>
    </row>
    <row r="843" spans="1:40" x14ac:dyDescent="0.35">
      <c r="A843" s="43" t="s">
        <v>513</v>
      </c>
      <c r="B843" s="17" t="str">
        <f t="shared" si="17"/>
        <v>SOLIS-25K</v>
      </c>
      <c r="C843" s="22" t="s">
        <v>2855</v>
      </c>
      <c r="AM843" s="17">
        <f>IF(A843="","",MATCH(A843,'Lista - Inversor'!$2:$2,0))</f>
        <v>51</v>
      </c>
      <c r="AN843" s="17">
        <f>IF(C843="","",MATCH(C843,'Lista - Inversor'!$AY:$AY,0)-2)</f>
        <v>42</v>
      </c>
    </row>
    <row r="844" spans="1:40" x14ac:dyDescent="0.35">
      <c r="A844" s="43" t="s">
        <v>513</v>
      </c>
      <c r="B844" s="17" t="str">
        <f t="shared" si="17"/>
        <v>SOLIS-110K-5G</v>
      </c>
      <c r="C844" s="22" t="s">
        <v>2863</v>
      </c>
      <c r="AM844" s="17">
        <f>IF(A844="","",MATCH(A844,'Lista - Inversor'!$2:$2,0))</f>
        <v>51</v>
      </c>
      <c r="AN844" s="17">
        <f>IF(C844="","",MATCH(C844,'Lista - Inversor'!$AY:$AY,0)-2)</f>
        <v>43</v>
      </c>
    </row>
    <row r="845" spans="1:40" x14ac:dyDescent="0.35">
      <c r="A845" s="43" t="s">
        <v>513</v>
      </c>
      <c r="B845" s="17" t="str">
        <f t="shared" si="17"/>
        <v>SOLIS-50K-G</v>
      </c>
      <c r="C845" s="22" t="s">
        <v>2870</v>
      </c>
      <c r="AM845" s="17">
        <f>IF(A845="","",MATCH(A845,'Lista - Inversor'!$2:$2,0))</f>
        <v>51</v>
      </c>
      <c r="AN845" s="17">
        <f>IF(C845="","",MATCH(C845,'Lista - Inversor'!$AY:$AY,0)-2)</f>
        <v>44</v>
      </c>
    </row>
    <row r="846" spans="1:40" x14ac:dyDescent="0.35">
      <c r="A846" s="43" t="s">
        <v>513</v>
      </c>
      <c r="B846" s="17" t="str">
        <f t="shared" si="17"/>
        <v>SOLIS-33K-5G</v>
      </c>
      <c r="C846" s="22" t="s">
        <v>2877</v>
      </c>
      <c r="AM846" s="17">
        <f>IF(A846="","",MATCH(A846,'Lista - Inversor'!$2:$2,0))</f>
        <v>51</v>
      </c>
      <c r="AN846" s="17">
        <f>IF(C846="","",MATCH(C846,'Lista - Inversor'!$AY:$AY,0)-2)</f>
        <v>45</v>
      </c>
    </row>
    <row r="847" spans="1:40" x14ac:dyDescent="0.35">
      <c r="A847" s="43" t="s">
        <v>513</v>
      </c>
      <c r="B847" s="17" t="str">
        <f t="shared" si="17"/>
        <v>SOLIS - 1P6K - 4G</v>
      </c>
      <c r="C847" s="22" t="s">
        <v>2884</v>
      </c>
      <c r="AM847" s="17">
        <f>IF(A847="","",MATCH(A847,'Lista - Inversor'!$2:$2,0))</f>
        <v>51</v>
      </c>
      <c r="AN847" s="17">
        <f>IF(C847="","",MATCH(C847,'Lista - Inversor'!$AY:$AY,0)-2)</f>
        <v>46</v>
      </c>
    </row>
    <row r="848" spans="1:40" x14ac:dyDescent="0.35">
      <c r="A848" s="43" t="s">
        <v>513</v>
      </c>
      <c r="B848" s="17" t="str">
        <f t="shared" si="17"/>
        <v>SOLIS-1P7K-5G</v>
      </c>
      <c r="C848" s="22" t="s">
        <v>2890</v>
      </c>
      <c r="AM848" s="17">
        <f>IF(A848="","",MATCH(A848,'Lista - Inversor'!$2:$2,0))</f>
        <v>51</v>
      </c>
      <c r="AN848" s="17">
        <f>IF(C848="","",MATCH(C848,'Lista - Inversor'!$AY:$AY,0)-2)</f>
        <v>47</v>
      </c>
    </row>
    <row r="849" spans="1:40" x14ac:dyDescent="0.35">
      <c r="A849" s="43" t="s">
        <v>679</v>
      </c>
      <c r="B849" s="17" t="str">
        <f t="shared" si="17"/>
        <v>SG4K-D</v>
      </c>
      <c r="C849" s="22" t="s">
        <v>2035</v>
      </c>
      <c r="AM849" s="17">
        <f>IF(A849="","",MATCH(A849,'Lista - Inversor'!$2:$2,0))</f>
        <v>52</v>
      </c>
      <c r="AN849" s="17">
        <f>IF(C849="","",MATCH(C849,'Lista - Inversor'!$AZ:$AZ,0)-2)</f>
        <v>1</v>
      </c>
    </row>
    <row r="850" spans="1:40" x14ac:dyDescent="0.35">
      <c r="A850" s="43" t="s">
        <v>679</v>
      </c>
      <c r="B850" s="17" t="str">
        <f t="shared" si="17"/>
        <v>SG5K-D</v>
      </c>
      <c r="C850" s="22" t="s">
        <v>2086</v>
      </c>
      <c r="D850" s="41" t="s">
        <v>331</v>
      </c>
      <c r="E850" s="17" t="s">
        <v>332</v>
      </c>
      <c r="F850" s="41" t="s">
        <v>501</v>
      </c>
      <c r="G850" s="41" t="s">
        <v>502</v>
      </c>
      <c r="H850" s="41" t="s">
        <v>503</v>
      </c>
      <c r="I850" s="41" t="s">
        <v>504</v>
      </c>
      <c r="J850" s="41" t="s">
        <v>294</v>
      </c>
      <c r="K850" s="41" t="s">
        <v>505</v>
      </c>
      <c r="M850" s="22" t="s">
        <v>4012</v>
      </c>
      <c r="N850" s="41" t="s">
        <v>506</v>
      </c>
      <c r="P850" s="41" t="s">
        <v>300</v>
      </c>
      <c r="Q850" s="41" t="s">
        <v>507</v>
      </c>
      <c r="R850" s="41" t="s">
        <v>508</v>
      </c>
      <c r="S850" s="41" t="s">
        <v>357</v>
      </c>
      <c r="T850" s="41" t="s">
        <v>509</v>
      </c>
      <c r="U850" s="41" t="s">
        <v>315</v>
      </c>
      <c r="V850" s="41" t="s">
        <v>304</v>
      </c>
      <c r="Y850" s="41" t="s">
        <v>510</v>
      </c>
      <c r="Z850" s="41" t="s">
        <v>511</v>
      </c>
      <c r="AA850" s="41" t="s">
        <v>308</v>
      </c>
      <c r="AB850" s="41" t="s">
        <v>57</v>
      </c>
      <c r="AC850" s="41" t="s">
        <v>329</v>
      </c>
      <c r="AD850" s="41" t="s">
        <v>310</v>
      </c>
      <c r="AE850" s="41" t="s">
        <v>512</v>
      </c>
      <c r="AF850" s="41" t="s">
        <v>312</v>
      </c>
      <c r="AG850" s="41" t="s">
        <v>313</v>
      </c>
      <c r="AH850" s="41" t="s">
        <v>384</v>
      </c>
      <c r="AK850" s="22">
        <v>1</v>
      </c>
      <c r="AL850" s="22">
        <v>0.22</v>
      </c>
      <c r="AM850" s="17">
        <f>IF(A850="","",MATCH(A850,'Lista - Inversor'!$2:$2,0))</f>
        <v>52</v>
      </c>
      <c r="AN850" s="17">
        <f>IF(C850="","",MATCH(C850,'Lista - Inversor'!$AZ:$AZ,0)-2)</f>
        <v>2</v>
      </c>
    </row>
    <row r="851" spans="1:40" x14ac:dyDescent="0.35">
      <c r="A851" s="43" t="s">
        <v>679</v>
      </c>
      <c r="B851" s="17" t="str">
        <f t="shared" si="17"/>
        <v>SG6K-D</v>
      </c>
      <c r="C851" s="22" t="s">
        <v>2130</v>
      </c>
      <c r="AM851" s="17">
        <f>IF(A851="","",MATCH(A851,'Lista - Inversor'!$2:$2,0))</f>
        <v>52</v>
      </c>
      <c r="AN851" s="17">
        <f>IF(C851="","",MATCH(C851,'Lista - Inversor'!$AZ:$AZ,0)-2)</f>
        <v>3</v>
      </c>
    </row>
    <row r="852" spans="1:40" x14ac:dyDescent="0.35">
      <c r="A852" s="43" t="s">
        <v>679</v>
      </c>
      <c r="B852" s="17" t="str">
        <f t="shared" si="17"/>
        <v>SG3K-S</v>
      </c>
      <c r="C852" s="22" t="s">
        <v>2172</v>
      </c>
      <c r="D852" s="41" t="s">
        <v>352</v>
      </c>
      <c r="E852" s="17">
        <v>3</v>
      </c>
      <c r="F852" s="41" t="s">
        <v>352</v>
      </c>
      <c r="G852" s="41" t="s">
        <v>4013</v>
      </c>
      <c r="H852" s="41" t="s">
        <v>481</v>
      </c>
      <c r="I852" s="41" t="s">
        <v>482</v>
      </c>
      <c r="J852" s="41" t="s">
        <v>294</v>
      </c>
      <c r="K852" s="41" t="s">
        <v>505</v>
      </c>
      <c r="M852" s="22" t="s">
        <v>4012</v>
      </c>
      <c r="N852" s="41" t="s">
        <v>4014</v>
      </c>
      <c r="O852" s="41" t="s">
        <v>4015</v>
      </c>
      <c r="P852" s="41" t="s">
        <v>4016</v>
      </c>
      <c r="Q852" s="41" t="s">
        <v>507</v>
      </c>
      <c r="R852" s="41" t="s">
        <v>508</v>
      </c>
      <c r="S852" s="41" t="s">
        <v>4017</v>
      </c>
      <c r="T852" s="41" t="s">
        <v>4018</v>
      </c>
      <c r="U852" s="41" t="s">
        <v>57</v>
      </c>
      <c r="V852" s="41" t="s">
        <v>57</v>
      </c>
      <c r="Y852" s="41" t="s">
        <v>4019</v>
      </c>
      <c r="Z852" s="41" t="s">
        <v>4020</v>
      </c>
      <c r="AA852" s="41" t="s">
        <v>308</v>
      </c>
      <c r="AC852" s="41" t="s">
        <v>329</v>
      </c>
      <c r="AD852" s="41" t="s">
        <v>310</v>
      </c>
      <c r="AE852" s="41" t="s">
        <v>4021</v>
      </c>
      <c r="AF852" s="41" t="s">
        <v>312</v>
      </c>
      <c r="AG852" s="41" t="s">
        <v>313</v>
      </c>
      <c r="AH852" s="41" t="s">
        <v>384</v>
      </c>
      <c r="AK852" s="22">
        <v>1</v>
      </c>
      <c r="AL852" s="22">
        <v>0.22</v>
      </c>
      <c r="AM852" s="17">
        <f>IF(A852="","",MATCH(A852,'Lista - Inversor'!$2:$2,0))</f>
        <v>52</v>
      </c>
      <c r="AN852" s="17">
        <f>IF(C852="","",MATCH(C852,'Lista - Inversor'!$AZ:$AZ,0)-2)</f>
        <v>4</v>
      </c>
    </row>
    <row r="853" spans="1:40" x14ac:dyDescent="0.35">
      <c r="A853" s="43" t="s">
        <v>679</v>
      </c>
      <c r="B853" s="17" t="str">
        <f t="shared" si="17"/>
        <v>SG2K-S</v>
      </c>
      <c r="C853" s="22" t="s">
        <v>2211</v>
      </c>
      <c r="AM853" s="17">
        <f>IF(A853="","",MATCH(A853,'Lista - Inversor'!$2:$2,0))</f>
        <v>52</v>
      </c>
      <c r="AN853" s="17">
        <f>IF(C853="","",MATCH(C853,'Lista - Inversor'!$AZ:$AZ,0)-2)</f>
        <v>5</v>
      </c>
    </row>
    <row r="854" spans="1:40" x14ac:dyDescent="0.35">
      <c r="A854" s="43" t="s">
        <v>679</v>
      </c>
      <c r="B854" s="17" t="str">
        <f t="shared" si="17"/>
        <v>SG10KTL-M</v>
      </c>
      <c r="C854" s="22" t="s">
        <v>2245</v>
      </c>
      <c r="AM854" s="17">
        <f>IF(A854="","",MATCH(A854,'Lista - Inversor'!$2:$2,0))</f>
        <v>52</v>
      </c>
      <c r="AN854" s="17">
        <f>IF(C854="","",MATCH(C854,'Lista - Inversor'!$AZ:$AZ,0)-2)</f>
        <v>6</v>
      </c>
    </row>
    <row r="855" spans="1:40" x14ac:dyDescent="0.35">
      <c r="A855" s="43" t="s">
        <v>679</v>
      </c>
      <c r="B855" s="17" t="str">
        <f t="shared" si="17"/>
        <v>SG12KTL-M</v>
      </c>
      <c r="C855" s="22" t="s">
        <v>2278</v>
      </c>
      <c r="AM855" s="17">
        <f>IF(A855="","",MATCH(A855,'Lista - Inversor'!$2:$2,0))</f>
        <v>52</v>
      </c>
      <c r="AN855" s="17">
        <f>IF(C855="","",MATCH(C855,'Lista - Inversor'!$AZ:$AZ,0)-2)</f>
        <v>7</v>
      </c>
    </row>
    <row r="856" spans="1:40" x14ac:dyDescent="0.35">
      <c r="A856" s="43" t="s">
        <v>679</v>
      </c>
      <c r="B856" s="17" t="str">
        <f t="shared" si="17"/>
        <v>SG-36KTL-M</v>
      </c>
      <c r="C856" s="22" t="s">
        <v>2308</v>
      </c>
      <c r="AM856" s="17">
        <f>IF(A856="","",MATCH(A856,'Lista - Inversor'!$2:$2,0))</f>
        <v>52</v>
      </c>
      <c r="AN856" s="17">
        <f>IF(C856="","",MATCH(C856,'Lista - Inversor'!$AZ:$AZ,0)-2)</f>
        <v>8</v>
      </c>
    </row>
    <row r="857" spans="1:40" x14ac:dyDescent="0.35">
      <c r="A857" s="43" t="s">
        <v>679</v>
      </c>
      <c r="B857" s="17" t="str">
        <f t="shared" si="17"/>
        <v>SG20KTL-M</v>
      </c>
      <c r="C857" s="22" t="s">
        <v>2336</v>
      </c>
      <c r="AM857" s="17">
        <f>IF(A857="","",MATCH(A857,'Lista - Inversor'!$2:$2,0))</f>
        <v>52</v>
      </c>
      <c r="AN857" s="17">
        <f>IF(C857="","",MATCH(C857,'Lista - Inversor'!$AZ:$AZ,0)-2)</f>
        <v>9</v>
      </c>
    </row>
    <row r="858" spans="1:40" x14ac:dyDescent="0.35">
      <c r="A858" s="43" t="s">
        <v>679</v>
      </c>
      <c r="B858" s="17" t="str">
        <f t="shared" si="17"/>
        <v>SG15KTL-M</v>
      </c>
      <c r="C858" s="22" t="s">
        <v>2363</v>
      </c>
      <c r="AM858" s="17">
        <f>IF(A858="","",MATCH(A858,'Lista - Inversor'!$2:$2,0))</f>
        <v>52</v>
      </c>
      <c r="AN858" s="17">
        <f>IF(C858="","",MATCH(C858,'Lista - Inversor'!$AZ:$AZ,0)-2)</f>
        <v>10</v>
      </c>
    </row>
    <row r="859" spans="1:40" x14ac:dyDescent="0.35">
      <c r="A859" s="43" t="s">
        <v>679</v>
      </c>
      <c r="B859" s="17" t="str">
        <f t="shared" si="17"/>
        <v>SG60KTL</v>
      </c>
      <c r="C859" s="22" t="s">
        <v>2388</v>
      </c>
      <c r="AM859" s="17">
        <f>IF(A859="","",MATCH(A859,'Lista - Inversor'!$2:$2,0))</f>
        <v>52</v>
      </c>
      <c r="AN859" s="17">
        <f>IF(C859="","",MATCH(C859,'Lista - Inversor'!$AZ:$AZ,0)-2)</f>
        <v>11</v>
      </c>
    </row>
    <row r="860" spans="1:40" x14ac:dyDescent="0.35">
      <c r="A860" s="43" t="s">
        <v>679</v>
      </c>
      <c r="B860" s="17" t="str">
        <f t="shared" si="17"/>
        <v>SG8K3-D</v>
      </c>
      <c r="C860" s="22" t="s">
        <v>2413</v>
      </c>
      <c r="AM860" s="17">
        <f>IF(A860="","",MATCH(A860,'Lista - Inversor'!$2:$2,0))</f>
        <v>52</v>
      </c>
      <c r="AN860" s="17">
        <f>IF(C860="","",MATCH(C860,'Lista - Inversor'!$AZ:$AZ,0)-2)</f>
        <v>12</v>
      </c>
    </row>
    <row r="861" spans="1:40" x14ac:dyDescent="0.35">
      <c r="A861" s="43" t="s">
        <v>679</v>
      </c>
      <c r="B861" s="17" t="str">
        <f t="shared" si="17"/>
        <v>SG50CX</v>
      </c>
      <c r="C861" s="22" t="s">
        <v>2437</v>
      </c>
      <c r="AM861" s="17">
        <f>IF(A861="","",MATCH(A861,'Lista - Inversor'!$2:$2,0))</f>
        <v>52</v>
      </c>
      <c r="AN861" s="17">
        <f>IF(C861="","",MATCH(C861,'Lista - Inversor'!$AZ:$AZ,0)-2)</f>
        <v>13</v>
      </c>
    </row>
    <row r="862" spans="1:40" x14ac:dyDescent="0.35">
      <c r="A862" s="43" t="s">
        <v>679</v>
      </c>
      <c r="B862" s="17" t="str">
        <f t="shared" si="17"/>
        <v>SG110CX</v>
      </c>
      <c r="C862" s="22" t="s">
        <v>2460</v>
      </c>
      <c r="AM862" s="17">
        <f>IF(A862="","",MATCH(A862,'Lista - Inversor'!$2:$2,0))</f>
        <v>52</v>
      </c>
      <c r="AN862" s="17">
        <f>IF(C862="","",MATCH(C862,'Lista - Inversor'!$AZ:$AZ,0)-2)</f>
        <v>14</v>
      </c>
    </row>
    <row r="863" spans="1:40" x14ac:dyDescent="0.35">
      <c r="A863" s="43" t="s">
        <v>679</v>
      </c>
      <c r="B863" s="17" t="str">
        <f t="shared" si="17"/>
        <v>SG50KTL-M</v>
      </c>
      <c r="C863" s="22" t="s">
        <v>2483</v>
      </c>
      <c r="AM863" s="17">
        <f>IF(A863="","",MATCH(A863,'Lista - Inversor'!$2:$2,0))</f>
        <v>52</v>
      </c>
      <c r="AN863" s="17">
        <f>IF(C863="","",MATCH(C863,'Lista - Inversor'!$AZ:$AZ,0)-2)</f>
        <v>15</v>
      </c>
    </row>
    <row r="864" spans="1:40" x14ac:dyDescent="0.35">
      <c r="A864" s="43" t="s">
        <v>679</v>
      </c>
      <c r="B864" s="17" t="str">
        <f t="shared" si="17"/>
        <v>SG3K-D</v>
      </c>
      <c r="C864" s="22" t="s">
        <v>2503</v>
      </c>
      <c r="AM864" s="17">
        <f>IF(A864="","",MATCH(A864,'Lista - Inversor'!$2:$2,0))</f>
        <v>52</v>
      </c>
      <c r="AN864" s="17">
        <f>IF(C864="","",MATCH(C864,'Lista - Inversor'!$AZ:$AZ,0)-2)</f>
        <v>16</v>
      </c>
    </row>
    <row r="865" spans="1:40" x14ac:dyDescent="0.35">
      <c r="A865" s="43" t="s">
        <v>679</v>
      </c>
      <c r="B865" s="17" t="str">
        <f t="shared" si="17"/>
        <v>SG250HX 1500V</v>
      </c>
      <c r="C865" s="22" t="s">
        <v>2523</v>
      </c>
      <c r="AM865" s="17">
        <f>IF(A865="","",MATCH(A865,'Lista - Inversor'!$2:$2,0))</f>
        <v>52</v>
      </c>
      <c r="AN865" s="17">
        <f>IF(C865="","",MATCH(C865,'Lista - Inversor'!$AZ:$AZ,0)-2)</f>
        <v>17</v>
      </c>
    </row>
    <row r="866" spans="1:40" x14ac:dyDescent="0.35">
      <c r="A866" s="43" t="s">
        <v>679</v>
      </c>
      <c r="B866" s="17" t="str">
        <f t="shared" si="17"/>
        <v>SG125HV</v>
      </c>
      <c r="C866" s="22" t="s">
        <v>2543</v>
      </c>
      <c r="AM866" s="17">
        <f>IF(A866="","",MATCH(A866,'Lista - Inversor'!$2:$2,0))</f>
        <v>52</v>
      </c>
      <c r="AN866" s="17">
        <f>IF(C866="","",MATCH(C866,'Lista - Inversor'!$AZ:$AZ,0)-2)</f>
        <v>18</v>
      </c>
    </row>
    <row r="867" spans="1:40" x14ac:dyDescent="0.35">
      <c r="A867" s="43" t="s">
        <v>679</v>
      </c>
      <c r="B867" s="17" t="str">
        <f t="shared" si="17"/>
        <v>SG33CX</v>
      </c>
      <c r="C867" s="22" t="s">
        <v>2563</v>
      </c>
      <c r="AM867" s="17">
        <f>IF(A867="","",MATCH(A867,'Lista - Inversor'!$2:$2,0))</f>
        <v>52</v>
      </c>
      <c r="AN867" s="17">
        <f>IF(C867="","",MATCH(C867,'Lista - Inversor'!$AZ:$AZ,0)-2)</f>
        <v>19</v>
      </c>
    </row>
    <row r="868" spans="1:40" x14ac:dyDescent="0.35">
      <c r="A868" s="43" t="s">
        <v>679</v>
      </c>
      <c r="B868" s="17" t="str">
        <f t="shared" si="17"/>
        <v>SG40CX</v>
      </c>
      <c r="C868" s="22" t="s">
        <v>2583</v>
      </c>
      <c r="AM868" s="17">
        <f>IF(A868="","",MATCH(A868,'Lista - Inversor'!$2:$2,0))</f>
        <v>52</v>
      </c>
      <c r="AN868" s="17">
        <f>IF(C868="","",MATCH(C868,'Lista - Inversor'!$AZ:$AZ,0)-2)</f>
        <v>20</v>
      </c>
    </row>
    <row r="869" spans="1:40" x14ac:dyDescent="0.35">
      <c r="A869" s="43" t="s">
        <v>679</v>
      </c>
      <c r="B869" s="17" t="str">
        <f t="shared" si="17"/>
        <v>SG25CX-SA</v>
      </c>
      <c r="C869" s="22" t="s">
        <v>2601</v>
      </c>
      <c r="AM869" s="17">
        <f>IF(A869="","",MATCH(A869,'Lista - Inversor'!$2:$2,0))</f>
        <v>52</v>
      </c>
      <c r="AN869" s="17">
        <f>IF(C869="","",MATCH(C869,'Lista - Inversor'!$AZ:$AZ,0)-2)</f>
        <v>21</v>
      </c>
    </row>
    <row r="870" spans="1:40" x14ac:dyDescent="0.35">
      <c r="A870" s="43" t="s">
        <v>679</v>
      </c>
      <c r="B870" s="17" t="str">
        <f t="shared" si="17"/>
        <v>SG75CX</v>
      </c>
      <c r="C870" s="22" t="s">
        <v>2619</v>
      </c>
      <c r="AM870" s="17">
        <f>IF(A870="","",MATCH(A870,'Lista - Inversor'!$2:$2,0))</f>
        <v>52</v>
      </c>
      <c r="AN870" s="17">
        <f>IF(C870="","",MATCH(C870,'Lista - Inversor'!$AZ:$AZ,0)-2)</f>
        <v>22</v>
      </c>
    </row>
    <row r="871" spans="1:40" x14ac:dyDescent="0.35">
      <c r="A871" s="43" t="s">
        <v>679</v>
      </c>
      <c r="B871" s="17" t="str">
        <f t="shared" si="17"/>
        <v>SG20RT</v>
      </c>
      <c r="C871" s="22" t="s">
        <v>2636</v>
      </c>
      <c r="AM871" s="17">
        <f>IF(A871="","",MATCH(A871,'Lista - Inversor'!$2:$2,0))</f>
        <v>52</v>
      </c>
      <c r="AN871" s="17">
        <f>IF(C871="","",MATCH(C871,'Lista - Inversor'!$AZ:$AZ,0)-2)</f>
        <v>23</v>
      </c>
    </row>
    <row r="872" spans="1:40" x14ac:dyDescent="0.35">
      <c r="A872" s="43" t="s">
        <v>679</v>
      </c>
      <c r="B872" s="17" t="str">
        <f t="shared" si="17"/>
        <v>SG15RT</v>
      </c>
      <c r="C872" s="22" t="s">
        <v>2653</v>
      </c>
      <c r="AM872" s="17">
        <f>IF(A872="","",MATCH(A872,'Lista - Inversor'!$2:$2,0))</f>
        <v>52</v>
      </c>
      <c r="AN872" s="17">
        <f>IF(C872="","",MATCH(C872,'Lista - Inversor'!$AZ:$AZ,0)-2)</f>
        <v>24</v>
      </c>
    </row>
    <row r="873" spans="1:40" x14ac:dyDescent="0.35">
      <c r="A873" s="43" t="s">
        <v>1978</v>
      </c>
      <c r="B873" s="17" t="str">
        <f t="shared" si="17"/>
        <v xml:space="preserve">STS-6KTL </v>
      </c>
      <c r="C873" s="22" t="s">
        <v>2036</v>
      </c>
      <c r="AM873" s="17">
        <f>IF(A873="","",MATCH(A873,'Lista - Inversor'!$2:$2,0))</f>
        <v>53</v>
      </c>
      <c r="AN873" s="17">
        <f>IF(C873="","",MATCH(C873,'Lista - Inversor'!$BA:$BA,0)-2)</f>
        <v>1</v>
      </c>
    </row>
    <row r="874" spans="1:40" x14ac:dyDescent="0.35">
      <c r="A874" s="43" t="s">
        <v>1979</v>
      </c>
      <c r="B874" s="17" t="str">
        <f t="shared" si="17"/>
        <v xml:space="preserve">SE 75K </v>
      </c>
      <c r="C874" s="22" t="s">
        <v>2037</v>
      </c>
      <c r="AM874" s="17">
        <f>IF(A874="","",MATCH(A874,'Lista - Inversor'!$2:$2,0))</f>
        <v>54</v>
      </c>
      <c r="AN874" s="17">
        <f>IF(C874="","",MATCH(C874,'Lista - Inversor'!$BB:$BB,0)-2)</f>
        <v>1</v>
      </c>
    </row>
    <row r="875" spans="1:40" x14ac:dyDescent="0.35">
      <c r="A875" s="43" t="s">
        <v>697</v>
      </c>
      <c r="B875" s="17" t="str">
        <f t="shared" si="17"/>
        <v>QUATTRO 3.000</v>
      </c>
      <c r="C875" s="22" t="s">
        <v>2038</v>
      </c>
      <c r="AM875" s="17">
        <f>IF(A875="","",MATCH(A875,'Lista - Inversor'!$2:$2,0))</f>
        <v>55</v>
      </c>
      <c r="AN875" s="17">
        <f>IF(C875="","",MATCH(C875,'Lista - Inversor'!$BC:$BC,0)-2)</f>
        <v>1</v>
      </c>
    </row>
    <row r="876" spans="1:40" x14ac:dyDescent="0.35">
      <c r="A876" s="43" t="s">
        <v>677</v>
      </c>
      <c r="B876" s="17" t="str">
        <f t="shared" si="17"/>
        <v>SIW500H - ST013</v>
      </c>
      <c r="C876" s="22" t="s">
        <v>2039</v>
      </c>
      <c r="AM876" s="17">
        <f>IF(A876="","",MATCH(A876,'Lista - Inversor'!$2:$2,0))</f>
        <v>56</v>
      </c>
      <c r="AN876" s="17">
        <f>IF(C876="","",MATCH(C876,'Lista - Inversor'!$BD:$BD,0)-2)</f>
        <v>1</v>
      </c>
    </row>
    <row r="877" spans="1:40" x14ac:dyDescent="0.35">
      <c r="A877" s="43" t="s">
        <v>677</v>
      </c>
      <c r="B877" s="17" t="str">
        <f t="shared" si="17"/>
        <v>SIW500H - ST018</v>
      </c>
      <c r="C877" s="22" t="s">
        <v>2087</v>
      </c>
      <c r="AM877" s="17">
        <f>IF(A877="","",MATCH(A877,'Lista - Inversor'!$2:$2,0))</f>
        <v>56</v>
      </c>
      <c r="AN877" s="17">
        <f>IF(C877="","",MATCH(C877,'Lista - Inversor'!$BD:$BD,0)-2)</f>
        <v>2</v>
      </c>
    </row>
    <row r="878" spans="1:40" x14ac:dyDescent="0.35">
      <c r="A878" s="43" t="s">
        <v>677</v>
      </c>
      <c r="B878" s="17" t="str">
        <f t="shared" si="17"/>
        <v>SIW500H - ST022</v>
      </c>
      <c r="C878" s="22" t="s">
        <v>2131</v>
      </c>
      <c r="AM878" s="17">
        <f>IF(A878="","",MATCH(A878,'Lista - Inversor'!$2:$2,0))</f>
        <v>56</v>
      </c>
      <c r="AN878" s="17">
        <f>IF(C878="","",MATCH(C878,'Lista - Inversor'!$BD:$BD,0)-2)</f>
        <v>3</v>
      </c>
    </row>
    <row r="879" spans="1:40" x14ac:dyDescent="0.35">
      <c r="A879" s="43" t="s">
        <v>677</v>
      </c>
      <c r="B879" s="17" t="str">
        <f t="shared" si="17"/>
        <v>SIW500H - ST030</v>
      </c>
      <c r="C879" s="22" t="s">
        <v>2173</v>
      </c>
      <c r="AM879" s="17">
        <f>IF(A879="","",MATCH(A879,'Lista - Inversor'!$2:$2,0))</f>
        <v>56</v>
      </c>
      <c r="AN879" s="17">
        <f>IF(C879="","",MATCH(C879,'Lista - Inversor'!$BD:$BD,0)-2)</f>
        <v>4</v>
      </c>
    </row>
    <row r="880" spans="1:40" x14ac:dyDescent="0.35">
      <c r="A880" s="43" t="s">
        <v>677</v>
      </c>
      <c r="B880" s="17" t="str">
        <f t="shared" si="17"/>
        <v>SIW500H - ST036</v>
      </c>
      <c r="C880" s="22" t="s">
        <v>2212</v>
      </c>
      <c r="AM880" s="17">
        <f>IF(A880="","",MATCH(A880,'Lista - Inversor'!$2:$2,0))</f>
        <v>56</v>
      </c>
      <c r="AN880" s="17">
        <f>IF(C880="","",MATCH(C880,'Lista - Inversor'!$BD:$BD,0)-2)</f>
        <v>5</v>
      </c>
    </row>
    <row r="881" spans="1:40" x14ac:dyDescent="0.35">
      <c r="A881" s="43" t="s">
        <v>677</v>
      </c>
      <c r="B881" s="17" t="str">
        <f t="shared" si="17"/>
        <v>SIW500H - ST040</v>
      </c>
      <c r="C881" s="22" t="s">
        <v>2246</v>
      </c>
      <c r="AM881" s="17">
        <f>IF(A881="","",MATCH(A881,'Lista - Inversor'!$2:$2,0))</f>
        <v>56</v>
      </c>
      <c r="AN881" s="17">
        <f>IF(C881="","",MATCH(C881,'Lista - Inversor'!$BD:$BD,0)-2)</f>
        <v>6</v>
      </c>
    </row>
    <row r="882" spans="1:40" x14ac:dyDescent="0.35">
      <c r="A882" s="43" t="s">
        <v>677</v>
      </c>
      <c r="B882" s="17" t="str">
        <f t="shared" si="17"/>
        <v>SIW500H - ST050</v>
      </c>
      <c r="C882" s="22" t="s">
        <v>2279</v>
      </c>
      <c r="AM882" s="17">
        <f>IF(A882="","",MATCH(A882,'Lista - Inversor'!$2:$2,0))</f>
        <v>56</v>
      </c>
      <c r="AN882" s="17">
        <f>IF(C882="","",MATCH(C882,'Lista - Inversor'!$BD:$BD,0)-2)</f>
        <v>7</v>
      </c>
    </row>
    <row r="883" spans="1:40" x14ac:dyDescent="0.35">
      <c r="A883" s="43" t="s">
        <v>677</v>
      </c>
      <c r="B883" s="17" t="str">
        <f t="shared" si="17"/>
        <v>SIW300 M015</v>
      </c>
      <c r="C883" s="22" t="s">
        <v>2309</v>
      </c>
      <c r="AM883" s="17">
        <f>IF(A883="","",MATCH(A883,'Lista - Inversor'!$2:$2,0))</f>
        <v>56</v>
      </c>
      <c r="AN883" s="17">
        <f>IF(C883="","",MATCH(C883,'Lista - Inversor'!$BD:$BD,0)-2)</f>
        <v>8</v>
      </c>
    </row>
    <row r="884" spans="1:40" x14ac:dyDescent="0.35">
      <c r="A884" s="43" t="s">
        <v>677</v>
      </c>
      <c r="B884" s="17" t="str">
        <f t="shared" si="17"/>
        <v>SIW300 M025</v>
      </c>
      <c r="C884" s="22" t="s">
        <v>2337</v>
      </c>
      <c r="AM884" s="17">
        <f>IF(A884="","",MATCH(A884,'Lista - Inversor'!$2:$2,0))</f>
        <v>56</v>
      </c>
      <c r="AN884" s="17">
        <f>IF(C884="","",MATCH(C884,'Lista - Inversor'!$BD:$BD,0)-2)</f>
        <v>9</v>
      </c>
    </row>
    <row r="885" spans="1:40" x14ac:dyDescent="0.35">
      <c r="A885" s="43" t="s">
        <v>677</v>
      </c>
      <c r="B885" s="17" t="str">
        <f t="shared" si="17"/>
        <v>SIW300 M050</v>
      </c>
      <c r="C885" s="22" t="s">
        <v>2364</v>
      </c>
      <c r="AM885" s="17">
        <f>IF(A885="","",MATCH(A885,'Lista - Inversor'!$2:$2,0))</f>
        <v>56</v>
      </c>
      <c r="AN885" s="17">
        <f>IF(C885="","",MATCH(C885,'Lista - Inversor'!$BD:$BD,0)-2)</f>
        <v>10</v>
      </c>
    </row>
    <row r="886" spans="1:40" x14ac:dyDescent="0.35">
      <c r="A886" s="43" t="s">
        <v>677</v>
      </c>
      <c r="B886" s="17" t="str">
        <f t="shared" si="17"/>
        <v>SUN2000-33KTL</v>
      </c>
      <c r="C886" s="22" t="s">
        <v>2389</v>
      </c>
      <c r="AM886" s="17">
        <f>IF(A886="","",MATCH(A886,'Lista - Inversor'!$2:$2,0))</f>
        <v>56</v>
      </c>
      <c r="AN886" s="17">
        <f>IF(C886="","",MATCH(C886,'Lista - Inversor'!$BD:$BD,0)-2)</f>
        <v>11</v>
      </c>
    </row>
    <row r="887" spans="1:40" x14ac:dyDescent="0.35">
      <c r="A887" s="43" t="s">
        <v>677</v>
      </c>
      <c r="B887" s="17" t="str">
        <f t="shared" si="17"/>
        <v>SIW300H M020</v>
      </c>
      <c r="C887" s="22" t="s">
        <v>2414</v>
      </c>
      <c r="AM887" s="17">
        <f>IF(A887="","",MATCH(A887,'Lista - Inversor'!$2:$2,0))</f>
        <v>56</v>
      </c>
      <c r="AN887" s="17">
        <f>IF(C887="","",MATCH(C887,'Lista - Inversor'!$BD:$BD,0)-2)</f>
        <v>12</v>
      </c>
    </row>
    <row r="888" spans="1:40" x14ac:dyDescent="0.35">
      <c r="A888" s="43" t="s">
        <v>677</v>
      </c>
      <c r="B888" s="17" t="str">
        <f t="shared" si="17"/>
        <v>SIW300H M030</v>
      </c>
      <c r="C888" s="22" t="s">
        <v>2438</v>
      </c>
      <c r="AM888" s="17">
        <f>IF(A888="","",MATCH(A888,'Lista - Inversor'!$2:$2,0))</f>
        <v>56</v>
      </c>
      <c r="AN888" s="17">
        <f>IF(C888="","",MATCH(C888,'Lista - Inversor'!$BD:$BD,0)-2)</f>
        <v>13</v>
      </c>
    </row>
    <row r="889" spans="1:40" x14ac:dyDescent="0.35">
      <c r="A889" s="43" t="s">
        <v>677</v>
      </c>
      <c r="B889" s="17" t="str">
        <f t="shared" si="17"/>
        <v>SW300H M040</v>
      </c>
      <c r="C889" s="22" t="s">
        <v>2461</v>
      </c>
      <c r="AM889" s="17">
        <f>IF(A889="","",MATCH(A889,'Lista - Inversor'!$2:$2,0))</f>
        <v>56</v>
      </c>
      <c r="AN889" s="17">
        <f>IF(C889="","",MATCH(C889,'Lista - Inversor'!$BD:$BD,0)-2)</f>
        <v>14</v>
      </c>
    </row>
    <row r="890" spans="1:40" x14ac:dyDescent="0.35">
      <c r="A890" s="43" t="s">
        <v>677</v>
      </c>
      <c r="B890" s="17" t="str">
        <f t="shared" si="17"/>
        <v>SIW300H M050</v>
      </c>
      <c r="C890" s="22" t="s">
        <v>2484</v>
      </c>
      <c r="AM890" s="17">
        <f>IF(A890="","",MATCH(A890,'Lista - Inversor'!$2:$2,0))</f>
        <v>56</v>
      </c>
      <c r="AN890" s="17">
        <f>IF(C890="","",MATCH(C890,'Lista - Inversor'!$BD:$BD,0)-2)</f>
        <v>15</v>
      </c>
    </row>
    <row r="891" spans="1:40" x14ac:dyDescent="0.35">
      <c r="A891" s="43" t="s">
        <v>677</v>
      </c>
      <c r="B891" s="17" t="str">
        <f t="shared" si="17"/>
        <v>SIW500H ST060</v>
      </c>
      <c r="C891" s="22" t="s">
        <v>2504</v>
      </c>
      <c r="AM891" s="17">
        <f>IF(A891="","",MATCH(A891,'Lista - Inversor'!$2:$2,0))</f>
        <v>56</v>
      </c>
      <c r="AN891" s="17">
        <f>IF(C891="","",MATCH(C891,'Lista - Inversor'!$BD:$BD,0)-2)</f>
        <v>16</v>
      </c>
    </row>
    <row r="892" spans="1:40" x14ac:dyDescent="0.35">
      <c r="A892" s="43" t="s">
        <v>677</v>
      </c>
      <c r="B892" s="17" t="str">
        <f t="shared" si="17"/>
        <v>SIW500H ST017</v>
      </c>
      <c r="C892" s="22" t="s">
        <v>2524</v>
      </c>
      <c r="AM892" s="17">
        <f>IF(A892="","",MATCH(A892,'Lista - Inversor'!$2:$2,0))</f>
        <v>56</v>
      </c>
      <c r="AN892" s="17">
        <f>IF(C892="","",MATCH(C892,'Lista - Inversor'!$BD:$BD,0)-2)</f>
        <v>17</v>
      </c>
    </row>
    <row r="893" spans="1:40" x14ac:dyDescent="0.35">
      <c r="A893" s="43" t="s">
        <v>677</v>
      </c>
      <c r="B893" s="17" t="str">
        <f t="shared" ref="B893:B929" si="18">RIGHT(C893,LEN(C893)-(FIND(" - ", C893)+2))</f>
        <v>SIW500H ST020</v>
      </c>
      <c r="C893" s="22" t="s">
        <v>2544</v>
      </c>
      <c r="AM893" s="17">
        <f>IF(A893="","",MATCH(A893,'Lista - Inversor'!$2:$2,0))</f>
        <v>56</v>
      </c>
      <c r="AN893" s="17">
        <f>IF(C893="","",MATCH(C893,'Lista - Inversor'!$BD:$BD,0)-2)</f>
        <v>18</v>
      </c>
    </row>
    <row r="894" spans="1:40" x14ac:dyDescent="0.35">
      <c r="A894" s="43" t="s">
        <v>677</v>
      </c>
      <c r="B894" s="17" t="str">
        <f t="shared" si="18"/>
        <v>SIW500H-ST012</v>
      </c>
      <c r="C894" s="22" t="s">
        <v>2564</v>
      </c>
      <c r="AM894" s="17">
        <f>IF(A894="","",MATCH(A894,'Lista - Inversor'!$2:$2,0))</f>
        <v>56</v>
      </c>
      <c r="AN894" s="17">
        <f>IF(C894="","",MATCH(C894,'Lista - Inversor'!$BD:$BD,0)-2)</f>
        <v>19</v>
      </c>
    </row>
    <row r="895" spans="1:40" x14ac:dyDescent="0.35">
      <c r="A895" s="43" t="s">
        <v>677</v>
      </c>
      <c r="B895" s="17" t="str">
        <f t="shared" si="18"/>
        <v>SIW500H-ST015</v>
      </c>
      <c r="C895" s="22" t="s">
        <v>2584</v>
      </c>
      <c r="AM895" s="17">
        <f>IF(A895="","",MATCH(A895,'Lista - Inversor'!$2:$2,0))</f>
        <v>56</v>
      </c>
      <c r="AN895" s="17">
        <f>IF(C895="","",MATCH(C895,'Lista - Inversor'!$BD:$BD,0)-2)</f>
        <v>20</v>
      </c>
    </row>
    <row r="896" spans="1:40" x14ac:dyDescent="0.35">
      <c r="A896" s="43" t="s">
        <v>677</v>
      </c>
      <c r="B896" s="17" t="str">
        <f t="shared" si="18"/>
        <v>SIW500H - ST040</v>
      </c>
      <c r="C896" s="22" t="s">
        <v>2602</v>
      </c>
      <c r="AM896" s="17">
        <f>IF(A896="","",MATCH(A896,'Lista - Inversor'!$2:$2,0))</f>
        <v>56</v>
      </c>
      <c r="AN896" s="17">
        <f>IF(C896="","",MATCH(C896,'Lista - Inversor'!$BD:$BD,0)-2)</f>
        <v>21</v>
      </c>
    </row>
    <row r="897" spans="1:40" x14ac:dyDescent="0.35">
      <c r="A897" s="43" t="s">
        <v>677</v>
      </c>
      <c r="B897" s="17" t="str">
        <f t="shared" si="18"/>
        <v>SIW200-M085</v>
      </c>
      <c r="C897" s="22" t="s">
        <v>2620</v>
      </c>
      <c r="AM897" s="17">
        <f>IF(A897="","",MATCH(A897,'Lista - Inversor'!$2:$2,0))</f>
        <v>56</v>
      </c>
      <c r="AN897" s="17">
        <f>IF(C897="","",MATCH(C897,'Lista - Inversor'!$BD:$BD,0)-2)</f>
        <v>22</v>
      </c>
    </row>
    <row r="898" spans="1:40" x14ac:dyDescent="0.35">
      <c r="A898" s="43" t="s">
        <v>677</v>
      </c>
      <c r="B898" s="17" t="str">
        <f t="shared" si="18"/>
        <v>SIW200-M100</v>
      </c>
      <c r="C898" s="22" t="s">
        <v>2637</v>
      </c>
      <c r="AM898" s="17">
        <f>IF(A898="","",MATCH(A898,'Lista - Inversor'!$2:$2,0))</f>
        <v>56</v>
      </c>
      <c r="AN898" s="17">
        <f>IF(C898="","",MATCH(C898,'Lista - Inversor'!$BD:$BD,0)-2)</f>
        <v>23</v>
      </c>
    </row>
    <row r="899" spans="1:40" x14ac:dyDescent="0.35">
      <c r="A899" s="43" t="s">
        <v>677</v>
      </c>
      <c r="B899" s="17" t="str">
        <f t="shared" si="18"/>
        <v>SIW300H M060 L1</v>
      </c>
      <c r="C899" s="22" t="s">
        <v>2654</v>
      </c>
      <c r="AM899" s="17">
        <f>IF(A899="","",MATCH(A899,'Lista - Inversor'!$2:$2,0))</f>
        <v>56</v>
      </c>
      <c r="AN899" s="17">
        <f>IF(C899="","",MATCH(C899,'Lista - Inversor'!$BD:$BD,0)-2)</f>
        <v>24</v>
      </c>
    </row>
    <row r="900" spans="1:40" x14ac:dyDescent="0.35">
      <c r="A900" s="43" t="s">
        <v>677</v>
      </c>
      <c r="B900" s="17" t="str">
        <f t="shared" si="18"/>
        <v>SIW300H - M050 L1 - 5KW</v>
      </c>
      <c r="C900" s="22" t="s">
        <v>2668</v>
      </c>
      <c r="AM900" s="17">
        <f>IF(A900="","",MATCH(A900,'Lista - Inversor'!$2:$2,0))</f>
        <v>56</v>
      </c>
      <c r="AN900" s="17">
        <f>IF(C900="","",MATCH(C900,'Lista - Inversor'!$BD:$BD,0)-2)</f>
        <v>25</v>
      </c>
    </row>
    <row r="901" spans="1:40" x14ac:dyDescent="0.35">
      <c r="A901" s="43" t="s">
        <v>677</v>
      </c>
      <c r="B901" s="17" t="str">
        <f t="shared" si="18"/>
        <v>SIW300H M020 L1</v>
      </c>
      <c r="C901" s="22" t="s">
        <v>2682</v>
      </c>
      <c r="AM901" s="17">
        <f>IF(A901="","",MATCH(A901,'Lista - Inversor'!$2:$2,0))</f>
        <v>56</v>
      </c>
      <c r="AN901" s="17">
        <f>IF(C901="","",MATCH(C901,'Lista - Inversor'!$BD:$BD,0)-2)</f>
        <v>26</v>
      </c>
    </row>
    <row r="902" spans="1:40" x14ac:dyDescent="0.35">
      <c r="A902" s="43" t="s">
        <v>677</v>
      </c>
      <c r="B902" s="17" t="str">
        <f t="shared" si="18"/>
        <v>SIW500H-ST100HV</v>
      </c>
      <c r="C902" s="22" t="s">
        <v>2695</v>
      </c>
      <c r="AM902" s="17">
        <f>IF(A902="","",MATCH(A902,'Lista - Inversor'!$2:$2,0))</f>
        <v>56</v>
      </c>
      <c r="AN902" s="17">
        <f>IF(C902="","",MATCH(C902,'Lista - Inversor'!$BD:$BD,0)-2)</f>
        <v>27</v>
      </c>
    </row>
    <row r="903" spans="1:40" x14ac:dyDescent="0.35">
      <c r="A903" s="43" t="s">
        <v>677</v>
      </c>
      <c r="B903" s="17" t="str">
        <f t="shared" si="18"/>
        <v>SIW300H M040 L1 (SUN2000L-4KTL-L1)</v>
      </c>
      <c r="C903" s="22" t="s">
        <v>2708</v>
      </c>
      <c r="AM903" s="17">
        <f>IF(A903="","",MATCH(A903,'Lista - Inversor'!$2:$2,0))</f>
        <v>56</v>
      </c>
      <c r="AN903" s="17">
        <f>IF(C903="","",MATCH(C903,'Lista - Inversor'!$BD:$BD,0)-2)</f>
        <v>28</v>
      </c>
    </row>
    <row r="904" spans="1:40" x14ac:dyDescent="0.35">
      <c r="A904" s="43" t="s">
        <v>677</v>
      </c>
      <c r="B904" s="17" t="str">
        <f t="shared" si="18"/>
        <v>SIW300H M030 L1 (SUN2000L-3KTL L1)</v>
      </c>
      <c r="C904" s="22" t="s">
        <v>2721</v>
      </c>
      <c r="AM904" s="17">
        <f>IF(A904="","",MATCH(A904,'Lista - Inversor'!$2:$2,0))</f>
        <v>56</v>
      </c>
      <c r="AN904" s="17">
        <f>IF(C904="","",MATCH(C904,'Lista - Inversor'!$BD:$BD,0)-2)</f>
        <v>29</v>
      </c>
    </row>
    <row r="905" spans="1:40" x14ac:dyDescent="0.35">
      <c r="A905" s="43" t="s">
        <v>677</v>
      </c>
      <c r="B905" s="17" t="str">
        <f t="shared" si="18"/>
        <v>SIW200F M030</v>
      </c>
      <c r="C905" s="22" t="s">
        <v>2734</v>
      </c>
      <c r="AM905" s="17">
        <f>IF(A905="","",MATCH(A905,'Lista - Inversor'!$2:$2,0))</f>
        <v>56</v>
      </c>
      <c r="AN905" s="17">
        <f>IF(C905="","",MATCH(C905,'Lista - Inversor'!$BD:$BD,0)-2)</f>
        <v>30</v>
      </c>
    </row>
    <row r="906" spans="1:40" x14ac:dyDescent="0.35">
      <c r="A906" s="43" t="s">
        <v>677</v>
      </c>
      <c r="B906" s="17" t="str">
        <f t="shared" si="18"/>
        <v>SIW200F M060</v>
      </c>
      <c r="C906" s="22" t="s">
        <v>2746</v>
      </c>
      <c r="AM906" s="17">
        <f>IF(A906="","",MATCH(A906,'Lista - Inversor'!$2:$2,0))</f>
        <v>56</v>
      </c>
      <c r="AN906" s="17">
        <f>IF(C906="","",MATCH(C906,'Lista - Inversor'!$BD:$BD,0)-2)</f>
        <v>31</v>
      </c>
    </row>
    <row r="907" spans="1:40" x14ac:dyDescent="0.35">
      <c r="A907" s="43" t="s">
        <v>677</v>
      </c>
      <c r="B907" s="17" t="str">
        <f t="shared" si="18"/>
        <v>SIW500H-ST015-M2</v>
      </c>
      <c r="C907" s="22" t="s">
        <v>2758</v>
      </c>
      <c r="AM907" s="17">
        <f>IF(A907="","",MATCH(A907,'Lista - Inversor'!$2:$2,0))</f>
        <v>56</v>
      </c>
      <c r="AN907" s="17">
        <f>IF(C907="","",MATCH(C907,'Lista - Inversor'!$BD:$BD,0)-2)</f>
        <v>32</v>
      </c>
    </row>
    <row r="908" spans="1:40" x14ac:dyDescent="0.35">
      <c r="A908" s="43" t="s">
        <v>677</v>
      </c>
      <c r="B908" s="17" t="str">
        <f t="shared" si="18"/>
        <v>SIW500H ST012 M2</v>
      </c>
      <c r="C908" s="22" t="s">
        <v>2770</v>
      </c>
      <c r="AM908" s="17">
        <f>IF(A908="","",MATCH(A908,'Lista - Inversor'!$2:$2,0))</f>
        <v>56</v>
      </c>
      <c r="AN908" s="17">
        <f>IF(C908="","",MATCH(C908,'Lista - Inversor'!$BD:$BD,0)-2)</f>
        <v>33</v>
      </c>
    </row>
    <row r="909" spans="1:40" x14ac:dyDescent="0.35">
      <c r="A909" s="43" t="s">
        <v>677</v>
      </c>
      <c r="B909" s="17" t="str">
        <f t="shared" si="18"/>
        <v>SIW400-ST075</v>
      </c>
      <c r="C909" s="22" t="s">
        <v>2782</v>
      </c>
      <c r="AM909" s="17">
        <f>IF(A909="","",MATCH(A909,'Lista - Inversor'!$2:$2,0))</f>
        <v>56</v>
      </c>
      <c r="AN909" s="17">
        <f>IF(C909="","",MATCH(C909,'Lista - Inversor'!$BD:$BD,0)-2)</f>
        <v>34</v>
      </c>
    </row>
    <row r="910" spans="1:40" x14ac:dyDescent="0.35">
      <c r="A910" s="43" t="s">
        <v>677</v>
      </c>
      <c r="B910" s="17" t="str">
        <f t="shared" si="18"/>
        <v>SIW400G T025</v>
      </c>
      <c r="C910" s="22" t="s">
        <v>2793</v>
      </c>
      <c r="AM910" s="17">
        <f>IF(A910="","",MATCH(A910,'Lista - Inversor'!$2:$2,0))</f>
        <v>56</v>
      </c>
      <c r="AN910" s="17">
        <f>IF(C910="","",MATCH(C910,'Lista - Inversor'!$BD:$BD,0)-2)</f>
        <v>35</v>
      </c>
    </row>
    <row r="911" spans="1:40" x14ac:dyDescent="0.35">
      <c r="A911" s="43" t="s">
        <v>677</v>
      </c>
      <c r="B911" s="17" t="str">
        <f t="shared" si="18"/>
        <v>SIW500H ST020 M2</v>
      </c>
      <c r="C911" s="22" t="s">
        <v>2804</v>
      </c>
      <c r="AM911" s="17">
        <f>IF(A911="","",MATCH(A911,'Lista - Inversor'!$2:$2,0))</f>
        <v>56</v>
      </c>
      <c r="AN911" s="17">
        <f>IF(C911="","",MATCH(C911,'Lista - Inversor'!$BD:$BD,0)-2)</f>
        <v>36</v>
      </c>
    </row>
    <row r="912" spans="1:40" x14ac:dyDescent="0.35">
      <c r="A912" s="43" t="s">
        <v>677</v>
      </c>
      <c r="B912" s="17" t="str">
        <f t="shared" si="18"/>
        <v>SIW400G - T025 WEG</v>
      </c>
      <c r="C912" s="22" t="s">
        <v>2813</v>
      </c>
      <c r="AM912" s="17">
        <f>IF(A912="","",MATCH(A912,'Lista - Inversor'!$2:$2,0))</f>
        <v>56</v>
      </c>
      <c r="AN912" s="17">
        <f>IF(C912="","",MATCH(C912,'Lista - Inversor'!$BD:$BD,0)-2)</f>
        <v>37</v>
      </c>
    </row>
    <row r="913" spans="1:40" x14ac:dyDescent="0.35">
      <c r="A913" s="43" t="s">
        <v>677</v>
      </c>
      <c r="B913" s="17" t="str">
        <f t="shared" si="18"/>
        <v>SIW200G M070</v>
      </c>
      <c r="C913" s="22" t="s">
        <v>2822</v>
      </c>
      <c r="AM913" s="17">
        <f>IF(A913="","",MATCH(A913,'Lista - Inversor'!$2:$2,0))</f>
        <v>56</v>
      </c>
      <c r="AN913" s="17">
        <f>IF(C913="","",MATCH(C913,'Lista - Inversor'!$BD:$BD,0)-2)</f>
        <v>38</v>
      </c>
    </row>
    <row r="914" spans="1:40" x14ac:dyDescent="0.35">
      <c r="A914" s="43" t="s">
        <v>677</v>
      </c>
      <c r="B914" s="17" t="str">
        <f t="shared" si="18"/>
        <v>SIW200G-M050 WO</v>
      </c>
      <c r="C914" s="22" t="s">
        <v>2831</v>
      </c>
      <c r="AM914" s="17">
        <f>IF(A914="","",MATCH(A914,'Lista - Inversor'!$2:$2,0))</f>
        <v>56</v>
      </c>
      <c r="AN914" s="17">
        <f>IF(C914="","",MATCH(C914,'Lista - Inversor'!$BD:$BD,0)-2)</f>
        <v>39</v>
      </c>
    </row>
    <row r="915" spans="1:40" x14ac:dyDescent="0.35">
      <c r="A915" s="43" t="s">
        <v>677</v>
      </c>
      <c r="B915" s="17" t="str">
        <f t="shared" si="18"/>
        <v>SIW300 M040 L1 (HUAWEI SUN2000-4KTL L1)</v>
      </c>
      <c r="C915" s="22" t="s">
        <v>2840</v>
      </c>
      <c r="AM915" s="17">
        <f>IF(A915="","",MATCH(A915,'Lista - Inversor'!$2:$2,0))</f>
        <v>56</v>
      </c>
      <c r="AN915" s="17">
        <f>IF(C915="","",MATCH(C915,'Lista - Inversor'!$BD:$BD,0)-2)</f>
        <v>40</v>
      </c>
    </row>
    <row r="916" spans="1:40" x14ac:dyDescent="0.35">
      <c r="A916" s="43" t="s">
        <v>677</v>
      </c>
      <c r="B916" s="17" t="str">
        <f t="shared" si="18"/>
        <v xml:space="preserve">SIW200G M070 WO </v>
      </c>
      <c r="C916" s="22" t="s">
        <v>2848</v>
      </c>
      <c r="AM916" s="17">
        <f>IF(A916="","",MATCH(A916,'Lista - Inversor'!$2:$2,0))</f>
        <v>56</v>
      </c>
      <c r="AN916" s="17">
        <f>IF(C916="","",MATCH(C916,'Lista - Inversor'!$BD:$BD,0)-2)</f>
        <v>41</v>
      </c>
    </row>
    <row r="917" spans="1:40" x14ac:dyDescent="0.35">
      <c r="A917" s="43" t="s">
        <v>677</v>
      </c>
      <c r="B917" s="17" t="str">
        <f t="shared" si="18"/>
        <v>SIW 200 M030</v>
      </c>
      <c r="C917" s="22" t="s">
        <v>2856</v>
      </c>
      <c r="AM917" s="17">
        <f>IF(A917="","",MATCH(A917,'Lista - Inversor'!$2:$2,0))</f>
        <v>56</v>
      </c>
      <c r="AN917" s="17">
        <f>IF(C917="","",MATCH(C917,'Lista - Inversor'!$BD:$BD,0)-2)</f>
        <v>42</v>
      </c>
    </row>
    <row r="918" spans="1:40" x14ac:dyDescent="0.35">
      <c r="A918" s="43" t="s">
        <v>677</v>
      </c>
      <c r="B918" s="17" t="str">
        <f t="shared" si="18"/>
        <v>SIW200G M030 WO</v>
      </c>
      <c r="C918" s="22" t="s">
        <v>2864</v>
      </c>
      <c r="AM918" s="17">
        <f>IF(A918="","",MATCH(A918,'Lista - Inversor'!$2:$2,0))</f>
        <v>56</v>
      </c>
      <c r="AN918" s="17">
        <f>IF(C918="","",MATCH(C918,'Lista - Inversor'!$BD:$BD,0)-2)</f>
        <v>43</v>
      </c>
    </row>
    <row r="919" spans="1:40" x14ac:dyDescent="0.35">
      <c r="A919" s="43" t="s">
        <v>677</v>
      </c>
      <c r="B919" s="17" t="str">
        <f t="shared" si="18"/>
        <v>SIW200  M100 (GW 10K -MS)</v>
      </c>
      <c r="C919" s="22" t="s">
        <v>2871</v>
      </c>
      <c r="AM919" s="17">
        <f>IF(A919="","",MATCH(A919,'Lista - Inversor'!$2:$2,0))</f>
        <v>56</v>
      </c>
      <c r="AN919" s="17">
        <f>IF(C919="","",MATCH(C919,'Lista - Inversor'!$BD:$BD,0)-2)</f>
        <v>44</v>
      </c>
    </row>
    <row r="920" spans="1:40" x14ac:dyDescent="0.35">
      <c r="A920" s="43" t="s">
        <v>677</v>
      </c>
      <c r="B920" s="17" t="str">
        <f t="shared" si="18"/>
        <v>SIW500H-ST040 - M3</v>
      </c>
      <c r="C920" s="22" t="s">
        <v>2878</v>
      </c>
      <c r="AM920" s="17">
        <f>IF(A920="","",MATCH(A920,'Lista - Inversor'!$2:$2,0))</f>
        <v>56</v>
      </c>
      <c r="AN920" s="17">
        <f>IF(C920="","",MATCH(C920,'Lista - Inversor'!$BD:$BD,0)-2)</f>
        <v>45</v>
      </c>
    </row>
    <row r="921" spans="1:40" x14ac:dyDescent="0.35">
      <c r="A921" s="43" t="s">
        <v>677</v>
      </c>
      <c r="B921" s="17" t="str">
        <f t="shared" si="18"/>
        <v>SIW200G - M060 WO</v>
      </c>
      <c r="C921" s="22" t="s">
        <v>2885</v>
      </c>
      <c r="AM921" s="17">
        <f>IF(A921="","",MATCH(A921,'Lista - Inversor'!$2:$2,0))</f>
        <v>56</v>
      </c>
      <c r="AN921" s="17">
        <f>IF(C921="","",MATCH(C921,'Lista - Inversor'!$BD:$BD,0)-2)</f>
        <v>46</v>
      </c>
    </row>
    <row r="922" spans="1:40" x14ac:dyDescent="0.35">
      <c r="A922" s="43" t="s">
        <v>677</v>
      </c>
      <c r="B922" s="17" t="str">
        <f t="shared" si="18"/>
        <v>SIW200 M050</v>
      </c>
      <c r="C922" s="22" t="s">
        <v>2891</v>
      </c>
      <c r="AM922" s="17">
        <f>IF(A922="","",MATCH(A922,'Lista - Inversor'!$2:$2,0))</f>
        <v>56</v>
      </c>
      <c r="AN922" s="17">
        <f>IF(C922="","",MATCH(C922,'Lista - Inversor'!$BD:$BD,0)-2)</f>
        <v>47</v>
      </c>
    </row>
    <row r="923" spans="1:40" x14ac:dyDescent="0.35">
      <c r="A923" s="43" t="s">
        <v>677</v>
      </c>
      <c r="B923" s="17" t="str">
        <f t="shared" si="18"/>
        <v>SIW200G M050 W0</v>
      </c>
      <c r="C923" s="22" t="s">
        <v>2896</v>
      </c>
      <c r="AM923" s="17">
        <f>IF(A923="","",MATCH(A923,'Lista - Inversor'!$2:$2,0))</f>
        <v>56</v>
      </c>
      <c r="AN923" s="17">
        <f>IF(C923="","",MATCH(C923,'Lista - Inversor'!$BD:$BD,0)-2)</f>
        <v>48</v>
      </c>
    </row>
    <row r="924" spans="1:40" x14ac:dyDescent="0.35">
      <c r="A924" s="43" t="s">
        <v>677</v>
      </c>
      <c r="B924" s="17" t="str">
        <f t="shared" si="18"/>
        <v>SIW200F-M046</v>
      </c>
      <c r="C924" s="22" t="s">
        <v>2901</v>
      </c>
      <c r="AM924" s="17">
        <f>IF(A924="","",MATCH(A924,'Lista - Inversor'!$2:$2,0))</f>
        <v>56</v>
      </c>
      <c r="AN924" s="17">
        <f>IF(C924="","",MATCH(C924,'Lista - Inversor'!$BD:$BD,0)-2)</f>
        <v>49</v>
      </c>
    </row>
    <row r="925" spans="1:40" x14ac:dyDescent="0.35">
      <c r="A925" s="43" t="s">
        <v>677</v>
      </c>
      <c r="B925" s="17" t="str">
        <f t="shared" si="18"/>
        <v>SIW200F-M050</v>
      </c>
      <c r="C925" s="22" t="s">
        <v>2906</v>
      </c>
      <c r="AM925" s="17">
        <f>IF(A925="","",MATCH(A925,'Lista - Inversor'!$2:$2,0))</f>
        <v>56</v>
      </c>
      <c r="AN925" s="17">
        <f>IF(C925="","",MATCH(C925,'Lista - Inversor'!$BD:$BD,0)-2)</f>
        <v>50</v>
      </c>
    </row>
    <row r="926" spans="1:40" x14ac:dyDescent="0.35">
      <c r="A926" s="43" t="s">
        <v>677</v>
      </c>
      <c r="B926" s="17" t="str">
        <f t="shared" si="18"/>
        <v>SIW200F-M036</v>
      </c>
      <c r="C926" s="22" t="s">
        <v>2910</v>
      </c>
      <c r="AM926" s="17">
        <f>IF(A926="","",MATCH(A926,'Lista - Inversor'!$2:$2,0))</f>
        <v>56</v>
      </c>
      <c r="AN926" s="17">
        <f>IF(C926="","",MATCH(C926,'Lista - Inversor'!$BD:$BD,0)-2)</f>
        <v>51</v>
      </c>
    </row>
    <row r="927" spans="1:40" x14ac:dyDescent="0.35">
      <c r="A927" s="43" t="s">
        <v>677</v>
      </c>
      <c r="B927" s="17" t="str">
        <f t="shared" si="18"/>
        <v>SIW500H-ST100-M1</v>
      </c>
      <c r="C927" s="22" t="s">
        <v>2914</v>
      </c>
      <c r="AM927" s="17">
        <f>IF(A927="","",MATCH(A927,'Lista - Inversor'!$2:$2,0))</f>
        <v>56</v>
      </c>
      <c r="AN927" s="17">
        <f>IF(C927="","",MATCH(C927,'Lista - Inversor'!$BD:$BD,0)-2)</f>
        <v>52</v>
      </c>
    </row>
    <row r="928" spans="1:40" x14ac:dyDescent="0.35">
      <c r="A928" s="43" t="s">
        <v>677</v>
      </c>
      <c r="B928" s="17" t="str">
        <f t="shared" si="18"/>
        <v>SIW400 ? ST075</v>
      </c>
      <c r="C928" s="22" t="s">
        <v>2918</v>
      </c>
      <c r="AM928" s="17">
        <f>IF(A928="","",MATCH(A928,'Lista - Inversor'!$2:$2,0))</f>
        <v>56</v>
      </c>
      <c r="AN928" s="17">
        <f>IF(C928="","",MATCH(C928,'Lista - Inversor'!$BD:$BD,0)-2)</f>
        <v>53</v>
      </c>
    </row>
    <row r="929" spans="1:40" x14ac:dyDescent="0.35">
      <c r="A929" s="43" t="s">
        <v>1980</v>
      </c>
      <c r="B929" s="17" t="str">
        <f t="shared" si="18"/>
        <v>OUTRO</v>
      </c>
      <c r="C929" s="22" t="s">
        <v>2040</v>
      </c>
      <c r="AM929" s="17">
        <f>IF(A929="","",MATCH(A929,'Lista - Inversor'!$2:$2,0))</f>
        <v>57</v>
      </c>
      <c r="AN929" s="17">
        <v>2</v>
      </c>
    </row>
    <row r="930" spans="1:40" x14ac:dyDescent="0.35">
      <c r="A930" s="43" t="s">
        <v>287</v>
      </c>
      <c r="B930" s="17" t="str">
        <f t="shared" ref="B930:B935" si="19">RIGHT(C930,LEN(C930)-(FIND(" - ", C930)+2))</f>
        <v>MID 15KTL3-XL</v>
      </c>
      <c r="C930" s="22" t="s">
        <v>4121</v>
      </c>
      <c r="D930" s="41" t="s">
        <v>367</v>
      </c>
      <c r="E930" s="17">
        <v>15</v>
      </c>
      <c r="F930" s="41" t="s">
        <v>564</v>
      </c>
      <c r="G930" s="41" t="s">
        <v>4122</v>
      </c>
      <c r="H930" s="41" t="s">
        <v>3979</v>
      </c>
      <c r="I930" s="41" t="s">
        <v>321</v>
      </c>
      <c r="J930" s="41" t="s">
        <v>294</v>
      </c>
      <c r="K930" s="41" t="s">
        <v>295</v>
      </c>
      <c r="N930" s="41" t="s">
        <v>465</v>
      </c>
      <c r="O930" s="41" t="s">
        <v>466</v>
      </c>
      <c r="P930" s="41" t="s">
        <v>414</v>
      </c>
      <c r="Q930" s="41" t="s">
        <v>375</v>
      </c>
      <c r="R930" s="41" t="s">
        <v>301</v>
      </c>
      <c r="S930" s="41" t="s">
        <v>416</v>
      </c>
      <c r="T930" s="41" t="s">
        <v>4022</v>
      </c>
      <c r="U930" s="41" t="s">
        <v>467</v>
      </c>
      <c r="V930" s="41" t="s">
        <v>468</v>
      </c>
      <c r="W930" s="41" t="s">
        <v>380</v>
      </c>
      <c r="Y930" s="41" t="s">
        <v>449</v>
      </c>
      <c r="Z930" s="41" t="s">
        <v>4023</v>
      </c>
      <c r="AA930" s="41" t="s">
        <v>308</v>
      </c>
      <c r="AC930" s="41" t="s">
        <v>329</v>
      </c>
      <c r="AD930" s="41" t="s">
        <v>310</v>
      </c>
      <c r="AE930" s="41" t="s">
        <v>311</v>
      </c>
      <c r="AF930" s="41" t="s">
        <v>383</v>
      </c>
      <c r="AG930" s="41" t="s">
        <v>313</v>
      </c>
      <c r="AH930" s="41" t="s">
        <v>384</v>
      </c>
      <c r="AK930" s="22">
        <v>3</v>
      </c>
      <c r="AL930" s="22">
        <v>0.22</v>
      </c>
      <c r="AM930" s="17">
        <v>57</v>
      </c>
      <c r="AN930" s="17">
        <v>2</v>
      </c>
    </row>
    <row r="931" spans="1:40" x14ac:dyDescent="0.35">
      <c r="A931" s="43" t="s">
        <v>190</v>
      </c>
      <c r="B931" s="17" t="str">
        <f t="shared" si="19"/>
        <v>BYD-K-1P8K-2M</v>
      </c>
      <c r="C931" s="22" t="s">
        <v>4168</v>
      </c>
      <c r="D931" s="41" t="s">
        <v>288</v>
      </c>
      <c r="E931" s="17" t="s">
        <v>289</v>
      </c>
      <c r="F931" s="41" t="s">
        <v>290</v>
      </c>
      <c r="G931" s="41" t="s">
        <v>4151</v>
      </c>
      <c r="H931" s="41" t="s">
        <v>292</v>
      </c>
      <c r="I931" s="41" t="s">
        <v>293</v>
      </c>
      <c r="J931" s="41" t="s">
        <v>294</v>
      </c>
      <c r="K931" s="41" t="s">
        <v>295</v>
      </c>
      <c r="M931" s="41" t="s">
        <v>4144</v>
      </c>
      <c r="N931" s="41" t="s">
        <v>4152</v>
      </c>
      <c r="O931" s="41" t="s">
        <v>4153</v>
      </c>
      <c r="P931" s="41" t="s">
        <v>299</v>
      </c>
      <c r="Q931" s="41" t="s">
        <v>3826</v>
      </c>
      <c r="R931" s="41" t="s">
        <v>301</v>
      </c>
      <c r="S931" s="41" t="s">
        <v>415</v>
      </c>
      <c r="T931" s="41" t="s">
        <v>303</v>
      </c>
      <c r="U931" s="41">
        <v>2</v>
      </c>
      <c r="V931" s="41" t="s">
        <v>325</v>
      </c>
      <c r="W931" s="41" t="s">
        <v>4154</v>
      </c>
      <c r="Y931" s="41" t="s">
        <v>4155</v>
      </c>
      <c r="Z931" s="41" t="s">
        <v>4156</v>
      </c>
      <c r="AA931" s="41" t="s">
        <v>3832</v>
      </c>
      <c r="AB931" s="41">
        <v>1</v>
      </c>
      <c r="AC931" s="41" t="s">
        <v>309</v>
      </c>
      <c r="AD931" s="41" t="s">
        <v>310</v>
      </c>
      <c r="AE931" s="41" t="s">
        <v>311</v>
      </c>
      <c r="AF931" s="41" t="s">
        <v>312</v>
      </c>
      <c r="AG931" s="41" t="s">
        <v>313</v>
      </c>
      <c r="AI931" s="41" t="s">
        <v>314</v>
      </c>
      <c r="AK931" s="22">
        <v>1</v>
      </c>
      <c r="AL931" s="22">
        <v>0.22</v>
      </c>
      <c r="AM931" s="17">
        <v>57</v>
      </c>
      <c r="AN931" s="17">
        <v>2</v>
      </c>
    </row>
    <row r="932" spans="1:40" x14ac:dyDescent="0.35">
      <c r="A932" s="43" t="s">
        <v>190</v>
      </c>
      <c r="B932" s="17" t="str">
        <f t="shared" si="19"/>
        <v>BYD-S-1P5K-2M</v>
      </c>
      <c r="C932" s="22" t="s">
        <v>4169</v>
      </c>
      <c r="D932" s="41" t="s">
        <v>331</v>
      </c>
      <c r="E932" s="17" t="s">
        <v>332</v>
      </c>
      <c r="F932" s="41" t="s">
        <v>333</v>
      </c>
      <c r="G932" s="41" t="s">
        <v>334</v>
      </c>
      <c r="H932" s="41" t="s">
        <v>320</v>
      </c>
      <c r="I932" s="41" t="s">
        <v>321</v>
      </c>
      <c r="J932" s="41" t="s">
        <v>294</v>
      </c>
      <c r="K932" s="41" t="s">
        <v>295</v>
      </c>
      <c r="M932" s="41" t="s">
        <v>4135</v>
      </c>
      <c r="N932" s="41" t="s">
        <v>4136</v>
      </c>
      <c r="O932" s="41" t="s">
        <v>4137</v>
      </c>
      <c r="P932" s="41" t="s">
        <v>4016</v>
      </c>
      <c r="Q932" s="41" t="s">
        <v>507</v>
      </c>
      <c r="R932" s="41" t="s">
        <v>4138</v>
      </c>
      <c r="S932" s="41" t="s">
        <v>415</v>
      </c>
      <c r="T932" s="41" t="s">
        <v>4139</v>
      </c>
      <c r="U932" s="41">
        <v>2</v>
      </c>
      <c r="V932" s="41" t="s">
        <v>325</v>
      </c>
      <c r="W932" s="41" t="s">
        <v>4140</v>
      </c>
      <c r="Y932" s="41" t="s">
        <v>4141</v>
      </c>
      <c r="Z932" s="41" t="s">
        <v>4142</v>
      </c>
      <c r="AA932" s="41" t="s">
        <v>3832</v>
      </c>
      <c r="AB932" s="41">
        <v>1</v>
      </c>
      <c r="AC932" s="41" t="s">
        <v>329</v>
      </c>
      <c r="AD932" s="41" t="s">
        <v>310</v>
      </c>
      <c r="AE932" s="41" t="s">
        <v>311</v>
      </c>
      <c r="AF932" s="41" t="s">
        <v>312</v>
      </c>
      <c r="AG932" s="41" t="s">
        <v>313</v>
      </c>
      <c r="AH932" s="41" t="s">
        <v>330</v>
      </c>
      <c r="AI932" s="41" t="s">
        <v>314</v>
      </c>
      <c r="AJ932" s="41" t="s">
        <v>330</v>
      </c>
      <c r="AK932" s="22">
        <v>1</v>
      </c>
      <c r="AL932" s="22">
        <v>0.22</v>
      </c>
      <c r="AM932" s="17">
        <v>57</v>
      </c>
      <c r="AN932" s="17">
        <v>2</v>
      </c>
    </row>
    <row r="933" spans="1:40" x14ac:dyDescent="0.35">
      <c r="A933" s="43" t="s">
        <v>190</v>
      </c>
      <c r="B933" s="17" t="str">
        <f t="shared" si="19"/>
        <v>BYD-K-3P12K-2M</v>
      </c>
      <c r="C933" s="22" t="s">
        <v>4170</v>
      </c>
      <c r="D933" s="41" t="s">
        <v>4157</v>
      </c>
      <c r="E933" s="17">
        <v>12</v>
      </c>
      <c r="F933" s="41" t="s">
        <v>4158</v>
      </c>
      <c r="G933" s="41" t="s">
        <v>4159</v>
      </c>
      <c r="H933" s="41" t="s">
        <v>4160</v>
      </c>
      <c r="I933" s="41" t="s">
        <v>321</v>
      </c>
      <c r="J933" s="41" t="s">
        <v>294</v>
      </c>
      <c r="K933" s="41" t="s">
        <v>295</v>
      </c>
      <c r="N933" s="41" t="s">
        <v>4161</v>
      </c>
      <c r="O933" s="41" t="s">
        <v>4162</v>
      </c>
      <c r="P933" s="41" t="s">
        <v>539</v>
      </c>
      <c r="Q933" s="41" t="s">
        <v>375</v>
      </c>
      <c r="R933" s="41" t="s">
        <v>415</v>
      </c>
      <c r="S933" s="41" t="s">
        <v>445</v>
      </c>
      <c r="T933" s="41" t="s">
        <v>4163</v>
      </c>
      <c r="U933" s="41" t="s">
        <v>315</v>
      </c>
      <c r="V933" s="41" t="s">
        <v>4164</v>
      </c>
      <c r="W933" s="41" t="s">
        <v>4165</v>
      </c>
      <c r="Y933" s="41" t="s">
        <v>4166</v>
      </c>
      <c r="Z933" s="41" t="s">
        <v>4167</v>
      </c>
      <c r="AA933" s="41" t="s">
        <v>308</v>
      </c>
      <c r="AC933" s="41" t="s">
        <v>329</v>
      </c>
      <c r="AD933" s="41" t="s">
        <v>310</v>
      </c>
      <c r="AE933" s="41" t="s">
        <v>311</v>
      </c>
      <c r="AF933" s="41" t="s">
        <v>383</v>
      </c>
      <c r="AG933" s="41" t="s">
        <v>313</v>
      </c>
      <c r="AH933" s="41" t="s">
        <v>384</v>
      </c>
      <c r="AK933" s="22">
        <v>3</v>
      </c>
      <c r="AL933" s="22">
        <v>0.38</v>
      </c>
      <c r="AM933" s="17">
        <v>57</v>
      </c>
      <c r="AN933" s="17">
        <v>2</v>
      </c>
    </row>
    <row r="934" spans="1:40" x14ac:dyDescent="0.35">
      <c r="A934" s="43" t="s">
        <v>190</v>
      </c>
      <c r="B934" s="17" t="str">
        <f t="shared" si="19"/>
        <v>BYD-K-1P6K-2M</v>
      </c>
      <c r="C934" s="22" t="s">
        <v>4171</v>
      </c>
      <c r="D934" s="41" t="s">
        <v>316</v>
      </c>
      <c r="E934" s="17" t="s">
        <v>317</v>
      </c>
      <c r="F934" s="41" t="s">
        <v>318</v>
      </c>
      <c r="G934" s="41" t="s">
        <v>4143</v>
      </c>
      <c r="H934" s="41" t="s">
        <v>320</v>
      </c>
      <c r="I934" s="41" t="s">
        <v>321</v>
      </c>
      <c r="J934" s="41" t="s">
        <v>294</v>
      </c>
      <c r="K934" s="41" t="s">
        <v>295</v>
      </c>
      <c r="M934" s="41" t="s">
        <v>4144</v>
      </c>
      <c r="N934" s="41" t="s">
        <v>4145</v>
      </c>
      <c r="O934" s="41" t="s">
        <v>4146</v>
      </c>
      <c r="P934" s="41" t="s">
        <v>300</v>
      </c>
      <c r="Q934" s="41" t="s">
        <v>507</v>
      </c>
      <c r="R934" s="41" t="s">
        <v>301</v>
      </c>
      <c r="S934" s="41" t="s">
        <v>415</v>
      </c>
      <c r="T934" s="41" t="s">
        <v>4147</v>
      </c>
      <c r="U934" s="41">
        <v>2</v>
      </c>
      <c r="V934" s="41" t="s">
        <v>325</v>
      </c>
      <c r="W934" s="41" t="s">
        <v>4148</v>
      </c>
      <c r="Y934" s="41" t="s">
        <v>4149</v>
      </c>
      <c r="Z934" s="41" t="s">
        <v>4150</v>
      </c>
      <c r="AA934" s="41" t="s">
        <v>308</v>
      </c>
      <c r="AB934" s="41">
        <v>1</v>
      </c>
      <c r="AC934" s="41" t="s">
        <v>329</v>
      </c>
      <c r="AD934" s="41" t="s">
        <v>310</v>
      </c>
      <c r="AE934" s="41" t="s">
        <v>311</v>
      </c>
      <c r="AF934" s="41" t="s">
        <v>312</v>
      </c>
      <c r="AG934" s="41" t="s">
        <v>313</v>
      </c>
      <c r="AH934" s="41" t="s">
        <v>330</v>
      </c>
      <c r="AI934" s="41" t="s">
        <v>314</v>
      </c>
      <c r="AJ934" s="41" t="s">
        <v>330</v>
      </c>
      <c r="AK934" s="22">
        <v>1</v>
      </c>
      <c r="AL934" s="22">
        <v>0.22</v>
      </c>
      <c r="AM934" s="17">
        <v>57</v>
      </c>
      <c r="AN934" s="17">
        <v>2</v>
      </c>
    </row>
    <row r="935" spans="1:40" x14ac:dyDescent="0.35">
      <c r="A935" s="43" t="s">
        <v>190</v>
      </c>
      <c r="B935" s="41" t="str">
        <f t="shared" si="19"/>
        <v>BYD-S-1P10K-3M</v>
      </c>
      <c r="C935" s="22" t="s">
        <v>4179</v>
      </c>
      <c r="D935" s="41" t="s">
        <v>3824</v>
      </c>
      <c r="E935" s="17">
        <v>10</v>
      </c>
      <c r="F935" s="41" t="s">
        <v>3825</v>
      </c>
      <c r="G935" s="41" t="s">
        <v>4180</v>
      </c>
      <c r="H935" s="41" t="s">
        <v>292</v>
      </c>
      <c r="I935" s="41" t="s">
        <v>293</v>
      </c>
      <c r="J935" s="41" t="s">
        <v>294</v>
      </c>
      <c r="K935" s="41" t="s">
        <v>295</v>
      </c>
      <c r="M935" s="41" t="s">
        <v>4135</v>
      </c>
      <c r="N935" s="41" t="s">
        <v>4136</v>
      </c>
      <c r="O935" s="41" t="s">
        <v>4137</v>
      </c>
      <c r="P935" s="41" t="s">
        <v>300</v>
      </c>
      <c r="Q935" s="41" t="s">
        <v>507</v>
      </c>
      <c r="R935" s="41" t="s">
        <v>301</v>
      </c>
      <c r="S935" s="41" t="s">
        <v>415</v>
      </c>
      <c r="T935" s="41" t="s">
        <v>4147</v>
      </c>
      <c r="U935" s="41" t="s">
        <v>353</v>
      </c>
      <c r="V935" s="41" t="s">
        <v>4181</v>
      </c>
      <c r="W935" s="41" t="s">
        <v>4182</v>
      </c>
      <c r="Y935" s="41" t="s">
        <v>4155</v>
      </c>
      <c r="Z935" s="41" t="s">
        <v>4156</v>
      </c>
      <c r="AA935" s="41" t="s">
        <v>3832</v>
      </c>
      <c r="AB935" s="41">
        <v>1</v>
      </c>
      <c r="AC935" s="41" t="s">
        <v>309</v>
      </c>
      <c r="AD935" s="41" t="s">
        <v>310</v>
      </c>
      <c r="AE935" s="41" t="s">
        <v>311</v>
      </c>
      <c r="AF935" s="41" t="s">
        <v>312</v>
      </c>
      <c r="AG935" s="41" t="s">
        <v>313</v>
      </c>
      <c r="AI935" s="41" t="s">
        <v>314</v>
      </c>
      <c r="AK935" s="22">
        <v>1</v>
      </c>
      <c r="AL935" s="22">
        <v>0.22</v>
      </c>
      <c r="AM935" s="17">
        <v>57</v>
      </c>
      <c r="AN935" s="17">
        <v>2</v>
      </c>
    </row>
    <row r="936" spans="1:40" x14ac:dyDescent="0.35">
      <c r="A936" s="43" t="s">
        <v>190</v>
      </c>
      <c r="B936" s="41" t="str">
        <f t="shared" ref="B936" si="20">RIGHT(C936,LEN(C936)-(FIND(" - ", C936)+2))</f>
        <v>BYD-K-3P20K-2M</v>
      </c>
      <c r="C936" s="22" t="s">
        <v>4183</v>
      </c>
      <c r="D936" s="41" t="s">
        <v>390</v>
      </c>
      <c r="E936" s="17">
        <v>20</v>
      </c>
      <c r="F936" s="41" t="s">
        <v>392</v>
      </c>
      <c r="G936" s="41" t="s">
        <v>4184</v>
      </c>
      <c r="H936" s="41" t="s">
        <v>4160</v>
      </c>
      <c r="I936" s="41" t="s">
        <v>321</v>
      </c>
      <c r="J936" s="41" t="s">
        <v>294</v>
      </c>
      <c r="K936" s="41" t="s">
        <v>295</v>
      </c>
      <c r="N936" s="41" t="s">
        <v>4185</v>
      </c>
      <c r="O936" s="41" t="s">
        <v>4186</v>
      </c>
      <c r="P936" s="41" t="s">
        <v>374</v>
      </c>
      <c r="Q936" s="41" t="s">
        <v>444</v>
      </c>
      <c r="R936" s="41" t="s">
        <v>415</v>
      </c>
      <c r="S936" s="41" t="s">
        <v>445</v>
      </c>
      <c r="T936" s="41" t="s">
        <v>4187</v>
      </c>
      <c r="U936" s="41" t="s">
        <v>315</v>
      </c>
      <c r="V936" s="41" t="s">
        <v>379</v>
      </c>
      <c r="W936" s="41" t="s">
        <v>4188</v>
      </c>
      <c r="Y936" s="41" t="s">
        <v>4166</v>
      </c>
      <c r="Z936" s="41" t="s">
        <v>4189</v>
      </c>
      <c r="AA936" s="41" t="s">
        <v>308</v>
      </c>
      <c r="AC936" s="41" t="s">
        <v>329</v>
      </c>
      <c r="AD936" s="41" t="s">
        <v>310</v>
      </c>
      <c r="AE936" s="41" t="s">
        <v>311</v>
      </c>
      <c r="AF936" s="41" t="s">
        <v>383</v>
      </c>
      <c r="AG936" s="41" t="s">
        <v>313</v>
      </c>
      <c r="AH936" s="41" t="s">
        <v>384</v>
      </c>
      <c r="AK936" s="22">
        <v>3</v>
      </c>
      <c r="AL936" s="22">
        <v>0.38</v>
      </c>
      <c r="AM936" s="17">
        <v>57</v>
      </c>
      <c r="AN936" s="17">
        <v>2</v>
      </c>
    </row>
    <row r="937" spans="1:40" x14ac:dyDescent="0.35">
      <c r="A937" s="43" t="s">
        <v>190</v>
      </c>
      <c r="B937" s="41" t="str">
        <f t="shared" ref="B937" si="21">RIGHT(C937,LEN(C937)-(FIND(" - ", C937)+2))</f>
        <v>BYD-K-1P3K-2M</v>
      </c>
      <c r="C937" s="22" t="s">
        <v>4197</v>
      </c>
      <c r="D937" s="41" t="s">
        <v>352</v>
      </c>
      <c r="E937" s="17">
        <v>3</v>
      </c>
      <c r="F937" s="41" t="s">
        <v>3989</v>
      </c>
      <c r="G937" s="41" t="s">
        <v>4198</v>
      </c>
      <c r="H937" s="41" t="s">
        <v>320</v>
      </c>
      <c r="I937" s="41" t="s">
        <v>321</v>
      </c>
      <c r="J937" s="41" t="s">
        <v>294</v>
      </c>
      <c r="K937" s="41" t="s">
        <v>295</v>
      </c>
      <c r="M937" s="41" t="s">
        <v>4144</v>
      </c>
      <c r="N937" s="41" t="s">
        <v>4145</v>
      </c>
      <c r="O937" s="41" t="s">
        <v>4146</v>
      </c>
      <c r="P937" s="41" t="s">
        <v>300</v>
      </c>
      <c r="Q937" s="41" t="s">
        <v>507</v>
      </c>
      <c r="R937" s="41" t="s">
        <v>301</v>
      </c>
      <c r="S937" s="41" t="s">
        <v>415</v>
      </c>
      <c r="T937" s="41" t="s">
        <v>4147</v>
      </c>
      <c r="U937" s="41">
        <v>2</v>
      </c>
      <c r="V937" s="41" t="s">
        <v>325</v>
      </c>
      <c r="W937" s="41" t="s">
        <v>4199</v>
      </c>
      <c r="Y937" s="41" t="s">
        <v>4149</v>
      </c>
      <c r="Z937" s="41" t="s">
        <v>4150</v>
      </c>
      <c r="AA937" s="41" t="s">
        <v>308</v>
      </c>
      <c r="AB937" s="41">
        <v>1</v>
      </c>
      <c r="AC937" s="41" t="s">
        <v>329</v>
      </c>
      <c r="AD937" s="41" t="s">
        <v>310</v>
      </c>
      <c r="AE937" s="41" t="s">
        <v>311</v>
      </c>
      <c r="AF937" s="41" t="s">
        <v>312</v>
      </c>
      <c r="AG937" s="41" t="s">
        <v>313</v>
      </c>
      <c r="AH937" s="41" t="s">
        <v>330</v>
      </c>
      <c r="AI937" s="41" t="s">
        <v>314</v>
      </c>
      <c r="AJ937" s="41" t="s">
        <v>330</v>
      </c>
      <c r="AK937" s="22">
        <v>1</v>
      </c>
      <c r="AL937" s="22">
        <v>0.22</v>
      </c>
      <c r="AM937" s="17">
        <v>57</v>
      </c>
      <c r="AN937" s="17">
        <v>2</v>
      </c>
    </row>
    <row r="938" spans="1:40" x14ac:dyDescent="0.35">
      <c r="A938" s="43" t="s">
        <v>190</v>
      </c>
      <c r="B938" s="41" t="str">
        <f t="shared" ref="B938" si="22">RIGHT(C938,LEN(C938)-(FIND(" - ", C938)+2))</f>
        <v>BYD-S-3P75K-9M</v>
      </c>
      <c r="C938" s="22" t="s">
        <v>4200</v>
      </c>
      <c r="D938" s="41" t="s">
        <v>4106</v>
      </c>
      <c r="E938" s="17">
        <v>75</v>
      </c>
      <c r="F938" s="41" t="s">
        <v>4107</v>
      </c>
      <c r="G938" s="41" t="s">
        <v>4108</v>
      </c>
      <c r="H938" s="22" t="s">
        <v>4105</v>
      </c>
      <c r="I938" s="41" t="s">
        <v>504</v>
      </c>
      <c r="J938" s="41" t="s">
        <v>294</v>
      </c>
      <c r="K938" s="41" t="s">
        <v>295</v>
      </c>
      <c r="N938" s="41" t="s">
        <v>4109</v>
      </c>
      <c r="O938" s="41" t="s">
        <v>4110</v>
      </c>
      <c r="P938" s="41" t="s">
        <v>444</v>
      </c>
      <c r="Q938" s="41" t="s">
        <v>4111</v>
      </c>
      <c r="R938" s="41" t="s">
        <v>415</v>
      </c>
      <c r="S938" s="41" t="s">
        <v>377</v>
      </c>
      <c r="T938" s="41" t="s">
        <v>446</v>
      </c>
      <c r="U938" s="41" t="s">
        <v>4112</v>
      </c>
      <c r="V938" s="41" t="s">
        <v>4113</v>
      </c>
      <c r="W938" s="41" t="s">
        <v>4201</v>
      </c>
      <c r="Y938" s="41" t="s">
        <v>4114</v>
      </c>
      <c r="Z938" s="41" t="s">
        <v>4115</v>
      </c>
      <c r="AA938" s="41" t="s">
        <v>3832</v>
      </c>
      <c r="AC938" s="41" t="s">
        <v>329</v>
      </c>
      <c r="AD938" s="41" t="s">
        <v>310</v>
      </c>
      <c r="AE938" s="41" t="s">
        <v>522</v>
      </c>
      <c r="AF938" s="41" t="s">
        <v>312</v>
      </c>
      <c r="AG938" s="41" t="s">
        <v>313</v>
      </c>
      <c r="AH938" s="41" t="s">
        <v>384</v>
      </c>
      <c r="AK938" s="22">
        <v>3</v>
      </c>
      <c r="AL938" s="22">
        <v>0.38</v>
      </c>
      <c r="AM938" s="17">
        <v>57</v>
      </c>
      <c r="AN938" s="17">
        <v>2</v>
      </c>
    </row>
    <row r="939" spans="1:40" x14ac:dyDescent="0.35">
      <c r="A939" s="43" t="s">
        <v>190</v>
      </c>
      <c r="B939" s="41" t="str">
        <f t="shared" ref="B939" si="23">RIGHT(C939,LEN(C939)-(FIND(" - ", C939)+2))</f>
        <v>BYD-S-3P30K-3M</v>
      </c>
      <c r="C939" s="22" t="s">
        <v>4211</v>
      </c>
      <c r="D939" s="41" t="s">
        <v>452</v>
      </c>
      <c r="E939" s="17">
        <v>30</v>
      </c>
      <c r="F939" s="41" t="s">
        <v>524</v>
      </c>
      <c r="G939" s="41" t="s">
        <v>4212</v>
      </c>
      <c r="H939" s="41" t="s">
        <v>441</v>
      </c>
      <c r="I939" s="41" t="s">
        <v>321</v>
      </c>
      <c r="J939" s="41" t="s">
        <v>294</v>
      </c>
      <c r="K939" s="41" t="s">
        <v>295</v>
      </c>
      <c r="N939" s="41" t="s">
        <v>4213</v>
      </c>
      <c r="O939" s="41" t="s">
        <v>4214</v>
      </c>
      <c r="P939" s="41" t="s">
        <v>414</v>
      </c>
      <c r="Q939" s="41" t="s">
        <v>444</v>
      </c>
      <c r="R939" s="41" t="s">
        <v>415</v>
      </c>
      <c r="S939" s="41" t="s">
        <v>445</v>
      </c>
      <c r="T939" s="41" t="s">
        <v>4215</v>
      </c>
      <c r="U939" s="41" t="s">
        <v>353</v>
      </c>
      <c r="V939" s="41" t="s">
        <v>447</v>
      </c>
      <c r="W939" s="41" t="s">
        <v>4216</v>
      </c>
      <c r="Y939" s="41" t="s">
        <v>4217</v>
      </c>
      <c r="Z939" s="41" t="s">
        <v>4218</v>
      </c>
      <c r="AA939" s="41" t="s">
        <v>451</v>
      </c>
      <c r="AC939" s="41" t="s">
        <v>329</v>
      </c>
      <c r="AD939" s="41" t="s">
        <v>310</v>
      </c>
      <c r="AE939" s="41" t="s">
        <v>311</v>
      </c>
      <c r="AF939" s="41" t="s">
        <v>383</v>
      </c>
      <c r="AG939" s="41" t="s">
        <v>313</v>
      </c>
      <c r="AH939" s="41" t="s">
        <v>384</v>
      </c>
      <c r="AK939" s="22">
        <v>3</v>
      </c>
      <c r="AL939" s="22">
        <v>0.38</v>
      </c>
      <c r="AM939" s="17">
        <v>57</v>
      </c>
      <c r="AN939" s="17">
        <v>2</v>
      </c>
    </row>
    <row r="940" spans="1:40" x14ac:dyDescent="0.35">
      <c r="A940" s="43" t="s">
        <v>190</v>
      </c>
      <c r="B940" s="41" t="str">
        <f t="shared" ref="B940" si="24">RIGHT(C940,LEN(C940)-(FIND(" - ", C940)+2))</f>
        <v>BYD-K-3P15K-2M</v>
      </c>
      <c r="C940" s="22" t="s">
        <v>4219</v>
      </c>
      <c r="D940" s="41" t="s">
        <v>367</v>
      </c>
      <c r="E940" s="17">
        <v>15</v>
      </c>
      <c r="F940" s="41" t="s">
        <v>4220</v>
      </c>
      <c r="G940" s="41" t="s">
        <v>4221</v>
      </c>
      <c r="H940" s="41" t="s">
        <v>4160</v>
      </c>
      <c r="I940" s="41" t="s">
        <v>321</v>
      </c>
      <c r="J940" s="41" t="s">
        <v>294</v>
      </c>
      <c r="K940" s="41" t="s">
        <v>295</v>
      </c>
      <c r="N940" s="41" t="s">
        <v>4185</v>
      </c>
      <c r="O940" s="41" t="s">
        <v>4186</v>
      </c>
      <c r="P940" s="41" t="s">
        <v>374</v>
      </c>
      <c r="Q940" s="41" t="s">
        <v>444</v>
      </c>
      <c r="R940" s="41" t="s">
        <v>415</v>
      </c>
      <c r="S940" s="41" t="s">
        <v>445</v>
      </c>
      <c r="T940" s="41" t="s">
        <v>4187</v>
      </c>
      <c r="U940" s="41" t="s">
        <v>315</v>
      </c>
      <c r="V940" s="41" t="s">
        <v>379</v>
      </c>
      <c r="W940" s="41" t="s">
        <v>380</v>
      </c>
      <c r="Y940" s="41" t="s">
        <v>4166</v>
      </c>
      <c r="Z940" s="41" t="s">
        <v>4189</v>
      </c>
      <c r="AA940" s="41" t="s">
        <v>308</v>
      </c>
      <c r="AC940" s="41" t="s">
        <v>329</v>
      </c>
      <c r="AD940" s="41" t="s">
        <v>310</v>
      </c>
      <c r="AE940" s="41" t="s">
        <v>311</v>
      </c>
      <c r="AF940" s="41" t="s">
        <v>383</v>
      </c>
      <c r="AG940" s="41" t="s">
        <v>313</v>
      </c>
      <c r="AH940" s="41" t="s">
        <v>384</v>
      </c>
      <c r="AK940" s="22">
        <v>3</v>
      </c>
      <c r="AL940" s="22">
        <v>0.38</v>
      </c>
      <c r="AM940" s="17">
        <v>57</v>
      </c>
      <c r="AN940" s="17">
        <v>2</v>
      </c>
    </row>
    <row r="941" spans="1:40" x14ac:dyDescent="0.35">
      <c r="A941" s="43" t="s">
        <v>476</v>
      </c>
      <c r="B941" s="41" t="str">
        <f t="shared" ref="B941:B947" si="25">RIGHT(C941,LEN(C941)-(FIND(" - ", C941)+2))</f>
        <v>RENO-5K-HC</v>
      </c>
      <c r="C941" s="22" t="s">
        <v>4223</v>
      </c>
      <c r="D941" s="41" t="s">
        <v>331</v>
      </c>
      <c r="E941" s="17" t="s">
        <v>332</v>
      </c>
      <c r="F941" s="41" t="s">
        <v>333</v>
      </c>
      <c r="G941" s="41" t="s">
        <v>334</v>
      </c>
      <c r="H941" s="41" t="s">
        <v>320</v>
      </c>
      <c r="I941" s="41" t="s">
        <v>321</v>
      </c>
      <c r="J941" s="41" t="s">
        <v>294</v>
      </c>
      <c r="K941" s="41" t="s">
        <v>295</v>
      </c>
      <c r="M941" s="41" t="s">
        <v>4224</v>
      </c>
      <c r="N941" s="41" t="s">
        <v>4136</v>
      </c>
      <c r="O941" s="41" t="s">
        <v>4137</v>
      </c>
      <c r="P941" s="41" t="s">
        <v>4016</v>
      </c>
      <c r="Q941" s="41" t="s">
        <v>507</v>
      </c>
      <c r="R941" s="41" t="s">
        <v>4138</v>
      </c>
      <c r="S941" s="41" t="s">
        <v>415</v>
      </c>
      <c r="T941" s="41" t="s">
        <v>4139</v>
      </c>
      <c r="U941" s="41">
        <v>2</v>
      </c>
      <c r="V941" s="41" t="s">
        <v>325</v>
      </c>
      <c r="W941" s="41" t="s">
        <v>4225</v>
      </c>
      <c r="Y941" s="41" t="s">
        <v>4141</v>
      </c>
      <c r="Z941" s="41" t="s">
        <v>4142</v>
      </c>
      <c r="AA941" s="41" t="s">
        <v>3832</v>
      </c>
      <c r="AB941" s="41">
        <v>1</v>
      </c>
      <c r="AC941" s="41" t="s">
        <v>329</v>
      </c>
      <c r="AD941" s="41" t="s">
        <v>310</v>
      </c>
      <c r="AE941" s="41" t="s">
        <v>311</v>
      </c>
      <c r="AF941" s="41" t="s">
        <v>312</v>
      </c>
      <c r="AG941" s="41" t="s">
        <v>313</v>
      </c>
      <c r="AH941" s="41" t="s">
        <v>330</v>
      </c>
      <c r="AI941" s="41" t="s">
        <v>314</v>
      </c>
      <c r="AJ941" s="41" t="s">
        <v>330</v>
      </c>
      <c r="AK941" s="22">
        <v>1</v>
      </c>
      <c r="AL941" s="22">
        <v>0.22</v>
      </c>
      <c r="AM941" s="17">
        <v>57</v>
      </c>
      <c r="AN941" s="17">
        <v>2</v>
      </c>
    </row>
    <row r="942" spans="1:40" x14ac:dyDescent="0.35">
      <c r="A942" s="41" t="s">
        <v>287</v>
      </c>
      <c r="B942" s="41" t="str">
        <f t="shared" si="25"/>
        <v>4600TL-X</v>
      </c>
      <c r="C942" s="41" t="s">
        <v>4231</v>
      </c>
      <c r="D942" s="41" t="s">
        <v>337</v>
      </c>
      <c r="E942" s="17" t="s">
        <v>338</v>
      </c>
      <c r="F942" s="41" t="s">
        <v>339</v>
      </c>
      <c r="G942" s="41" t="s">
        <v>340</v>
      </c>
      <c r="H942" s="41" t="s">
        <v>320</v>
      </c>
      <c r="I942" s="41" t="s">
        <v>321</v>
      </c>
      <c r="J942" s="41" t="s">
        <v>294</v>
      </c>
      <c r="K942" s="41" t="s">
        <v>295</v>
      </c>
      <c r="N942" s="41" t="s">
        <v>323</v>
      </c>
      <c r="O942" s="41" t="s">
        <v>324</v>
      </c>
      <c r="P942" s="41" t="s">
        <v>299</v>
      </c>
      <c r="Q942" s="41" t="s">
        <v>300</v>
      </c>
      <c r="R942" s="41" t="s">
        <v>301</v>
      </c>
      <c r="S942" s="41" t="s">
        <v>302</v>
      </c>
      <c r="T942" s="41" t="s">
        <v>303</v>
      </c>
      <c r="U942" s="41">
        <v>2</v>
      </c>
      <c r="V942" s="41" t="s">
        <v>325</v>
      </c>
      <c r="W942" s="41" t="s">
        <v>341</v>
      </c>
      <c r="Y942" s="41" t="s">
        <v>327</v>
      </c>
      <c r="Z942" s="41" t="s">
        <v>328</v>
      </c>
      <c r="AA942" s="41" t="s">
        <v>308</v>
      </c>
      <c r="AB942" s="41">
        <v>1</v>
      </c>
      <c r="AC942" s="41" t="s">
        <v>329</v>
      </c>
      <c r="AD942" s="41" t="s">
        <v>310</v>
      </c>
      <c r="AE942" s="41" t="s">
        <v>311</v>
      </c>
      <c r="AF942" s="41" t="s">
        <v>312</v>
      </c>
      <c r="AG942" s="41" t="s">
        <v>313</v>
      </c>
      <c r="AH942" s="41" t="s">
        <v>330</v>
      </c>
      <c r="AI942" s="41" t="s">
        <v>314</v>
      </c>
      <c r="AJ942" s="41" t="s">
        <v>330</v>
      </c>
      <c r="AK942" s="22">
        <v>1</v>
      </c>
      <c r="AL942" s="22">
        <v>0.22</v>
      </c>
      <c r="AM942" s="17">
        <v>57</v>
      </c>
      <c r="AN942" s="17">
        <v>2</v>
      </c>
    </row>
    <row r="943" spans="1:40" x14ac:dyDescent="0.35">
      <c r="A943" s="41" t="s">
        <v>287</v>
      </c>
      <c r="B943" s="41" t="str">
        <f t="shared" si="25"/>
        <v>3600TL-X</v>
      </c>
      <c r="C943" s="41" t="s">
        <v>4230</v>
      </c>
      <c r="D943" s="41" t="s">
        <v>347</v>
      </c>
      <c r="E943" s="17" t="s">
        <v>348</v>
      </c>
      <c r="F943" s="41" t="s">
        <v>349</v>
      </c>
      <c r="G943" s="41" t="s">
        <v>350</v>
      </c>
      <c r="H943" s="41" t="s">
        <v>320</v>
      </c>
      <c r="I943" s="41" t="s">
        <v>321</v>
      </c>
      <c r="J943" s="41" t="s">
        <v>294</v>
      </c>
      <c r="K943" s="41" t="s">
        <v>295</v>
      </c>
      <c r="N943" s="41" t="s">
        <v>323</v>
      </c>
      <c r="O943" s="41" t="s">
        <v>324</v>
      </c>
      <c r="P943" s="41" t="s">
        <v>299</v>
      </c>
      <c r="Q943" s="41" t="s">
        <v>300</v>
      </c>
      <c r="R943" s="41" t="s">
        <v>301</v>
      </c>
      <c r="S943" s="41" t="s">
        <v>302</v>
      </c>
      <c r="T943" s="41" t="s">
        <v>303</v>
      </c>
      <c r="U943" s="41">
        <v>2</v>
      </c>
      <c r="V943" s="41" t="s">
        <v>325</v>
      </c>
      <c r="W943" s="41" t="s">
        <v>351</v>
      </c>
      <c r="Y943" s="41" t="s">
        <v>327</v>
      </c>
      <c r="Z943" s="41" t="s">
        <v>328</v>
      </c>
      <c r="AA943" s="41" t="s">
        <v>308</v>
      </c>
      <c r="AB943" s="41">
        <v>1</v>
      </c>
      <c r="AC943" s="41" t="s">
        <v>329</v>
      </c>
      <c r="AD943" s="41" t="s">
        <v>310</v>
      </c>
      <c r="AE943" s="41" t="s">
        <v>311</v>
      </c>
      <c r="AF943" s="41" t="s">
        <v>312</v>
      </c>
      <c r="AG943" s="41" t="s">
        <v>313</v>
      </c>
      <c r="AH943" s="41" t="s">
        <v>330</v>
      </c>
      <c r="AI943" s="41" t="s">
        <v>314</v>
      </c>
      <c r="AJ943" s="41" t="s">
        <v>330</v>
      </c>
      <c r="AK943" s="22">
        <v>1</v>
      </c>
      <c r="AL943" s="22">
        <v>0.22</v>
      </c>
      <c r="AM943" s="17">
        <v>57</v>
      </c>
      <c r="AN943" s="17">
        <v>2</v>
      </c>
    </row>
    <row r="944" spans="1:40" x14ac:dyDescent="0.35">
      <c r="A944" s="41" t="s">
        <v>287</v>
      </c>
      <c r="B944" s="41" t="str">
        <f t="shared" si="25"/>
        <v>MID 22KTL3-X</v>
      </c>
      <c r="C944" s="41" t="s">
        <v>4229</v>
      </c>
      <c r="D944" s="41" t="s">
        <v>395</v>
      </c>
      <c r="E944" s="17" t="s">
        <v>396</v>
      </c>
      <c r="F944" s="41" t="s">
        <v>397</v>
      </c>
      <c r="G944" s="41" t="s">
        <v>398</v>
      </c>
      <c r="H944" s="41" t="s">
        <v>371</v>
      </c>
      <c r="I944" s="41" t="s">
        <v>321</v>
      </c>
      <c r="J944" s="41" t="s">
        <v>294</v>
      </c>
      <c r="K944" s="41" t="s">
        <v>295</v>
      </c>
      <c r="N944" s="41" t="s">
        <v>372</v>
      </c>
      <c r="O944" s="41" t="s">
        <v>373</v>
      </c>
      <c r="P944" s="41" t="s">
        <v>374</v>
      </c>
      <c r="Q944" s="41" t="s">
        <v>375</v>
      </c>
      <c r="R944" s="41" t="s">
        <v>376</v>
      </c>
      <c r="S944" s="41" t="s">
        <v>377</v>
      </c>
      <c r="T944" s="41" t="s">
        <v>378</v>
      </c>
      <c r="U944" s="41">
        <v>2</v>
      </c>
      <c r="V944" s="41" t="s">
        <v>379</v>
      </c>
      <c r="W944" s="41" t="s">
        <v>399</v>
      </c>
      <c r="Y944" s="41" t="s">
        <v>381</v>
      </c>
      <c r="Z944" s="41" t="s">
        <v>382</v>
      </c>
      <c r="AA944" s="41" t="s">
        <v>308</v>
      </c>
      <c r="AC944" s="41" t="s">
        <v>329</v>
      </c>
      <c r="AD944" s="41" t="s">
        <v>310</v>
      </c>
      <c r="AE944" s="41" t="s">
        <v>311</v>
      </c>
      <c r="AF944" s="41" t="s">
        <v>383</v>
      </c>
      <c r="AG944" s="41" t="s">
        <v>313</v>
      </c>
      <c r="AH944" s="41" t="s">
        <v>384</v>
      </c>
      <c r="AK944" s="22">
        <v>3</v>
      </c>
      <c r="AL944" s="22">
        <v>0.38</v>
      </c>
      <c r="AM944" s="17">
        <v>57</v>
      </c>
      <c r="AN944" s="17">
        <v>2</v>
      </c>
    </row>
    <row r="945" spans="1:40" x14ac:dyDescent="0.35">
      <c r="A945" s="41" t="s">
        <v>287</v>
      </c>
      <c r="B945" s="41" t="str">
        <f t="shared" si="25"/>
        <v>MAC 50KTL3-X MV</v>
      </c>
      <c r="C945" s="41" t="s">
        <v>4228</v>
      </c>
      <c r="D945" s="41" t="s">
        <v>407</v>
      </c>
      <c r="E945" s="17" t="s">
        <v>408</v>
      </c>
      <c r="F945" s="41" t="s">
        <v>409</v>
      </c>
      <c r="G945" s="41" t="s">
        <v>423</v>
      </c>
      <c r="H945" s="41" t="s">
        <v>424</v>
      </c>
      <c r="I945" s="41" t="s">
        <v>411</v>
      </c>
      <c r="J945" s="41" t="s">
        <v>294</v>
      </c>
      <c r="K945" s="41" t="s">
        <v>295</v>
      </c>
      <c r="N945" s="41" t="s">
        <v>412</v>
      </c>
      <c r="O945" s="41" t="s">
        <v>413</v>
      </c>
      <c r="P945" s="41" t="s">
        <v>414</v>
      </c>
      <c r="Q945" s="41" t="s">
        <v>375</v>
      </c>
      <c r="R945" s="41" t="s">
        <v>425</v>
      </c>
      <c r="S945" s="41" t="s">
        <v>416</v>
      </c>
      <c r="T945" s="41" t="s">
        <v>417</v>
      </c>
      <c r="U945" s="41" t="s">
        <v>353</v>
      </c>
      <c r="V945" s="41" t="s">
        <v>418</v>
      </c>
      <c r="W945" s="41" t="s">
        <v>419</v>
      </c>
      <c r="Y945" s="41" t="s">
        <v>420</v>
      </c>
      <c r="Z945" s="41" t="s">
        <v>421</v>
      </c>
      <c r="AA945" s="41" t="s">
        <v>308</v>
      </c>
      <c r="AC945" s="41" t="s">
        <v>329</v>
      </c>
      <c r="AD945" s="41" t="s">
        <v>310</v>
      </c>
      <c r="AE945" s="41" t="s">
        <v>422</v>
      </c>
      <c r="AF945" s="41" t="s">
        <v>383</v>
      </c>
      <c r="AG945" s="41" t="s">
        <v>313</v>
      </c>
      <c r="AK945" s="22">
        <v>3</v>
      </c>
      <c r="AL945" s="22">
        <v>0.38</v>
      </c>
      <c r="AM945" s="17">
        <v>57</v>
      </c>
      <c r="AN945" s="17">
        <v>2</v>
      </c>
    </row>
    <row r="946" spans="1:40" x14ac:dyDescent="0.35">
      <c r="A946" s="41" t="s">
        <v>287</v>
      </c>
      <c r="B946" s="41" t="str">
        <f t="shared" si="25"/>
        <v>MAC 60KTL3-X MV</v>
      </c>
      <c r="C946" s="41" t="s">
        <v>4227</v>
      </c>
      <c r="D946" s="41" t="s">
        <v>426</v>
      </c>
      <c r="E946" s="17" t="s">
        <v>360</v>
      </c>
      <c r="F946" s="41" t="s">
        <v>427</v>
      </c>
      <c r="G946" s="41" t="s">
        <v>433</v>
      </c>
      <c r="H946" s="41" t="s">
        <v>424</v>
      </c>
      <c r="I946" s="41" t="s">
        <v>411</v>
      </c>
      <c r="J946" s="41" t="s">
        <v>294</v>
      </c>
      <c r="K946" s="41" t="s">
        <v>295</v>
      </c>
      <c r="N946" s="41" t="s">
        <v>429</v>
      </c>
      <c r="O946" s="41" t="s">
        <v>430</v>
      </c>
      <c r="P946" s="41" t="s">
        <v>414</v>
      </c>
      <c r="Q946" s="41" t="s">
        <v>375</v>
      </c>
      <c r="R946" s="41" t="s">
        <v>425</v>
      </c>
      <c r="S946" s="41" t="s">
        <v>416</v>
      </c>
      <c r="T946" s="41" t="s">
        <v>417</v>
      </c>
      <c r="U946" s="41" t="s">
        <v>353</v>
      </c>
      <c r="V946" s="41" t="s">
        <v>431</v>
      </c>
      <c r="W946" s="41" t="s">
        <v>434</v>
      </c>
      <c r="Y946" s="41" t="s">
        <v>420</v>
      </c>
      <c r="Z946" s="41" t="s">
        <v>421</v>
      </c>
      <c r="AA946" s="41" t="s">
        <v>308</v>
      </c>
      <c r="AC946" s="41" t="s">
        <v>329</v>
      </c>
      <c r="AD946" s="41" t="s">
        <v>310</v>
      </c>
      <c r="AE946" s="41" t="s">
        <v>422</v>
      </c>
      <c r="AF946" s="41" t="s">
        <v>383</v>
      </c>
      <c r="AG946" s="41" t="s">
        <v>313</v>
      </c>
      <c r="AK946" s="22">
        <v>3</v>
      </c>
      <c r="AL946" s="22">
        <v>0.38</v>
      </c>
      <c r="AM946" s="17">
        <v>57</v>
      </c>
      <c r="AN946" s="17">
        <v>2</v>
      </c>
    </row>
    <row r="947" spans="1:40" x14ac:dyDescent="0.35">
      <c r="A947" s="41" t="s">
        <v>287</v>
      </c>
      <c r="B947" s="41" t="str">
        <f t="shared" si="25"/>
        <v>MAC 70KTL3-X MV</v>
      </c>
      <c r="C947" s="41" t="s">
        <v>4226</v>
      </c>
      <c r="D947" s="41" t="s">
        <v>435</v>
      </c>
      <c r="E947" s="17" t="s">
        <v>436</v>
      </c>
      <c r="F947" s="41" t="s">
        <v>437</v>
      </c>
      <c r="G947" s="41" t="s">
        <v>438</v>
      </c>
      <c r="H947" s="41" t="s">
        <v>424</v>
      </c>
      <c r="I947" s="41" t="s">
        <v>411</v>
      </c>
      <c r="J947" s="41" t="s">
        <v>294</v>
      </c>
      <c r="K947" s="41" t="s">
        <v>295</v>
      </c>
      <c r="N947" s="41" t="s">
        <v>429</v>
      </c>
      <c r="O947" s="41" t="s">
        <v>430</v>
      </c>
      <c r="P947" s="41" t="s">
        <v>414</v>
      </c>
      <c r="Q947" s="41" t="s">
        <v>375</v>
      </c>
      <c r="R947" s="41" t="s">
        <v>425</v>
      </c>
      <c r="S947" s="41" t="s">
        <v>416</v>
      </c>
      <c r="T947" s="41" t="s">
        <v>417</v>
      </c>
      <c r="U947" s="41" t="s">
        <v>353</v>
      </c>
      <c r="V947" s="41" t="s">
        <v>431</v>
      </c>
      <c r="W947" s="41" t="s">
        <v>439</v>
      </c>
      <c r="Y947" s="41" t="s">
        <v>420</v>
      </c>
      <c r="Z947" s="41" t="s">
        <v>421</v>
      </c>
      <c r="AA947" s="41" t="s">
        <v>308</v>
      </c>
      <c r="AC947" s="41" t="s">
        <v>329</v>
      </c>
      <c r="AD947" s="41" t="s">
        <v>310</v>
      </c>
      <c r="AE947" s="41" t="s">
        <v>422</v>
      </c>
      <c r="AF947" s="41" t="s">
        <v>383</v>
      </c>
      <c r="AG947" s="41" t="s">
        <v>313</v>
      </c>
      <c r="AK947" s="22">
        <v>3</v>
      </c>
      <c r="AL947" s="22">
        <v>0.38</v>
      </c>
      <c r="AM947" s="17">
        <v>57</v>
      </c>
      <c r="AN947" s="17">
        <v>2</v>
      </c>
    </row>
    <row r="948" spans="1:40" x14ac:dyDescent="0.35">
      <c r="A948" s="41" t="s">
        <v>705</v>
      </c>
      <c r="B948" s="41" t="s">
        <v>4256</v>
      </c>
      <c r="C948" s="41" t="s">
        <v>4255</v>
      </c>
      <c r="D948" s="2" t="s">
        <v>3824</v>
      </c>
      <c r="E948" s="2">
        <v>10</v>
      </c>
      <c r="F948" s="2" t="s">
        <v>3825</v>
      </c>
      <c r="G948" s="2" t="s">
        <v>4257</v>
      </c>
      <c r="H948" s="2" t="s">
        <v>292</v>
      </c>
      <c r="I948" s="2" t="s">
        <v>293</v>
      </c>
      <c r="J948" s="2" t="s">
        <v>294</v>
      </c>
      <c r="K948" s="2" t="s">
        <v>295</v>
      </c>
      <c r="L948" s="2"/>
      <c r="M948" s="2" t="s">
        <v>4258</v>
      </c>
      <c r="N948" s="2" t="s">
        <v>4161</v>
      </c>
      <c r="O948" s="2" t="s">
        <v>4259</v>
      </c>
      <c r="P948" s="2" t="s">
        <v>4260</v>
      </c>
      <c r="Q948" s="2" t="s">
        <v>4261</v>
      </c>
      <c r="R948" s="2" t="s">
        <v>301</v>
      </c>
      <c r="S948" s="2" t="s">
        <v>302</v>
      </c>
      <c r="T948" s="2" t="s">
        <v>4262</v>
      </c>
      <c r="U948" s="2" t="s">
        <v>315</v>
      </c>
      <c r="V948" s="2" t="s">
        <v>304</v>
      </c>
      <c r="W948" s="2" t="s">
        <v>4263</v>
      </c>
      <c r="X948" s="2"/>
      <c r="Y948" s="2" t="s">
        <v>4264</v>
      </c>
      <c r="Z948" s="2" t="s">
        <v>4265</v>
      </c>
      <c r="AA948" s="2" t="s">
        <v>532</v>
      </c>
      <c r="AB948" s="2">
        <v>1</v>
      </c>
      <c r="AC948" s="2" t="s">
        <v>309</v>
      </c>
      <c r="AD948" s="2" t="s">
        <v>310</v>
      </c>
      <c r="AE948" s="2" t="s">
        <v>311</v>
      </c>
      <c r="AF948" s="2" t="s">
        <v>312</v>
      </c>
      <c r="AG948" s="2" t="s">
        <v>313</v>
      </c>
      <c r="AH948" s="2"/>
      <c r="AI948" s="2" t="s">
        <v>314</v>
      </c>
      <c r="AJ948" s="2"/>
      <c r="AK948" s="2">
        <v>1</v>
      </c>
      <c r="AL948" s="2">
        <v>0.22</v>
      </c>
      <c r="AM948" s="2">
        <v>57</v>
      </c>
      <c r="AN948" s="2">
        <v>2</v>
      </c>
    </row>
    <row r="949" spans="1:40" x14ac:dyDescent="0.35">
      <c r="A949" s="41" t="s">
        <v>705</v>
      </c>
      <c r="B949" s="41" t="str">
        <f t="shared" ref="B949" si="26">RIGHT(C949,LEN(C949)-(FIND(" - ", C949)+2))</f>
        <v>BS-6K220-G</v>
      </c>
      <c r="C949" s="41" t="s">
        <v>4285</v>
      </c>
      <c r="D949" s="41" t="s">
        <v>316</v>
      </c>
      <c r="E949" s="41" t="s">
        <v>317</v>
      </c>
      <c r="F949" s="41" t="s">
        <v>4286</v>
      </c>
      <c r="G949" s="41" t="s">
        <v>4287</v>
      </c>
      <c r="H949" s="2" t="s">
        <v>292</v>
      </c>
      <c r="I949" s="2" t="s">
        <v>293</v>
      </c>
      <c r="J949" s="2" t="s">
        <v>294</v>
      </c>
      <c r="K949" s="2" t="s">
        <v>295</v>
      </c>
      <c r="L949" s="2"/>
      <c r="M949" s="2" t="s">
        <v>4288</v>
      </c>
      <c r="N949" s="41" t="s">
        <v>4289</v>
      </c>
      <c r="O949" s="41" t="s">
        <v>4289</v>
      </c>
      <c r="P949" s="2" t="s">
        <v>4260</v>
      </c>
      <c r="Q949" s="2" t="s">
        <v>299</v>
      </c>
      <c r="R949" s="2" t="s">
        <v>301</v>
      </c>
      <c r="S949" s="2" t="s">
        <v>302</v>
      </c>
      <c r="T949" s="2" t="s">
        <v>4262</v>
      </c>
      <c r="U949" s="2" t="s">
        <v>315</v>
      </c>
      <c r="V949" s="2" t="s">
        <v>325</v>
      </c>
      <c r="W949" s="2" t="s">
        <v>4290</v>
      </c>
      <c r="X949" s="2"/>
      <c r="Y949" s="2" t="s">
        <v>4291</v>
      </c>
      <c r="Z949" s="2" t="s">
        <v>511</v>
      </c>
      <c r="AA949" s="2" t="s">
        <v>532</v>
      </c>
      <c r="AB949" s="2">
        <v>1</v>
      </c>
      <c r="AC949" s="2" t="s">
        <v>309</v>
      </c>
      <c r="AD949" s="2" t="s">
        <v>310</v>
      </c>
      <c r="AE949" s="2" t="s">
        <v>311</v>
      </c>
      <c r="AF949" s="2" t="s">
        <v>312</v>
      </c>
      <c r="AG949" s="2" t="s">
        <v>313</v>
      </c>
      <c r="AH949" s="2"/>
      <c r="AI949" s="2" t="s">
        <v>314</v>
      </c>
      <c r="AJ949" s="2"/>
      <c r="AK949" s="2">
        <v>1</v>
      </c>
      <c r="AL949" s="2">
        <v>0.22</v>
      </c>
      <c r="AM949" s="2">
        <v>57</v>
      </c>
      <c r="AN949" s="2">
        <v>2</v>
      </c>
    </row>
    <row r="950" spans="1:40" x14ac:dyDescent="0.35">
      <c r="E950" s="41"/>
      <c r="AK950" s="41"/>
      <c r="AL950" s="41"/>
      <c r="AM950" s="41"/>
      <c r="AN950" s="41"/>
    </row>
    <row r="951" spans="1:40" x14ac:dyDescent="0.35">
      <c r="E951" s="41"/>
      <c r="AK951" s="41"/>
      <c r="AL951" s="41"/>
      <c r="AM951" s="41"/>
      <c r="AN951" s="41"/>
    </row>
    <row r="952" spans="1:40" x14ac:dyDescent="0.35">
      <c r="E952" s="41"/>
      <c r="AK952" s="41"/>
      <c r="AL952" s="41"/>
      <c r="AM952" s="41"/>
      <c r="AN952" s="41"/>
    </row>
    <row r="953" spans="1:40" x14ac:dyDescent="0.35">
      <c r="E953" s="41"/>
      <c r="AK953" s="41"/>
      <c r="AL953" s="41"/>
      <c r="AM953" s="41"/>
      <c r="AN953" s="41"/>
    </row>
    <row r="954" spans="1:40" x14ac:dyDescent="0.35">
      <c r="C954" s="22"/>
    </row>
    <row r="955" spans="1:40" x14ac:dyDescent="0.35">
      <c r="C955" s="22"/>
    </row>
    <row r="956" spans="1:40" x14ac:dyDescent="0.35">
      <c r="C956" s="22"/>
    </row>
    <row r="957" spans="1:40" x14ac:dyDescent="0.35">
      <c r="C957" s="22"/>
    </row>
    <row r="958" spans="1:40" x14ac:dyDescent="0.35">
      <c r="C958" s="22"/>
    </row>
    <row r="959" spans="1:40" x14ac:dyDescent="0.35">
      <c r="C959" s="22"/>
    </row>
    <row r="960" spans="1:40" x14ac:dyDescent="0.35">
      <c r="C960" s="22"/>
    </row>
    <row r="961" spans="3:3" x14ac:dyDescent="0.35">
      <c r="C961" s="22"/>
    </row>
    <row r="962" spans="3:3" x14ac:dyDescent="0.35">
      <c r="C962" s="22"/>
    </row>
    <row r="963" spans="3:3" x14ac:dyDescent="0.35">
      <c r="C963" s="22"/>
    </row>
    <row r="964" spans="3:3" x14ac:dyDescent="0.35">
      <c r="C964" s="22"/>
    </row>
    <row r="965" spans="3:3" x14ac:dyDescent="0.35">
      <c r="C965" s="22"/>
    </row>
    <row r="966" spans="3:3" x14ac:dyDescent="0.35">
      <c r="C966" s="22"/>
    </row>
    <row r="967" spans="3:3" x14ac:dyDescent="0.35">
      <c r="C967" s="22"/>
    </row>
    <row r="968" spans="3:3" x14ac:dyDescent="0.35">
      <c r="C968" s="22"/>
    </row>
    <row r="969" spans="3:3" x14ac:dyDescent="0.35">
      <c r="C969" s="22"/>
    </row>
    <row r="970" spans="3:3" x14ac:dyDescent="0.35">
      <c r="C970" s="22"/>
    </row>
    <row r="971" spans="3:3" x14ac:dyDescent="0.35">
      <c r="C971" s="22"/>
    </row>
    <row r="972" spans="3:3" x14ac:dyDescent="0.35">
      <c r="C972" s="22"/>
    </row>
    <row r="973" spans="3:3" x14ac:dyDescent="0.35">
      <c r="C973" s="22"/>
    </row>
    <row r="974" spans="3:3" x14ac:dyDescent="0.35">
      <c r="C974" s="22"/>
    </row>
    <row r="975" spans="3:3" x14ac:dyDescent="0.35">
      <c r="C975" s="22"/>
    </row>
    <row r="976" spans="3:3" x14ac:dyDescent="0.35">
      <c r="C976" s="22"/>
    </row>
    <row r="977" spans="3:3" x14ac:dyDescent="0.35">
      <c r="C977" s="22"/>
    </row>
    <row r="978" spans="3:3" x14ac:dyDescent="0.35">
      <c r="C978" s="22"/>
    </row>
    <row r="979" spans="3:3" x14ac:dyDescent="0.35">
      <c r="C979" s="22"/>
    </row>
    <row r="980" spans="3:3" x14ac:dyDescent="0.35">
      <c r="C980" s="22"/>
    </row>
    <row r="981" spans="3:3" x14ac:dyDescent="0.35">
      <c r="C981" s="22"/>
    </row>
    <row r="982" spans="3:3" x14ac:dyDescent="0.35">
      <c r="C982" s="22"/>
    </row>
    <row r="983" spans="3:3" x14ac:dyDescent="0.35">
      <c r="C983" s="22"/>
    </row>
    <row r="984" spans="3:3" x14ac:dyDescent="0.35">
      <c r="C984" s="22"/>
    </row>
    <row r="985" spans="3:3" x14ac:dyDescent="0.35">
      <c r="C985" s="22"/>
    </row>
    <row r="986" spans="3:3" x14ac:dyDescent="0.35">
      <c r="C986" s="22"/>
    </row>
    <row r="987" spans="3:3" x14ac:dyDescent="0.35">
      <c r="C987" s="22"/>
    </row>
    <row r="988" spans="3:3" x14ac:dyDescent="0.35">
      <c r="C988" s="22"/>
    </row>
    <row r="989" spans="3:3" x14ac:dyDescent="0.35">
      <c r="C989" s="22"/>
    </row>
    <row r="990" spans="3:3" x14ac:dyDescent="0.35">
      <c r="C990" s="22"/>
    </row>
    <row r="991" spans="3:3" x14ac:dyDescent="0.35">
      <c r="C991" s="22"/>
    </row>
    <row r="992" spans="3:3" x14ac:dyDescent="0.35">
      <c r="C992" s="22"/>
    </row>
    <row r="993" spans="3:3" x14ac:dyDescent="0.35">
      <c r="C993" s="22"/>
    </row>
    <row r="994" spans="3:3" x14ac:dyDescent="0.35">
      <c r="C994" s="22"/>
    </row>
    <row r="995" spans="3:3" x14ac:dyDescent="0.35">
      <c r="C995" s="22"/>
    </row>
    <row r="996" spans="3:3" x14ac:dyDescent="0.35">
      <c r="C996" s="22"/>
    </row>
    <row r="997" spans="3:3" x14ac:dyDescent="0.35">
      <c r="C997" s="22"/>
    </row>
    <row r="998" spans="3:3" x14ac:dyDescent="0.35">
      <c r="C998" s="22"/>
    </row>
    <row r="999" spans="3:3" x14ac:dyDescent="0.35">
      <c r="C999" s="22"/>
    </row>
    <row r="1000" spans="3:3" x14ac:dyDescent="0.35">
      <c r="C1000" s="22"/>
    </row>
    <row r="1001" spans="3:3" x14ac:dyDescent="0.35">
      <c r="C1001" s="22"/>
    </row>
    <row r="1002" spans="3:3" x14ac:dyDescent="0.35">
      <c r="C1002" s="22"/>
    </row>
    <row r="1003" spans="3:3" x14ac:dyDescent="0.35">
      <c r="C1003" s="22"/>
    </row>
    <row r="1004" spans="3:3" x14ac:dyDescent="0.35">
      <c r="C1004" s="22"/>
    </row>
    <row r="1005" spans="3:3" x14ac:dyDescent="0.35">
      <c r="C1005" s="22"/>
    </row>
    <row r="1006" spans="3:3" x14ac:dyDescent="0.35">
      <c r="C1006" s="22"/>
    </row>
    <row r="1007" spans="3:3" x14ac:dyDescent="0.35">
      <c r="C1007" s="22"/>
    </row>
    <row r="1008" spans="3:3" x14ac:dyDescent="0.35">
      <c r="C1008" s="22"/>
    </row>
    <row r="1009" spans="3:3" x14ac:dyDescent="0.35">
      <c r="C1009" s="22"/>
    </row>
    <row r="1010" spans="3:3" x14ac:dyDescent="0.35">
      <c r="C1010" s="22"/>
    </row>
    <row r="1011" spans="3:3" x14ac:dyDescent="0.35">
      <c r="C1011" s="22"/>
    </row>
    <row r="1012" spans="3:3" x14ac:dyDescent="0.35">
      <c r="C1012" s="22"/>
    </row>
    <row r="1013" spans="3:3" x14ac:dyDescent="0.35">
      <c r="C1013" s="22"/>
    </row>
    <row r="1014" spans="3:3" x14ac:dyDescent="0.35">
      <c r="C1014" s="22"/>
    </row>
    <row r="1015" spans="3:3" x14ac:dyDescent="0.35">
      <c r="C1015" s="22"/>
    </row>
    <row r="1016" spans="3:3" x14ac:dyDescent="0.35">
      <c r="C1016" s="22"/>
    </row>
    <row r="1017" spans="3:3" x14ac:dyDescent="0.35">
      <c r="C1017" s="22"/>
    </row>
    <row r="1018" spans="3:3" x14ac:dyDescent="0.35">
      <c r="C1018" s="22"/>
    </row>
    <row r="1019" spans="3:3" x14ac:dyDescent="0.35">
      <c r="C1019" s="22"/>
    </row>
    <row r="1020" spans="3:3" x14ac:dyDescent="0.35">
      <c r="C1020" s="22"/>
    </row>
    <row r="1021" spans="3:3" x14ac:dyDescent="0.35">
      <c r="C1021" s="22"/>
    </row>
    <row r="1022" spans="3:3" x14ac:dyDescent="0.35">
      <c r="C1022" s="22"/>
    </row>
    <row r="1023" spans="3:3" x14ac:dyDescent="0.35">
      <c r="C1023" s="22"/>
    </row>
    <row r="1024" spans="3:3" x14ac:dyDescent="0.35">
      <c r="C1024" s="22"/>
    </row>
    <row r="1025" spans="3:3" x14ac:dyDescent="0.35">
      <c r="C1025" s="22"/>
    </row>
    <row r="1026" spans="3:3" x14ac:dyDescent="0.35">
      <c r="C1026" s="22"/>
    </row>
    <row r="1027" spans="3:3" x14ac:dyDescent="0.35">
      <c r="C1027" s="22"/>
    </row>
    <row r="1028" spans="3:3" x14ac:dyDescent="0.35">
      <c r="C1028" s="22"/>
    </row>
    <row r="1029" spans="3:3" x14ac:dyDescent="0.35">
      <c r="C1029" s="22"/>
    </row>
    <row r="1030" spans="3:3" x14ac:dyDescent="0.35">
      <c r="C1030" s="22"/>
    </row>
    <row r="1031" spans="3:3" x14ac:dyDescent="0.35">
      <c r="C1031" s="22"/>
    </row>
    <row r="1032" spans="3:3" x14ac:dyDescent="0.35">
      <c r="C1032" s="22"/>
    </row>
    <row r="1033" spans="3:3" x14ac:dyDescent="0.35">
      <c r="C1033" s="22"/>
    </row>
    <row r="1034" spans="3:3" x14ac:dyDescent="0.35">
      <c r="C1034" s="22"/>
    </row>
    <row r="1035" spans="3:3" x14ac:dyDescent="0.35">
      <c r="C1035" s="22"/>
    </row>
    <row r="1036" spans="3:3" x14ac:dyDescent="0.35">
      <c r="C1036" s="22"/>
    </row>
    <row r="1037" spans="3:3" x14ac:dyDescent="0.35">
      <c r="C1037" s="22"/>
    </row>
    <row r="1038" spans="3:3" x14ac:dyDescent="0.35">
      <c r="C1038" s="22"/>
    </row>
    <row r="1039" spans="3:3" x14ac:dyDescent="0.35">
      <c r="C1039" s="22"/>
    </row>
    <row r="1040" spans="3:3" x14ac:dyDescent="0.35">
      <c r="C1040" s="22"/>
    </row>
    <row r="1041" spans="3:3" x14ac:dyDescent="0.35">
      <c r="C1041" s="22"/>
    </row>
    <row r="1042" spans="3:3" x14ac:dyDescent="0.35">
      <c r="C1042" s="22"/>
    </row>
    <row r="1043" spans="3:3" x14ac:dyDescent="0.35">
      <c r="C1043" s="22"/>
    </row>
    <row r="1044" spans="3:3" x14ac:dyDescent="0.35">
      <c r="C1044" s="22"/>
    </row>
    <row r="1045" spans="3:3" x14ac:dyDescent="0.35">
      <c r="C1045" s="22"/>
    </row>
    <row r="1046" spans="3:3" x14ac:dyDescent="0.35">
      <c r="C1046" s="22"/>
    </row>
    <row r="1047" spans="3:3" x14ac:dyDescent="0.35">
      <c r="C1047" s="22"/>
    </row>
    <row r="1048" spans="3:3" x14ac:dyDescent="0.35">
      <c r="C1048" s="22"/>
    </row>
    <row r="1049" spans="3:3" x14ac:dyDescent="0.35">
      <c r="C1049" s="22"/>
    </row>
    <row r="1050" spans="3:3" x14ac:dyDescent="0.35">
      <c r="C1050" s="22"/>
    </row>
    <row r="1051" spans="3:3" x14ac:dyDescent="0.35">
      <c r="C1051" s="22"/>
    </row>
    <row r="1052" spans="3:3" x14ac:dyDescent="0.35">
      <c r="C1052" s="22"/>
    </row>
    <row r="1053" spans="3:3" x14ac:dyDescent="0.35">
      <c r="C1053" s="22"/>
    </row>
    <row r="1054" spans="3:3" x14ac:dyDescent="0.35">
      <c r="C1054" s="22"/>
    </row>
    <row r="1055" spans="3:3" x14ac:dyDescent="0.35">
      <c r="C1055" s="22"/>
    </row>
    <row r="1056" spans="3:3" x14ac:dyDescent="0.35">
      <c r="C1056" s="22"/>
    </row>
    <row r="1057" spans="3:3" x14ac:dyDescent="0.35">
      <c r="C1057" s="22"/>
    </row>
    <row r="1058" spans="3:3" x14ac:dyDescent="0.35">
      <c r="C1058" s="22"/>
    </row>
    <row r="1059" spans="3:3" x14ac:dyDescent="0.35">
      <c r="C1059" s="22"/>
    </row>
    <row r="1060" spans="3:3" x14ac:dyDescent="0.35">
      <c r="C1060" s="22"/>
    </row>
    <row r="1061" spans="3:3" x14ac:dyDescent="0.35">
      <c r="C1061" s="22"/>
    </row>
    <row r="1062" spans="3:3" x14ac:dyDescent="0.35">
      <c r="C1062" s="22"/>
    </row>
    <row r="1063" spans="3:3" x14ac:dyDescent="0.35">
      <c r="C1063" s="22"/>
    </row>
    <row r="1064" spans="3:3" x14ac:dyDescent="0.35">
      <c r="C1064" s="22"/>
    </row>
    <row r="1065" spans="3:3" x14ac:dyDescent="0.35">
      <c r="C1065" s="22"/>
    </row>
    <row r="1066" spans="3:3" x14ac:dyDescent="0.35">
      <c r="C1066" s="22"/>
    </row>
    <row r="1067" spans="3:3" x14ac:dyDescent="0.35">
      <c r="C1067" s="22"/>
    </row>
    <row r="1068" spans="3:3" x14ac:dyDescent="0.35">
      <c r="C1068" s="22"/>
    </row>
    <row r="1069" spans="3:3" x14ac:dyDescent="0.35">
      <c r="C1069" s="22"/>
    </row>
    <row r="1070" spans="3:3" x14ac:dyDescent="0.35">
      <c r="C1070" s="22"/>
    </row>
    <row r="1071" spans="3:3" x14ac:dyDescent="0.35">
      <c r="C1071" s="22"/>
    </row>
    <row r="1072" spans="3:3" x14ac:dyDescent="0.35">
      <c r="C1072" s="22"/>
    </row>
    <row r="1073" spans="3:3" x14ac:dyDescent="0.35">
      <c r="C1073" s="22"/>
    </row>
    <row r="1074" spans="3:3" x14ac:dyDescent="0.35">
      <c r="C1074" s="22"/>
    </row>
    <row r="1075" spans="3:3" x14ac:dyDescent="0.35">
      <c r="C1075" s="22"/>
    </row>
    <row r="1076" spans="3:3" x14ac:dyDescent="0.35">
      <c r="C1076" s="22"/>
    </row>
    <row r="1077" spans="3:3" x14ac:dyDescent="0.35">
      <c r="C1077" s="22"/>
    </row>
    <row r="1078" spans="3:3" x14ac:dyDescent="0.35">
      <c r="C1078" s="22"/>
    </row>
    <row r="1079" spans="3:3" x14ac:dyDescent="0.35">
      <c r="C1079" s="22"/>
    </row>
    <row r="1080" spans="3:3" x14ac:dyDescent="0.35">
      <c r="C1080" s="22"/>
    </row>
    <row r="1081" spans="3:3" x14ac:dyDescent="0.35">
      <c r="C1081" s="22"/>
    </row>
    <row r="1082" spans="3:3" x14ac:dyDescent="0.35">
      <c r="C1082" s="22"/>
    </row>
    <row r="1083" spans="3:3" x14ac:dyDescent="0.35">
      <c r="C1083" s="22"/>
    </row>
    <row r="1084" spans="3:3" x14ac:dyDescent="0.35">
      <c r="C1084" s="22"/>
    </row>
    <row r="1085" spans="3:3" x14ac:dyDescent="0.35">
      <c r="C1085" s="22"/>
    </row>
    <row r="1086" spans="3:3" x14ac:dyDescent="0.35">
      <c r="C1086" s="22"/>
    </row>
    <row r="1087" spans="3:3" x14ac:dyDescent="0.35">
      <c r="C1087" s="22"/>
    </row>
    <row r="1088" spans="3:3" x14ac:dyDescent="0.35">
      <c r="C1088" s="22"/>
    </row>
    <row r="1089" spans="3:3" x14ac:dyDescent="0.35">
      <c r="C1089" s="22"/>
    </row>
    <row r="1090" spans="3:3" x14ac:dyDescent="0.35">
      <c r="C1090" s="22"/>
    </row>
    <row r="1091" spans="3:3" x14ac:dyDescent="0.35">
      <c r="C1091" s="22"/>
    </row>
    <row r="1092" spans="3:3" x14ac:dyDescent="0.35">
      <c r="C1092" s="22"/>
    </row>
    <row r="1093" spans="3:3" x14ac:dyDescent="0.35">
      <c r="C1093" s="22"/>
    </row>
    <row r="1094" spans="3:3" x14ac:dyDescent="0.35">
      <c r="C1094" s="22"/>
    </row>
    <row r="1095" spans="3:3" x14ac:dyDescent="0.35">
      <c r="C1095" s="22"/>
    </row>
    <row r="1096" spans="3:3" x14ac:dyDescent="0.35">
      <c r="C1096" s="22"/>
    </row>
    <row r="1097" spans="3:3" x14ac:dyDescent="0.35">
      <c r="C1097" s="22"/>
    </row>
    <row r="1098" spans="3:3" x14ac:dyDescent="0.35">
      <c r="C1098" s="22"/>
    </row>
    <row r="1099" spans="3:3" x14ac:dyDescent="0.35">
      <c r="C1099" s="22"/>
    </row>
    <row r="1100" spans="3:3" x14ac:dyDescent="0.35">
      <c r="C1100" s="22"/>
    </row>
    <row r="1101" spans="3:3" x14ac:dyDescent="0.35">
      <c r="C1101" s="22"/>
    </row>
    <row r="1102" spans="3:3" x14ac:dyDescent="0.35">
      <c r="C1102" s="22"/>
    </row>
    <row r="1103" spans="3:3" x14ac:dyDescent="0.35">
      <c r="C1103" s="22"/>
    </row>
    <row r="1104" spans="3:3" x14ac:dyDescent="0.35">
      <c r="C1104" s="22"/>
    </row>
    <row r="1105" spans="3:3" x14ac:dyDescent="0.35">
      <c r="C1105" s="22"/>
    </row>
    <row r="1106" spans="3:3" x14ac:dyDescent="0.35">
      <c r="C1106" s="22"/>
    </row>
    <row r="1107" spans="3:3" x14ac:dyDescent="0.35">
      <c r="C1107" s="22"/>
    </row>
    <row r="1108" spans="3:3" x14ac:dyDescent="0.35">
      <c r="C1108" s="22"/>
    </row>
    <row r="1109" spans="3:3" x14ac:dyDescent="0.35">
      <c r="C1109" s="22"/>
    </row>
    <row r="1110" spans="3:3" x14ac:dyDescent="0.35">
      <c r="C1110" s="22"/>
    </row>
    <row r="1111" spans="3:3" x14ac:dyDescent="0.35">
      <c r="C1111" s="22"/>
    </row>
    <row r="1112" spans="3:3" x14ac:dyDescent="0.35">
      <c r="C1112" s="22"/>
    </row>
    <row r="1113" spans="3:3" x14ac:dyDescent="0.35">
      <c r="C1113" s="22"/>
    </row>
    <row r="1114" spans="3:3" x14ac:dyDescent="0.35">
      <c r="C1114" s="22"/>
    </row>
    <row r="1115" spans="3:3" x14ac:dyDescent="0.35">
      <c r="C1115" s="22"/>
    </row>
    <row r="1116" spans="3:3" x14ac:dyDescent="0.35">
      <c r="C1116" s="22"/>
    </row>
    <row r="1117" spans="3:3" x14ac:dyDescent="0.35">
      <c r="C1117" s="22"/>
    </row>
    <row r="1118" spans="3:3" x14ac:dyDescent="0.35">
      <c r="C1118" s="22"/>
    </row>
    <row r="1119" spans="3:3" x14ac:dyDescent="0.35">
      <c r="C1119" s="22"/>
    </row>
    <row r="1120" spans="3:3" x14ac:dyDescent="0.35">
      <c r="C1120" s="22"/>
    </row>
    <row r="1121" spans="3:3" x14ac:dyDescent="0.35">
      <c r="C1121" s="22"/>
    </row>
    <row r="1122" spans="3:3" x14ac:dyDescent="0.35">
      <c r="C1122" s="22"/>
    </row>
    <row r="1123" spans="3:3" x14ac:dyDescent="0.35">
      <c r="C1123" s="22"/>
    </row>
    <row r="1124" spans="3:3" x14ac:dyDescent="0.35">
      <c r="C1124" s="22"/>
    </row>
    <row r="1125" spans="3:3" x14ac:dyDescent="0.35">
      <c r="C1125" s="22"/>
    </row>
    <row r="1126" spans="3:3" x14ac:dyDescent="0.35">
      <c r="C1126" s="22"/>
    </row>
    <row r="1127" spans="3:3" x14ac:dyDescent="0.35">
      <c r="C1127" s="22"/>
    </row>
    <row r="1128" spans="3:3" x14ac:dyDescent="0.35">
      <c r="C1128" s="22"/>
    </row>
    <row r="1130" spans="3:3" x14ac:dyDescent="0.35">
      <c r="C1130" s="22"/>
    </row>
    <row r="1131" spans="3:3" x14ac:dyDescent="0.35">
      <c r="C1131" s="22"/>
    </row>
    <row r="1132" spans="3:3" x14ac:dyDescent="0.35">
      <c r="C1132" s="22"/>
    </row>
    <row r="1133" spans="3:3" x14ac:dyDescent="0.35">
      <c r="C1133" s="22"/>
    </row>
    <row r="1134" spans="3:3" x14ac:dyDescent="0.35">
      <c r="C1134" s="22"/>
    </row>
    <row r="1135" spans="3:3" x14ac:dyDescent="0.35">
      <c r="C1135" s="22"/>
    </row>
    <row r="1136" spans="3:3" x14ac:dyDescent="0.35">
      <c r="C1136" s="22"/>
    </row>
    <row r="1137" spans="3:3" x14ac:dyDescent="0.35">
      <c r="C1137" s="22"/>
    </row>
    <row r="1138" spans="3:3" x14ac:dyDescent="0.35">
      <c r="C1138" s="22"/>
    </row>
    <row r="1139" spans="3:3" x14ac:dyDescent="0.35">
      <c r="C1139" s="22"/>
    </row>
    <row r="1140" spans="3:3" x14ac:dyDescent="0.35">
      <c r="C1140" s="22"/>
    </row>
    <row r="1141" spans="3:3" x14ac:dyDescent="0.35">
      <c r="C1141" s="22"/>
    </row>
    <row r="1142" spans="3:3" x14ac:dyDescent="0.35">
      <c r="C1142" s="22"/>
    </row>
    <row r="1143" spans="3:3" x14ac:dyDescent="0.35">
      <c r="C1143" s="22"/>
    </row>
    <row r="1144" spans="3:3" x14ac:dyDescent="0.35">
      <c r="C1144" s="22"/>
    </row>
    <row r="1145" spans="3:3" x14ac:dyDescent="0.35">
      <c r="C1145" s="22"/>
    </row>
    <row r="1146" spans="3:3" x14ac:dyDescent="0.35">
      <c r="C1146" s="22"/>
    </row>
    <row r="1147" spans="3:3" x14ac:dyDescent="0.35">
      <c r="C1147" s="22"/>
    </row>
    <row r="1148" spans="3:3" x14ac:dyDescent="0.35">
      <c r="C1148" s="22"/>
    </row>
    <row r="1149" spans="3:3" x14ac:dyDescent="0.35">
      <c r="C1149" s="22"/>
    </row>
    <row r="1150" spans="3:3" x14ac:dyDescent="0.35">
      <c r="C1150" s="22"/>
    </row>
    <row r="1151" spans="3:3" x14ac:dyDescent="0.35">
      <c r="C1151" s="22"/>
    </row>
    <row r="1152" spans="3:3" x14ac:dyDescent="0.35">
      <c r="C1152" s="22"/>
    </row>
    <row r="1153" spans="3:3" x14ac:dyDescent="0.35">
      <c r="C1153" s="22"/>
    </row>
    <row r="1154" spans="3:3" x14ac:dyDescent="0.35">
      <c r="C1154" s="22"/>
    </row>
    <row r="1155" spans="3:3" x14ac:dyDescent="0.35">
      <c r="C1155" s="22"/>
    </row>
    <row r="1156" spans="3:3" x14ac:dyDescent="0.35">
      <c r="C1156" s="22"/>
    </row>
    <row r="1157" spans="3:3" x14ac:dyDescent="0.35">
      <c r="C1157" s="22"/>
    </row>
    <row r="1158" spans="3:3" x14ac:dyDescent="0.35">
      <c r="C1158" s="22"/>
    </row>
    <row r="1159" spans="3:3" x14ac:dyDescent="0.35">
      <c r="C1159" s="22"/>
    </row>
    <row r="1160" spans="3:3" x14ac:dyDescent="0.35">
      <c r="C1160" s="22"/>
    </row>
    <row r="1161" spans="3:3" x14ac:dyDescent="0.35">
      <c r="C1161" s="22"/>
    </row>
    <row r="1162" spans="3:3" x14ac:dyDescent="0.35">
      <c r="C1162" s="22"/>
    </row>
    <row r="1163" spans="3:3" x14ac:dyDescent="0.35">
      <c r="C1163" s="22"/>
    </row>
    <row r="1164" spans="3:3" x14ac:dyDescent="0.35">
      <c r="C1164" s="22"/>
    </row>
    <row r="1165" spans="3:3" x14ac:dyDescent="0.35">
      <c r="C1165" s="22"/>
    </row>
    <row r="1166" spans="3:3" x14ac:dyDescent="0.35">
      <c r="C1166" s="22"/>
    </row>
    <row r="1167" spans="3:3" x14ac:dyDescent="0.35">
      <c r="C1167" s="22"/>
    </row>
    <row r="1168" spans="3:3" x14ac:dyDescent="0.35">
      <c r="C1168" s="22"/>
    </row>
    <row r="1169" spans="3:3" x14ac:dyDescent="0.35">
      <c r="C1169" s="22"/>
    </row>
    <row r="1170" spans="3:3" x14ac:dyDescent="0.35">
      <c r="C1170" s="22"/>
    </row>
    <row r="1171" spans="3:3" x14ac:dyDescent="0.35">
      <c r="C1171" s="22"/>
    </row>
    <row r="1172" spans="3:3" x14ac:dyDescent="0.35">
      <c r="C1172" s="22"/>
    </row>
    <row r="1173" spans="3:3" x14ac:dyDescent="0.35">
      <c r="C1173" s="22"/>
    </row>
    <row r="1174" spans="3:3" x14ac:dyDescent="0.35">
      <c r="C1174" s="22"/>
    </row>
    <row r="1175" spans="3:3" x14ac:dyDescent="0.35">
      <c r="C1175" s="22"/>
    </row>
    <row r="1176" spans="3:3" x14ac:dyDescent="0.35">
      <c r="C1176" s="22"/>
    </row>
    <row r="1177" spans="3:3" x14ac:dyDescent="0.35">
      <c r="C1177" s="22"/>
    </row>
    <row r="1178" spans="3:3" x14ac:dyDescent="0.35">
      <c r="C1178" s="22"/>
    </row>
    <row r="1179" spans="3:3" x14ac:dyDescent="0.35">
      <c r="C1179" s="22"/>
    </row>
    <row r="1180" spans="3:3" x14ac:dyDescent="0.35">
      <c r="C1180" s="22"/>
    </row>
    <row r="1181" spans="3:3" x14ac:dyDescent="0.35">
      <c r="C1181" s="22"/>
    </row>
    <row r="1182" spans="3:3" x14ac:dyDescent="0.35">
      <c r="C1182" s="22"/>
    </row>
    <row r="1183" spans="3:3" x14ac:dyDescent="0.35">
      <c r="C1183" s="22"/>
    </row>
    <row r="1184" spans="3:3" x14ac:dyDescent="0.35">
      <c r="C1184" s="22"/>
    </row>
    <row r="1185" spans="3:3" x14ac:dyDescent="0.35">
      <c r="C1185" s="22"/>
    </row>
    <row r="1186" spans="3:3" x14ac:dyDescent="0.35">
      <c r="C1186" s="22"/>
    </row>
    <row r="1187" spans="3:3" x14ac:dyDescent="0.35">
      <c r="C1187" s="22"/>
    </row>
    <row r="1188" spans="3:3" x14ac:dyDescent="0.35">
      <c r="C1188" s="22"/>
    </row>
    <row r="1189" spans="3:3" x14ac:dyDescent="0.35">
      <c r="C1189" s="22"/>
    </row>
    <row r="1190" spans="3:3" x14ac:dyDescent="0.35">
      <c r="C1190" s="22"/>
    </row>
    <row r="1191" spans="3:3" x14ac:dyDescent="0.35">
      <c r="C1191" s="22"/>
    </row>
    <row r="1192" spans="3:3" x14ac:dyDescent="0.35">
      <c r="C1192" s="22"/>
    </row>
    <row r="1193" spans="3:3" x14ac:dyDescent="0.35">
      <c r="C1193" s="22"/>
    </row>
    <row r="1194" spans="3:3" x14ac:dyDescent="0.35">
      <c r="C1194" s="22"/>
    </row>
    <row r="1195" spans="3:3" x14ac:dyDescent="0.35">
      <c r="C1195" s="22"/>
    </row>
    <row r="1196" spans="3:3" x14ac:dyDescent="0.35">
      <c r="C1196" s="22"/>
    </row>
    <row r="1197" spans="3:3" x14ac:dyDescent="0.35">
      <c r="C1197" s="22"/>
    </row>
    <row r="1198" spans="3:3" x14ac:dyDescent="0.35">
      <c r="C1198" s="22"/>
    </row>
    <row r="1199" spans="3:3" x14ac:dyDescent="0.35">
      <c r="C1199" s="22"/>
    </row>
    <row r="1200" spans="3:3" x14ac:dyDescent="0.35">
      <c r="C1200" s="22"/>
    </row>
    <row r="1201" spans="3:3" x14ac:dyDescent="0.35">
      <c r="C1201" s="22"/>
    </row>
    <row r="1202" spans="3:3" x14ac:dyDescent="0.35">
      <c r="C1202" s="22"/>
    </row>
    <row r="1203" spans="3:3" x14ac:dyDescent="0.35">
      <c r="C1203" s="22"/>
    </row>
    <row r="1204" spans="3:3" x14ac:dyDescent="0.35">
      <c r="C1204" s="22"/>
    </row>
    <row r="1205" spans="3:3" x14ac:dyDescent="0.35">
      <c r="C1205" s="22"/>
    </row>
    <row r="1206" spans="3:3" x14ac:dyDescent="0.35">
      <c r="C1206" s="22"/>
    </row>
    <row r="1207" spans="3:3" x14ac:dyDescent="0.35">
      <c r="C1207" s="22"/>
    </row>
    <row r="1208" spans="3:3" x14ac:dyDescent="0.35">
      <c r="C1208" s="22"/>
    </row>
    <row r="1209" spans="3:3" x14ac:dyDescent="0.35">
      <c r="C1209" s="22"/>
    </row>
    <row r="1210" spans="3:3" x14ac:dyDescent="0.35">
      <c r="C1210" s="22"/>
    </row>
    <row r="1211" spans="3:3" x14ac:dyDescent="0.35">
      <c r="C1211" s="22"/>
    </row>
    <row r="1212" spans="3:3" x14ac:dyDescent="0.35">
      <c r="C1212" s="22"/>
    </row>
    <row r="1213" spans="3:3" x14ac:dyDescent="0.35">
      <c r="C1213" s="22"/>
    </row>
    <row r="1214" spans="3:3" x14ac:dyDescent="0.35">
      <c r="C1214" s="22"/>
    </row>
    <row r="1215" spans="3:3" x14ac:dyDescent="0.35">
      <c r="C1215" s="22"/>
    </row>
    <row r="1216" spans="3:3" x14ac:dyDescent="0.35">
      <c r="C1216" s="22"/>
    </row>
    <row r="1217" spans="3:3" x14ac:dyDescent="0.35">
      <c r="C1217" s="22"/>
    </row>
    <row r="1218" spans="3:3" x14ac:dyDescent="0.35">
      <c r="C1218" s="22"/>
    </row>
    <row r="1219" spans="3:3" x14ac:dyDescent="0.35">
      <c r="C1219" s="22"/>
    </row>
    <row r="1220" spans="3:3" x14ac:dyDescent="0.35">
      <c r="C1220" s="22"/>
    </row>
    <row r="1221" spans="3:3" x14ac:dyDescent="0.35">
      <c r="C1221" s="22"/>
    </row>
    <row r="1222" spans="3:3" x14ac:dyDescent="0.35">
      <c r="C1222" s="22"/>
    </row>
    <row r="1223" spans="3:3" x14ac:dyDescent="0.35">
      <c r="C1223" s="22"/>
    </row>
    <row r="1224" spans="3:3" x14ac:dyDescent="0.35">
      <c r="C1224" s="22"/>
    </row>
    <row r="1225" spans="3:3" x14ac:dyDescent="0.35">
      <c r="C1225" s="22"/>
    </row>
    <row r="1226" spans="3:3" x14ac:dyDescent="0.35">
      <c r="C1226" s="22"/>
    </row>
    <row r="1227" spans="3:3" x14ac:dyDescent="0.35">
      <c r="C1227" s="22"/>
    </row>
    <row r="1228" spans="3:3" x14ac:dyDescent="0.35">
      <c r="C1228" s="22"/>
    </row>
    <row r="1229" spans="3:3" x14ac:dyDescent="0.35">
      <c r="C1229" s="22"/>
    </row>
    <row r="1230" spans="3:3" x14ac:dyDescent="0.35">
      <c r="C1230" s="22"/>
    </row>
    <row r="1231" spans="3:3" x14ac:dyDescent="0.35">
      <c r="C1231" s="22"/>
    </row>
    <row r="1232" spans="3:3" x14ac:dyDescent="0.35">
      <c r="C1232" s="22"/>
    </row>
    <row r="1233" spans="3:3" x14ac:dyDescent="0.35">
      <c r="C1233" s="22"/>
    </row>
    <row r="1234" spans="3:3" x14ac:dyDescent="0.35">
      <c r="C1234" s="22"/>
    </row>
    <row r="1235" spans="3:3" x14ac:dyDescent="0.35">
      <c r="C1235" s="22"/>
    </row>
    <row r="1236" spans="3:3" x14ac:dyDescent="0.35">
      <c r="C1236" s="22"/>
    </row>
    <row r="1237" spans="3:3" x14ac:dyDescent="0.35">
      <c r="C1237" s="22"/>
    </row>
    <row r="1238" spans="3:3" x14ac:dyDescent="0.35">
      <c r="C1238" s="22"/>
    </row>
    <row r="1239" spans="3:3" x14ac:dyDescent="0.35">
      <c r="C1239" s="22"/>
    </row>
    <row r="1240" spans="3:3" x14ac:dyDescent="0.35">
      <c r="C1240" s="22"/>
    </row>
    <row r="1241" spans="3:3" x14ac:dyDescent="0.35">
      <c r="C1241" s="22"/>
    </row>
    <row r="1242" spans="3:3" x14ac:dyDescent="0.35">
      <c r="C1242" s="22"/>
    </row>
    <row r="1243" spans="3:3" x14ac:dyDescent="0.35">
      <c r="C1243" s="22"/>
    </row>
    <row r="1244" spans="3:3" x14ac:dyDescent="0.35">
      <c r="C1244" s="22"/>
    </row>
    <row r="1245" spans="3:3" x14ac:dyDescent="0.35">
      <c r="C1245" s="22"/>
    </row>
    <row r="1246" spans="3:3" x14ac:dyDescent="0.35">
      <c r="C1246" s="22"/>
    </row>
    <row r="1247" spans="3:3" x14ac:dyDescent="0.35">
      <c r="C1247" s="22"/>
    </row>
    <row r="1248" spans="3:3" x14ac:dyDescent="0.35">
      <c r="C1248" s="22"/>
    </row>
    <row r="1249" spans="3:3" x14ac:dyDescent="0.35">
      <c r="C1249" s="22"/>
    </row>
    <row r="1250" spans="3:3" x14ac:dyDescent="0.35">
      <c r="C1250" s="22"/>
    </row>
    <row r="1251" spans="3:3" x14ac:dyDescent="0.35">
      <c r="C1251" s="22"/>
    </row>
    <row r="1252" spans="3:3" x14ac:dyDescent="0.35">
      <c r="C1252" s="22"/>
    </row>
    <row r="1253" spans="3:3" x14ac:dyDescent="0.35">
      <c r="C1253" s="22"/>
    </row>
    <row r="1254" spans="3:3" x14ac:dyDescent="0.35">
      <c r="C1254" s="22"/>
    </row>
    <row r="1255" spans="3:3" x14ac:dyDescent="0.35">
      <c r="C1255" s="22"/>
    </row>
    <row r="1256" spans="3:3" x14ac:dyDescent="0.35">
      <c r="C1256" s="22"/>
    </row>
    <row r="1257" spans="3:3" x14ac:dyDescent="0.35">
      <c r="C1257" s="22"/>
    </row>
    <row r="1258" spans="3:3" x14ac:dyDescent="0.35">
      <c r="C1258" s="22"/>
    </row>
    <row r="1259" spans="3:3" x14ac:dyDescent="0.35">
      <c r="C1259" s="22"/>
    </row>
    <row r="1260" spans="3:3" x14ac:dyDescent="0.35">
      <c r="C1260" s="22"/>
    </row>
    <row r="1261" spans="3:3" x14ac:dyDescent="0.35">
      <c r="C1261" s="22"/>
    </row>
    <row r="1262" spans="3:3" x14ac:dyDescent="0.35">
      <c r="C1262" s="22"/>
    </row>
    <row r="1263" spans="3:3" x14ac:dyDescent="0.35">
      <c r="C1263" s="22"/>
    </row>
    <row r="1264" spans="3:3" x14ac:dyDescent="0.35">
      <c r="C1264" s="22"/>
    </row>
    <row r="1265" spans="3:3" x14ac:dyDescent="0.35">
      <c r="C1265" s="22"/>
    </row>
    <row r="1266" spans="3:3" x14ac:dyDescent="0.35">
      <c r="C1266" s="22"/>
    </row>
    <row r="1267" spans="3:3" x14ac:dyDescent="0.35">
      <c r="C1267" s="22"/>
    </row>
    <row r="1268" spans="3:3" x14ac:dyDescent="0.35">
      <c r="C1268" s="22"/>
    </row>
    <row r="1269" spans="3:3" x14ac:dyDescent="0.35">
      <c r="C1269" s="22"/>
    </row>
    <row r="1270" spans="3:3" x14ac:dyDescent="0.35">
      <c r="C1270" s="22"/>
    </row>
    <row r="1271" spans="3:3" x14ac:dyDescent="0.35">
      <c r="C1271" s="22"/>
    </row>
    <row r="1272" spans="3:3" x14ac:dyDescent="0.35">
      <c r="C1272" s="22"/>
    </row>
    <row r="1273" spans="3:3" x14ac:dyDescent="0.35">
      <c r="C1273" s="22"/>
    </row>
    <row r="1274" spans="3:3" x14ac:dyDescent="0.35">
      <c r="C1274" s="22"/>
    </row>
    <row r="1275" spans="3:3" x14ac:dyDescent="0.35">
      <c r="C1275" s="22"/>
    </row>
    <row r="1276" spans="3:3" x14ac:dyDescent="0.35">
      <c r="C1276" s="22"/>
    </row>
    <row r="1277" spans="3:3" x14ac:dyDescent="0.35">
      <c r="C1277" s="22"/>
    </row>
    <row r="1278" spans="3:3" x14ac:dyDescent="0.35">
      <c r="C1278" s="22"/>
    </row>
    <row r="1279" spans="3:3" x14ac:dyDescent="0.35">
      <c r="C1279" s="22"/>
    </row>
    <row r="1280" spans="3:3" x14ac:dyDescent="0.35">
      <c r="C1280" s="22"/>
    </row>
    <row r="1281" spans="3:3" x14ac:dyDescent="0.35">
      <c r="C1281" s="22"/>
    </row>
    <row r="1282" spans="3:3" x14ac:dyDescent="0.35">
      <c r="C1282" s="22"/>
    </row>
    <row r="1283" spans="3:3" x14ac:dyDescent="0.35">
      <c r="C1283" s="22"/>
    </row>
    <row r="1284" spans="3:3" x14ac:dyDescent="0.35">
      <c r="C1284" s="22"/>
    </row>
    <row r="1285" spans="3:3" x14ac:dyDescent="0.35">
      <c r="C1285" s="22"/>
    </row>
    <row r="1286" spans="3:3" x14ac:dyDescent="0.35">
      <c r="C1286" s="22"/>
    </row>
    <row r="1287" spans="3:3" x14ac:dyDescent="0.35">
      <c r="C1287" s="22"/>
    </row>
    <row r="1288" spans="3:3" x14ac:dyDescent="0.35">
      <c r="C1288" s="22"/>
    </row>
    <row r="1289" spans="3:3" x14ac:dyDescent="0.35">
      <c r="C1289" s="22"/>
    </row>
    <row r="1290" spans="3:3" x14ac:dyDescent="0.35">
      <c r="C1290" s="22"/>
    </row>
    <row r="1291" spans="3:3" x14ac:dyDescent="0.35">
      <c r="C1291" s="22"/>
    </row>
    <row r="1292" spans="3:3" x14ac:dyDescent="0.35">
      <c r="C1292" s="22"/>
    </row>
    <row r="1293" spans="3:3" x14ac:dyDescent="0.35">
      <c r="C1293" s="22"/>
    </row>
    <row r="1294" spans="3:3" x14ac:dyDescent="0.35">
      <c r="C1294" s="22"/>
    </row>
    <row r="1295" spans="3:3" x14ac:dyDescent="0.35">
      <c r="C1295" s="22"/>
    </row>
    <row r="1296" spans="3:3" x14ac:dyDescent="0.35">
      <c r="C1296" s="22"/>
    </row>
    <row r="1297" spans="3:3" x14ac:dyDescent="0.35">
      <c r="C1297" s="22"/>
    </row>
    <row r="1298" spans="3:3" x14ac:dyDescent="0.35">
      <c r="C1298" s="22"/>
    </row>
    <row r="1299" spans="3:3" x14ac:dyDescent="0.35">
      <c r="C1299" s="22"/>
    </row>
    <row r="1300" spans="3:3" x14ac:dyDescent="0.35">
      <c r="C1300" s="22"/>
    </row>
    <row r="1301" spans="3:3" x14ac:dyDescent="0.35">
      <c r="C1301" s="22"/>
    </row>
    <row r="1302" spans="3:3" x14ac:dyDescent="0.35">
      <c r="C1302" s="22"/>
    </row>
    <row r="1303" spans="3:3" x14ac:dyDescent="0.35">
      <c r="C1303" s="22"/>
    </row>
    <row r="1304" spans="3:3" x14ac:dyDescent="0.35">
      <c r="C1304" s="22"/>
    </row>
    <row r="1305" spans="3:3" x14ac:dyDescent="0.35">
      <c r="C1305" s="22"/>
    </row>
    <row r="1306" spans="3:3" x14ac:dyDescent="0.35">
      <c r="C1306" s="22"/>
    </row>
    <row r="1307" spans="3:3" x14ac:dyDescent="0.35">
      <c r="C1307" s="22"/>
    </row>
    <row r="1308" spans="3:3" x14ac:dyDescent="0.35">
      <c r="C1308" s="22"/>
    </row>
    <row r="1309" spans="3:3" x14ac:dyDescent="0.35">
      <c r="C1309" s="22"/>
    </row>
    <row r="1310" spans="3:3" x14ac:dyDescent="0.35">
      <c r="C1310" s="22"/>
    </row>
    <row r="1311" spans="3:3" x14ac:dyDescent="0.35">
      <c r="C1311" s="22"/>
    </row>
    <row r="1312" spans="3:3" x14ac:dyDescent="0.35">
      <c r="C1312" s="22"/>
    </row>
    <row r="1313" spans="3:3" x14ac:dyDescent="0.35">
      <c r="C1313" s="22"/>
    </row>
    <row r="1314" spans="3:3" x14ac:dyDescent="0.35">
      <c r="C1314" s="22"/>
    </row>
    <row r="1315" spans="3:3" x14ac:dyDescent="0.35">
      <c r="C1315" s="22"/>
    </row>
    <row r="1316" spans="3:3" x14ac:dyDescent="0.35">
      <c r="C1316" s="22"/>
    </row>
    <row r="1317" spans="3:3" x14ac:dyDescent="0.35">
      <c r="C1317" s="22"/>
    </row>
    <row r="1318" spans="3:3" x14ac:dyDescent="0.35">
      <c r="C1318" s="22"/>
    </row>
    <row r="1319" spans="3:3" x14ac:dyDescent="0.35">
      <c r="C1319" s="22"/>
    </row>
    <row r="1320" spans="3:3" x14ac:dyDescent="0.35">
      <c r="C1320" s="22"/>
    </row>
    <row r="1321" spans="3:3" x14ac:dyDescent="0.35">
      <c r="C1321" s="22"/>
    </row>
    <row r="1322" spans="3:3" x14ac:dyDescent="0.35">
      <c r="C1322" s="22"/>
    </row>
    <row r="1323" spans="3:3" x14ac:dyDescent="0.35">
      <c r="C1323" s="22"/>
    </row>
    <row r="1324" spans="3:3" x14ac:dyDescent="0.35">
      <c r="C1324" s="22"/>
    </row>
    <row r="1325" spans="3:3" x14ac:dyDescent="0.35">
      <c r="C1325" s="22"/>
    </row>
    <row r="1326" spans="3:3" x14ac:dyDescent="0.35">
      <c r="C1326" s="22"/>
    </row>
    <row r="1327" spans="3:3" x14ac:dyDescent="0.35">
      <c r="C1327" s="22"/>
    </row>
    <row r="1328" spans="3:3" x14ac:dyDescent="0.35">
      <c r="C1328" s="22"/>
    </row>
    <row r="1329" spans="3:3" x14ac:dyDescent="0.35">
      <c r="C1329" s="22"/>
    </row>
    <row r="1330" spans="3:3" x14ac:dyDescent="0.35">
      <c r="C1330" s="22"/>
    </row>
    <row r="1331" spans="3:3" x14ac:dyDescent="0.35">
      <c r="C1331" s="22"/>
    </row>
    <row r="1332" spans="3:3" x14ac:dyDescent="0.35">
      <c r="C1332" s="22"/>
    </row>
    <row r="1333" spans="3:3" x14ac:dyDescent="0.35">
      <c r="C1333" s="22"/>
    </row>
    <row r="1334" spans="3:3" x14ac:dyDescent="0.35">
      <c r="C1334" s="22"/>
    </row>
    <row r="1335" spans="3:3" x14ac:dyDescent="0.35">
      <c r="C1335" s="22"/>
    </row>
    <row r="1336" spans="3:3" x14ac:dyDescent="0.35">
      <c r="C1336" s="22"/>
    </row>
    <row r="1337" spans="3:3" x14ac:dyDescent="0.35">
      <c r="C1337" s="22"/>
    </row>
    <row r="1338" spans="3:3" x14ac:dyDescent="0.35">
      <c r="C1338" s="22"/>
    </row>
    <row r="1339" spans="3:3" x14ac:dyDescent="0.35">
      <c r="C1339" s="22"/>
    </row>
    <row r="1340" spans="3:3" x14ac:dyDescent="0.35">
      <c r="C1340" s="22"/>
    </row>
    <row r="1341" spans="3:3" x14ac:dyDescent="0.35">
      <c r="C1341" s="22"/>
    </row>
    <row r="1342" spans="3:3" x14ac:dyDescent="0.35">
      <c r="C1342" s="22"/>
    </row>
    <row r="1343" spans="3:3" x14ac:dyDescent="0.35">
      <c r="C1343" s="22"/>
    </row>
    <row r="1344" spans="3:3" x14ac:dyDescent="0.35">
      <c r="C1344" s="22"/>
    </row>
    <row r="1345" spans="3:3" x14ac:dyDescent="0.35">
      <c r="C1345" s="22"/>
    </row>
    <row r="1346" spans="3:3" x14ac:dyDescent="0.35">
      <c r="C1346" s="22"/>
    </row>
    <row r="1347" spans="3:3" x14ac:dyDescent="0.35">
      <c r="C1347" s="22"/>
    </row>
    <row r="1348" spans="3:3" x14ac:dyDescent="0.35">
      <c r="C1348" s="22"/>
    </row>
    <row r="1349" spans="3:3" x14ac:dyDescent="0.35">
      <c r="C1349" s="22"/>
    </row>
    <row r="1350" spans="3:3" x14ac:dyDescent="0.35">
      <c r="C1350" s="22"/>
    </row>
    <row r="1351" spans="3:3" x14ac:dyDescent="0.35">
      <c r="C1351" s="22"/>
    </row>
    <row r="1352" spans="3:3" x14ac:dyDescent="0.35">
      <c r="C1352" s="22"/>
    </row>
    <row r="1353" spans="3:3" x14ac:dyDescent="0.35">
      <c r="C1353" s="22"/>
    </row>
    <row r="1354" spans="3:3" x14ac:dyDescent="0.35">
      <c r="C1354" s="22"/>
    </row>
    <row r="1355" spans="3:3" x14ac:dyDescent="0.35">
      <c r="C1355" s="22"/>
    </row>
    <row r="1356" spans="3:3" x14ac:dyDescent="0.35">
      <c r="C1356" s="22"/>
    </row>
    <row r="1357" spans="3:3" x14ac:dyDescent="0.35">
      <c r="C1357" s="22"/>
    </row>
    <row r="1358" spans="3:3" x14ac:dyDescent="0.35">
      <c r="C1358" s="22"/>
    </row>
    <row r="1359" spans="3:3" x14ac:dyDescent="0.35">
      <c r="C1359" s="22"/>
    </row>
    <row r="1360" spans="3:3" x14ac:dyDescent="0.35">
      <c r="C1360" s="22"/>
    </row>
    <row r="1361" spans="3:3" x14ac:dyDescent="0.35">
      <c r="C1361" s="22"/>
    </row>
    <row r="1362" spans="3:3" x14ac:dyDescent="0.35">
      <c r="C1362" s="22"/>
    </row>
    <row r="1363" spans="3:3" x14ac:dyDescent="0.35">
      <c r="C1363" s="22"/>
    </row>
    <row r="1364" spans="3:3" x14ac:dyDescent="0.35">
      <c r="C1364" s="22"/>
    </row>
    <row r="1365" spans="3:3" x14ac:dyDescent="0.35">
      <c r="C1365" s="22"/>
    </row>
    <row r="1366" spans="3:3" x14ac:dyDescent="0.35">
      <c r="C1366" s="22"/>
    </row>
    <row r="1367" spans="3:3" x14ac:dyDescent="0.35">
      <c r="C1367" s="22"/>
    </row>
    <row r="1368" spans="3:3" x14ac:dyDescent="0.35">
      <c r="C1368" s="22"/>
    </row>
    <row r="1369" spans="3:3" x14ac:dyDescent="0.35">
      <c r="C1369" s="22"/>
    </row>
    <row r="1370" spans="3:3" x14ac:dyDescent="0.35">
      <c r="C1370" s="22"/>
    </row>
    <row r="1371" spans="3:3" x14ac:dyDescent="0.35">
      <c r="C1371" s="22"/>
    </row>
    <row r="1372" spans="3:3" x14ac:dyDescent="0.35">
      <c r="C1372" s="22"/>
    </row>
    <row r="1373" spans="3:3" x14ac:dyDescent="0.35">
      <c r="C1373" s="22"/>
    </row>
  </sheetData>
  <conditionalFormatting sqref="C2:C929 C942:C947">
    <cfRule type="duplicateValues" dxfId="3" priority="43"/>
  </conditionalFormatting>
  <conditionalFormatting sqref="C930">
    <cfRule type="duplicateValues" dxfId="2" priority="5"/>
  </conditionalFormatting>
  <conditionalFormatting sqref="C933">
    <cfRule type="duplicateValues" dxfId="1" priority="2"/>
  </conditionalFormatting>
  <conditionalFormatting sqref="C935 C1 C954:C1048576">
    <cfRule type="duplicateValues" dxfId="0" priority="1298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7291D-EEB5-42AC-BDEF-7A46CE97D5A5}">
  <sheetPr codeName="Planilha11"/>
  <dimension ref="A1:DF233"/>
  <sheetViews>
    <sheetView showGridLines="0" showRowColHeaders="0" topLeftCell="A128" zoomScale="70" zoomScaleNormal="70" workbookViewId="0">
      <selection activeCell="E135" sqref="E135"/>
    </sheetView>
  </sheetViews>
  <sheetFormatPr defaultRowHeight="14.5" x14ac:dyDescent="0.35"/>
  <cols>
    <col min="1" max="1" width="33.26953125" bestFit="1" customWidth="1"/>
    <col min="2" max="2" width="15.453125" bestFit="1" customWidth="1"/>
    <col min="3" max="3" width="23.7265625" bestFit="1" customWidth="1"/>
    <col min="4" max="4" width="15.7265625" bestFit="1" customWidth="1"/>
    <col min="5" max="5" width="28.1796875" bestFit="1" customWidth="1"/>
    <col min="6" max="6" width="28" bestFit="1" customWidth="1"/>
    <col min="7" max="7" width="28.54296875" bestFit="1" customWidth="1"/>
    <col min="8" max="8" width="24.81640625" bestFit="1" customWidth="1"/>
    <col min="9" max="9" width="12.81640625" bestFit="1" customWidth="1"/>
    <col min="10" max="10" width="26.26953125" bestFit="1" customWidth="1"/>
    <col min="11" max="11" width="13.7265625" bestFit="1" customWidth="1"/>
    <col min="12" max="12" width="19.81640625" bestFit="1" customWidth="1"/>
    <col min="13" max="13" width="20.7265625" bestFit="1" customWidth="1"/>
    <col min="14" max="14" width="14.1796875" bestFit="1" customWidth="1"/>
    <col min="15" max="15" width="22.7265625" bestFit="1" customWidth="1"/>
    <col min="16" max="16" width="33" bestFit="1" customWidth="1"/>
    <col min="17" max="17" width="10.54296875" bestFit="1" customWidth="1"/>
    <col min="18" max="18" width="18.1796875" bestFit="1" customWidth="1"/>
    <col min="19" max="19" width="26.1796875" bestFit="1" customWidth="1"/>
    <col min="20" max="20" width="20.81640625" bestFit="1" customWidth="1"/>
    <col min="21" max="21" width="18.81640625" bestFit="1" customWidth="1"/>
    <col min="22" max="22" width="17.26953125" bestFit="1" customWidth="1"/>
    <col min="23" max="23" width="29.7265625" bestFit="1" customWidth="1"/>
    <col min="24" max="24" width="14" bestFit="1" customWidth="1"/>
    <col min="25" max="25" width="45.81640625" bestFit="1" customWidth="1"/>
    <col min="26" max="26" width="27.1796875" bestFit="1" customWidth="1"/>
    <col min="27" max="27" width="23" bestFit="1" customWidth="1"/>
    <col min="28" max="28" width="15.26953125" bestFit="1" customWidth="1"/>
    <col min="29" max="29" width="27.54296875" bestFit="1" customWidth="1"/>
    <col min="30" max="30" width="20" bestFit="1" customWidth="1"/>
    <col min="31" max="31" width="16.81640625" bestFit="1" customWidth="1"/>
    <col min="32" max="32" width="15.1796875" bestFit="1" customWidth="1"/>
    <col min="33" max="33" width="12.1796875" bestFit="1" customWidth="1"/>
    <col min="34" max="34" width="15.7265625" bestFit="1" customWidth="1"/>
    <col min="35" max="35" width="15" bestFit="1" customWidth="1"/>
    <col min="36" max="36" width="19.54296875" bestFit="1" customWidth="1"/>
    <col min="37" max="37" width="12.54296875" bestFit="1" customWidth="1"/>
    <col min="38" max="38" width="14.453125" bestFit="1" customWidth="1"/>
    <col min="39" max="39" width="17.81640625" bestFit="1" customWidth="1"/>
    <col min="40" max="40" width="30.26953125" bestFit="1" customWidth="1"/>
    <col min="41" max="41" width="28" bestFit="1" customWidth="1"/>
    <col min="42" max="42" width="25.54296875" bestFit="1" customWidth="1"/>
    <col min="43" max="43" width="25.7265625" bestFit="1" customWidth="1"/>
    <col min="44" max="44" width="14.453125" bestFit="1" customWidth="1"/>
    <col min="45" max="45" width="31.54296875" bestFit="1" customWidth="1"/>
    <col min="46" max="46" width="37.54296875" bestFit="1" customWidth="1"/>
    <col min="47" max="47" width="22" bestFit="1" customWidth="1"/>
    <col min="48" max="48" width="14.7265625" bestFit="1" customWidth="1"/>
    <col min="49" max="49" width="24.7265625" bestFit="1" customWidth="1"/>
    <col min="50" max="50" width="14.453125" bestFit="1" customWidth="1"/>
    <col min="51" max="51" width="23.54296875" bestFit="1" customWidth="1"/>
    <col min="52" max="52" width="19.26953125" bestFit="1" customWidth="1"/>
    <col min="53" max="53" width="13.81640625" bestFit="1" customWidth="1"/>
    <col min="54" max="54" width="11.54296875" bestFit="1" customWidth="1"/>
    <col min="55" max="55" width="19.453125" bestFit="1" customWidth="1"/>
    <col min="56" max="56" width="44.81640625" bestFit="1" customWidth="1"/>
    <col min="57" max="57" width="17.54296875" bestFit="1" customWidth="1"/>
    <col min="59" max="59" width="31.54296875" bestFit="1" customWidth="1"/>
    <col min="60" max="60" width="33.453125" bestFit="1" customWidth="1"/>
  </cols>
  <sheetData>
    <row r="1" spans="1:60" x14ac:dyDescent="0.35">
      <c r="A1" t="s">
        <v>1962</v>
      </c>
      <c r="BG1" t="s">
        <v>1963</v>
      </c>
      <c r="BH1" t="s">
        <v>1964</v>
      </c>
    </row>
    <row r="2" spans="1:60" x14ac:dyDescent="0.35">
      <c r="A2" t="s">
        <v>1965</v>
      </c>
      <c r="B2" t="s">
        <v>680</v>
      </c>
      <c r="C2" t="s">
        <v>692</v>
      </c>
      <c r="D2" t="s">
        <v>705</v>
      </c>
      <c r="E2" t="s">
        <v>1966</v>
      </c>
      <c r="F2" t="s">
        <v>674</v>
      </c>
      <c r="G2" t="s">
        <v>704</v>
      </c>
      <c r="H2" t="s">
        <v>695</v>
      </c>
      <c r="I2" t="s">
        <v>701</v>
      </c>
      <c r="J2" t="s">
        <v>500</v>
      </c>
      <c r="K2" t="s">
        <v>700</v>
      </c>
      <c r="L2" t="s">
        <v>681</v>
      </c>
      <c r="M2" t="s">
        <v>691</v>
      </c>
      <c r="N2" t="s">
        <v>1967</v>
      </c>
      <c r="O2" t="s">
        <v>1968</v>
      </c>
      <c r="P2" t="s">
        <v>544</v>
      </c>
      <c r="Q2" t="s">
        <v>1969</v>
      </c>
      <c r="R2" t="s">
        <v>694</v>
      </c>
      <c r="S2" t="s">
        <v>287</v>
      </c>
      <c r="T2" t="s">
        <v>708</v>
      </c>
      <c r="U2" t="s">
        <v>1970</v>
      </c>
      <c r="V2" t="s">
        <v>690</v>
      </c>
      <c r="W2" t="s">
        <v>684</v>
      </c>
      <c r="X2" t="s">
        <v>1971</v>
      </c>
      <c r="Y2" t="s">
        <v>696</v>
      </c>
      <c r="Z2" t="s">
        <v>698</v>
      </c>
      <c r="AA2" t="s">
        <v>702</v>
      </c>
      <c r="AB2" t="s">
        <v>1972</v>
      </c>
      <c r="AC2" t="s">
        <v>706</v>
      </c>
      <c r="AD2" t="s">
        <v>675</v>
      </c>
      <c r="AE2" t="s">
        <v>1973</v>
      </c>
      <c r="AF2" t="s">
        <v>707</v>
      </c>
      <c r="AG2" t="s">
        <v>1974</v>
      </c>
      <c r="AH2" t="s">
        <v>687</v>
      </c>
      <c r="AI2" t="s">
        <v>688</v>
      </c>
      <c r="AJ2" t="s">
        <v>699</v>
      </c>
      <c r="AK2" t="s">
        <v>1975</v>
      </c>
      <c r="AL2" t="s">
        <v>683</v>
      </c>
      <c r="AM2" t="s">
        <v>685</v>
      </c>
      <c r="AN2" t="s">
        <v>678</v>
      </c>
      <c r="AO2" t="s">
        <v>703</v>
      </c>
      <c r="AP2" t="s">
        <v>476</v>
      </c>
      <c r="AQ2" t="s">
        <v>523</v>
      </c>
      <c r="AR2" t="s">
        <v>1976</v>
      </c>
      <c r="AS2" t="s">
        <v>693</v>
      </c>
      <c r="AT2" t="s">
        <v>676</v>
      </c>
      <c r="AU2" t="s">
        <v>686</v>
      </c>
      <c r="AV2" t="s">
        <v>689</v>
      </c>
      <c r="AW2" t="s">
        <v>682</v>
      </c>
      <c r="AX2" t="s">
        <v>1977</v>
      </c>
      <c r="AY2" t="s">
        <v>513</v>
      </c>
      <c r="AZ2" t="s">
        <v>679</v>
      </c>
      <c r="BA2" t="s">
        <v>1978</v>
      </c>
      <c r="BB2" t="s">
        <v>1979</v>
      </c>
      <c r="BC2" t="s">
        <v>697</v>
      </c>
      <c r="BD2" t="s">
        <v>677</v>
      </c>
      <c r="BE2" t="s">
        <v>1980</v>
      </c>
      <c r="BG2" t="s">
        <v>1965</v>
      </c>
      <c r="BH2" t="s">
        <v>1981</v>
      </c>
    </row>
    <row r="3" spans="1:60" x14ac:dyDescent="0.35">
      <c r="A3" t="s">
        <v>1984</v>
      </c>
      <c r="B3" t="s">
        <v>1985</v>
      </c>
      <c r="C3" t="s">
        <v>1986</v>
      </c>
      <c r="D3" t="s">
        <v>1987</v>
      </c>
      <c r="E3" t="s">
        <v>1988</v>
      </c>
      <c r="F3" t="s">
        <v>1989</v>
      </c>
      <c r="G3" t="s">
        <v>1990</v>
      </c>
      <c r="H3" t="s">
        <v>1991</v>
      </c>
      <c r="I3" t="s">
        <v>1992</v>
      </c>
      <c r="J3" t="s">
        <v>1993</v>
      </c>
      <c r="K3" t="s">
        <v>1994</v>
      </c>
      <c r="L3" t="s">
        <v>1995</v>
      </c>
      <c r="M3" t="s">
        <v>1996</v>
      </c>
      <c r="N3" t="s">
        <v>1997</v>
      </c>
      <c r="O3" t="s">
        <v>1998</v>
      </c>
      <c r="P3" t="s">
        <v>1999</v>
      </c>
      <c r="Q3" t="s">
        <v>2000</v>
      </c>
      <c r="R3" t="s">
        <v>2001</v>
      </c>
      <c r="S3" t="s">
        <v>2002</v>
      </c>
      <c r="T3" t="s">
        <v>2003</v>
      </c>
      <c r="U3" t="s">
        <v>2004</v>
      </c>
      <c r="V3" t="s">
        <v>2005</v>
      </c>
      <c r="W3" t="s">
        <v>2006</v>
      </c>
      <c r="X3" t="s">
        <v>2007</v>
      </c>
      <c r="Y3" t="s">
        <v>2008</v>
      </c>
      <c r="Z3" t="s">
        <v>2009</v>
      </c>
      <c r="AA3" t="s">
        <v>2010</v>
      </c>
      <c r="AB3" t="s">
        <v>2011</v>
      </c>
      <c r="AC3" t="s">
        <v>2012</v>
      </c>
      <c r="AD3" t="s">
        <v>2013</v>
      </c>
      <c r="AE3" t="s">
        <v>2014</v>
      </c>
      <c r="AF3" t="s">
        <v>2015</v>
      </c>
      <c r="AG3" t="s">
        <v>2016</v>
      </c>
      <c r="AH3" t="s">
        <v>2017</v>
      </c>
      <c r="AI3" t="s">
        <v>2018</v>
      </c>
      <c r="AJ3" t="s">
        <v>2019</v>
      </c>
      <c r="AK3" t="s">
        <v>2020</v>
      </c>
      <c r="AL3" t="s">
        <v>2021</v>
      </c>
      <c r="AM3" t="s">
        <v>2022</v>
      </c>
      <c r="AN3" t="s">
        <v>2023</v>
      </c>
      <c r="AO3" t="s">
        <v>2024</v>
      </c>
      <c r="AP3" t="s">
        <v>2025</v>
      </c>
      <c r="AQ3" t="s">
        <v>2026</v>
      </c>
      <c r="AR3" t="s">
        <v>2027</v>
      </c>
      <c r="AS3" t="s">
        <v>2028</v>
      </c>
      <c r="AT3" t="s">
        <v>2029</v>
      </c>
      <c r="AU3" t="s">
        <v>2030</v>
      </c>
      <c r="AV3" t="s">
        <v>2031</v>
      </c>
      <c r="AW3" t="s">
        <v>2032</v>
      </c>
      <c r="AX3" t="s">
        <v>2033</v>
      </c>
      <c r="AY3" t="s">
        <v>2034</v>
      </c>
      <c r="AZ3" t="s">
        <v>2035</v>
      </c>
      <c r="BA3" t="s">
        <v>2036</v>
      </c>
      <c r="BB3" t="s">
        <v>2037</v>
      </c>
      <c r="BC3" t="s">
        <v>2038</v>
      </c>
      <c r="BD3" t="s">
        <v>2039</v>
      </c>
      <c r="BE3" t="s">
        <v>2040</v>
      </c>
      <c r="BG3" t="s">
        <v>680</v>
      </c>
      <c r="BH3" t="s">
        <v>2041</v>
      </c>
    </row>
    <row r="4" spans="1:60" x14ac:dyDescent="0.35">
      <c r="A4" t="s">
        <v>2042</v>
      </c>
      <c r="B4" t="s">
        <v>2043</v>
      </c>
      <c r="C4" t="s">
        <v>2044</v>
      </c>
      <c r="D4" t="s">
        <v>2045</v>
      </c>
      <c r="E4" t="s">
        <v>2046</v>
      </c>
      <c r="F4" t="s">
        <v>2047</v>
      </c>
      <c r="G4" t="s">
        <v>2048</v>
      </c>
      <c r="H4" t="s">
        <v>2049</v>
      </c>
      <c r="J4" t="s">
        <v>2050</v>
      </c>
      <c r="K4" t="s">
        <v>2051</v>
      </c>
      <c r="L4" t="s">
        <v>2052</v>
      </c>
      <c r="M4" t="s">
        <v>2053</v>
      </c>
      <c r="N4" t="s">
        <v>2054</v>
      </c>
      <c r="O4" t="s">
        <v>2055</v>
      </c>
      <c r="P4" t="s">
        <v>2056</v>
      </c>
      <c r="Q4" t="s">
        <v>2057</v>
      </c>
      <c r="R4" t="s">
        <v>2058</v>
      </c>
      <c r="S4" t="s">
        <v>2059</v>
      </c>
      <c r="T4" t="s">
        <v>2060</v>
      </c>
      <c r="V4" t="s">
        <v>2061</v>
      </c>
      <c r="W4" t="s">
        <v>2062</v>
      </c>
      <c r="X4" t="s">
        <v>2063</v>
      </c>
      <c r="Y4" t="s">
        <v>2064</v>
      </c>
      <c r="Z4" t="s">
        <v>2065</v>
      </c>
      <c r="AA4" t="s">
        <v>2066</v>
      </c>
      <c r="AB4" t="s">
        <v>2067</v>
      </c>
      <c r="AC4" t="s">
        <v>2068</v>
      </c>
      <c r="AD4" t="s">
        <v>2069</v>
      </c>
      <c r="AE4" t="s">
        <v>2070</v>
      </c>
      <c r="AH4" t="s">
        <v>2071</v>
      </c>
      <c r="AI4" t="s">
        <v>2072</v>
      </c>
      <c r="AJ4" t="s">
        <v>2073</v>
      </c>
      <c r="AK4" t="s">
        <v>2074</v>
      </c>
      <c r="AL4" t="s">
        <v>2075</v>
      </c>
      <c r="AM4" t="s">
        <v>2076</v>
      </c>
      <c r="AN4" t="s">
        <v>2077</v>
      </c>
      <c r="AO4" t="s">
        <v>2078</v>
      </c>
      <c r="AP4" t="s">
        <v>2079</v>
      </c>
      <c r="AQ4" t="s">
        <v>2080</v>
      </c>
      <c r="AT4" t="s">
        <v>2081</v>
      </c>
      <c r="AU4" t="s">
        <v>2082</v>
      </c>
      <c r="AV4" t="s">
        <v>2083</v>
      </c>
      <c r="AW4" t="s">
        <v>2084</v>
      </c>
      <c r="AY4" t="s">
        <v>2085</v>
      </c>
      <c r="AZ4" t="s">
        <v>2086</v>
      </c>
      <c r="BD4" t="s">
        <v>2087</v>
      </c>
      <c r="BE4" t="s">
        <v>533</v>
      </c>
      <c r="BG4" t="s">
        <v>692</v>
      </c>
      <c r="BH4" t="s">
        <v>2088</v>
      </c>
    </row>
    <row r="5" spans="1:60" x14ac:dyDescent="0.35">
      <c r="A5" t="s">
        <v>2089</v>
      </c>
      <c r="B5" t="s">
        <v>2090</v>
      </c>
      <c r="C5" t="s">
        <v>2091</v>
      </c>
      <c r="D5" t="s">
        <v>2092</v>
      </c>
      <c r="E5" t="s">
        <v>2093</v>
      </c>
      <c r="F5" t="s">
        <v>2094</v>
      </c>
      <c r="G5" t="s">
        <v>2095</v>
      </c>
      <c r="H5" t="s">
        <v>2096</v>
      </c>
      <c r="J5" t="s">
        <v>2097</v>
      </c>
      <c r="K5" t="s">
        <v>2098</v>
      </c>
      <c r="L5" t="s">
        <v>2099</v>
      </c>
      <c r="M5" t="s">
        <v>2100</v>
      </c>
      <c r="N5" t="s">
        <v>2101</v>
      </c>
      <c r="O5" t="s">
        <v>2102</v>
      </c>
      <c r="P5" t="s">
        <v>2103</v>
      </c>
      <c r="R5" t="s">
        <v>2104</v>
      </c>
      <c r="S5" t="s">
        <v>2105</v>
      </c>
      <c r="T5" t="s">
        <v>2106</v>
      </c>
      <c r="V5" t="s">
        <v>2107</v>
      </c>
      <c r="W5" t="s">
        <v>2108</v>
      </c>
      <c r="X5" t="s">
        <v>2109</v>
      </c>
      <c r="Y5" t="s">
        <v>2110</v>
      </c>
      <c r="Z5" t="s">
        <v>2111</v>
      </c>
      <c r="AA5" t="s">
        <v>2112</v>
      </c>
      <c r="AB5" t="s">
        <v>2113</v>
      </c>
      <c r="AC5" t="s">
        <v>2114</v>
      </c>
      <c r="AD5" t="s">
        <v>2115</v>
      </c>
      <c r="AE5" t="s">
        <v>2116</v>
      </c>
      <c r="AF5" t="s">
        <v>533</v>
      </c>
      <c r="AI5" t="s">
        <v>2117</v>
      </c>
      <c r="AJ5" t="s">
        <v>2118</v>
      </c>
      <c r="AL5" t="s">
        <v>2119</v>
      </c>
      <c r="AM5" t="s">
        <v>2120</v>
      </c>
      <c r="AN5" t="s">
        <v>2121</v>
      </c>
      <c r="AO5" t="s">
        <v>2122</v>
      </c>
      <c r="AP5" t="s">
        <v>2123</v>
      </c>
      <c r="AQ5" t="s">
        <v>2124</v>
      </c>
      <c r="AT5" t="s">
        <v>2125</v>
      </c>
      <c r="AU5" t="s">
        <v>2126</v>
      </c>
      <c r="AV5" t="s">
        <v>2127</v>
      </c>
      <c r="AW5" t="s">
        <v>2128</v>
      </c>
      <c r="AY5" t="s">
        <v>2129</v>
      </c>
      <c r="AZ5" t="s">
        <v>2130</v>
      </c>
      <c r="BC5" t="s">
        <v>533</v>
      </c>
      <c r="BD5" t="s">
        <v>2131</v>
      </c>
      <c r="BE5" t="s">
        <v>533</v>
      </c>
      <c r="BG5" t="s">
        <v>705</v>
      </c>
      <c r="BH5" t="s">
        <v>2132</v>
      </c>
    </row>
    <row r="6" spans="1:60" x14ac:dyDescent="0.35">
      <c r="A6" t="s">
        <v>2133</v>
      </c>
      <c r="B6" t="s">
        <v>2134</v>
      </c>
      <c r="C6" t="s">
        <v>2135</v>
      </c>
      <c r="D6" t="s">
        <v>2136</v>
      </c>
      <c r="E6" t="s">
        <v>2137</v>
      </c>
      <c r="F6" t="s">
        <v>2138</v>
      </c>
      <c r="G6" t="s">
        <v>2139</v>
      </c>
      <c r="H6" t="s">
        <v>2140</v>
      </c>
      <c r="J6" t="s">
        <v>2141</v>
      </c>
      <c r="K6" t="s">
        <v>2142</v>
      </c>
      <c r="L6" t="s">
        <v>2143</v>
      </c>
      <c r="M6" t="s">
        <v>2144</v>
      </c>
      <c r="O6" t="s">
        <v>2145</v>
      </c>
      <c r="P6" t="s">
        <v>2146</v>
      </c>
      <c r="R6" t="s">
        <v>2147</v>
      </c>
      <c r="S6" t="s">
        <v>2148</v>
      </c>
      <c r="T6" t="s">
        <v>2149</v>
      </c>
      <c r="V6" t="s">
        <v>2150</v>
      </c>
      <c r="W6" t="s">
        <v>2151</v>
      </c>
      <c r="X6" t="s">
        <v>2152</v>
      </c>
      <c r="Y6" t="s">
        <v>2153</v>
      </c>
      <c r="Z6" t="s">
        <v>2154</v>
      </c>
      <c r="AA6" t="s">
        <v>2155</v>
      </c>
      <c r="AB6" t="s">
        <v>2156</v>
      </c>
      <c r="AC6" t="s">
        <v>2157</v>
      </c>
      <c r="AD6" t="s">
        <v>2158</v>
      </c>
      <c r="AE6" t="s">
        <v>2159</v>
      </c>
      <c r="AF6" t="s">
        <v>533</v>
      </c>
      <c r="AH6" t="s">
        <v>533</v>
      </c>
      <c r="AI6" t="s">
        <v>2160</v>
      </c>
      <c r="AL6" t="s">
        <v>2161</v>
      </c>
      <c r="AM6" t="s">
        <v>2162</v>
      </c>
      <c r="AN6" t="s">
        <v>2163</v>
      </c>
      <c r="AO6" t="s">
        <v>2164</v>
      </c>
      <c r="AP6" t="s">
        <v>2165</v>
      </c>
      <c r="AQ6" t="s">
        <v>2166</v>
      </c>
      <c r="AS6" t="s">
        <v>533</v>
      </c>
      <c r="AT6" t="s">
        <v>2167</v>
      </c>
      <c r="AU6" t="s">
        <v>2168</v>
      </c>
      <c r="AV6" t="s">
        <v>2169</v>
      </c>
      <c r="AW6" t="s">
        <v>2170</v>
      </c>
      <c r="AY6" t="s">
        <v>2171</v>
      </c>
      <c r="AZ6" t="s">
        <v>2172</v>
      </c>
      <c r="BC6" t="s">
        <v>533</v>
      </c>
      <c r="BD6" t="s">
        <v>2173</v>
      </c>
      <c r="BE6" t="s">
        <v>533</v>
      </c>
      <c r="BG6" t="s">
        <v>1966</v>
      </c>
      <c r="BH6" t="s">
        <v>2174</v>
      </c>
    </row>
    <row r="7" spans="1:60" x14ac:dyDescent="0.35">
      <c r="A7" t="s">
        <v>2175</v>
      </c>
      <c r="B7" t="s">
        <v>2176</v>
      </c>
      <c r="C7" t="s">
        <v>2177</v>
      </c>
      <c r="D7" t="s">
        <v>2178</v>
      </c>
      <c r="E7" t="s">
        <v>2179</v>
      </c>
      <c r="F7" t="s">
        <v>2180</v>
      </c>
      <c r="G7" t="s">
        <v>2181</v>
      </c>
      <c r="H7" t="s">
        <v>2182</v>
      </c>
      <c r="J7" t="s">
        <v>2183</v>
      </c>
      <c r="L7" t="s">
        <v>2184</v>
      </c>
      <c r="M7" t="s">
        <v>2185</v>
      </c>
      <c r="O7" t="s">
        <v>2186</v>
      </c>
      <c r="P7" t="s">
        <v>2187</v>
      </c>
      <c r="R7" t="s">
        <v>2188</v>
      </c>
      <c r="S7" t="s">
        <v>2189</v>
      </c>
      <c r="T7" t="s">
        <v>2190</v>
      </c>
      <c r="V7" t="s">
        <v>2191</v>
      </c>
      <c r="W7" t="s">
        <v>2192</v>
      </c>
      <c r="Y7" t="s">
        <v>2193</v>
      </c>
      <c r="Z7" t="s">
        <v>2194</v>
      </c>
      <c r="AA7" t="s">
        <v>2195</v>
      </c>
      <c r="AB7" t="s">
        <v>2196</v>
      </c>
      <c r="AC7" t="s">
        <v>2197</v>
      </c>
      <c r="AD7" t="s">
        <v>2198</v>
      </c>
      <c r="AE7" t="s">
        <v>2199</v>
      </c>
      <c r="AF7" t="s">
        <v>533</v>
      </c>
      <c r="AH7" t="s">
        <v>533</v>
      </c>
      <c r="AJ7" t="s">
        <v>533</v>
      </c>
      <c r="AL7" t="s">
        <v>2200</v>
      </c>
      <c r="AM7" t="s">
        <v>2201</v>
      </c>
      <c r="AN7" t="s">
        <v>2202</v>
      </c>
      <c r="AO7" t="s">
        <v>2203</v>
      </c>
      <c r="AP7" t="s">
        <v>2204</v>
      </c>
      <c r="AQ7" t="s">
        <v>2205</v>
      </c>
      <c r="AS7" t="s">
        <v>533</v>
      </c>
      <c r="AT7" t="s">
        <v>2206</v>
      </c>
      <c r="AU7" t="s">
        <v>2207</v>
      </c>
      <c r="AV7" t="s">
        <v>2208</v>
      </c>
      <c r="AW7" t="s">
        <v>2209</v>
      </c>
      <c r="AY7" t="s">
        <v>2210</v>
      </c>
      <c r="AZ7" t="s">
        <v>2211</v>
      </c>
      <c r="BC7" t="s">
        <v>533</v>
      </c>
      <c r="BD7" t="s">
        <v>2212</v>
      </c>
      <c r="BE7" t="s">
        <v>533</v>
      </c>
      <c r="BG7" t="s">
        <v>674</v>
      </c>
      <c r="BH7" t="s">
        <v>2213</v>
      </c>
    </row>
    <row r="8" spans="1:60" x14ac:dyDescent="0.35">
      <c r="A8" t="s">
        <v>2214</v>
      </c>
      <c r="B8" t="s">
        <v>2215</v>
      </c>
      <c r="D8" t="s">
        <v>2216</v>
      </c>
      <c r="E8" t="s">
        <v>2217</v>
      </c>
      <c r="F8" t="s">
        <v>2218</v>
      </c>
      <c r="G8" t="s">
        <v>2219</v>
      </c>
      <c r="H8" t="s">
        <v>2220</v>
      </c>
      <c r="J8" t="s">
        <v>2221</v>
      </c>
      <c r="K8" t="s">
        <v>533</v>
      </c>
      <c r="L8" t="s">
        <v>2222</v>
      </c>
      <c r="M8" t="s">
        <v>2223</v>
      </c>
      <c r="O8" t="s">
        <v>2224</v>
      </c>
      <c r="P8" t="s">
        <v>2225</v>
      </c>
      <c r="R8" t="s">
        <v>2226</v>
      </c>
      <c r="S8" t="s">
        <v>2227</v>
      </c>
      <c r="T8" t="s">
        <v>2228</v>
      </c>
      <c r="V8" t="s">
        <v>2229</v>
      </c>
      <c r="W8" t="s">
        <v>2230</v>
      </c>
      <c r="Y8" t="s">
        <v>2231</v>
      </c>
      <c r="Z8" t="s">
        <v>2232</v>
      </c>
      <c r="AA8" t="s">
        <v>533</v>
      </c>
      <c r="AD8" t="s">
        <v>2233</v>
      </c>
      <c r="AF8" t="s">
        <v>533</v>
      </c>
      <c r="AH8" t="s">
        <v>533</v>
      </c>
      <c r="AI8" t="s">
        <v>533</v>
      </c>
      <c r="AJ8" t="s">
        <v>533</v>
      </c>
      <c r="AL8" t="s">
        <v>2234</v>
      </c>
      <c r="AM8" t="s">
        <v>2235</v>
      </c>
      <c r="AN8" t="s">
        <v>2236</v>
      </c>
      <c r="AO8" t="s">
        <v>2237</v>
      </c>
      <c r="AP8" t="s">
        <v>2238</v>
      </c>
      <c r="AQ8" t="s">
        <v>2239</v>
      </c>
      <c r="AS8" t="s">
        <v>533</v>
      </c>
      <c r="AT8" t="s">
        <v>2240</v>
      </c>
      <c r="AU8" t="s">
        <v>2241</v>
      </c>
      <c r="AV8" t="s">
        <v>2242</v>
      </c>
      <c r="AW8" t="s">
        <v>2243</v>
      </c>
      <c r="AY8" t="s">
        <v>2244</v>
      </c>
      <c r="AZ8" t="s">
        <v>2245</v>
      </c>
      <c r="BC8" t="s">
        <v>533</v>
      </c>
      <c r="BD8" t="s">
        <v>2246</v>
      </c>
      <c r="BE8" t="s">
        <v>533</v>
      </c>
      <c r="BG8" t="s">
        <v>704</v>
      </c>
      <c r="BH8" t="s">
        <v>2247</v>
      </c>
    </row>
    <row r="9" spans="1:60" x14ac:dyDescent="0.35">
      <c r="A9" t="s">
        <v>2248</v>
      </c>
      <c r="B9" t="s">
        <v>2249</v>
      </c>
      <c r="D9" t="s">
        <v>2250</v>
      </c>
      <c r="E9" t="s">
        <v>2251</v>
      </c>
      <c r="F9" t="s">
        <v>2252</v>
      </c>
      <c r="G9" t="s">
        <v>2253</v>
      </c>
      <c r="J9" t="s">
        <v>2254</v>
      </c>
      <c r="K9" t="s">
        <v>533</v>
      </c>
      <c r="L9" t="s">
        <v>2255</v>
      </c>
      <c r="M9" t="s">
        <v>2256</v>
      </c>
      <c r="O9" t="s">
        <v>2257</v>
      </c>
      <c r="P9" t="s">
        <v>2258</v>
      </c>
      <c r="R9" t="s">
        <v>2259</v>
      </c>
      <c r="S9" t="s">
        <v>2260</v>
      </c>
      <c r="T9" t="s">
        <v>2261</v>
      </c>
      <c r="V9" t="s">
        <v>2262</v>
      </c>
      <c r="W9" t="s">
        <v>2263</v>
      </c>
      <c r="Y9" t="s">
        <v>2264</v>
      </c>
      <c r="Z9" t="s">
        <v>2265</v>
      </c>
      <c r="AA9" t="s">
        <v>533</v>
      </c>
      <c r="AD9" t="s">
        <v>2266</v>
      </c>
      <c r="AF9" t="s">
        <v>533</v>
      </c>
      <c r="AH9" t="s">
        <v>533</v>
      </c>
      <c r="AI9" t="s">
        <v>533</v>
      </c>
      <c r="AJ9" t="s">
        <v>533</v>
      </c>
      <c r="AL9" t="s">
        <v>2267</v>
      </c>
      <c r="AM9" t="s">
        <v>2268</v>
      </c>
      <c r="AN9" t="s">
        <v>2269</v>
      </c>
      <c r="AO9" t="s">
        <v>2270</v>
      </c>
      <c r="AP9" t="s">
        <v>2271</v>
      </c>
      <c r="AQ9" t="s">
        <v>2272</v>
      </c>
      <c r="AS9" t="s">
        <v>533</v>
      </c>
      <c r="AT9" t="s">
        <v>2273</v>
      </c>
      <c r="AU9" t="s">
        <v>2274</v>
      </c>
      <c r="AV9" t="s">
        <v>2275</v>
      </c>
      <c r="AW9" t="s">
        <v>2276</v>
      </c>
      <c r="AY9" t="s">
        <v>2277</v>
      </c>
      <c r="AZ9" t="s">
        <v>2278</v>
      </c>
      <c r="BC9" t="s">
        <v>533</v>
      </c>
      <c r="BD9" t="s">
        <v>2279</v>
      </c>
      <c r="BE9" t="s">
        <v>533</v>
      </c>
      <c r="BG9" t="s">
        <v>695</v>
      </c>
      <c r="BH9" t="s">
        <v>2280</v>
      </c>
    </row>
    <row r="10" spans="1:60" x14ac:dyDescent="0.35">
      <c r="A10" t="s">
        <v>2281</v>
      </c>
      <c r="B10" t="s">
        <v>2282</v>
      </c>
      <c r="C10" t="s">
        <v>533</v>
      </c>
      <c r="D10" t="s">
        <v>2283</v>
      </c>
      <c r="E10" t="s">
        <v>2284</v>
      </c>
      <c r="F10" t="s">
        <v>2285</v>
      </c>
      <c r="G10" t="s">
        <v>2286</v>
      </c>
      <c r="J10" t="s">
        <v>2287</v>
      </c>
      <c r="K10" t="s">
        <v>533</v>
      </c>
      <c r="L10" t="s">
        <v>2288</v>
      </c>
      <c r="M10" t="s">
        <v>2289</v>
      </c>
      <c r="P10" t="s">
        <v>2290</v>
      </c>
      <c r="R10" t="s">
        <v>2291</v>
      </c>
      <c r="S10" t="s">
        <v>2292</v>
      </c>
      <c r="V10" t="s">
        <v>2293</v>
      </c>
      <c r="W10" t="s">
        <v>2294</v>
      </c>
      <c r="Y10" t="s">
        <v>2295</v>
      </c>
      <c r="Z10" t="s">
        <v>2296</v>
      </c>
      <c r="AA10" t="s">
        <v>533</v>
      </c>
      <c r="AC10" t="s">
        <v>533</v>
      </c>
      <c r="AD10" t="s">
        <v>2297</v>
      </c>
      <c r="AF10" t="s">
        <v>533</v>
      </c>
      <c r="AH10" t="s">
        <v>533</v>
      </c>
      <c r="AI10" t="s">
        <v>533</v>
      </c>
      <c r="AJ10" t="s">
        <v>533</v>
      </c>
      <c r="AM10" t="s">
        <v>2298</v>
      </c>
      <c r="AN10" t="s">
        <v>2299</v>
      </c>
      <c r="AO10" t="s">
        <v>2300</v>
      </c>
      <c r="AP10" t="s">
        <v>2301</v>
      </c>
      <c r="AQ10" t="s">
        <v>2302</v>
      </c>
      <c r="AS10" t="s">
        <v>533</v>
      </c>
      <c r="AT10" t="s">
        <v>2303</v>
      </c>
      <c r="AU10" t="s">
        <v>2304</v>
      </c>
      <c r="AV10" t="s">
        <v>2305</v>
      </c>
      <c r="AW10" t="s">
        <v>2306</v>
      </c>
      <c r="AY10" t="s">
        <v>2307</v>
      </c>
      <c r="AZ10" t="s">
        <v>2308</v>
      </c>
      <c r="BC10" t="s">
        <v>533</v>
      </c>
      <c r="BD10" t="s">
        <v>2309</v>
      </c>
      <c r="BE10" t="s">
        <v>533</v>
      </c>
      <c r="BG10" t="s">
        <v>701</v>
      </c>
      <c r="BH10" t="s">
        <v>2310</v>
      </c>
    </row>
    <row r="11" spans="1:60" x14ac:dyDescent="0.35">
      <c r="A11" t="s">
        <v>2311</v>
      </c>
      <c r="B11" t="s">
        <v>2312</v>
      </c>
      <c r="C11" t="s">
        <v>533</v>
      </c>
      <c r="D11" t="s">
        <v>2313</v>
      </c>
      <c r="E11" t="s">
        <v>2314</v>
      </c>
      <c r="F11" t="s">
        <v>2315</v>
      </c>
      <c r="G11" t="s">
        <v>2316</v>
      </c>
      <c r="J11" t="s">
        <v>2317</v>
      </c>
      <c r="K11" t="s">
        <v>533</v>
      </c>
      <c r="L11" t="s">
        <v>2318</v>
      </c>
      <c r="M11" t="s">
        <v>2319</v>
      </c>
      <c r="P11" t="s">
        <v>2320</v>
      </c>
      <c r="R11" t="s">
        <v>2321</v>
      </c>
      <c r="S11" t="s">
        <v>2322</v>
      </c>
      <c r="T11" t="s">
        <v>533</v>
      </c>
      <c r="V11" t="s">
        <v>533</v>
      </c>
      <c r="W11" t="s">
        <v>2323</v>
      </c>
      <c r="Y11" t="s">
        <v>2324</v>
      </c>
      <c r="Z11" t="s">
        <v>2325</v>
      </c>
      <c r="AA11" t="s">
        <v>533</v>
      </c>
      <c r="AC11" t="s">
        <v>533</v>
      </c>
      <c r="AD11" t="s">
        <v>2326</v>
      </c>
      <c r="AF11" t="s">
        <v>533</v>
      </c>
      <c r="AH11" t="s">
        <v>533</v>
      </c>
      <c r="AI11" t="s">
        <v>533</v>
      </c>
      <c r="AJ11" t="s">
        <v>533</v>
      </c>
      <c r="AL11" t="s">
        <v>533</v>
      </c>
      <c r="AM11" t="s">
        <v>2327</v>
      </c>
      <c r="AN11" t="s">
        <v>2328</v>
      </c>
      <c r="AO11" t="s">
        <v>2329</v>
      </c>
      <c r="AP11" t="s">
        <v>2330</v>
      </c>
      <c r="AQ11" t="s">
        <v>2331</v>
      </c>
      <c r="AS11" t="s">
        <v>533</v>
      </c>
      <c r="AT11" t="s">
        <v>2332</v>
      </c>
      <c r="AU11" t="s">
        <v>2333</v>
      </c>
      <c r="AW11" t="s">
        <v>2334</v>
      </c>
      <c r="AY11" t="s">
        <v>2335</v>
      </c>
      <c r="AZ11" t="s">
        <v>2336</v>
      </c>
      <c r="BC11" t="s">
        <v>533</v>
      </c>
      <c r="BD11" t="s">
        <v>2337</v>
      </c>
      <c r="BE11" t="s">
        <v>533</v>
      </c>
      <c r="BG11" t="s">
        <v>500</v>
      </c>
      <c r="BH11" t="s">
        <v>2338</v>
      </c>
    </row>
    <row r="12" spans="1:60" x14ac:dyDescent="0.35">
      <c r="A12" t="s">
        <v>2339</v>
      </c>
      <c r="B12" t="s">
        <v>2340</v>
      </c>
      <c r="C12" t="s">
        <v>533</v>
      </c>
      <c r="D12" t="s">
        <v>2341</v>
      </c>
      <c r="E12" t="s">
        <v>2342</v>
      </c>
      <c r="F12" t="s">
        <v>2343</v>
      </c>
      <c r="G12" t="s">
        <v>2344</v>
      </c>
      <c r="I12" t="s">
        <v>533</v>
      </c>
      <c r="J12" t="s">
        <v>2345</v>
      </c>
      <c r="K12" t="s">
        <v>533</v>
      </c>
      <c r="L12" t="s">
        <v>2346</v>
      </c>
      <c r="M12" t="s">
        <v>2347</v>
      </c>
      <c r="P12" t="s">
        <v>2348</v>
      </c>
      <c r="R12" t="s">
        <v>2349</v>
      </c>
      <c r="S12" t="s">
        <v>2350</v>
      </c>
      <c r="T12" t="s">
        <v>533</v>
      </c>
      <c r="V12" t="s">
        <v>533</v>
      </c>
      <c r="W12" t="s">
        <v>2351</v>
      </c>
      <c r="Y12" t="s">
        <v>533</v>
      </c>
      <c r="Z12" t="s">
        <v>2352</v>
      </c>
      <c r="AA12" t="s">
        <v>533</v>
      </c>
      <c r="AC12" t="s">
        <v>533</v>
      </c>
      <c r="AD12" t="s">
        <v>2353</v>
      </c>
      <c r="AF12" t="s">
        <v>533</v>
      </c>
      <c r="AH12" t="s">
        <v>533</v>
      </c>
      <c r="AI12" t="s">
        <v>533</v>
      </c>
      <c r="AJ12" t="s">
        <v>533</v>
      </c>
      <c r="AL12" t="s">
        <v>533</v>
      </c>
      <c r="AM12" t="s">
        <v>2354</v>
      </c>
      <c r="AN12" t="s">
        <v>2355</v>
      </c>
      <c r="AO12" t="s">
        <v>2356</v>
      </c>
      <c r="AP12" t="s">
        <v>2357</v>
      </c>
      <c r="AQ12" t="s">
        <v>2358</v>
      </c>
      <c r="AS12" t="s">
        <v>533</v>
      </c>
      <c r="AT12" t="s">
        <v>2359</v>
      </c>
      <c r="AU12" t="s">
        <v>2360</v>
      </c>
      <c r="AV12" t="s">
        <v>533</v>
      </c>
      <c r="AW12" t="s">
        <v>2361</v>
      </c>
      <c r="AY12" t="s">
        <v>2362</v>
      </c>
      <c r="AZ12" t="s">
        <v>2363</v>
      </c>
      <c r="BC12" t="s">
        <v>533</v>
      </c>
      <c r="BD12" t="s">
        <v>2364</v>
      </c>
      <c r="BE12" t="s">
        <v>533</v>
      </c>
      <c r="BG12" t="s">
        <v>700</v>
      </c>
      <c r="BH12" t="s">
        <v>2365</v>
      </c>
    </row>
    <row r="13" spans="1:60" x14ac:dyDescent="0.35">
      <c r="A13" t="s">
        <v>2366</v>
      </c>
      <c r="B13" t="s">
        <v>2367</v>
      </c>
      <c r="C13" t="s">
        <v>533</v>
      </c>
      <c r="E13" t="s">
        <v>2368</v>
      </c>
      <c r="F13" t="s">
        <v>2369</v>
      </c>
      <c r="G13" t="s">
        <v>2370</v>
      </c>
      <c r="I13" t="s">
        <v>533</v>
      </c>
      <c r="J13" t="s">
        <v>2371</v>
      </c>
      <c r="K13" t="s">
        <v>533</v>
      </c>
      <c r="L13" t="s">
        <v>2372</v>
      </c>
      <c r="M13" t="s">
        <v>2373</v>
      </c>
      <c r="P13" t="s">
        <v>2374</v>
      </c>
      <c r="R13" t="s">
        <v>2375</v>
      </c>
      <c r="S13" t="s">
        <v>2376</v>
      </c>
      <c r="T13" t="s">
        <v>533</v>
      </c>
      <c r="V13" t="s">
        <v>533</v>
      </c>
      <c r="W13" t="s">
        <v>2377</v>
      </c>
      <c r="Y13" t="s">
        <v>533</v>
      </c>
      <c r="Z13" t="s">
        <v>2378</v>
      </c>
      <c r="AA13" t="s">
        <v>533</v>
      </c>
      <c r="AC13" t="s">
        <v>533</v>
      </c>
      <c r="AF13" t="s">
        <v>533</v>
      </c>
      <c r="AH13" t="s">
        <v>533</v>
      </c>
      <c r="AI13" t="s">
        <v>533</v>
      </c>
      <c r="AJ13" t="s">
        <v>533</v>
      </c>
      <c r="AL13" t="s">
        <v>533</v>
      </c>
      <c r="AM13" t="s">
        <v>2379</v>
      </c>
      <c r="AN13" t="s">
        <v>2380</v>
      </c>
      <c r="AO13" t="s">
        <v>2381</v>
      </c>
      <c r="AP13" t="s">
        <v>2382</v>
      </c>
      <c r="AQ13" t="s">
        <v>2383</v>
      </c>
      <c r="AS13" t="s">
        <v>533</v>
      </c>
      <c r="AT13" t="s">
        <v>2384</v>
      </c>
      <c r="AU13" t="s">
        <v>2385</v>
      </c>
      <c r="AV13" t="s">
        <v>533</v>
      </c>
      <c r="AW13" t="s">
        <v>2386</v>
      </c>
      <c r="AY13" t="s">
        <v>2387</v>
      </c>
      <c r="AZ13" t="s">
        <v>2388</v>
      </c>
      <c r="BC13" t="s">
        <v>533</v>
      </c>
      <c r="BD13" t="s">
        <v>2389</v>
      </c>
      <c r="BE13" t="s">
        <v>533</v>
      </c>
      <c r="BG13" t="s">
        <v>681</v>
      </c>
      <c r="BH13" t="s">
        <v>2390</v>
      </c>
    </row>
    <row r="14" spans="1:60" x14ac:dyDescent="0.35">
      <c r="A14" t="s">
        <v>2391</v>
      </c>
      <c r="B14" t="s">
        <v>2392</v>
      </c>
      <c r="C14" t="s">
        <v>533</v>
      </c>
      <c r="E14" t="s">
        <v>2393</v>
      </c>
      <c r="F14" t="s">
        <v>2394</v>
      </c>
      <c r="G14" t="s">
        <v>2395</v>
      </c>
      <c r="I14" t="s">
        <v>533</v>
      </c>
      <c r="J14" t="s">
        <v>2396</v>
      </c>
      <c r="K14" t="s">
        <v>533</v>
      </c>
      <c r="L14" t="s">
        <v>2397</v>
      </c>
      <c r="M14" t="s">
        <v>2398</v>
      </c>
      <c r="P14" t="s">
        <v>2399</v>
      </c>
      <c r="R14" t="s">
        <v>2400</v>
      </c>
      <c r="S14" t="s">
        <v>2401</v>
      </c>
      <c r="T14" t="s">
        <v>533</v>
      </c>
      <c r="V14" t="s">
        <v>533</v>
      </c>
      <c r="W14" t="s">
        <v>2402</v>
      </c>
      <c r="Y14" t="s">
        <v>533</v>
      </c>
      <c r="Z14" t="s">
        <v>2403</v>
      </c>
      <c r="AA14" t="s">
        <v>533</v>
      </c>
      <c r="AC14" t="s">
        <v>533</v>
      </c>
      <c r="AD14" t="s">
        <v>533</v>
      </c>
      <c r="AF14" t="s">
        <v>533</v>
      </c>
      <c r="AH14" t="s">
        <v>533</v>
      </c>
      <c r="AI14" t="s">
        <v>533</v>
      </c>
      <c r="AJ14" t="s">
        <v>533</v>
      </c>
      <c r="AL14" t="s">
        <v>533</v>
      </c>
      <c r="AM14" t="s">
        <v>2404</v>
      </c>
      <c r="AN14" t="s">
        <v>2405</v>
      </c>
      <c r="AO14" t="s">
        <v>2406</v>
      </c>
      <c r="AP14" t="s">
        <v>2407</v>
      </c>
      <c r="AQ14" t="s">
        <v>2408</v>
      </c>
      <c r="AS14" t="s">
        <v>533</v>
      </c>
      <c r="AT14" t="s">
        <v>2409</v>
      </c>
      <c r="AU14" t="s">
        <v>2410</v>
      </c>
      <c r="AV14" t="s">
        <v>533</v>
      </c>
      <c r="AW14" t="s">
        <v>2411</v>
      </c>
      <c r="AY14" t="s">
        <v>2412</v>
      </c>
      <c r="AZ14" t="s">
        <v>2413</v>
      </c>
      <c r="BC14" t="s">
        <v>533</v>
      </c>
      <c r="BD14" t="s">
        <v>2414</v>
      </c>
      <c r="BE14" t="s">
        <v>533</v>
      </c>
      <c r="BG14" t="s">
        <v>691</v>
      </c>
      <c r="BH14" t="s">
        <v>2415</v>
      </c>
    </row>
    <row r="15" spans="1:60" x14ac:dyDescent="0.35">
      <c r="A15" t="s">
        <v>2416</v>
      </c>
      <c r="C15" t="s">
        <v>533</v>
      </c>
      <c r="E15" t="s">
        <v>2417</v>
      </c>
      <c r="F15" t="s">
        <v>2418</v>
      </c>
      <c r="G15" t="s">
        <v>2419</v>
      </c>
      <c r="I15" t="s">
        <v>533</v>
      </c>
      <c r="J15" t="s">
        <v>2420</v>
      </c>
      <c r="K15" t="s">
        <v>533</v>
      </c>
      <c r="L15" t="s">
        <v>2421</v>
      </c>
      <c r="M15" t="s">
        <v>2422</v>
      </c>
      <c r="P15" t="s">
        <v>2423</v>
      </c>
      <c r="R15" t="s">
        <v>2424</v>
      </c>
      <c r="S15" t="s">
        <v>2425</v>
      </c>
      <c r="T15" t="s">
        <v>533</v>
      </c>
      <c r="V15" t="s">
        <v>533</v>
      </c>
      <c r="W15" t="s">
        <v>2426</v>
      </c>
      <c r="Y15" t="s">
        <v>533</v>
      </c>
      <c r="Z15" t="s">
        <v>2427</v>
      </c>
      <c r="AA15" t="s">
        <v>533</v>
      </c>
      <c r="AC15" t="s">
        <v>533</v>
      </c>
      <c r="AD15" t="s">
        <v>533</v>
      </c>
      <c r="AF15" t="s">
        <v>533</v>
      </c>
      <c r="AH15" t="s">
        <v>533</v>
      </c>
      <c r="AI15" t="s">
        <v>533</v>
      </c>
      <c r="AJ15" t="s">
        <v>533</v>
      </c>
      <c r="AL15" t="s">
        <v>533</v>
      </c>
      <c r="AM15" t="s">
        <v>2428</v>
      </c>
      <c r="AN15" t="s">
        <v>2429</v>
      </c>
      <c r="AO15" t="s">
        <v>2430</v>
      </c>
      <c r="AP15" t="s">
        <v>2431</v>
      </c>
      <c r="AQ15" t="s">
        <v>2432</v>
      </c>
      <c r="AS15" t="s">
        <v>533</v>
      </c>
      <c r="AT15" t="s">
        <v>2433</v>
      </c>
      <c r="AU15" t="s">
        <v>2434</v>
      </c>
      <c r="AV15" t="s">
        <v>533</v>
      </c>
      <c r="AW15" t="s">
        <v>2435</v>
      </c>
      <c r="AY15" t="s">
        <v>2436</v>
      </c>
      <c r="AZ15" t="s">
        <v>2437</v>
      </c>
      <c r="BC15" t="s">
        <v>533</v>
      </c>
      <c r="BD15" t="s">
        <v>2438</v>
      </c>
      <c r="BE15" t="s">
        <v>533</v>
      </c>
      <c r="BG15" t="s">
        <v>1967</v>
      </c>
      <c r="BH15" t="s">
        <v>2439</v>
      </c>
    </row>
    <row r="16" spans="1:60" x14ac:dyDescent="0.35">
      <c r="A16" t="s">
        <v>2440</v>
      </c>
      <c r="B16" t="s">
        <v>533</v>
      </c>
      <c r="C16" t="s">
        <v>533</v>
      </c>
      <c r="E16" t="s">
        <v>2441</v>
      </c>
      <c r="F16" t="s">
        <v>2442</v>
      </c>
      <c r="G16" t="s">
        <v>2370</v>
      </c>
      <c r="J16" t="s">
        <v>2443</v>
      </c>
      <c r="K16" t="s">
        <v>533</v>
      </c>
      <c r="L16" t="s">
        <v>2444</v>
      </c>
      <c r="M16" t="s">
        <v>2445</v>
      </c>
      <c r="P16" t="s">
        <v>2446</v>
      </c>
      <c r="R16" t="s">
        <v>2447</v>
      </c>
      <c r="S16" t="s">
        <v>2448</v>
      </c>
      <c r="T16" t="s">
        <v>533</v>
      </c>
      <c r="V16" t="s">
        <v>533</v>
      </c>
      <c r="W16" t="s">
        <v>2449</v>
      </c>
      <c r="Y16" t="s">
        <v>533</v>
      </c>
      <c r="Z16" t="s">
        <v>2450</v>
      </c>
      <c r="AA16" t="s">
        <v>533</v>
      </c>
      <c r="AC16" t="s">
        <v>533</v>
      </c>
      <c r="AD16" t="s">
        <v>533</v>
      </c>
      <c r="AF16" t="s">
        <v>533</v>
      </c>
      <c r="AH16" t="s">
        <v>533</v>
      </c>
      <c r="AI16" t="s">
        <v>533</v>
      </c>
      <c r="AJ16" t="s">
        <v>533</v>
      </c>
      <c r="AL16" t="s">
        <v>533</v>
      </c>
      <c r="AM16" t="s">
        <v>2451</v>
      </c>
      <c r="AN16" t="s">
        <v>2452</v>
      </c>
      <c r="AO16" t="s">
        <v>2453</v>
      </c>
      <c r="AP16" t="s">
        <v>2454</v>
      </c>
      <c r="AQ16" t="s">
        <v>2455</v>
      </c>
      <c r="AS16" t="s">
        <v>533</v>
      </c>
      <c r="AT16" t="s">
        <v>2456</v>
      </c>
      <c r="AU16" t="s">
        <v>2457</v>
      </c>
      <c r="AV16" t="s">
        <v>533</v>
      </c>
      <c r="AW16" t="s">
        <v>2458</v>
      </c>
      <c r="AY16" t="s">
        <v>2459</v>
      </c>
      <c r="AZ16" t="s">
        <v>2460</v>
      </c>
      <c r="BC16" t="s">
        <v>533</v>
      </c>
      <c r="BD16" t="s">
        <v>2461</v>
      </c>
      <c r="BE16" t="s">
        <v>533</v>
      </c>
      <c r="BG16" t="s">
        <v>1968</v>
      </c>
      <c r="BH16" t="s">
        <v>2462</v>
      </c>
    </row>
    <row r="17" spans="1:60" x14ac:dyDescent="0.35">
      <c r="A17" t="s">
        <v>2463</v>
      </c>
      <c r="B17" t="s">
        <v>533</v>
      </c>
      <c r="C17" t="s">
        <v>533</v>
      </c>
      <c r="E17" t="s">
        <v>2464</v>
      </c>
      <c r="F17" t="s">
        <v>2465</v>
      </c>
      <c r="I17" t="s">
        <v>533</v>
      </c>
      <c r="J17" t="s">
        <v>2466</v>
      </c>
      <c r="K17" t="s">
        <v>533</v>
      </c>
      <c r="L17" t="s">
        <v>2467</v>
      </c>
      <c r="M17" t="s">
        <v>2468</v>
      </c>
      <c r="P17" t="s">
        <v>2469</v>
      </c>
      <c r="R17" t="s">
        <v>2470</v>
      </c>
      <c r="S17" t="s">
        <v>2471</v>
      </c>
      <c r="T17" t="s">
        <v>533</v>
      </c>
      <c r="V17" t="s">
        <v>533</v>
      </c>
      <c r="W17" t="s">
        <v>2472</v>
      </c>
      <c r="Y17" t="s">
        <v>533</v>
      </c>
      <c r="Z17" t="s">
        <v>2473</v>
      </c>
      <c r="AA17" t="s">
        <v>533</v>
      </c>
      <c r="AC17" t="s">
        <v>533</v>
      </c>
      <c r="AD17" t="s">
        <v>533</v>
      </c>
      <c r="AF17" t="s">
        <v>533</v>
      </c>
      <c r="AH17" t="s">
        <v>533</v>
      </c>
      <c r="AI17" t="s">
        <v>533</v>
      </c>
      <c r="AJ17" t="s">
        <v>533</v>
      </c>
      <c r="AL17" t="s">
        <v>533</v>
      </c>
      <c r="AM17" t="s">
        <v>2474</v>
      </c>
      <c r="AN17" t="s">
        <v>2475</v>
      </c>
      <c r="AO17" t="s">
        <v>2476</v>
      </c>
      <c r="AP17" t="s">
        <v>2477</v>
      </c>
      <c r="AQ17" t="s">
        <v>2478</v>
      </c>
      <c r="AS17" t="s">
        <v>533</v>
      </c>
      <c r="AT17" t="s">
        <v>2479</v>
      </c>
      <c r="AU17" t="s">
        <v>2480</v>
      </c>
      <c r="AV17" t="s">
        <v>533</v>
      </c>
      <c r="AW17" t="s">
        <v>2481</v>
      </c>
      <c r="AY17" t="s">
        <v>2482</v>
      </c>
      <c r="AZ17" t="s">
        <v>2483</v>
      </c>
      <c r="BC17" t="s">
        <v>533</v>
      </c>
      <c r="BD17" t="s">
        <v>2484</v>
      </c>
      <c r="BE17" t="s">
        <v>533</v>
      </c>
      <c r="BG17" t="s">
        <v>544</v>
      </c>
      <c r="BH17" t="s">
        <v>2485</v>
      </c>
    </row>
    <row r="18" spans="1:60" x14ac:dyDescent="0.35">
      <c r="A18" t="s">
        <v>2486</v>
      </c>
      <c r="B18" t="s">
        <v>533</v>
      </c>
      <c r="C18" t="s">
        <v>533</v>
      </c>
      <c r="F18" t="s">
        <v>2487</v>
      </c>
      <c r="I18" t="s">
        <v>533</v>
      </c>
      <c r="J18" t="s">
        <v>2488</v>
      </c>
      <c r="K18" t="s">
        <v>533</v>
      </c>
      <c r="M18" t="s">
        <v>2489</v>
      </c>
      <c r="P18" t="s">
        <v>2490</v>
      </c>
      <c r="R18" t="s">
        <v>2491</v>
      </c>
      <c r="S18" t="s">
        <v>2492</v>
      </c>
      <c r="T18" t="s">
        <v>533</v>
      </c>
      <c r="V18" t="s">
        <v>533</v>
      </c>
      <c r="W18" t="s">
        <v>2493</v>
      </c>
      <c r="Y18" t="s">
        <v>533</v>
      </c>
      <c r="Z18" t="s">
        <v>2494</v>
      </c>
      <c r="AA18" t="s">
        <v>533</v>
      </c>
      <c r="AC18" t="s">
        <v>533</v>
      </c>
      <c r="AD18" t="s">
        <v>533</v>
      </c>
      <c r="AF18" t="s">
        <v>533</v>
      </c>
      <c r="AH18" t="s">
        <v>533</v>
      </c>
      <c r="AI18" t="s">
        <v>533</v>
      </c>
      <c r="AJ18" t="s">
        <v>533</v>
      </c>
      <c r="AL18" t="s">
        <v>533</v>
      </c>
      <c r="AM18" t="s">
        <v>2495</v>
      </c>
      <c r="AN18" t="s">
        <v>2496</v>
      </c>
      <c r="AP18" t="s">
        <v>2497</v>
      </c>
      <c r="AQ18" t="s">
        <v>2498</v>
      </c>
      <c r="AS18" t="s">
        <v>533</v>
      </c>
      <c r="AT18" t="s">
        <v>2499</v>
      </c>
      <c r="AU18" t="s">
        <v>2500</v>
      </c>
      <c r="AV18" t="s">
        <v>533</v>
      </c>
      <c r="AW18" t="s">
        <v>2501</v>
      </c>
      <c r="AY18" t="s">
        <v>2502</v>
      </c>
      <c r="AZ18" t="s">
        <v>2503</v>
      </c>
      <c r="BC18" t="s">
        <v>533</v>
      </c>
      <c r="BD18" t="s">
        <v>2504</v>
      </c>
      <c r="BE18" t="s">
        <v>533</v>
      </c>
      <c r="BG18" t="s">
        <v>1969</v>
      </c>
      <c r="BH18" t="s">
        <v>2505</v>
      </c>
    </row>
    <row r="19" spans="1:60" x14ac:dyDescent="0.35">
      <c r="A19" t="s">
        <v>2506</v>
      </c>
      <c r="B19" t="s">
        <v>533</v>
      </c>
      <c r="C19" t="s">
        <v>533</v>
      </c>
      <c r="F19" t="s">
        <v>2507</v>
      </c>
      <c r="I19" t="s">
        <v>533</v>
      </c>
      <c r="J19" t="s">
        <v>2508</v>
      </c>
      <c r="K19" t="s">
        <v>533</v>
      </c>
      <c r="L19" t="s">
        <v>533</v>
      </c>
      <c r="M19" t="s">
        <v>2509</v>
      </c>
      <c r="P19" t="s">
        <v>2510</v>
      </c>
      <c r="R19" t="s">
        <v>2511</v>
      </c>
      <c r="S19" t="s">
        <v>2512</v>
      </c>
      <c r="T19" t="s">
        <v>533</v>
      </c>
      <c r="V19" t="s">
        <v>533</v>
      </c>
      <c r="W19" t="s">
        <v>2513</v>
      </c>
      <c r="Y19" t="s">
        <v>533</v>
      </c>
      <c r="Z19" t="s">
        <v>2514</v>
      </c>
      <c r="AA19" t="s">
        <v>533</v>
      </c>
      <c r="AC19" t="s">
        <v>533</v>
      </c>
      <c r="AD19" t="s">
        <v>533</v>
      </c>
      <c r="AF19" t="s">
        <v>533</v>
      </c>
      <c r="AH19" t="s">
        <v>533</v>
      </c>
      <c r="AI19" t="s">
        <v>533</v>
      </c>
      <c r="AJ19" t="s">
        <v>533</v>
      </c>
      <c r="AL19" t="s">
        <v>533</v>
      </c>
      <c r="AM19" t="s">
        <v>2515</v>
      </c>
      <c r="AN19" t="s">
        <v>2516</v>
      </c>
      <c r="AP19" t="s">
        <v>2517</v>
      </c>
      <c r="AQ19" t="s">
        <v>2518</v>
      </c>
      <c r="AS19" t="s">
        <v>533</v>
      </c>
      <c r="AT19" t="s">
        <v>2519</v>
      </c>
      <c r="AU19" t="s">
        <v>2520</v>
      </c>
      <c r="AV19" t="s">
        <v>533</v>
      </c>
      <c r="AW19" t="s">
        <v>2521</v>
      </c>
      <c r="AY19" t="s">
        <v>2522</v>
      </c>
      <c r="AZ19" t="s">
        <v>2523</v>
      </c>
      <c r="BC19" t="s">
        <v>533</v>
      </c>
      <c r="BD19" t="s">
        <v>2524</v>
      </c>
      <c r="BE19" t="s">
        <v>533</v>
      </c>
      <c r="BG19" t="s">
        <v>694</v>
      </c>
      <c r="BH19" t="s">
        <v>2525</v>
      </c>
    </row>
    <row r="20" spans="1:60" x14ac:dyDescent="0.35">
      <c r="A20" t="s">
        <v>2526</v>
      </c>
      <c r="B20" t="s">
        <v>533</v>
      </c>
      <c r="C20" t="s">
        <v>533</v>
      </c>
      <c r="F20" t="s">
        <v>2527</v>
      </c>
      <c r="I20" t="s">
        <v>533</v>
      </c>
      <c r="J20" t="s">
        <v>2528</v>
      </c>
      <c r="K20" t="s">
        <v>533</v>
      </c>
      <c r="L20" t="s">
        <v>533</v>
      </c>
      <c r="M20" t="s">
        <v>2529</v>
      </c>
      <c r="P20" t="s">
        <v>2530</v>
      </c>
      <c r="R20" t="s">
        <v>2531</v>
      </c>
      <c r="S20" t="s">
        <v>2532</v>
      </c>
      <c r="T20" t="s">
        <v>533</v>
      </c>
      <c r="V20" t="s">
        <v>533</v>
      </c>
      <c r="W20" t="s">
        <v>2533</v>
      </c>
      <c r="Y20" t="s">
        <v>533</v>
      </c>
      <c r="Z20" t="s">
        <v>2534</v>
      </c>
      <c r="AA20" t="s">
        <v>533</v>
      </c>
      <c r="AC20" t="s">
        <v>533</v>
      </c>
      <c r="AD20" t="s">
        <v>533</v>
      </c>
      <c r="AF20" t="s">
        <v>533</v>
      </c>
      <c r="AH20" t="s">
        <v>533</v>
      </c>
      <c r="AI20" t="s">
        <v>533</v>
      </c>
      <c r="AJ20" t="s">
        <v>533</v>
      </c>
      <c r="AL20" t="s">
        <v>533</v>
      </c>
      <c r="AM20" t="s">
        <v>2535</v>
      </c>
      <c r="AN20" t="s">
        <v>2536</v>
      </c>
      <c r="AP20" t="s">
        <v>2537</v>
      </c>
      <c r="AQ20" t="s">
        <v>2538</v>
      </c>
      <c r="AS20" t="s">
        <v>533</v>
      </c>
      <c r="AT20" t="s">
        <v>2539</v>
      </c>
      <c r="AU20" t="s">
        <v>2540</v>
      </c>
      <c r="AV20" t="s">
        <v>533</v>
      </c>
      <c r="AW20" t="s">
        <v>2541</v>
      </c>
      <c r="AY20" t="s">
        <v>2542</v>
      </c>
      <c r="AZ20" t="s">
        <v>2543</v>
      </c>
      <c r="BC20" t="s">
        <v>533</v>
      </c>
      <c r="BD20" t="s">
        <v>2544</v>
      </c>
      <c r="BE20" t="s">
        <v>533</v>
      </c>
      <c r="BG20" t="s">
        <v>287</v>
      </c>
      <c r="BH20" t="s">
        <v>2545</v>
      </c>
    </row>
    <row r="21" spans="1:60" x14ac:dyDescent="0.35">
      <c r="A21" t="s">
        <v>2546</v>
      </c>
      <c r="B21" t="s">
        <v>533</v>
      </c>
      <c r="C21" t="s">
        <v>533</v>
      </c>
      <c r="F21" t="s">
        <v>2547</v>
      </c>
      <c r="I21" t="s">
        <v>533</v>
      </c>
      <c r="J21" t="s">
        <v>2548</v>
      </c>
      <c r="K21" t="s">
        <v>533</v>
      </c>
      <c r="L21" t="s">
        <v>533</v>
      </c>
      <c r="M21" t="s">
        <v>2549</v>
      </c>
      <c r="P21" t="s">
        <v>2550</v>
      </c>
      <c r="R21" t="s">
        <v>2551</v>
      </c>
      <c r="S21" t="s">
        <v>2552</v>
      </c>
      <c r="T21" t="s">
        <v>533</v>
      </c>
      <c r="V21" t="s">
        <v>533</v>
      </c>
      <c r="W21" t="s">
        <v>2553</v>
      </c>
      <c r="Y21" t="s">
        <v>533</v>
      </c>
      <c r="Z21" t="s">
        <v>2554</v>
      </c>
      <c r="AA21" t="s">
        <v>533</v>
      </c>
      <c r="AC21" t="s">
        <v>533</v>
      </c>
      <c r="AD21" t="s">
        <v>533</v>
      </c>
      <c r="AF21" t="s">
        <v>533</v>
      </c>
      <c r="AH21" t="s">
        <v>533</v>
      </c>
      <c r="AI21" t="s">
        <v>533</v>
      </c>
      <c r="AJ21" t="s">
        <v>533</v>
      </c>
      <c r="AL21" t="s">
        <v>533</v>
      </c>
      <c r="AM21" t="s">
        <v>2555</v>
      </c>
      <c r="AN21" t="s">
        <v>2556</v>
      </c>
      <c r="AO21" t="s">
        <v>533</v>
      </c>
      <c r="AP21" t="s">
        <v>2557</v>
      </c>
      <c r="AQ21" t="s">
        <v>2558</v>
      </c>
      <c r="AS21" t="s">
        <v>533</v>
      </c>
      <c r="AT21" t="s">
        <v>2559</v>
      </c>
      <c r="AU21" t="s">
        <v>2560</v>
      </c>
      <c r="AV21" t="s">
        <v>533</v>
      </c>
      <c r="AW21" t="s">
        <v>2561</v>
      </c>
      <c r="AY21" t="s">
        <v>2562</v>
      </c>
      <c r="AZ21" t="s">
        <v>2563</v>
      </c>
      <c r="BC21" t="s">
        <v>533</v>
      </c>
      <c r="BD21" t="s">
        <v>2564</v>
      </c>
      <c r="BE21" t="s">
        <v>533</v>
      </c>
      <c r="BG21" t="s">
        <v>708</v>
      </c>
      <c r="BH21" t="s">
        <v>2565</v>
      </c>
    </row>
    <row r="22" spans="1:60" x14ac:dyDescent="0.35">
      <c r="A22" t="s">
        <v>2566</v>
      </c>
      <c r="B22" t="s">
        <v>533</v>
      </c>
      <c r="C22" t="s">
        <v>533</v>
      </c>
      <c r="F22" t="s">
        <v>2567</v>
      </c>
      <c r="I22" t="s">
        <v>533</v>
      </c>
      <c r="J22" t="s">
        <v>2568</v>
      </c>
      <c r="K22" t="s">
        <v>533</v>
      </c>
      <c r="L22" t="s">
        <v>533</v>
      </c>
      <c r="M22" t="s">
        <v>2569</v>
      </c>
      <c r="P22" t="s">
        <v>2570</v>
      </c>
      <c r="R22" t="s">
        <v>2571</v>
      </c>
      <c r="S22" t="s">
        <v>2572</v>
      </c>
      <c r="T22" t="s">
        <v>533</v>
      </c>
      <c r="V22" t="s">
        <v>533</v>
      </c>
      <c r="W22" t="s">
        <v>2573</v>
      </c>
      <c r="Y22" t="s">
        <v>533</v>
      </c>
      <c r="Z22" t="s">
        <v>2574</v>
      </c>
      <c r="AA22" t="s">
        <v>533</v>
      </c>
      <c r="AC22" t="s">
        <v>533</v>
      </c>
      <c r="AD22" t="s">
        <v>533</v>
      </c>
      <c r="AF22" t="s">
        <v>533</v>
      </c>
      <c r="AH22" t="s">
        <v>533</v>
      </c>
      <c r="AI22" t="s">
        <v>533</v>
      </c>
      <c r="AJ22" t="s">
        <v>533</v>
      </c>
      <c r="AL22" t="s">
        <v>533</v>
      </c>
      <c r="AM22" t="s">
        <v>2575</v>
      </c>
      <c r="AN22" t="s">
        <v>2576</v>
      </c>
      <c r="AO22" t="s">
        <v>533</v>
      </c>
      <c r="AP22" t="s">
        <v>2577</v>
      </c>
      <c r="AQ22" t="s">
        <v>2578</v>
      </c>
      <c r="AS22" t="s">
        <v>533</v>
      </c>
      <c r="AT22" t="s">
        <v>2579</v>
      </c>
      <c r="AU22" t="s">
        <v>2580</v>
      </c>
      <c r="AV22" t="s">
        <v>533</v>
      </c>
      <c r="AW22" t="s">
        <v>2581</v>
      </c>
      <c r="AY22" t="s">
        <v>2582</v>
      </c>
      <c r="AZ22" t="s">
        <v>2583</v>
      </c>
      <c r="BC22" t="s">
        <v>533</v>
      </c>
      <c r="BD22" t="s">
        <v>2584</v>
      </c>
      <c r="BE22" t="s">
        <v>533</v>
      </c>
      <c r="BG22" t="s">
        <v>1970</v>
      </c>
      <c r="BH22" t="s">
        <v>2585</v>
      </c>
    </row>
    <row r="23" spans="1:60" x14ac:dyDescent="0.35">
      <c r="A23" t="s">
        <v>2586</v>
      </c>
      <c r="B23" t="s">
        <v>533</v>
      </c>
      <c r="C23" t="s">
        <v>533</v>
      </c>
      <c r="F23" t="s">
        <v>2587</v>
      </c>
      <c r="I23" t="s">
        <v>533</v>
      </c>
      <c r="J23" t="s">
        <v>2588</v>
      </c>
      <c r="K23" t="s">
        <v>533</v>
      </c>
      <c r="L23" t="s">
        <v>533</v>
      </c>
      <c r="P23" t="s">
        <v>2589</v>
      </c>
      <c r="R23" t="s">
        <v>2590</v>
      </c>
      <c r="S23" t="s">
        <v>2591</v>
      </c>
      <c r="T23" t="s">
        <v>533</v>
      </c>
      <c r="V23" t="s">
        <v>533</v>
      </c>
      <c r="W23" t="s">
        <v>2592</v>
      </c>
      <c r="Y23" t="s">
        <v>533</v>
      </c>
      <c r="Z23" t="s">
        <v>2593</v>
      </c>
      <c r="AA23" t="s">
        <v>533</v>
      </c>
      <c r="AC23" t="s">
        <v>533</v>
      </c>
      <c r="AD23" t="s">
        <v>533</v>
      </c>
      <c r="AF23" t="s">
        <v>533</v>
      </c>
      <c r="AH23" t="s">
        <v>533</v>
      </c>
      <c r="AI23" t="s">
        <v>533</v>
      </c>
      <c r="AJ23" t="s">
        <v>533</v>
      </c>
      <c r="AL23" t="s">
        <v>533</v>
      </c>
      <c r="AM23" t="s">
        <v>2594</v>
      </c>
      <c r="AN23" t="s">
        <v>2595</v>
      </c>
      <c r="AO23" t="s">
        <v>533</v>
      </c>
      <c r="AP23" t="s">
        <v>2596</v>
      </c>
      <c r="AQ23" t="s">
        <v>2597</v>
      </c>
      <c r="AS23" t="s">
        <v>533</v>
      </c>
      <c r="AT23" t="s">
        <v>2598</v>
      </c>
      <c r="AU23" t="s">
        <v>2599</v>
      </c>
      <c r="AV23" t="s">
        <v>533</v>
      </c>
      <c r="AY23" t="s">
        <v>2600</v>
      </c>
      <c r="AZ23" t="s">
        <v>2601</v>
      </c>
      <c r="BC23" t="s">
        <v>533</v>
      </c>
      <c r="BD23" t="s">
        <v>2602</v>
      </c>
      <c r="BE23" t="s">
        <v>533</v>
      </c>
      <c r="BG23" t="s">
        <v>690</v>
      </c>
      <c r="BH23" t="s">
        <v>2603</v>
      </c>
    </row>
    <row r="24" spans="1:60" x14ac:dyDescent="0.35">
      <c r="A24" t="s">
        <v>2604</v>
      </c>
      <c r="B24" t="s">
        <v>533</v>
      </c>
      <c r="C24" t="s">
        <v>533</v>
      </c>
      <c r="F24" t="s">
        <v>2605</v>
      </c>
      <c r="I24" t="s">
        <v>533</v>
      </c>
      <c r="J24" t="s">
        <v>2606</v>
      </c>
      <c r="K24" t="s">
        <v>533</v>
      </c>
      <c r="L24" t="s">
        <v>533</v>
      </c>
      <c r="M24" t="s">
        <v>533</v>
      </c>
      <c r="P24" t="s">
        <v>2607</v>
      </c>
      <c r="R24" t="s">
        <v>2608</v>
      </c>
      <c r="S24" t="s">
        <v>2609</v>
      </c>
      <c r="T24" t="s">
        <v>533</v>
      </c>
      <c r="V24" t="s">
        <v>533</v>
      </c>
      <c r="W24" t="s">
        <v>2610</v>
      </c>
      <c r="Y24" t="s">
        <v>533</v>
      </c>
      <c r="Z24" t="s">
        <v>2611</v>
      </c>
      <c r="AA24" t="s">
        <v>533</v>
      </c>
      <c r="AC24" t="s">
        <v>533</v>
      </c>
      <c r="AD24" t="s">
        <v>533</v>
      </c>
      <c r="AF24" t="s">
        <v>533</v>
      </c>
      <c r="AH24" t="s">
        <v>533</v>
      </c>
      <c r="AI24" t="s">
        <v>533</v>
      </c>
      <c r="AJ24" t="s">
        <v>533</v>
      </c>
      <c r="AL24" t="s">
        <v>533</v>
      </c>
      <c r="AM24" t="s">
        <v>2612</v>
      </c>
      <c r="AN24" t="s">
        <v>2613</v>
      </c>
      <c r="AO24" t="s">
        <v>533</v>
      </c>
      <c r="AP24" t="s">
        <v>2614</v>
      </c>
      <c r="AQ24" t="s">
        <v>2615</v>
      </c>
      <c r="AS24" t="s">
        <v>533</v>
      </c>
      <c r="AT24" t="s">
        <v>2616</v>
      </c>
      <c r="AU24" t="s">
        <v>2617</v>
      </c>
      <c r="AV24" t="s">
        <v>533</v>
      </c>
      <c r="AW24" t="s">
        <v>533</v>
      </c>
      <c r="AY24" t="s">
        <v>2618</v>
      </c>
      <c r="AZ24" t="s">
        <v>2619</v>
      </c>
      <c r="BC24" t="s">
        <v>533</v>
      </c>
      <c r="BD24" t="s">
        <v>2620</v>
      </c>
      <c r="BE24" t="s">
        <v>533</v>
      </c>
      <c r="BG24" t="s">
        <v>684</v>
      </c>
      <c r="BH24" t="s">
        <v>2621</v>
      </c>
    </row>
    <row r="25" spans="1:60" x14ac:dyDescent="0.35">
      <c r="A25" t="s">
        <v>2622</v>
      </c>
      <c r="B25" t="s">
        <v>533</v>
      </c>
      <c r="C25" t="s">
        <v>533</v>
      </c>
      <c r="F25" t="s">
        <v>2623</v>
      </c>
      <c r="I25" t="s">
        <v>533</v>
      </c>
      <c r="J25" t="s">
        <v>2624</v>
      </c>
      <c r="K25" t="s">
        <v>533</v>
      </c>
      <c r="L25" t="s">
        <v>533</v>
      </c>
      <c r="M25" t="s">
        <v>533</v>
      </c>
      <c r="P25" t="s">
        <v>2625</v>
      </c>
      <c r="R25" t="s">
        <v>2626</v>
      </c>
      <c r="S25" t="s">
        <v>2627</v>
      </c>
      <c r="T25" t="s">
        <v>533</v>
      </c>
      <c r="V25" t="s">
        <v>533</v>
      </c>
      <c r="W25" t="s">
        <v>2628</v>
      </c>
      <c r="Y25" t="s">
        <v>533</v>
      </c>
      <c r="AA25" t="s">
        <v>533</v>
      </c>
      <c r="AC25" t="s">
        <v>533</v>
      </c>
      <c r="AD25" t="s">
        <v>533</v>
      </c>
      <c r="AF25" t="s">
        <v>533</v>
      </c>
      <c r="AH25" t="s">
        <v>533</v>
      </c>
      <c r="AI25" t="s">
        <v>533</v>
      </c>
      <c r="AJ25" t="s">
        <v>533</v>
      </c>
      <c r="AL25" t="s">
        <v>533</v>
      </c>
      <c r="AM25" t="s">
        <v>2629</v>
      </c>
      <c r="AN25" t="s">
        <v>2630</v>
      </c>
      <c r="AO25" t="s">
        <v>533</v>
      </c>
      <c r="AP25" t="s">
        <v>2631</v>
      </c>
      <c r="AQ25" t="s">
        <v>2632</v>
      </c>
      <c r="AS25" t="s">
        <v>533</v>
      </c>
      <c r="AT25" t="s">
        <v>2633</v>
      </c>
      <c r="AU25" t="s">
        <v>2634</v>
      </c>
      <c r="AV25" t="s">
        <v>533</v>
      </c>
      <c r="AW25" t="s">
        <v>533</v>
      </c>
      <c r="AY25" t="s">
        <v>2635</v>
      </c>
      <c r="AZ25" t="s">
        <v>2636</v>
      </c>
      <c r="BC25" t="s">
        <v>533</v>
      </c>
      <c r="BD25" t="s">
        <v>2637</v>
      </c>
      <c r="BE25" t="s">
        <v>533</v>
      </c>
      <c r="BG25" t="s">
        <v>1971</v>
      </c>
      <c r="BH25" t="s">
        <v>2638</v>
      </c>
    </row>
    <row r="26" spans="1:60" x14ac:dyDescent="0.35">
      <c r="A26" t="s">
        <v>2639</v>
      </c>
      <c r="B26" t="s">
        <v>533</v>
      </c>
      <c r="C26" t="s">
        <v>533</v>
      </c>
      <c r="F26" t="s">
        <v>2640</v>
      </c>
      <c r="I26" t="s">
        <v>533</v>
      </c>
      <c r="J26" t="s">
        <v>2641</v>
      </c>
      <c r="K26" t="s">
        <v>533</v>
      </c>
      <c r="L26" t="s">
        <v>533</v>
      </c>
      <c r="M26" t="s">
        <v>533</v>
      </c>
      <c r="P26" t="s">
        <v>2642</v>
      </c>
      <c r="R26" t="s">
        <v>2643</v>
      </c>
      <c r="S26" t="s">
        <v>2644</v>
      </c>
      <c r="T26" t="s">
        <v>533</v>
      </c>
      <c r="V26" t="s">
        <v>533</v>
      </c>
      <c r="W26" t="s">
        <v>2645</v>
      </c>
      <c r="Y26" t="s">
        <v>533</v>
      </c>
      <c r="AA26" t="s">
        <v>533</v>
      </c>
      <c r="AC26" t="s">
        <v>533</v>
      </c>
      <c r="AD26" t="s">
        <v>533</v>
      </c>
      <c r="AF26" t="s">
        <v>533</v>
      </c>
      <c r="AH26" t="s">
        <v>533</v>
      </c>
      <c r="AI26" t="s">
        <v>533</v>
      </c>
      <c r="AJ26" t="s">
        <v>533</v>
      </c>
      <c r="AL26" t="s">
        <v>533</v>
      </c>
      <c r="AM26" t="s">
        <v>2646</v>
      </c>
      <c r="AN26" t="s">
        <v>2647</v>
      </c>
      <c r="AO26" t="s">
        <v>533</v>
      </c>
      <c r="AP26" t="s">
        <v>2648</v>
      </c>
      <c r="AQ26" t="s">
        <v>2649</v>
      </c>
      <c r="AS26" t="s">
        <v>533</v>
      </c>
      <c r="AT26" t="s">
        <v>2650</v>
      </c>
      <c r="AU26" t="s">
        <v>2651</v>
      </c>
      <c r="AV26" t="s">
        <v>533</v>
      </c>
      <c r="AW26" t="s">
        <v>533</v>
      </c>
      <c r="AY26" t="s">
        <v>2652</v>
      </c>
      <c r="AZ26" t="s">
        <v>2653</v>
      </c>
      <c r="BC26" t="s">
        <v>533</v>
      </c>
      <c r="BD26" t="s">
        <v>2654</v>
      </c>
      <c r="BE26" t="s">
        <v>533</v>
      </c>
      <c r="BG26" t="s">
        <v>696</v>
      </c>
      <c r="BH26" t="s">
        <v>2655</v>
      </c>
    </row>
    <row r="27" spans="1:60" x14ac:dyDescent="0.35">
      <c r="A27" t="s">
        <v>2656</v>
      </c>
      <c r="B27" t="s">
        <v>533</v>
      </c>
      <c r="C27" t="s">
        <v>533</v>
      </c>
      <c r="F27" t="s">
        <v>2657</v>
      </c>
      <c r="I27" t="s">
        <v>533</v>
      </c>
      <c r="J27" t="s">
        <v>2658</v>
      </c>
      <c r="K27" t="s">
        <v>533</v>
      </c>
      <c r="L27" t="s">
        <v>533</v>
      </c>
      <c r="M27" t="s">
        <v>533</v>
      </c>
      <c r="P27" t="s">
        <v>2659</v>
      </c>
      <c r="R27" t="s">
        <v>2660</v>
      </c>
      <c r="S27" t="s">
        <v>2661</v>
      </c>
      <c r="T27" t="s">
        <v>533</v>
      </c>
      <c r="V27" t="s">
        <v>533</v>
      </c>
      <c r="W27" t="s">
        <v>2662</v>
      </c>
      <c r="Y27" t="s">
        <v>533</v>
      </c>
      <c r="AA27" t="s">
        <v>533</v>
      </c>
      <c r="AC27" t="s">
        <v>533</v>
      </c>
      <c r="AD27" t="s">
        <v>533</v>
      </c>
      <c r="AF27" t="s">
        <v>533</v>
      </c>
      <c r="AH27" t="s">
        <v>533</v>
      </c>
      <c r="AI27" t="s">
        <v>533</v>
      </c>
      <c r="AJ27" t="s">
        <v>533</v>
      </c>
      <c r="AL27" t="s">
        <v>533</v>
      </c>
      <c r="AM27" t="s">
        <v>533</v>
      </c>
      <c r="AN27" t="s">
        <v>2663</v>
      </c>
      <c r="AO27" t="s">
        <v>533</v>
      </c>
      <c r="AP27" t="s">
        <v>2664</v>
      </c>
      <c r="AQ27" t="s">
        <v>2665</v>
      </c>
      <c r="AS27" t="s">
        <v>533</v>
      </c>
      <c r="AU27" t="s">
        <v>2666</v>
      </c>
      <c r="AV27" t="s">
        <v>533</v>
      </c>
      <c r="AW27" t="s">
        <v>533</v>
      </c>
      <c r="AY27" t="s">
        <v>2667</v>
      </c>
      <c r="BC27" t="s">
        <v>533</v>
      </c>
      <c r="BD27" t="s">
        <v>2668</v>
      </c>
      <c r="BE27" t="s">
        <v>533</v>
      </c>
      <c r="BG27" t="s">
        <v>698</v>
      </c>
      <c r="BH27" t="s">
        <v>2669</v>
      </c>
    </row>
    <row r="28" spans="1:60" x14ac:dyDescent="0.35">
      <c r="A28" t="s">
        <v>2670</v>
      </c>
      <c r="B28" t="s">
        <v>533</v>
      </c>
      <c r="C28" t="s">
        <v>533</v>
      </c>
      <c r="F28" t="s">
        <v>2671</v>
      </c>
      <c r="G28" t="s">
        <v>533</v>
      </c>
      <c r="I28" t="s">
        <v>533</v>
      </c>
      <c r="J28" t="s">
        <v>2672</v>
      </c>
      <c r="K28" t="s">
        <v>533</v>
      </c>
      <c r="L28" t="s">
        <v>533</v>
      </c>
      <c r="M28" t="s">
        <v>533</v>
      </c>
      <c r="P28" t="s">
        <v>2673</v>
      </c>
      <c r="R28" t="s">
        <v>2674</v>
      </c>
      <c r="S28" t="s">
        <v>2675</v>
      </c>
      <c r="T28" t="s">
        <v>533</v>
      </c>
      <c r="V28" t="s">
        <v>533</v>
      </c>
      <c r="W28" t="s">
        <v>2676</v>
      </c>
      <c r="Y28" t="s">
        <v>533</v>
      </c>
      <c r="Z28" t="s">
        <v>533</v>
      </c>
      <c r="AA28" t="s">
        <v>533</v>
      </c>
      <c r="AC28" t="s">
        <v>533</v>
      </c>
      <c r="AD28" t="s">
        <v>533</v>
      </c>
      <c r="AF28" t="s">
        <v>533</v>
      </c>
      <c r="AH28" t="s">
        <v>533</v>
      </c>
      <c r="AI28" t="s">
        <v>533</v>
      </c>
      <c r="AJ28" t="s">
        <v>533</v>
      </c>
      <c r="AL28" t="s">
        <v>533</v>
      </c>
      <c r="AM28" t="s">
        <v>533</v>
      </c>
      <c r="AN28" t="s">
        <v>2677</v>
      </c>
      <c r="AO28" t="s">
        <v>533</v>
      </c>
      <c r="AP28" t="s">
        <v>2678</v>
      </c>
      <c r="AQ28" t="s">
        <v>2679</v>
      </c>
      <c r="AS28" t="s">
        <v>533</v>
      </c>
      <c r="AT28" t="s">
        <v>533</v>
      </c>
      <c r="AU28" t="s">
        <v>2680</v>
      </c>
      <c r="AV28" t="s">
        <v>533</v>
      </c>
      <c r="AW28" t="s">
        <v>533</v>
      </c>
      <c r="AY28" t="s">
        <v>2681</v>
      </c>
      <c r="AZ28" t="s">
        <v>533</v>
      </c>
      <c r="BC28" t="s">
        <v>533</v>
      </c>
      <c r="BD28" t="s">
        <v>2682</v>
      </c>
      <c r="BE28" t="s">
        <v>533</v>
      </c>
      <c r="BG28" t="s">
        <v>702</v>
      </c>
      <c r="BH28" t="s">
        <v>2683</v>
      </c>
    </row>
    <row r="29" spans="1:60" x14ac:dyDescent="0.35">
      <c r="A29" t="s">
        <v>2684</v>
      </c>
      <c r="B29" t="s">
        <v>533</v>
      </c>
      <c r="C29" t="s">
        <v>533</v>
      </c>
      <c r="F29" t="s">
        <v>2685</v>
      </c>
      <c r="G29" t="s">
        <v>533</v>
      </c>
      <c r="I29" t="s">
        <v>533</v>
      </c>
      <c r="J29" t="s">
        <v>2686</v>
      </c>
      <c r="K29" t="s">
        <v>533</v>
      </c>
      <c r="L29" t="s">
        <v>533</v>
      </c>
      <c r="M29" t="s">
        <v>533</v>
      </c>
      <c r="P29" t="s">
        <v>2687</v>
      </c>
      <c r="R29" t="s">
        <v>2688</v>
      </c>
      <c r="S29" t="s">
        <v>2689</v>
      </c>
      <c r="T29" t="s">
        <v>533</v>
      </c>
      <c r="V29" t="s">
        <v>533</v>
      </c>
      <c r="W29" t="s">
        <v>2690</v>
      </c>
      <c r="Y29" t="s">
        <v>533</v>
      </c>
      <c r="Z29" t="s">
        <v>533</v>
      </c>
      <c r="AA29" t="s">
        <v>533</v>
      </c>
      <c r="AC29" t="s">
        <v>533</v>
      </c>
      <c r="AD29" t="s">
        <v>533</v>
      </c>
      <c r="AF29" t="s">
        <v>533</v>
      </c>
      <c r="AH29" t="s">
        <v>533</v>
      </c>
      <c r="AI29" t="s">
        <v>533</v>
      </c>
      <c r="AJ29" t="s">
        <v>533</v>
      </c>
      <c r="AL29" t="s">
        <v>533</v>
      </c>
      <c r="AM29" t="s">
        <v>533</v>
      </c>
      <c r="AN29" t="s">
        <v>2691</v>
      </c>
      <c r="AO29" t="s">
        <v>533</v>
      </c>
      <c r="AP29" t="s">
        <v>533</v>
      </c>
      <c r="AQ29" t="s">
        <v>2692</v>
      </c>
      <c r="AS29" t="s">
        <v>533</v>
      </c>
      <c r="AT29" t="s">
        <v>533</v>
      </c>
      <c r="AU29" t="s">
        <v>2693</v>
      </c>
      <c r="AV29" t="s">
        <v>533</v>
      </c>
      <c r="AW29" t="s">
        <v>533</v>
      </c>
      <c r="AY29" t="s">
        <v>2694</v>
      </c>
      <c r="AZ29" t="s">
        <v>533</v>
      </c>
      <c r="BC29" t="s">
        <v>533</v>
      </c>
      <c r="BD29" t="s">
        <v>2695</v>
      </c>
      <c r="BE29" t="s">
        <v>533</v>
      </c>
      <c r="BG29" t="s">
        <v>1972</v>
      </c>
      <c r="BH29" t="s">
        <v>2696</v>
      </c>
    </row>
    <row r="30" spans="1:60" x14ac:dyDescent="0.35">
      <c r="A30" t="s">
        <v>2697</v>
      </c>
      <c r="B30" t="s">
        <v>533</v>
      </c>
      <c r="C30" t="s">
        <v>533</v>
      </c>
      <c r="F30" t="s">
        <v>2698</v>
      </c>
      <c r="G30" t="s">
        <v>533</v>
      </c>
      <c r="I30" t="s">
        <v>533</v>
      </c>
      <c r="J30" t="s">
        <v>2699</v>
      </c>
      <c r="K30" t="s">
        <v>533</v>
      </c>
      <c r="L30" t="s">
        <v>533</v>
      </c>
      <c r="M30" t="s">
        <v>533</v>
      </c>
      <c r="P30" t="s">
        <v>2700</v>
      </c>
      <c r="R30" t="s">
        <v>2701</v>
      </c>
      <c r="S30" t="s">
        <v>2702</v>
      </c>
      <c r="T30" t="s">
        <v>533</v>
      </c>
      <c r="V30" t="s">
        <v>533</v>
      </c>
      <c r="W30" t="s">
        <v>2703</v>
      </c>
      <c r="Y30" t="s">
        <v>533</v>
      </c>
      <c r="Z30" t="s">
        <v>533</v>
      </c>
      <c r="AA30" t="s">
        <v>533</v>
      </c>
      <c r="AC30" t="s">
        <v>533</v>
      </c>
      <c r="AD30" t="s">
        <v>533</v>
      </c>
      <c r="AF30" t="s">
        <v>533</v>
      </c>
      <c r="AH30" t="s">
        <v>533</v>
      </c>
      <c r="AI30" t="s">
        <v>533</v>
      </c>
      <c r="AJ30" t="s">
        <v>533</v>
      </c>
      <c r="AL30" t="s">
        <v>533</v>
      </c>
      <c r="AM30" t="s">
        <v>533</v>
      </c>
      <c r="AN30" t="s">
        <v>2704</v>
      </c>
      <c r="AO30" t="s">
        <v>533</v>
      </c>
      <c r="AP30" t="s">
        <v>533</v>
      </c>
      <c r="AQ30" t="s">
        <v>2705</v>
      </c>
      <c r="AS30" t="s">
        <v>533</v>
      </c>
      <c r="AT30" t="s">
        <v>533</v>
      </c>
      <c r="AU30" t="s">
        <v>2706</v>
      </c>
      <c r="AV30" t="s">
        <v>533</v>
      </c>
      <c r="AW30" t="s">
        <v>533</v>
      </c>
      <c r="AY30" t="s">
        <v>2707</v>
      </c>
      <c r="AZ30" t="s">
        <v>533</v>
      </c>
      <c r="BC30" t="s">
        <v>533</v>
      </c>
      <c r="BD30" t="s">
        <v>2708</v>
      </c>
      <c r="BE30" t="s">
        <v>533</v>
      </c>
      <c r="BG30" t="s">
        <v>706</v>
      </c>
      <c r="BH30" t="s">
        <v>2709</v>
      </c>
    </row>
    <row r="31" spans="1:60" x14ac:dyDescent="0.35">
      <c r="A31" t="s">
        <v>2710</v>
      </c>
      <c r="B31" t="s">
        <v>533</v>
      </c>
      <c r="C31" t="s">
        <v>533</v>
      </c>
      <c r="F31" t="s">
        <v>2711</v>
      </c>
      <c r="G31" t="s">
        <v>533</v>
      </c>
      <c r="I31" t="s">
        <v>533</v>
      </c>
      <c r="J31" t="s">
        <v>2712</v>
      </c>
      <c r="K31" t="s">
        <v>533</v>
      </c>
      <c r="L31" t="s">
        <v>533</v>
      </c>
      <c r="M31" t="s">
        <v>533</v>
      </c>
      <c r="P31" t="s">
        <v>2713</v>
      </c>
      <c r="R31" t="s">
        <v>2714</v>
      </c>
      <c r="S31" t="s">
        <v>2715</v>
      </c>
      <c r="T31" t="s">
        <v>533</v>
      </c>
      <c r="V31" t="s">
        <v>533</v>
      </c>
      <c r="W31" t="s">
        <v>2716</v>
      </c>
      <c r="Y31" t="s">
        <v>533</v>
      </c>
      <c r="Z31" t="s">
        <v>533</v>
      </c>
      <c r="AA31" t="s">
        <v>533</v>
      </c>
      <c r="AC31" t="s">
        <v>533</v>
      </c>
      <c r="AD31" t="s">
        <v>533</v>
      </c>
      <c r="AF31" t="s">
        <v>533</v>
      </c>
      <c r="AH31" t="s">
        <v>533</v>
      </c>
      <c r="AI31" t="s">
        <v>533</v>
      </c>
      <c r="AJ31" t="s">
        <v>533</v>
      </c>
      <c r="AL31" t="s">
        <v>533</v>
      </c>
      <c r="AM31" t="s">
        <v>533</v>
      </c>
      <c r="AN31" t="s">
        <v>2717</v>
      </c>
      <c r="AO31" t="s">
        <v>533</v>
      </c>
      <c r="AP31" t="s">
        <v>533</v>
      </c>
      <c r="AQ31" t="s">
        <v>2718</v>
      </c>
      <c r="AS31" t="s">
        <v>533</v>
      </c>
      <c r="AT31" t="s">
        <v>533</v>
      </c>
      <c r="AU31" t="s">
        <v>2719</v>
      </c>
      <c r="AV31" t="s">
        <v>533</v>
      </c>
      <c r="AW31" t="s">
        <v>533</v>
      </c>
      <c r="AY31" t="s">
        <v>2720</v>
      </c>
      <c r="AZ31" t="s">
        <v>533</v>
      </c>
      <c r="BC31" t="s">
        <v>533</v>
      </c>
      <c r="BD31" t="s">
        <v>2721</v>
      </c>
      <c r="BE31" t="s">
        <v>533</v>
      </c>
      <c r="BG31" t="s">
        <v>675</v>
      </c>
      <c r="BH31" t="s">
        <v>2722</v>
      </c>
    </row>
    <row r="32" spans="1:60" x14ac:dyDescent="0.35">
      <c r="A32" t="s">
        <v>2723</v>
      </c>
      <c r="B32" t="s">
        <v>533</v>
      </c>
      <c r="C32" t="s">
        <v>533</v>
      </c>
      <c r="F32" t="s">
        <v>2724</v>
      </c>
      <c r="G32" t="s">
        <v>533</v>
      </c>
      <c r="I32" t="s">
        <v>533</v>
      </c>
      <c r="J32" t="s">
        <v>2725</v>
      </c>
      <c r="K32" t="s">
        <v>533</v>
      </c>
      <c r="L32" t="s">
        <v>533</v>
      </c>
      <c r="M32" t="s">
        <v>533</v>
      </c>
      <c r="P32" t="s">
        <v>2726</v>
      </c>
      <c r="R32" t="s">
        <v>2727</v>
      </c>
      <c r="S32" t="s">
        <v>2728</v>
      </c>
      <c r="T32" t="s">
        <v>533</v>
      </c>
      <c r="V32" t="s">
        <v>533</v>
      </c>
      <c r="W32" t="s">
        <v>2729</v>
      </c>
      <c r="Y32" t="s">
        <v>533</v>
      </c>
      <c r="Z32" t="s">
        <v>533</v>
      </c>
      <c r="AA32" t="s">
        <v>533</v>
      </c>
      <c r="AC32" t="s">
        <v>533</v>
      </c>
      <c r="AD32" t="s">
        <v>533</v>
      </c>
      <c r="AF32" t="s">
        <v>533</v>
      </c>
      <c r="AH32" t="s">
        <v>533</v>
      </c>
      <c r="AI32" t="s">
        <v>533</v>
      </c>
      <c r="AJ32" t="s">
        <v>533</v>
      </c>
      <c r="AL32" t="s">
        <v>533</v>
      </c>
      <c r="AM32" t="s">
        <v>533</v>
      </c>
      <c r="AN32" t="s">
        <v>2730</v>
      </c>
      <c r="AO32" t="s">
        <v>533</v>
      </c>
      <c r="AP32" t="s">
        <v>533</v>
      </c>
      <c r="AQ32" t="s">
        <v>2731</v>
      </c>
      <c r="AS32" t="s">
        <v>533</v>
      </c>
      <c r="AT32" t="s">
        <v>533</v>
      </c>
      <c r="AU32" t="s">
        <v>2732</v>
      </c>
      <c r="AV32" t="s">
        <v>533</v>
      </c>
      <c r="AW32" t="s">
        <v>533</v>
      </c>
      <c r="AY32" t="s">
        <v>2733</v>
      </c>
      <c r="AZ32" t="s">
        <v>533</v>
      </c>
      <c r="BC32" t="s">
        <v>533</v>
      </c>
      <c r="BD32" t="s">
        <v>2734</v>
      </c>
      <c r="BE32" t="s">
        <v>533</v>
      </c>
      <c r="BG32" t="s">
        <v>1973</v>
      </c>
      <c r="BH32" t="s">
        <v>2735</v>
      </c>
    </row>
    <row r="33" spans="1:60" x14ac:dyDescent="0.35">
      <c r="A33" t="s">
        <v>533</v>
      </c>
      <c r="B33" t="s">
        <v>533</v>
      </c>
      <c r="C33" t="s">
        <v>533</v>
      </c>
      <c r="F33" t="s">
        <v>2736</v>
      </c>
      <c r="G33" t="s">
        <v>533</v>
      </c>
      <c r="I33" t="s">
        <v>533</v>
      </c>
      <c r="J33" t="s">
        <v>2737</v>
      </c>
      <c r="K33" t="s">
        <v>533</v>
      </c>
      <c r="L33" t="s">
        <v>533</v>
      </c>
      <c r="M33" t="s">
        <v>533</v>
      </c>
      <c r="P33" t="s">
        <v>2738</v>
      </c>
      <c r="R33" t="s">
        <v>2739</v>
      </c>
      <c r="S33" t="s">
        <v>2740</v>
      </c>
      <c r="T33" t="s">
        <v>533</v>
      </c>
      <c r="V33" t="s">
        <v>533</v>
      </c>
      <c r="W33" t="s">
        <v>2741</v>
      </c>
      <c r="Y33" t="s">
        <v>533</v>
      </c>
      <c r="Z33" t="s">
        <v>533</v>
      </c>
      <c r="AA33" t="s">
        <v>533</v>
      </c>
      <c r="AC33" t="s">
        <v>533</v>
      </c>
      <c r="AD33" t="s">
        <v>533</v>
      </c>
      <c r="AF33" t="s">
        <v>533</v>
      </c>
      <c r="AH33" t="s">
        <v>533</v>
      </c>
      <c r="AI33" t="s">
        <v>533</v>
      </c>
      <c r="AJ33" t="s">
        <v>533</v>
      </c>
      <c r="AL33" t="s">
        <v>533</v>
      </c>
      <c r="AM33" t="s">
        <v>533</v>
      </c>
      <c r="AN33" t="s">
        <v>2742</v>
      </c>
      <c r="AO33" t="s">
        <v>533</v>
      </c>
      <c r="AP33" t="s">
        <v>533</v>
      </c>
      <c r="AQ33" t="s">
        <v>2743</v>
      </c>
      <c r="AS33" t="s">
        <v>533</v>
      </c>
      <c r="AT33" t="s">
        <v>533</v>
      </c>
      <c r="AU33" t="s">
        <v>2744</v>
      </c>
      <c r="AV33" t="s">
        <v>533</v>
      </c>
      <c r="AW33" t="s">
        <v>533</v>
      </c>
      <c r="AY33" t="s">
        <v>2745</v>
      </c>
      <c r="AZ33" t="s">
        <v>533</v>
      </c>
      <c r="BC33" t="s">
        <v>533</v>
      </c>
      <c r="BD33" t="s">
        <v>2746</v>
      </c>
      <c r="BE33" t="s">
        <v>533</v>
      </c>
      <c r="BG33" t="s">
        <v>707</v>
      </c>
      <c r="BH33" t="s">
        <v>2747</v>
      </c>
    </row>
    <row r="34" spans="1:60" x14ac:dyDescent="0.35">
      <c r="A34" t="s">
        <v>533</v>
      </c>
      <c r="B34" t="s">
        <v>533</v>
      </c>
      <c r="C34" t="s">
        <v>533</v>
      </c>
      <c r="F34" t="s">
        <v>2748</v>
      </c>
      <c r="G34" t="s">
        <v>533</v>
      </c>
      <c r="I34" t="s">
        <v>533</v>
      </c>
      <c r="J34" t="s">
        <v>2749</v>
      </c>
      <c r="K34" t="s">
        <v>533</v>
      </c>
      <c r="L34" t="s">
        <v>533</v>
      </c>
      <c r="M34" t="s">
        <v>533</v>
      </c>
      <c r="P34" t="s">
        <v>2750</v>
      </c>
      <c r="R34" t="s">
        <v>2751</v>
      </c>
      <c r="S34" t="s">
        <v>2752</v>
      </c>
      <c r="T34" t="s">
        <v>533</v>
      </c>
      <c r="V34" t="s">
        <v>533</v>
      </c>
      <c r="W34" t="s">
        <v>2753</v>
      </c>
      <c r="Y34" t="s">
        <v>533</v>
      </c>
      <c r="Z34" t="s">
        <v>533</v>
      </c>
      <c r="AA34" t="s">
        <v>533</v>
      </c>
      <c r="AC34" t="s">
        <v>533</v>
      </c>
      <c r="AD34" t="s">
        <v>533</v>
      </c>
      <c r="AF34" t="s">
        <v>533</v>
      </c>
      <c r="AH34" t="s">
        <v>533</v>
      </c>
      <c r="AI34" t="s">
        <v>533</v>
      </c>
      <c r="AJ34" t="s">
        <v>533</v>
      </c>
      <c r="AL34" t="s">
        <v>533</v>
      </c>
      <c r="AM34" t="s">
        <v>533</v>
      </c>
      <c r="AN34" t="s">
        <v>2754</v>
      </c>
      <c r="AO34" t="s">
        <v>533</v>
      </c>
      <c r="AP34" t="s">
        <v>533</v>
      </c>
      <c r="AQ34" t="s">
        <v>2755</v>
      </c>
      <c r="AS34" t="s">
        <v>533</v>
      </c>
      <c r="AT34" t="s">
        <v>533</v>
      </c>
      <c r="AU34" t="s">
        <v>2756</v>
      </c>
      <c r="AV34" t="s">
        <v>533</v>
      </c>
      <c r="AW34" t="s">
        <v>533</v>
      </c>
      <c r="AY34" t="s">
        <v>2757</v>
      </c>
      <c r="AZ34" t="s">
        <v>533</v>
      </c>
      <c r="BC34" t="s">
        <v>533</v>
      </c>
      <c r="BD34" t="s">
        <v>2758</v>
      </c>
      <c r="BE34" t="s">
        <v>533</v>
      </c>
      <c r="BG34" t="s">
        <v>1974</v>
      </c>
      <c r="BH34" t="s">
        <v>2759</v>
      </c>
    </row>
    <row r="35" spans="1:60" x14ac:dyDescent="0.35">
      <c r="A35" t="s">
        <v>533</v>
      </c>
      <c r="B35" t="s">
        <v>533</v>
      </c>
      <c r="C35" t="s">
        <v>533</v>
      </c>
      <c r="F35" t="s">
        <v>2760</v>
      </c>
      <c r="G35" t="s">
        <v>533</v>
      </c>
      <c r="I35" t="s">
        <v>533</v>
      </c>
      <c r="J35" t="s">
        <v>2761</v>
      </c>
      <c r="K35" t="s">
        <v>533</v>
      </c>
      <c r="L35" t="s">
        <v>533</v>
      </c>
      <c r="M35" t="s">
        <v>533</v>
      </c>
      <c r="P35" t="s">
        <v>2762</v>
      </c>
      <c r="R35" t="s">
        <v>2763</v>
      </c>
      <c r="S35" t="s">
        <v>2764</v>
      </c>
      <c r="T35" t="s">
        <v>533</v>
      </c>
      <c r="V35" t="s">
        <v>533</v>
      </c>
      <c r="W35" t="s">
        <v>2765</v>
      </c>
      <c r="Y35" t="s">
        <v>533</v>
      </c>
      <c r="Z35" t="s">
        <v>533</v>
      </c>
      <c r="AA35" t="s">
        <v>533</v>
      </c>
      <c r="AC35" t="s">
        <v>533</v>
      </c>
      <c r="AD35" t="s">
        <v>533</v>
      </c>
      <c r="AF35" t="s">
        <v>533</v>
      </c>
      <c r="AH35" t="s">
        <v>533</v>
      </c>
      <c r="AI35" t="s">
        <v>533</v>
      </c>
      <c r="AJ35" t="s">
        <v>533</v>
      </c>
      <c r="AL35" t="s">
        <v>533</v>
      </c>
      <c r="AM35" t="s">
        <v>533</v>
      </c>
      <c r="AN35" t="s">
        <v>2766</v>
      </c>
      <c r="AO35" t="s">
        <v>533</v>
      </c>
      <c r="AP35" t="s">
        <v>533</v>
      </c>
      <c r="AQ35" t="s">
        <v>2767</v>
      </c>
      <c r="AS35" t="s">
        <v>533</v>
      </c>
      <c r="AT35" t="s">
        <v>533</v>
      </c>
      <c r="AU35" t="s">
        <v>2768</v>
      </c>
      <c r="AV35" t="s">
        <v>533</v>
      </c>
      <c r="AW35" t="s">
        <v>533</v>
      </c>
      <c r="AY35" t="s">
        <v>2769</v>
      </c>
      <c r="AZ35" t="s">
        <v>533</v>
      </c>
      <c r="BC35" t="s">
        <v>533</v>
      </c>
      <c r="BD35" t="s">
        <v>2770</v>
      </c>
      <c r="BE35" t="s">
        <v>533</v>
      </c>
      <c r="BG35" t="s">
        <v>687</v>
      </c>
      <c r="BH35" t="s">
        <v>2771</v>
      </c>
    </row>
    <row r="36" spans="1:60" x14ac:dyDescent="0.35">
      <c r="A36" t="s">
        <v>533</v>
      </c>
      <c r="B36" t="s">
        <v>533</v>
      </c>
      <c r="C36" t="s">
        <v>533</v>
      </c>
      <c r="F36" t="s">
        <v>2772</v>
      </c>
      <c r="G36" t="s">
        <v>533</v>
      </c>
      <c r="I36" t="s">
        <v>533</v>
      </c>
      <c r="J36" t="s">
        <v>2773</v>
      </c>
      <c r="K36" t="s">
        <v>533</v>
      </c>
      <c r="L36" t="s">
        <v>533</v>
      </c>
      <c r="M36" t="s">
        <v>533</v>
      </c>
      <c r="P36" t="s">
        <v>2774</v>
      </c>
      <c r="R36" t="s">
        <v>2775</v>
      </c>
      <c r="S36" t="s">
        <v>2776</v>
      </c>
      <c r="T36" t="s">
        <v>533</v>
      </c>
      <c r="V36" t="s">
        <v>533</v>
      </c>
      <c r="W36" t="s">
        <v>2777</v>
      </c>
      <c r="Y36" t="s">
        <v>533</v>
      </c>
      <c r="Z36" t="s">
        <v>533</v>
      </c>
      <c r="AA36" t="s">
        <v>533</v>
      </c>
      <c r="AC36" t="s">
        <v>533</v>
      </c>
      <c r="AD36" t="s">
        <v>533</v>
      </c>
      <c r="AF36" t="s">
        <v>533</v>
      </c>
      <c r="AH36" t="s">
        <v>533</v>
      </c>
      <c r="AI36" t="s">
        <v>533</v>
      </c>
      <c r="AJ36" t="s">
        <v>533</v>
      </c>
      <c r="AL36" t="s">
        <v>533</v>
      </c>
      <c r="AM36" t="s">
        <v>533</v>
      </c>
      <c r="AN36" t="s">
        <v>2778</v>
      </c>
      <c r="AO36" t="s">
        <v>533</v>
      </c>
      <c r="AP36" t="s">
        <v>533</v>
      </c>
      <c r="AQ36" t="s">
        <v>2779</v>
      </c>
      <c r="AS36" t="s">
        <v>533</v>
      </c>
      <c r="AT36" t="s">
        <v>533</v>
      </c>
      <c r="AU36" t="s">
        <v>2780</v>
      </c>
      <c r="AV36" t="s">
        <v>533</v>
      </c>
      <c r="AW36" t="s">
        <v>533</v>
      </c>
      <c r="AY36" t="s">
        <v>2781</v>
      </c>
      <c r="AZ36" t="s">
        <v>533</v>
      </c>
      <c r="BC36" t="s">
        <v>533</v>
      </c>
      <c r="BD36" t="s">
        <v>2782</v>
      </c>
      <c r="BE36" t="s">
        <v>533</v>
      </c>
      <c r="BG36" t="s">
        <v>688</v>
      </c>
      <c r="BH36" t="s">
        <v>2783</v>
      </c>
    </row>
    <row r="37" spans="1:60" x14ac:dyDescent="0.35">
      <c r="A37" t="s">
        <v>533</v>
      </c>
      <c r="B37" t="s">
        <v>533</v>
      </c>
      <c r="C37" t="s">
        <v>533</v>
      </c>
      <c r="F37" t="s">
        <v>2784</v>
      </c>
      <c r="G37" t="s">
        <v>533</v>
      </c>
      <c r="I37" t="s">
        <v>533</v>
      </c>
      <c r="J37" t="s">
        <v>2785</v>
      </c>
      <c r="K37" t="s">
        <v>533</v>
      </c>
      <c r="L37" t="s">
        <v>533</v>
      </c>
      <c r="M37" t="s">
        <v>533</v>
      </c>
      <c r="P37" t="s">
        <v>2786</v>
      </c>
      <c r="R37" t="s">
        <v>2787</v>
      </c>
      <c r="S37" t="s">
        <v>2788</v>
      </c>
      <c r="T37" t="s">
        <v>533</v>
      </c>
      <c r="V37" t="s">
        <v>533</v>
      </c>
      <c r="Y37" t="s">
        <v>533</v>
      </c>
      <c r="Z37" t="s">
        <v>533</v>
      </c>
      <c r="AA37" t="s">
        <v>533</v>
      </c>
      <c r="AC37" t="s">
        <v>533</v>
      </c>
      <c r="AD37" t="s">
        <v>533</v>
      </c>
      <c r="AF37" t="s">
        <v>533</v>
      </c>
      <c r="AH37" t="s">
        <v>533</v>
      </c>
      <c r="AI37" t="s">
        <v>533</v>
      </c>
      <c r="AJ37" t="s">
        <v>533</v>
      </c>
      <c r="AL37" t="s">
        <v>533</v>
      </c>
      <c r="AM37" t="s">
        <v>533</v>
      </c>
      <c r="AN37" t="s">
        <v>2789</v>
      </c>
      <c r="AO37" t="s">
        <v>533</v>
      </c>
      <c r="AP37" t="s">
        <v>533</v>
      </c>
      <c r="AQ37" t="s">
        <v>2790</v>
      </c>
      <c r="AS37" t="s">
        <v>533</v>
      </c>
      <c r="AT37" t="s">
        <v>533</v>
      </c>
      <c r="AU37" t="s">
        <v>2791</v>
      </c>
      <c r="AV37" t="s">
        <v>533</v>
      </c>
      <c r="AW37" t="s">
        <v>533</v>
      </c>
      <c r="AY37" t="s">
        <v>2792</v>
      </c>
      <c r="AZ37" t="s">
        <v>533</v>
      </c>
      <c r="BC37" t="s">
        <v>533</v>
      </c>
      <c r="BD37" t="s">
        <v>2793</v>
      </c>
      <c r="BE37" t="s">
        <v>533</v>
      </c>
      <c r="BG37" t="s">
        <v>699</v>
      </c>
      <c r="BH37" t="s">
        <v>2794</v>
      </c>
    </row>
    <row r="38" spans="1:60" x14ac:dyDescent="0.35">
      <c r="A38" t="s">
        <v>533</v>
      </c>
      <c r="B38" t="s">
        <v>533</v>
      </c>
      <c r="C38" t="s">
        <v>533</v>
      </c>
      <c r="F38" t="s">
        <v>2795</v>
      </c>
      <c r="G38" t="s">
        <v>533</v>
      </c>
      <c r="I38" t="s">
        <v>533</v>
      </c>
      <c r="J38" t="s">
        <v>2796</v>
      </c>
      <c r="K38" t="s">
        <v>533</v>
      </c>
      <c r="L38" t="s">
        <v>533</v>
      </c>
      <c r="M38" t="s">
        <v>533</v>
      </c>
      <c r="P38" t="s">
        <v>2797</v>
      </c>
      <c r="R38" t="s">
        <v>2798</v>
      </c>
      <c r="S38" t="s">
        <v>2799</v>
      </c>
      <c r="T38" t="s">
        <v>533</v>
      </c>
      <c r="V38" t="s">
        <v>533</v>
      </c>
      <c r="Y38" t="s">
        <v>533</v>
      </c>
      <c r="Z38" t="s">
        <v>533</v>
      </c>
      <c r="AA38" t="s">
        <v>533</v>
      </c>
      <c r="AC38" t="s">
        <v>533</v>
      </c>
      <c r="AD38" t="s">
        <v>533</v>
      </c>
      <c r="AF38" t="s">
        <v>533</v>
      </c>
      <c r="AH38" t="s">
        <v>533</v>
      </c>
      <c r="AI38" t="s">
        <v>533</v>
      </c>
      <c r="AJ38" t="s">
        <v>533</v>
      </c>
      <c r="AL38" t="s">
        <v>533</v>
      </c>
      <c r="AM38" t="s">
        <v>533</v>
      </c>
      <c r="AN38" t="s">
        <v>2800</v>
      </c>
      <c r="AO38" t="s">
        <v>533</v>
      </c>
      <c r="AP38" t="s">
        <v>533</v>
      </c>
      <c r="AQ38" t="s">
        <v>2801</v>
      </c>
      <c r="AS38" t="s">
        <v>533</v>
      </c>
      <c r="AT38" t="s">
        <v>533</v>
      </c>
      <c r="AU38" t="s">
        <v>2802</v>
      </c>
      <c r="AV38" t="s">
        <v>533</v>
      </c>
      <c r="AW38" t="s">
        <v>533</v>
      </c>
      <c r="AY38" t="s">
        <v>2803</v>
      </c>
      <c r="AZ38" t="s">
        <v>533</v>
      </c>
      <c r="BC38" t="s">
        <v>533</v>
      </c>
      <c r="BD38" t="s">
        <v>2804</v>
      </c>
      <c r="BE38" t="s">
        <v>533</v>
      </c>
      <c r="BG38" t="s">
        <v>1975</v>
      </c>
      <c r="BH38" t="s">
        <v>2805</v>
      </c>
    </row>
    <row r="39" spans="1:60" x14ac:dyDescent="0.35">
      <c r="A39" t="s">
        <v>533</v>
      </c>
      <c r="B39" t="s">
        <v>533</v>
      </c>
      <c r="C39" t="s">
        <v>533</v>
      </c>
      <c r="F39" t="s">
        <v>533</v>
      </c>
      <c r="G39" t="s">
        <v>533</v>
      </c>
      <c r="I39" t="s">
        <v>533</v>
      </c>
      <c r="J39" t="s">
        <v>2806</v>
      </c>
      <c r="K39" t="s">
        <v>533</v>
      </c>
      <c r="L39" t="s">
        <v>533</v>
      </c>
      <c r="M39" t="s">
        <v>533</v>
      </c>
      <c r="P39" t="s">
        <v>2807</v>
      </c>
      <c r="R39" t="s">
        <v>2808</v>
      </c>
      <c r="S39" t="s">
        <v>2809</v>
      </c>
      <c r="T39" t="s">
        <v>533</v>
      </c>
      <c r="V39" t="s">
        <v>533</v>
      </c>
      <c r="W39" t="s">
        <v>533</v>
      </c>
      <c r="Y39" t="s">
        <v>533</v>
      </c>
      <c r="Z39" t="s">
        <v>533</v>
      </c>
      <c r="AA39" t="s">
        <v>533</v>
      </c>
      <c r="AC39" t="s">
        <v>533</v>
      </c>
      <c r="AD39" t="s">
        <v>533</v>
      </c>
      <c r="AF39" t="s">
        <v>533</v>
      </c>
      <c r="AH39" t="s">
        <v>533</v>
      </c>
      <c r="AI39" t="s">
        <v>533</v>
      </c>
      <c r="AJ39" t="s">
        <v>533</v>
      </c>
      <c r="AL39" t="s">
        <v>533</v>
      </c>
      <c r="AM39" t="s">
        <v>533</v>
      </c>
      <c r="AN39" t="s">
        <v>2810</v>
      </c>
      <c r="AO39" t="s">
        <v>533</v>
      </c>
      <c r="AP39" t="s">
        <v>533</v>
      </c>
      <c r="AS39" t="s">
        <v>533</v>
      </c>
      <c r="AT39" t="s">
        <v>533</v>
      </c>
      <c r="AU39" t="s">
        <v>2811</v>
      </c>
      <c r="AV39" t="s">
        <v>533</v>
      </c>
      <c r="AW39" t="s">
        <v>533</v>
      </c>
      <c r="AY39" t="s">
        <v>2812</v>
      </c>
      <c r="AZ39" t="s">
        <v>533</v>
      </c>
      <c r="BC39" t="s">
        <v>533</v>
      </c>
      <c r="BD39" t="s">
        <v>2813</v>
      </c>
      <c r="BE39" t="s">
        <v>533</v>
      </c>
      <c r="BG39" t="s">
        <v>683</v>
      </c>
      <c r="BH39" t="s">
        <v>2814</v>
      </c>
    </row>
    <row r="40" spans="1:60" x14ac:dyDescent="0.35">
      <c r="A40" t="s">
        <v>533</v>
      </c>
      <c r="B40" t="s">
        <v>533</v>
      </c>
      <c r="C40" t="s">
        <v>533</v>
      </c>
      <c r="F40" t="s">
        <v>533</v>
      </c>
      <c r="G40" t="s">
        <v>533</v>
      </c>
      <c r="I40" t="s">
        <v>533</v>
      </c>
      <c r="J40" t="s">
        <v>2815</v>
      </c>
      <c r="K40" t="s">
        <v>533</v>
      </c>
      <c r="L40" t="s">
        <v>533</v>
      </c>
      <c r="M40" t="s">
        <v>533</v>
      </c>
      <c r="P40" t="s">
        <v>2816</v>
      </c>
      <c r="R40" t="s">
        <v>2817</v>
      </c>
      <c r="S40" t="s">
        <v>2818</v>
      </c>
      <c r="T40" t="s">
        <v>533</v>
      </c>
      <c r="V40" t="s">
        <v>533</v>
      </c>
      <c r="W40" t="s">
        <v>533</v>
      </c>
      <c r="Y40" t="s">
        <v>533</v>
      </c>
      <c r="Z40" t="s">
        <v>533</v>
      </c>
      <c r="AA40" t="s">
        <v>533</v>
      </c>
      <c r="AC40" t="s">
        <v>533</v>
      </c>
      <c r="AD40" t="s">
        <v>533</v>
      </c>
      <c r="AF40" t="s">
        <v>533</v>
      </c>
      <c r="AH40" t="s">
        <v>533</v>
      </c>
      <c r="AI40" t="s">
        <v>533</v>
      </c>
      <c r="AJ40" t="s">
        <v>533</v>
      </c>
      <c r="AL40" t="s">
        <v>533</v>
      </c>
      <c r="AM40" t="s">
        <v>533</v>
      </c>
      <c r="AN40" t="s">
        <v>2819</v>
      </c>
      <c r="AO40" t="s">
        <v>533</v>
      </c>
      <c r="AP40" t="s">
        <v>533</v>
      </c>
      <c r="AS40" t="s">
        <v>533</v>
      </c>
      <c r="AT40" t="s">
        <v>533</v>
      </c>
      <c r="AU40" t="s">
        <v>2820</v>
      </c>
      <c r="AV40" t="s">
        <v>533</v>
      </c>
      <c r="AW40" t="s">
        <v>533</v>
      </c>
      <c r="AY40" t="s">
        <v>2821</v>
      </c>
      <c r="AZ40" t="s">
        <v>533</v>
      </c>
      <c r="BC40" t="s">
        <v>533</v>
      </c>
      <c r="BD40" t="s">
        <v>2822</v>
      </c>
      <c r="BE40" t="s">
        <v>533</v>
      </c>
      <c r="BG40" t="s">
        <v>685</v>
      </c>
      <c r="BH40" t="s">
        <v>2823</v>
      </c>
    </row>
    <row r="41" spans="1:60" x14ac:dyDescent="0.35">
      <c r="A41" t="s">
        <v>533</v>
      </c>
      <c r="B41" t="s">
        <v>533</v>
      </c>
      <c r="C41" t="s">
        <v>533</v>
      </c>
      <c r="F41" t="s">
        <v>533</v>
      </c>
      <c r="G41" t="s">
        <v>533</v>
      </c>
      <c r="I41" t="s">
        <v>533</v>
      </c>
      <c r="J41" t="s">
        <v>2824</v>
      </c>
      <c r="K41" t="s">
        <v>533</v>
      </c>
      <c r="L41" t="s">
        <v>533</v>
      </c>
      <c r="M41" t="s">
        <v>533</v>
      </c>
      <c r="P41" t="s">
        <v>2825</v>
      </c>
      <c r="R41" t="s">
        <v>2826</v>
      </c>
      <c r="S41" t="s">
        <v>2827</v>
      </c>
      <c r="T41" t="s">
        <v>533</v>
      </c>
      <c r="V41" t="s">
        <v>533</v>
      </c>
      <c r="W41" t="s">
        <v>533</v>
      </c>
      <c r="Y41" t="s">
        <v>533</v>
      </c>
      <c r="Z41" t="s">
        <v>533</v>
      </c>
      <c r="AA41" t="s">
        <v>533</v>
      </c>
      <c r="AC41" t="s">
        <v>533</v>
      </c>
      <c r="AD41" t="s">
        <v>533</v>
      </c>
      <c r="AF41" t="s">
        <v>533</v>
      </c>
      <c r="AH41" t="s">
        <v>533</v>
      </c>
      <c r="AI41" t="s">
        <v>533</v>
      </c>
      <c r="AJ41" t="s">
        <v>533</v>
      </c>
      <c r="AL41" t="s">
        <v>533</v>
      </c>
      <c r="AM41" t="s">
        <v>533</v>
      </c>
      <c r="AN41" t="s">
        <v>2828</v>
      </c>
      <c r="AO41" t="s">
        <v>533</v>
      </c>
      <c r="AP41" t="s">
        <v>533</v>
      </c>
      <c r="AS41" t="s">
        <v>533</v>
      </c>
      <c r="AT41" t="s">
        <v>533</v>
      </c>
      <c r="AU41" t="s">
        <v>2829</v>
      </c>
      <c r="AV41" t="s">
        <v>533</v>
      </c>
      <c r="AW41" t="s">
        <v>533</v>
      </c>
      <c r="AY41" t="s">
        <v>2830</v>
      </c>
      <c r="AZ41" t="s">
        <v>533</v>
      </c>
      <c r="BC41" t="s">
        <v>533</v>
      </c>
      <c r="BD41" t="s">
        <v>2831</v>
      </c>
      <c r="BE41" t="s">
        <v>533</v>
      </c>
      <c r="BG41" t="s">
        <v>678</v>
      </c>
      <c r="BH41" t="s">
        <v>2832</v>
      </c>
    </row>
    <row r="42" spans="1:60" x14ac:dyDescent="0.35">
      <c r="A42" t="s">
        <v>533</v>
      </c>
      <c r="B42" t="s">
        <v>533</v>
      </c>
      <c r="C42" t="s">
        <v>533</v>
      </c>
      <c r="F42" t="s">
        <v>533</v>
      </c>
      <c r="G42" t="s">
        <v>533</v>
      </c>
      <c r="I42" t="s">
        <v>533</v>
      </c>
      <c r="J42" t="s">
        <v>2833</v>
      </c>
      <c r="K42" t="s">
        <v>533</v>
      </c>
      <c r="L42" t="s">
        <v>533</v>
      </c>
      <c r="M42" t="s">
        <v>533</v>
      </c>
      <c r="P42" t="s">
        <v>2834</v>
      </c>
      <c r="R42" t="s">
        <v>2835</v>
      </c>
      <c r="S42" t="s">
        <v>2836</v>
      </c>
      <c r="T42" t="s">
        <v>533</v>
      </c>
      <c r="V42" t="s">
        <v>533</v>
      </c>
      <c r="W42" t="s">
        <v>533</v>
      </c>
      <c r="Y42" t="s">
        <v>533</v>
      </c>
      <c r="Z42" t="s">
        <v>533</v>
      </c>
      <c r="AA42" t="s">
        <v>533</v>
      </c>
      <c r="AC42" t="s">
        <v>533</v>
      </c>
      <c r="AD42" t="s">
        <v>533</v>
      </c>
      <c r="AF42" t="s">
        <v>533</v>
      </c>
      <c r="AH42" t="s">
        <v>533</v>
      </c>
      <c r="AI42" t="s">
        <v>533</v>
      </c>
      <c r="AJ42" t="s">
        <v>533</v>
      </c>
      <c r="AL42" t="s">
        <v>533</v>
      </c>
      <c r="AM42" t="s">
        <v>533</v>
      </c>
      <c r="AN42" t="s">
        <v>2837</v>
      </c>
      <c r="AO42" t="s">
        <v>533</v>
      </c>
      <c r="AP42" t="s">
        <v>533</v>
      </c>
      <c r="AQ42" t="s">
        <v>533</v>
      </c>
      <c r="AS42" t="s">
        <v>533</v>
      </c>
      <c r="AT42" t="s">
        <v>533</v>
      </c>
      <c r="AU42" t="s">
        <v>2838</v>
      </c>
      <c r="AV42" t="s">
        <v>533</v>
      </c>
      <c r="AW42" t="s">
        <v>533</v>
      </c>
      <c r="AY42" t="s">
        <v>2839</v>
      </c>
      <c r="AZ42" t="s">
        <v>533</v>
      </c>
      <c r="BC42" t="s">
        <v>533</v>
      </c>
      <c r="BD42" t="s">
        <v>2840</v>
      </c>
      <c r="BE42" t="s">
        <v>533</v>
      </c>
      <c r="BG42" t="s">
        <v>703</v>
      </c>
      <c r="BH42" t="s">
        <v>2841</v>
      </c>
    </row>
    <row r="43" spans="1:60" x14ac:dyDescent="0.35">
      <c r="A43" t="s">
        <v>533</v>
      </c>
      <c r="B43" t="s">
        <v>533</v>
      </c>
      <c r="C43" t="s">
        <v>533</v>
      </c>
      <c r="F43" t="s">
        <v>533</v>
      </c>
      <c r="G43" t="s">
        <v>533</v>
      </c>
      <c r="I43" t="s">
        <v>533</v>
      </c>
      <c r="J43" t="s">
        <v>2842</v>
      </c>
      <c r="K43" t="s">
        <v>533</v>
      </c>
      <c r="L43" t="s">
        <v>533</v>
      </c>
      <c r="M43" t="s">
        <v>533</v>
      </c>
      <c r="R43" t="s">
        <v>2843</v>
      </c>
      <c r="S43" t="s">
        <v>2844</v>
      </c>
      <c r="T43" t="s">
        <v>533</v>
      </c>
      <c r="V43" t="s">
        <v>533</v>
      </c>
      <c r="W43" t="s">
        <v>533</v>
      </c>
      <c r="Y43" t="s">
        <v>533</v>
      </c>
      <c r="Z43" t="s">
        <v>533</v>
      </c>
      <c r="AA43" t="s">
        <v>533</v>
      </c>
      <c r="AC43" t="s">
        <v>533</v>
      </c>
      <c r="AD43" t="s">
        <v>533</v>
      </c>
      <c r="AF43" t="s">
        <v>533</v>
      </c>
      <c r="AH43" t="s">
        <v>533</v>
      </c>
      <c r="AI43" t="s">
        <v>533</v>
      </c>
      <c r="AJ43" t="s">
        <v>533</v>
      </c>
      <c r="AL43" t="s">
        <v>533</v>
      </c>
      <c r="AM43" t="s">
        <v>533</v>
      </c>
      <c r="AN43" t="s">
        <v>2845</v>
      </c>
      <c r="AO43" t="s">
        <v>533</v>
      </c>
      <c r="AP43" t="s">
        <v>533</v>
      </c>
      <c r="AQ43" t="s">
        <v>533</v>
      </c>
      <c r="AS43" t="s">
        <v>533</v>
      </c>
      <c r="AT43" t="s">
        <v>533</v>
      </c>
      <c r="AU43" t="s">
        <v>2846</v>
      </c>
      <c r="AV43" t="s">
        <v>533</v>
      </c>
      <c r="AW43" t="s">
        <v>533</v>
      </c>
      <c r="AY43" t="s">
        <v>2847</v>
      </c>
      <c r="AZ43" t="s">
        <v>533</v>
      </c>
      <c r="BC43" t="s">
        <v>533</v>
      </c>
      <c r="BD43" t="s">
        <v>2848</v>
      </c>
      <c r="BE43" t="s">
        <v>533</v>
      </c>
      <c r="BG43" t="s">
        <v>476</v>
      </c>
      <c r="BH43" t="s">
        <v>2849</v>
      </c>
    </row>
    <row r="44" spans="1:60" x14ac:dyDescent="0.35">
      <c r="A44" t="s">
        <v>533</v>
      </c>
      <c r="B44" t="s">
        <v>533</v>
      </c>
      <c r="C44" t="s">
        <v>533</v>
      </c>
      <c r="F44" t="s">
        <v>533</v>
      </c>
      <c r="G44" t="s">
        <v>533</v>
      </c>
      <c r="I44" t="s">
        <v>533</v>
      </c>
      <c r="J44" t="s">
        <v>2850</v>
      </c>
      <c r="K44" t="s">
        <v>533</v>
      </c>
      <c r="L44" t="s">
        <v>533</v>
      </c>
      <c r="M44" t="s">
        <v>533</v>
      </c>
      <c r="P44" t="s">
        <v>533</v>
      </c>
      <c r="R44" t="s">
        <v>2851</v>
      </c>
      <c r="S44" t="s">
        <v>2852</v>
      </c>
      <c r="T44" t="s">
        <v>533</v>
      </c>
      <c r="V44" t="s">
        <v>533</v>
      </c>
      <c r="W44" t="s">
        <v>533</v>
      </c>
      <c r="Y44" t="s">
        <v>533</v>
      </c>
      <c r="Z44" t="s">
        <v>533</v>
      </c>
      <c r="AA44" t="s">
        <v>533</v>
      </c>
      <c r="AC44" t="s">
        <v>533</v>
      </c>
      <c r="AD44" t="s">
        <v>533</v>
      </c>
      <c r="AF44" t="s">
        <v>533</v>
      </c>
      <c r="AH44" t="s">
        <v>533</v>
      </c>
      <c r="AI44" t="s">
        <v>533</v>
      </c>
      <c r="AJ44" t="s">
        <v>533</v>
      </c>
      <c r="AL44" t="s">
        <v>533</v>
      </c>
      <c r="AM44" t="s">
        <v>533</v>
      </c>
      <c r="AN44" t="s">
        <v>2853</v>
      </c>
      <c r="AO44" t="s">
        <v>533</v>
      </c>
      <c r="AP44" t="s">
        <v>533</v>
      </c>
      <c r="AQ44" t="s">
        <v>533</v>
      </c>
      <c r="AS44" t="s">
        <v>533</v>
      </c>
      <c r="AT44" t="s">
        <v>533</v>
      </c>
      <c r="AU44" t="s">
        <v>2854</v>
      </c>
      <c r="AY44" t="s">
        <v>2855</v>
      </c>
      <c r="AZ44" t="s">
        <v>533</v>
      </c>
      <c r="BC44" t="s">
        <v>533</v>
      </c>
      <c r="BD44" t="s">
        <v>2856</v>
      </c>
      <c r="BE44" t="s">
        <v>533</v>
      </c>
      <c r="BG44" t="s">
        <v>523</v>
      </c>
      <c r="BH44" t="s">
        <v>2857</v>
      </c>
    </row>
    <row r="45" spans="1:60" x14ac:dyDescent="0.35">
      <c r="A45" t="s">
        <v>533</v>
      </c>
      <c r="B45" t="s">
        <v>533</v>
      </c>
      <c r="C45" t="s">
        <v>533</v>
      </c>
      <c r="F45" t="s">
        <v>533</v>
      </c>
      <c r="G45" t="s">
        <v>533</v>
      </c>
      <c r="I45" t="s">
        <v>533</v>
      </c>
      <c r="J45" t="s">
        <v>2858</v>
      </c>
      <c r="K45" t="s">
        <v>533</v>
      </c>
      <c r="L45" t="s">
        <v>533</v>
      </c>
      <c r="M45" t="s">
        <v>533</v>
      </c>
      <c r="P45" t="s">
        <v>533</v>
      </c>
      <c r="R45" t="s">
        <v>2859</v>
      </c>
      <c r="S45" t="s">
        <v>2860</v>
      </c>
      <c r="T45" t="s">
        <v>533</v>
      </c>
      <c r="V45" t="s">
        <v>533</v>
      </c>
      <c r="W45" t="s">
        <v>533</v>
      </c>
      <c r="Y45" t="s">
        <v>533</v>
      </c>
      <c r="Z45" t="s">
        <v>533</v>
      </c>
      <c r="AA45" t="s">
        <v>533</v>
      </c>
      <c r="AC45" t="s">
        <v>533</v>
      </c>
      <c r="AD45" t="s">
        <v>533</v>
      </c>
      <c r="AF45" t="s">
        <v>533</v>
      </c>
      <c r="AH45" t="s">
        <v>533</v>
      </c>
      <c r="AI45" t="s">
        <v>533</v>
      </c>
      <c r="AJ45" t="s">
        <v>533</v>
      </c>
      <c r="AL45" t="s">
        <v>533</v>
      </c>
      <c r="AM45" t="s">
        <v>533</v>
      </c>
      <c r="AN45" t="s">
        <v>2861</v>
      </c>
      <c r="AO45" t="s">
        <v>533</v>
      </c>
      <c r="AP45" t="s">
        <v>533</v>
      </c>
      <c r="AQ45" t="s">
        <v>533</v>
      </c>
      <c r="AS45" t="s">
        <v>533</v>
      </c>
      <c r="AT45" t="s">
        <v>533</v>
      </c>
      <c r="AU45" t="s">
        <v>2862</v>
      </c>
      <c r="AV45" t="s">
        <v>533</v>
      </c>
      <c r="AW45" t="s">
        <v>533</v>
      </c>
      <c r="AY45" t="s">
        <v>2863</v>
      </c>
      <c r="AZ45" t="s">
        <v>533</v>
      </c>
      <c r="BC45" t="s">
        <v>533</v>
      </c>
      <c r="BD45" t="s">
        <v>2864</v>
      </c>
      <c r="BE45" t="s">
        <v>533</v>
      </c>
      <c r="BG45" t="s">
        <v>1976</v>
      </c>
      <c r="BH45" t="s">
        <v>2865</v>
      </c>
    </row>
    <row r="46" spans="1:60" x14ac:dyDescent="0.35">
      <c r="A46" t="s">
        <v>533</v>
      </c>
      <c r="B46" t="s">
        <v>533</v>
      </c>
      <c r="C46" t="s">
        <v>533</v>
      </c>
      <c r="F46" t="s">
        <v>533</v>
      </c>
      <c r="G46" t="s">
        <v>533</v>
      </c>
      <c r="I46" t="s">
        <v>533</v>
      </c>
      <c r="J46" t="s">
        <v>2866</v>
      </c>
      <c r="K46" t="s">
        <v>533</v>
      </c>
      <c r="L46" t="s">
        <v>533</v>
      </c>
      <c r="M46" t="s">
        <v>533</v>
      </c>
      <c r="P46" t="s">
        <v>533</v>
      </c>
      <c r="R46" t="s">
        <v>2867</v>
      </c>
      <c r="S46" t="s">
        <v>2868</v>
      </c>
      <c r="T46" t="s">
        <v>533</v>
      </c>
      <c r="V46" t="s">
        <v>533</v>
      </c>
      <c r="W46" t="s">
        <v>533</v>
      </c>
      <c r="Y46" t="s">
        <v>533</v>
      </c>
      <c r="Z46" t="s">
        <v>533</v>
      </c>
      <c r="AA46" t="s">
        <v>533</v>
      </c>
      <c r="AC46" t="s">
        <v>533</v>
      </c>
      <c r="AD46" t="s">
        <v>533</v>
      </c>
      <c r="AF46" t="s">
        <v>533</v>
      </c>
      <c r="AH46" t="s">
        <v>533</v>
      </c>
      <c r="AI46" t="s">
        <v>533</v>
      </c>
      <c r="AJ46" t="s">
        <v>533</v>
      </c>
      <c r="AL46" t="s">
        <v>533</v>
      </c>
      <c r="AM46" t="s">
        <v>533</v>
      </c>
      <c r="AN46" t="s">
        <v>2869</v>
      </c>
      <c r="AO46" t="s">
        <v>533</v>
      </c>
      <c r="AP46" t="s">
        <v>533</v>
      </c>
      <c r="AQ46" t="s">
        <v>533</v>
      </c>
      <c r="AS46" t="s">
        <v>533</v>
      </c>
      <c r="AT46" t="s">
        <v>533</v>
      </c>
      <c r="AV46" t="s">
        <v>533</v>
      </c>
      <c r="AW46" t="s">
        <v>533</v>
      </c>
      <c r="AY46" t="s">
        <v>2870</v>
      </c>
      <c r="AZ46" t="s">
        <v>533</v>
      </c>
      <c r="BC46" t="s">
        <v>533</v>
      </c>
      <c r="BD46" t="s">
        <v>2871</v>
      </c>
      <c r="BE46" t="s">
        <v>533</v>
      </c>
      <c r="BG46" t="s">
        <v>693</v>
      </c>
      <c r="BH46" t="s">
        <v>2872</v>
      </c>
    </row>
    <row r="47" spans="1:60" x14ac:dyDescent="0.35">
      <c r="A47" t="s">
        <v>533</v>
      </c>
      <c r="B47" t="s">
        <v>533</v>
      </c>
      <c r="C47" t="s">
        <v>533</v>
      </c>
      <c r="F47" t="s">
        <v>533</v>
      </c>
      <c r="G47" t="s">
        <v>533</v>
      </c>
      <c r="I47" t="s">
        <v>533</v>
      </c>
      <c r="J47" t="s">
        <v>2873</v>
      </c>
      <c r="K47" t="s">
        <v>533</v>
      </c>
      <c r="L47" t="s">
        <v>533</v>
      </c>
      <c r="M47" t="s">
        <v>533</v>
      </c>
      <c r="P47" t="s">
        <v>533</v>
      </c>
      <c r="R47" t="s">
        <v>2874</v>
      </c>
      <c r="S47" t="s">
        <v>2875</v>
      </c>
      <c r="T47" t="s">
        <v>533</v>
      </c>
      <c r="V47" t="s">
        <v>533</v>
      </c>
      <c r="W47" t="s">
        <v>533</v>
      </c>
      <c r="Y47" t="s">
        <v>533</v>
      </c>
      <c r="Z47" t="s">
        <v>533</v>
      </c>
      <c r="AA47" t="s">
        <v>533</v>
      </c>
      <c r="AC47" t="s">
        <v>533</v>
      </c>
      <c r="AD47" t="s">
        <v>533</v>
      </c>
      <c r="AF47" t="s">
        <v>533</v>
      </c>
      <c r="AH47" t="s">
        <v>533</v>
      </c>
      <c r="AI47" t="s">
        <v>533</v>
      </c>
      <c r="AJ47" t="s">
        <v>533</v>
      </c>
      <c r="AL47" t="s">
        <v>533</v>
      </c>
      <c r="AM47" t="s">
        <v>533</v>
      </c>
      <c r="AN47" t="s">
        <v>2876</v>
      </c>
      <c r="AO47" t="s">
        <v>533</v>
      </c>
      <c r="AP47" t="s">
        <v>533</v>
      </c>
      <c r="AQ47" t="s">
        <v>533</v>
      </c>
      <c r="AS47" t="s">
        <v>533</v>
      </c>
      <c r="AT47" t="s">
        <v>533</v>
      </c>
      <c r="AV47" t="s">
        <v>533</v>
      </c>
      <c r="AW47" t="s">
        <v>533</v>
      </c>
      <c r="AY47" t="s">
        <v>2877</v>
      </c>
      <c r="AZ47" t="s">
        <v>533</v>
      </c>
      <c r="BC47" t="s">
        <v>533</v>
      </c>
      <c r="BD47" t="s">
        <v>2878</v>
      </c>
      <c r="BE47" t="s">
        <v>533</v>
      </c>
      <c r="BG47" t="s">
        <v>676</v>
      </c>
      <c r="BH47" t="s">
        <v>2879</v>
      </c>
    </row>
    <row r="48" spans="1:60" x14ac:dyDescent="0.35">
      <c r="A48" t="s">
        <v>533</v>
      </c>
      <c r="B48" t="s">
        <v>533</v>
      </c>
      <c r="C48" t="s">
        <v>533</v>
      </c>
      <c r="F48" t="s">
        <v>533</v>
      </c>
      <c r="G48" t="s">
        <v>533</v>
      </c>
      <c r="I48" t="s">
        <v>533</v>
      </c>
      <c r="J48" t="s">
        <v>2880</v>
      </c>
      <c r="K48" t="s">
        <v>533</v>
      </c>
      <c r="L48" t="s">
        <v>533</v>
      </c>
      <c r="M48" t="s">
        <v>533</v>
      </c>
      <c r="P48" t="s">
        <v>533</v>
      </c>
      <c r="R48" t="s">
        <v>2881</v>
      </c>
      <c r="S48" t="s">
        <v>2882</v>
      </c>
      <c r="T48" t="s">
        <v>533</v>
      </c>
      <c r="V48" t="s">
        <v>533</v>
      </c>
      <c r="W48" t="s">
        <v>533</v>
      </c>
      <c r="Y48" t="s">
        <v>533</v>
      </c>
      <c r="Z48" t="s">
        <v>533</v>
      </c>
      <c r="AA48" t="s">
        <v>533</v>
      </c>
      <c r="AC48" t="s">
        <v>533</v>
      </c>
      <c r="AD48" t="s">
        <v>533</v>
      </c>
      <c r="AF48" t="s">
        <v>533</v>
      </c>
      <c r="AH48" t="s">
        <v>533</v>
      </c>
      <c r="AI48" t="s">
        <v>533</v>
      </c>
      <c r="AJ48" t="s">
        <v>533</v>
      </c>
      <c r="AL48" t="s">
        <v>533</v>
      </c>
      <c r="AM48" t="s">
        <v>533</v>
      </c>
      <c r="AN48" t="s">
        <v>2883</v>
      </c>
      <c r="AO48" t="s">
        <v>533</v>
      </c>
      <c r="AP48" t="s">
        <v>533</v>
      </c>
      <c r="AQ48" t="s">
        <v>533</v>
      </c>
      <c r="AS48" t="s">
        <v>533</v>
      </c>
      <c r="AT48" t="s">
        <v>533</v>
      </c>
      <c r="AU48" t="s">
        <v>533</v>
      </c>
      <c r="AV48" t="s">
        <v>533</v>
      </c>
      <c r="AW48" t="s">
        <v>533</v>
      </c>
      <c r="AY48" t="s">
        <v>2884</v>
      </c>
      <c r="AZ48" t="s">
        <v>533</v>
      </c>
      <c r="BC48" t="s">
        <v>533</v>
      </c>
      <c r="BD48" t="s">
        <v>2885</v>
      </c>
      <c r="BE48" t="s">
        <v>533</v>
      </c>
      <c r="BG48" t="s">
        <v>686</v>
      </c>
      <c r="BH48" t="s">
        <v>2886</v>
      </c>
    </row>
    <row r="49" spans="1:60" x14ac:dyDescent="0.35">
      <c r="A49" t="s">
        <v>533</v>
      </c>
      <c r="B49" t="s">
        <v>533</v>
      </c>
      <c r="C49" t="s">
        <v>533</v>
      </c>
      <c r="F49" t="s">
        <v>533</v>
      </c>
      <c r="G49" t="s">
        <v>533</v>
      </c>
      <c r="I49" t="s">
        <v>533</v>
      </c>
      <c r="J49" t="s">
        <v>2887</v>
      </c>
      <c r="K49" t="s">
        <v>533</v>
      </c>
      <c r="L49" t="s">
        <v>533</v>
      </c>
      <c r="M49" t="s">
        <v>533</v>
      </c>
      <c r="P49" t="s">
        <v>533</v>
      </c>
      <c r="R49" t="s">
        <v>533</v>
      </c>
      <c r="S49" t="s">
        <v>2888</v>
      </c>
      <c r="T49" t="s">
        <v>533</v>
      </c>
      <c r="V49" t="s">
        <v>533</v>
      </c>
      <c r="W49" t="s">
        <v>533</v>
      </c>
      <c r="Y49" t="s">
        <v>533</v>
      </c>
      <c r="Z49" t="s">
        <v>533</v>
      </c>
      <c r="AA49" t="s">
        <v>533</v>
      </c>
      <c r="AC49" t="s">
        <v>533</v>
      </c>
      <c r="AD49" t="s">
        <v>533</v>
      </c>
      <c r="AF49" t="s">
        <v>533</v>
      </c>
      <c r="AH49" t="s">
        <v>533</v>
      </c>
      <c r="AI49" t="s">
        <v>533</v>
      </c>
      <c r="AJ49" t="s">
        <v>533</v>
      </c>
      <c r="AL49" t="s">
        <v>533</v>
      </c>
      <c r="AM49" t="s">
        <v>533</v>
      </c>
      <c r="AN49" t="s">
        <v>2889</v>
      </c>
      <c r="AO49" t="s">
        <v>533</v>
      </c>
      <c r="AP49" t="s">
        <v>533</v>
      </c>
      <c r="AQ49" t="s">
        <v>533</v>
      </c>
      <c r="AS49" t="s">
        <v>533</v>
      </c>
      <c r="AT49" t="s">
        <v>533</v>
      </c>
      <c r="AU49" t="s">
        <v>533</v>
      </c>
      <c r="AV49" t="s">
        <v>533</v>
      </c>
      <c r="AW49" t="s">
        <v>533</v>
      </c>
      <c r="AY49" t="s">
        <v>2890</v>
      </c>
      <c r="AZ49" t="s">
        <v>533</v>
      </c>
      <c r="BC49" t="s">
        <v>533</v>
      </c>
      <c r="BD49" t="s">
        <v>2891</v>
      </c>
      <c r="BE49" t="s">
        <v>533</v>
      </c>
      <c r="BG49" t="s">
        <v>689</v>
      </c>
      <c r="BH49" t="s">
        <v>2892</v>
      </c>
    </row>
    <row r="50" spans="1:60" x14ac:dyDescent="0.35">
      <c r="A50" t="s">
        <v>533</v>
      </c>
      <c r="B50" t="s">
        <v>533</v>
      </c>
      <c r="C50" t="s">
        <v>533</v>
      </c>
      <c r="F50" t="s">
        <v>533</v>
      </c>
      <c r="G50" t="s">
        <v>533</v>
      </c>
      <c r="I50" t="s">
        <v>533</v>
      </c>
      <c r="J50" t="s">
        <v>2893</v>
      </c>
      <c r="K50" t="s">
        <v>533</v>
      </c>
      <c r="L50" t="s">
        <v>533</v>
      </c>
      <c r="M50" t="s">
        <v>533</v>
      </c>
      <c r="P50" t="s">
        <v>533</v>
      </c>
      <c r="R50" t="s">
        <v>533</v>
      </c>
      <c r="S50" t="s">
        <v>2894</v>
      </c>
      <c r="T50" t="s">
        <v>533</v>
      </c>
      <c r="V50" t="s">
        <v>533</v>
      </c>
      <c r="W50" t="s">
        <v>533</v>
      </c>
      <c r="Y50" t="s">
        <v>533</v>
      </c>
      <c r="Z50" t="s">
        <v>533</v>
      </c>
      <c r="AA50" t="s">
        <v>533</v>
      </c>
      <c r="AC50" t="s">
        <v>533</v>
      </c>
      <c r="AD50" t="s">
        <v>533</v>
      </c>
      <c r="AF50" t="s">
        <v>533</v>
      </c>
      <c r="AH50" t="s">
        <v>533</v>
      </c>
      <c r="AI50" t="s">
        <v>533</v>
      </c>
      <c r="AJ50" t="s">
        <v>533</v>
      </c>
      <c r="AL50" t="s">
        <v>533</v>
      </c>
      <c r="AM50" t="s">
        <v>533</v>
      </c>
      <c r="AN50" t="s">
        <v>2895</v>
      </c>
      <c r="AO50" t="s">
        <v>533</v>
      </c>
      <c r="AP50" t="s">
        <v>533</v>
      </c>
      <c r="AQ50" t="s">
        <v>533</v>
      </c>
      <c r="AS50" t="s">
        <v>533</v>
      </c>
      <c r="AT50" t="s">
        <v>533</v>
      </c>
      <c r="AU50" t="s">
        <v>533</v>
      </c>
      <c r="AV50" t="s">
        <v>533</v>
      </c>
      <c r="AW50" t="s">
        <v>533</v>
      </c>
      <c r="AZ50" t="s">
        <v>533</v>
      </c>
      <c r="BC50" t="s">
        <v>533</v>
      </c>
      <c r="BD50" t="s">
        <v>2896</v>
      </c>
      <c r="BE50" t="s">
        <v>533</v>
      </c>
      <c r="BG50" t="s">
        <v>682</v>
      </c>
      <c r="BH50" t="s">
        <v>2897</v>
      </c>
    </row>
    <row r="51" spans="1:60" x14ac:dyDescent="0.35">
      <c r="A51" t="s">
        <v>533</v>
      </c>
      <c r="B51" t="s">
        <v>533</v>
      </c>
      <c r="C51" t="s">
        <v>533</v>
      </c>
      <c r="F51" t="s">
        <v>533</v>
      </c>
      <c r="G51" t="s">
        <v>533</v>
      </c>
      <c r="I51" t="s">
        <v>533</v>
      </c>
      <c r="J51" t="s">
        <v>2898</v>
      </c>
      <c r="K51" t="s">
        <v>533</v>
      </c>
      <c r="L51" t="s">
        <v>533</v>
      </c>
      <c r="M51" t="s">
        <v>533</v>
      </c>
      <c r="P51" t="s">
        <v>533</v>
      </c>
      <c r="R51" t="s">
        <v>533</v>
      </c>
      <c r="S51" t="s">
        <v>2899</v>
      </c>
      <c r="T51" t="s">
        <v>533</v>
      </c>
      <c r="V51" t="s">
        <v>533</v>
      </c>
      <c r="W51" t="s">
        <v>533</v>
      </c>
      <c r="Y51" t="s">
        <v>533</v>
      </c>
      <c r="Z51" t="s">
        <v>533</v>
      </c>
      <c r="AA51" t="s">
        <v>533</v>
      </c>
      <c r="AC51" t="s">
        <v>533</v>
      </c>
      <c r="AD51" t="s">
        <v>533</v>
      </c>
      <c r="AF51" t="s">
        <v>533</v>
      </c>
      <c r="AH51" t="s">
        <v>533</v>
      </c>
      <c r="AI51" t="s">
        <v>533</v>
      </c>
      <c r="AJ51" t="s">
        <v>533</v>
      </c>
      <c r="AL51" t="s">
        <v>533</v>
      </c>
      <c r="AM51" t="s">
        <v>533</v>
      </c>
      <c r="AN51" t="s">
        <v>2900</v>
      </c>
      <c r="AO51" t="s">
        <v>533</v>
      </c>
      <c r="AP51" t="s">
        <v>533</v>
      </c>
      <c r="AQ51" t="s">
        <v>533</v>
      </c>
      <c r="AS51" t="s">
        <v>533</v>
      </c>
      <c r="AT51" t="s">
        <v>533</v>
      </c>
      <c r="AU51" t="s">
        <v>533</v>
      </c>
      <c r="AV51" t="s">
        <v>533</v>
      </c>
      <c r="AW51" t="s">
        <v>533</v>
      </c>
      <c r="AZ51" t="s">
        <v>533</v>
      </c>
      <c r="BC51" t="s">
        <v>533</v>
      </c>
      <c r="BD51" t="s">
        <v>2901</v>
      </c>
      <c r="BE51" t="s">
        <v>533</v>
      </c>
      <c r="BG51" t="s">
        <v>1977</v>
      </c>
      <c r="BH51" t="s">
        <v>2902</v>
      </c>
    </row>
    <row r="52" spans="1:60" x14ac:dyDescent="0.35">
      <c r="A52" t="s">
        <v>533</v>
      </c>
      <c r="B52" t="s">
        <v>533</v>
      </c>
      <c r="C52" t="s">
        <v>533</v>
      </c>
      <c r="F52" t="s">
        <v>533</v>
      </c>
      <c r="G52" t="s">
        <v>533</v>
      </c>
      <c r="I52" t="s">
        <v>533</v>
      </c>
      <c r="J52" t="s">
        <v>2903</v>
      </c>
      <c r="K52" t="s">
        <v>533</v>
      </c>
      <c r="L52" t="s">
        <v>533</v>
      </c>
      <c r="M52" t="s">
        <v>533</v>
      </c>
      <c r="P52" t="s">
        <v>533</v>
      </c>
      <c r="R52" t="s">
        <v>533</v>
      </c>
      <c r="S52" t="s">
        <v>2904</v>
      </c>
      <c r="T52" t="s">
        <v>533</v>
      </c>
      <c r="V52" t="s">
        <v>533</v>
      </c>
      <c r="W52" t="s">
        <v>533</v>
      </c>
      <c r="Y52" t="s">
        <v>533</v>
      </c>
      <c r="Z52" t="s">
        <v>533</v>
      </c>
      <c r="AA52" t="s">
        <v>533</v>
      </c>
      <c r="AC52" t="s">
        <v>533</v>
      </c>
      <c r="AD52" t="s">
        <v>533</v>
      </c>
      <c r="AF52" t="s">
        <v>533</v>
      </c>
      <c r="AH52" t="s">
        <v>533</v>
      </c>
      <c r="AI52" t="s">
        <v>533</v>
      </c>
      <c r="AJ52" t="s">
        <v>533</v>
      </c>
      <c r="AL52" t="s">
        <v>533</v>
      </c>
      <c r="AM52" t="s">
        <v>533</v>
      </c>
      <c r="AN52" t="s">
        <v>2905</v>
      </c>
      <c r="AO52" t="s">
        <v>533</v>
      </c>
      <c r="AP52" t="s">
        <v>533</v>
      </c>
      <c r="AQ52" t="s">
        <v>533</v>
      </c>
      <c r="AS52" t="s">
        <v>533</v>
      </c>
      <c r="AT52" t="s">
        <v>533</v>
      </c>
      <c r="AU52" t="s">
        <v>533</v>
      </c>
      <c r="AV52" t="s">
        <v>533</v>
      </c>
      <c r="AW52" t="s">
        <v>533</v>
      </c>
      <c r="AZ52" t="s">
        <v>533</v>
      </c>
      <c r="BC52" t="s">
        <v>533</v>
      </c>
      <c r="BD52" t="s">
        <v>2906</v>
      </c>
      <c r="BE52" t="s">
        <v>533</v>
      </c>
      <c r="BG52" t="s">
        <v>513</v>
      </c>
      <c r="BH52" t="s">
        <v>2907</v>
      </c>
    </row>
    <row r="53" spans="1:60" x14ac:dyDescent="0.35">
      <c r="A53" t="s">
        <v>533</v>
      </c>
      <c r="B53" t="s">
        <v>533</v>
      </c>
      <c r="C53" t="s">
        <v>533</v>
      </c>
      <c r="F53" t="s">
        <v>533</v>
      </c>
      <c r="G53" t="s">
        <v>533</v>
      </c>
      <c r="I53" t="s">
        <v>533</v>
      </c>
      <c r="J53" t="s">
        <v>2908</v>
      </c>
      <c r="K53" t="s">
        <v>533</v>
      </c>
      <c r="L53" t="s">
        <v>533</v>
      </c>
      <c r="M53" t="s">
        <v>533</v>
      </c>
      <c r="P53" t="s">
        <v>533</v>
      </c>
      <c r="R53" t="s">
        <v>533</v>
      </c>
      <c r="S53" t="s">
        <v>2909</v>
      </c>
      <c r="T53" t="s">
        <v>533</v>
      </c>
      <c r="V53" t="s">
        <v>533</v>
      </c>
      <c r="W53" t="s">
        <v>533</v>
      </c>
      <c r="Y53" t="s">
        <v>533</v>
      </c>
      <c r="Z53" t="s">
        <v>533</v>
      </c>
      <c r="AA53" t="s">
        <v>533</v>
      </c>
      <c r="AC53" t="s">
        <v>533</v>
      </c>
      <c r="AD53" t="s">
        <v>533</v>
      </c>
      <c r="AF53" t="s">
        <v>533</v>
      </c>
      <c r="AH53" t="s">
        <v>533</v>
      </c>
      <c r="AI53" t="s">
        <v>533</v>
      </c>
      <c r="AJ53" t="s">
        <v>533</v>
      </c>
      <c r="AL53" t="s">
        <v>533</v>
      </c>
      <c r="AM53" t="s">
        <v>533</v>
      </c>
      <c r="AO53" t="s">
        <v>533</v>
      </c>
      <c r="AP53" t="s">
        <v>533</v>
      </c>
      <c r="AQ53" t="s">
        <v>533</v>
      </c>
      <c r="AS53" t="s">
        <v>533</v>
      </c>
      <c r="AT53" t="s">
        <v>533</v>
      </c>
      <c r="AU53" t="s">
        <v>533</v>
      </c>
      <c r="AV53" t="s">
        <v>533</v>
      </c>
      <c r="AW53" t="s">
        <v>533</v>
      </c>
      <c r="AZ53" t="s">
        <v>533</v>
      </c>
      <c r="BC53" t="s">
        <v>533</v>
      </c>
      <c r="BD53" t="s">
        <v>2910</v>
      </c>
      <c r="BE53" t="s">
        <v>533</v>
      </c>
      <c r="BG53" t="s">
        <v>679</v>
      </c>
      <c r="BH53" t="s">
        <v>2911</v>
      </c>
    </row>
    <row r="54" spans="1:60" x14ac:dyDescent="0.35">
      <c r="A54" t="s">
        <v>533</v>
      </c>
      <c r="B54" t="s">
        <v>533</v>
      </c>
      <c r="C54" t="s">
        <v>533</v>
      </c>
      <c r="F54" t="s">
        <v>533</v>
      </c>
      <c r="G54" t="s">
        <v>533</v>
      </c>
      <c r="I54" t="s">
        <v>533</v>
      </c>
      <c r="J54" t="s">
        <v>2912</v>
      </c>
      <c r="K54" t="s">
        <v>533</v>
      </c>
      <c r="L54" t="s">
        <v>533</v>
      </c>
      <c r="M54" t="s">
        <v>533</v>
      </c>
      <c r="P54" t="s">
        <v>533</v>
      </c>
      <c r="R54" t="s">
        <v>533</v>
      </c>
      <c r="S54" t="s">
        <v>2913</v>
      </c>
      <c r="T54" t="s">
        <v>533</v>
      </c>
      <c r="V54" t="s">
        <v>533</v>
      </c>
      <c r="W54" t="s">
        <v>533</v>
      </c>
      <c r="Y54" t="s">
        <v>533</v>
      </c>
      <c r="Z54" t="s">
        <v>533</v>
      </c>
      <c r="AA54" t="s">
        <v>533</v>
      </c>
      <c r="AC54" t="s">
        <v>533</v>
      </c>
      <c r="AD54" t="s">
        <v>533</v>
      </c>
      <c r="AF54" t="s">
        <v>533</v>
      </c>
      <c r="AH54" t="s">
        <v>533</v>
      </c>
      <c r="AI54" t="s">
        <v>533</v>
      </c>
      <c r="AJ54" t="s">
        <v>533</v>
      </c>
      <c r="AL54" t="s">
        <v>533</v>
      </c>
      <c r="AM54" t="s">
        <v>533</v>
      </c>
      <c r="AN54" t="s">
        <v>533</v>
      </c>
      <c r="AO54" t="s">
        <v>533</v>
      </c>
      <c r="AP54" t="s">
        <v>533</v>
      </c>
      <c r="AQ54" t="s">
        <v>533</v>
      </c>
      <c r="AS54" t="s">
        <v>533</v>
      </c>
      <c r="AT54" t="s">
        <v>533</v>
      </c>
      <c r="AU54" t="s">
        <v>533</v>
      </c>
      <c r="AV54" t="s">
        <v>533</v>
      </c>
      <c r="AW54" t="s">
        <v>533</v>
      </c>
      <c r="AZ54" t="s">
        <v>533</v>
      </c>
      <c r="BC54" t="s">
        <v>533</v>
      </c>
      <c r="BD54" t="s">
        <v>2914</v>
      </c>
      <c r="BE54" t="s">
        <v>533</v>
      </c>
      <c r="BG54" t="s">
        <v>1978</v>
      </c>
      <c r="BH54" t="s">
        <v>2915</v>
      </c>
    </row>
    <row r="55" spans="1:60" x14ac:dyDescent="0.35">
      <c r="A55" t="s">
        <v>533</v>
      </c>
      <c r="B55" t="s">
        <v>533</v>
      </c>
      <c r="C55" t="s">
        <v>533</v>
      </c>
      <c r="F55" t="s">
        <v>533</v>
      </c>
      <c r="G55" t="s">
        <v>533</v>
      </c>
      <c r="I55" t="s">
        <v>533</v>
      </c>
      <c r="J55" t="s">
        <v>2916</v>
      </c>
      <c r="K55" t="s">
        <v>533</v>
      </c>
      <c r="L55" t="s">
        <v>533</v>
      </c>
      <c r="M55" t="s">
        <v>533</v>
      </c>
      <c r="P55" t="s">
        <v>533</v>
      </c>
      <c r="R55" t="s">
        <v>533</v>
      </c>
      <c r="S55" t="s">
        <v>2917</v>
      </c>
      <c r="T55" t="s">
        <v>533</v>
      </c>
      <c r="V55" t="s">
        <v>533</v>
      </c>
      <c r="W55" t="s">
        <v>533</v>
      </c>
      <c r="Y55" t="s">
        <v>533</v>
      </c>
      <c r="Z55" t="s">
        <v>533</v>
      </c>
      <c r="AA55" t="s">
        <v>533</v>
      </c>
      <c r="AC55" t="s">
        <v>533</v>
      </c>
      <c r="AD55" t="s">
        <v>533</v>
      </c>
      <c r="AF55" t="s">
        <v>533</v>
      </c>
      <c r="AH55" t="s">
        <v>533</v>
      </c>
      <c r="AI55" t="s">
        <v>533</v>
      </c>
      <c r="AJ55" t="s">
        <v>533</v>
      </c>
      <c r="AL55" t="s">
        <v>533</v>
      </c>
      <c r="AM55" t="s">
        <v>533</v>
      </c>
      <c r="AN55" t="s">
        <v>533</v>
      </c>
      <c r="AO55" t="s">
        <v>533</v>
      </c>
      <c r="AP55" t="s">
        <v>533</v>
      </c>
      <c r="AQ55" t="s">
        <v>533</v>
      </c>
      <c r="AS55" t="s">
        <v>533</v>
      </c>
      <c r="AT55" t="s">
        <v>533</v>
      </c>
      <c r="AU55" t="s">
        <v>533</v>
      </c>
      <c r="AV55" t="s">
        <v>533</v>
      </c>
      <c r="AW55" t="s">
        <v>533</v>
      </c>
      <c r="AZ55" t="s">
        <v>533</v>
      </c>
      <c r="BC55" t="s">
        <v>533</v>
      </c>
      <c r="BD55" t="s">
        <v>2918</v>
      </c>
      <c r="BE55" t="s">
        <v>533</v>
      </c>
      <c r="BG55" t="s">
        <v>1979</v>
      </c>
      <c r="BH55" t="s">
        <v>2919</v>
      </c>
    </row>
    <row r="56" spans="1:60" x14ac:dyDescent="0.35">
      <c r="A56" t="s">
        <v>533</v>
      </c>
      <c r="B56" t="s">
        <v>533</v>
      </c>
      <c r="C56" t="s">
        <v>533</v>
      </c>
      <c r="F56" t="s">
        <v>533</v>
      </c>
      <c r="G56" t="s">
        <v>533</v>
      </c>
      <c r="I56" t="s">
        <v>533</v>
      </c>
      <c r="K56" t="s">
        <v>533</v>
      </c>
      <c r="L56" t="s">
        <v>533</v>
      </c>
      <c r="M56" t="s">
        <v>533</v>
      </c>
      <c r="P56" t="s">
        <v>533</v>
      </c>
      <c r="R56" t="s">
        <v>533</v>
      </c>
      <c r="S56" t="s">
        <v>2920</v>
      </c>
      <c r="T56" t="s">
        <v>533</v>
      </c>
      <c r="V56" t="s">
        <v>533</v>
      </c>
      <c r="W56" t="s">
        <v>533</v>
      </c>
      <c r="Y56" t="s">
        <v>533</v>
      </c>
      <c r="Z56" t="s">
        <v>533</v>
      </c>
      <c r="AA56" t="s">
        <v>533</v>
      </c>
      <c r="AC56" t="s">
        <v>533</v>
      </c>
      <c r="AD56" t="s">
        <v>533</v>
      </c>
      <c r="AF56" t="s">
        <v>533</v>
      </c>
      <c r="AH56" t="s">
        <v>533</v>
      </c>
      <c r="AI56" t="s">
        <v>533</v>
      </c>
      <c r="AJ56" t="s">
        <v>533</v>
      </c>
      <c r="AL56" t="s">
        <v>533</v>
      </c>
      <c r="AM56" t="s">
        <v>533</v>
      </c>
      <c r="AN56" t="s">
        <v>533</v>
      </c>
      <c r="AO56" t="s">
        <v>533</v>
      </c>
      <c r="AP56" t="s">
        <v>533</v>
      </c>
      <c r="AQ56" t="s">
        <v>533</v>
      </c>
      <c r="AS56" t="s">
        <v>533</v>
      </c>
      <c r="AT56" t="s">
        <v>533</v>
      </c>
      <c r="AU56" t="s">
        <v>533</v>
      </c>
      <c r="AV56" t="s">
        <v>533</v>
      </c>
      <c r="AW56" t="s">
        <v>533</v>
      </c>
      <c r="AZ56" t="s">
        <v>533</v>
      </c>
      <c r="BC56" t="s">
        <v>533</v>
      </c>
      <c r="BE56" t="s">
        <v>533</v>
      </c>
      <c r="BG56" t="s">
        <v>697</v>
      </c>
      <c r="BH56" t="s">
        <v>2921</v>
      </c>
    </row>
    <row r="57" spans="1:60" x14ac:dyDescent="0.35">
      <c r="A57" t="s">
        <v>533</v>
      </c>
      <c r="B57" t="s">
        <v>533</v>
      </c>
      <c r="C57" t="s">
        <v>533</v>
      </c>
      <c r="F57" t="s">
        <v>533</v>
      </c>
      <c r="G57" t="s">
        <v>533</v>
      </c>
      <c r="I57" t="s">
        <v>533</v>
      </c>
      <c r="K57" t="s">
        <v>533</v>
      </c>
      <c r="L57" t="s">
        <v>533</v>
      </c>
      <c r="M57" t="s">
        <v>533</v>
      </c>
      <c r="P57" t="s">
        <v>533</v>
      </c>
      <c r="R57" t="s">
        <v>533</v>
      </c>
      <c r="S57" t="s">
        <v>2922</v>
      </c>
      <c r="T57" t="s">
        <v>533</v>
      </c>
      <c r="V57" t="s">
        <v>533</v>
      </c>
      <c r="W57" t="s">
        <v>533</v>
      </c>
      <c r="Y57" t="s">
        <v>533</v>
      </c>
      <c r="Z57" t="s">
        <v>533</v>
      </c>
      <c r="AA57" t="s">
        <v>533</v>
      </c>
      <c r="AC57" t="s">
        <v>533</v>
      </c>
      <c r="AD57" t="s">
        <v>533</v>
      </c>
      <c r="AF57" t="s">
        <v>533</v>
      </c>
      <c r="AH57" t="s">
        <v>533</v>
      </c>
      <c r="AI57" t="s">
        <v>533</v>
      </c>
      <c r="AJ57" t="s">
        <v>533</v>
      </c>
      <c r="AL57" t="s">
        <v>533</v>
      </c>
      <c r="AM57" t="s">
        <v>533</v>
      </c>
      <c r="AN57" t="s">
        <v>533</v>
      </c>
      <c r="AO57" t="s">
        <v>533</v>
      </c>
      <c r="AP57" t="s">
        <v>533</v>
      </c>
      <c r="AQ57" t="s">
        <v>533</v>
      </c>
      <c r="AS57" t="s">
        <v>533</v>
      </c>
      <c r="AT57" t="s">
        <v>533</v>
      </c>
      <c r="AU57" t="s">
        <v>533</v>
      </c>
      <c r="AV57" t="s">
        <v>533</v>
      </c>
      <c r="AW57" t="s">
        <v>533</v>
      </c>
      <c r="AZ57" t="s">
        <v>533</v>
      </c>
      <c r="BC57" t="s">
        <v>533</v>
      </c>
      <c r="BE57" t="s">
        <v>533</v>
      </c>
      <c r="BG57" t="s">
        <v>677</v>
      </c>
      <c r="BH57" t="s">
        <v>2923</v>
      </c>
    </row>
    <row r="58" spans="1:60" x14ac:dyDescent="0.35">
      <c r="A58" t="s">
        <v>533</v>
      </c>
      <c r="B58" t="s">
        <v>533</v>
      </c>
      <c r="C58" t="s">
        <v>533</v>
      </c>
      <c r="F58" t="s">
        <v>533</v>
      </c>
      <c r="G58" t="s">
        <v>533</v>
      </c>
      <c r="I58" t="s">
        <v>533</v>
      </c>
      <c r="K58" t="s">
        <v>533</v>
      </c>
      <c r="L58" t="s">
        <v>533</v>
      </c>
      <c r="M58" t="s">
        <v>533</v>
      </c>
      <c r="P58" t="s">
        <v>533</v>
      </c>
      <c r="R58" t="s">
        <v>533</v>
      </c>
      <c r="S58" t="s">
        <v>2924</v>
      </c>
      <c r="T58" t="s">
        <v>533</v>
      </c>
      <c r="V58" t="s">
        <v>533</v>
      </c>
      <c r="W58" t="s">
        <v>533</v>
      </c>
      <c r="Y58" t="s">
        <v>533</v>
      </c>
      <c r="Z58" t="s">
        <v>533</v>
      </c>
      <c r="AA58" t="s">
        <v>533</v>
      </c>
      <c r="AC58" t="s">
        <v>533</v>
      </c>
      <c r="AD58" t="s">
        <v>533</v>
      </c>
      <c r="AF58" t="s">
        <v>533</v>
      </c>
      <c r="AH58" t="s">
        <v>533</v>
      </c>
      <c r="AI58" t="s">
        <v>533</v>
      </c>
      <c r="AJ58" t="s">
        <v>533</v>
      </c>
      <c r="AL58" t="s">
        <v>533</v>
      </c>
      <c r="AM58" t="s">
        <v>533</v>
      </c>
      <c r="AN58" t="s">
        <v>533</v>
      </c>
      <c r="AO58" t="s">
        <v>533</v>
      </c>
      <c r="AP58" t="s">
        <v>533</v>
      </c>
      <c r="AQ58" t="s">
        <v>533</v>
      </c>
      <c r="AS58" t="s">
        <v>533</v>
      </c>
      <c r="AT58" t="s">
        <v>533</v>
      </c>
      <c r="AU58" t="s">
        <v>533</v>
      </c>
      <c r="AV58" t="s">
        <v>533</v>
      </c>
      <c r="AW58" t="s">
        <v>533</v>
      </c>
      <c r="AZ58" t="s">
        <v>533</v>
      </c>
      <c r="BC58" t="s">
        <v>533</v>
      </c>
      <c r="BE58" t="s">
        <v>533</v>
      </c>
      <c r="BG58" t="s">
        <v>1980</v>
      </c>
      <c r="BH58" t="s">
        <v>2925</v>
      </c>
    </row>
    <row r="59" spans="1:60" x14ac:dyDescent="0.35">
      <c r="A59" t="s">
        <v>533</v>
      </c>
      <c r="B59" t="s">
        <v>533</v>
      </c>
      <c r="C59" t="s">
        <v>533</v>
      </c>
      <c r="F59" t="s">
        <v>533</v>
      </c>
      <c r="G59" t="s">
        <v>533</v>
      </c>
      <c r="I59" t="s">
        <v>533</v>
      </c>
      <c r="K59" t="s">
        <v>533</v>
      </c>
      <c r="L59" t="s">
        <v>533</v>
      </c>
      <c r="M59" t="s">
        <v>533</v>
      </c>
      <c r="P59" t="s">
        <v>533</v>
      </c>
      <c r="R59" t="s">
        <v>533</v>
      </c>
      <c r="S59" t="s">
        <v>2926</v>
      </c>
      <c r="T59" t="s">
        <v>533</v>
      </c>
      <c r="V59" t="s">
        <v>533</v>
      </c>
      <c r="W59" t="s">
        <v>533</v>
      </c>
      <c r="Y59" t="s">
        <v>533</v>
      </c>
      <c r="Z59" t="s">
        <v>533</v>
      </c>
      <c r="AA59" t="s">
        <v>533</v>
      </c>
      <c r="AC59" t="s">
        <v>533</v>
      </c>
      <c r="AD59" t="s">
        <v>533</v>
      </c>
      <c r="AF59" t="s">
        <v>533</v>
      </c>
      <c r="AH59" t="s">
        <v>533</v>
      </c>
      <c r="AI59" t="s">
        <v>533</v>
      </c>
      <c r="AJ59" t="s">
        <v>533</v>
      </c>
      <c r="AL59" t="s">
        <v>533</v>
      </c>
      <c r="AM59" t="s">
        <v>533</v>
      </c>
      <c r="AN59" t="s">
        <v>533</v>
      </c>
      <c r="AO59" t="s">
        <v>533</v>
      </c>
      <c r="AP59" t="s">
        <v>533</v>
      </c>
      <c r="AQ59" t="s">
        <v>533</v>
      </c>
      <c r="AS59" t="s">
        <v>533</v>
      </c>
      <c r="AT59" t="s">
        <v>533</v>
      </c>
      <c r="AU59" t="s">
        <v>533</v>
      </c>
      <c r="AV59" t="s">
        <v>533</v>
      </c>
      <c r="AW59" t="s">
        <v>533</v>
      </c>
      <c r="AZ59" t="s">
        <v>533</v>
      </c>
      <c r="BC59" t="s">
        <v>533</v>
      </c>
      <c r="BE59" t="s">
        <v>533</v>
      </c>
    </row>
    <row r="60" spans="1:60" x14ac:dyDescent="0.35">
      <c r="A60" t="s">
        <v>533</v>
      </c>
      <c r="B60" t="s">
        <v>533</v>
      </c>
      <c r="C60" t="s">
        <v>533</v>
      </c>
      <c r="F60" t="s">
        <v>533</v>
      </c>
      <c r="G60" t="s">
        <v>533</v>
      </c>
      <c r="I60" t="s">
        <v>533</v>
      </c>
      <c r="J60" t="s">
        <v>533</v>
      </c>
      <c r="K60" t="s">
        <v>533</v>
      </c>
      <c r="L60" t="s">
        <v>533</v>
      </c>
      <c r="M60" t="s">
        <v>533</v>
      </c>
      <c r="P60" t="s">
        <v>533</v>
      </c>
      <c r="R60" t="s">
        <v>533</v>
      </c>
      <c r="S60" t="s">
        <v>2927</v>
      </c>
      <c r="T60" t="s">
        <v>533</v>
      </c>
      <c r="V60" t="s">
        <v>533</v>
      </c>
      <c r="W60" t="s">
        <v>533</v>
      </c>
      <c r="Y60" t="s">
        <v>533</v>
      </c>
      <c r="Z60" t="s">
        <v>533</v>
      </c>
      <c r="AA60" t="s">
        <v>533</v>
      </c>
      <c r="AC60" t="s">
        <v>533</v>
      </c>
      <c r="AD60" t="s">
        <v>533</v>
      </c>
      <c r="AF60" t="s">
        <v>533</v>
      </c>
      <c r="AH60" t="s">
        <v>533</v>
      </c>
      <c r="AI60" t="s">
        <v>533</v>
      </c>
      <c r="AJ60" t="s">
        <v>533</v>
      </c>
      <c r="AL60" t="s">
        <v>533</v>
      </c>
      <c r="AM60" t="s">
        <v>533</v>
      </c>
      <c r="AN60" t="s">
        <v>533</v>
      </c>
      <c r="AO60" t="s">
        <v>533</v>
      </c>
      <c r="AP60" t="s">
        <v>533</v>
      </c>
      <c r="AQ60" t="s">
        <v>533</v>
      </c>
      <c r="AS60" t="s">
        <v>533</v>
      </c>
      <c r="AT60" t="s">
        <v>533</v>
      </c>
      <c r="AU60" t="s">
        <v>533</v>
      </c>
      <c r="AV60" t="s">
        <v>533</v>
      </c>
      <c r="AW60" t="s">
        <v>533</v>
      </c>
      <c r="AZ60" t="s">
        <v>533</v>
      </c>
      <c r="BC60" t="s">
        <v>533</v>
      </c>
      <c r="BE60" t="s">
        <v>533</v>
      </c>
    </row>
    <row r="61" spans="1:60" x14ac:dyDescent="0.35">
      <c r="A61" t="s">
        <v>533</v>
      </c>
      <c r="B61" t="s">
        <v>533</v>
      </c>
      <c r="C61" t="s">
        <v>533</v>
      </c>
      <c r="F61" t="s">
        <v>533</v>
      </c>
      <c r="G61" t="s">
        <v>533</v>
      </c>
      <c r="I61" t="s">
        <v>533</v>
      </c>
      <c r="J61" t="s">
        <v>533</v>
      </c>
      <c r="K61" t="s">
        <v>533</v>
      </c>
      <c r="L61" t="s">
        <v>533</v>
      </c>
      <c r="M61" t="s">
        <v>533</v>
      </c>
      <c r="P61" t="s">
        <v>533</v>
      </c>
      <c r="R61" t="s">
        <v>533</v>
      </c>
      <c r="S61" t="s">
        <v>2928</v>
      </c>
      <c r="T61" t="s">
        <v>533</v>
      </c>
      <c r="V61" t="s">
        <v>533</v>
      </c>
      <c r="W61" t="s">
        <v>533</v>
      </c>
      <c r="Y61" t="s">
        <v>533</v>
      </c>
      <c r="Z61" t="s">
        <v>533</v>
      </c>
      <c r="AA61" t="s">
        <v>533</v>
      </c>
      <c r="AC61" t="s">
        <v>533</v>
      </c>
      <c r="AD61" t="s">
        <v>533</v>
      </c>
      <c r="AF61" t="s">
        <v>533</v>
      </c>
      <c r="AH61" t="s">
        <v>533</v>
      </c>
      <c r="AI61" t="s">
        <v>533</v>
      </c>
      <c r="AJ61" t="s">
        <v>533</v>
      </c>
      <c r="AL61" t="s">
        <v>533</v>
      </c>
      <c r="AM61" t="s">
        <v>533</v>
      </c>
      <c r="AN61" t="s">
        <v>533</v>
      </c>
      <c r="AO61" t="s">
        <v>533</v>
      </c>
      <c r="AP61" t="s">
        <v>533</v>
      </c>
      <c r="AQ61" t="s">
        <v>533</v>
      </c>
      <c r="AS61" t="s">
        <v>533</v>
      </c>
      <c r="AT61" t="s">
        <v>533</v>
      </c>
      <c r="AU61" t="s">
        <v>533</v>
      </c>
      <c r="AV61" t="s">
        <v>533</v>
      </c>
      <c r="AW61" t="s">
        <v>533</v>
      </c>
      <c r="AZ61" t="s">
        <v>533</v>
      </c>
      <c r="BC61" t="s">
        <v>533</v>
      </c>
      <c r="BE61" t="s">
        <v>533</v>
      </c>
    </row>
    <row r="62" spans="1:60" x14ac:dyDescent="0.35">
      <c r="A62" t="s">
        <v>533</v>
      </c>
      <c r="B62" t="s">
        <v>533</v>
      </c>
      <c r="C62" t="s">
        <v>533</v>
      </c>
      <c r="F62" t="s">
        <v>533</v>
      </c>
      <c r="G62" t="s">
        <v>533</v>
      </c>
      <c r="I62" t="s">
        <v>533</v>
      </c>
      <c r="J62" t="s">
        <v>533</v>
      </c>
      <c r="K62" t="s">
        <v>533</v>
      </c>
      <c r="L62" t="s">
        <v>533</v>
      </c>
      <c r="M62" t="s">
        <v>533</v>
      </c>
      <c r="P62" t="s">
        <v>533</v>
      </c>
      <c r="R62" t="s">
        <v>533</v>
      </c>
      <c r="S62" t="s">
        <v>2929</v>
      </c>
      <c r="T62" t="s">
        <v>533</v>
      </c>
      <c r="V62" t="s">
        <v>533</v>
      </c>
      <c r="W62" t="s">
        <v>533</v>
      </c>
      <c r="Y62" t="s">
        <v>533</v>
      </c>
      <c r="Z62" t="s">
        <v>533</v>
      </c>
      <c r="AA62" t="s">
        <v>533</v>
      </c>
      <c r="AC62" t="s">
        <v>533</v>
      </c>
      <c r="AD62" t="s">
        <v>533</v>
      </c>
      <c r="AF62" t="s">
        <v>533</v>
      </c>
      <c r="AH62" t="s">
        <v>533</v>
      </c>
      <c r="AI62" t="s">
        <v>533</v>
      </c>
      <c r="AJ62" t="s">
        <v>533</v>
      </c>
      <c r="AL62" t="s">
        <v>533</v>
      </c>
      <c r="AM62" t="s">
        <v>533</v>
      </c>
      <c r="AN62" t="s">
        <v>533</v>
      </c>
      <c r="AO62" t="s">
        <v>533</v>
      </c>
      <c r="AP62" t="s">
        <v>533</v>
      </c>
      <c r="AQ62" t="s">
        <v>533</v>
      </c>
      <c r="AS62" t="s">
        <v>533</v>
      </c>
      <c r="AT62" t="s">
        <v>533</v>
      </c>
      <c r="AU62" t="s">
        <v>533</v>
      </c>
      <c r="AV62" t="s">
        <v>533</v>
      </c>
      <c r="AW62" t="s">
        <v>533</v>
      </c>
      <c r="AZ62" t="s">
        <v>533</v>
      </c>
      <c r="BC62" t="s">
        <v>533</v>
      </c>
      <c r="BE62" t="s">
        <v>533</v>
      </c>
    </row>
    <row r="63" spans="1:60" x14ac:dyDescent="0.35">
      <c r="A63" t="s">
        <v>533</v>
      </c>
      <c r="B63" t="s">
        <v>533</v>
      </c>
      <c r="C63" t="s">
        <v>533</v>
      </c>
      <c r="F63" t="s">
        <v>533</v>
      </c>
      <c r="G63" t="s">
        <v>533</v>
      </c>
      <c r="I63" t="s">
        <v>533</v>
      </c>
      <c r="J63" t="s">
        <v>533</v>
      </c>
      <c r="K63" t="s">
        <v>533</v>
      </c>
      <c r="L63" t="s">
        <v>533</v>
      </c>
      <c r="M63" t="s">
        <v>533</v>
      </c>
      <c r="P63" t="s">
        <v>533</v>
      </c>
      <c r="R63" t="s">
        <v>533</v>
      </c>
      <c r="S63" t="s">
        <v>2930</v>
      </c>
      <c r="T63" t="s">
        <v>533</v>
      </c>
      <c r="V63" t="s">
        <v>533</v>
      </c>
      <c r="W63" t="s">
        <v>533</v>
      </c>
      <c r="Y63" t="s">
        <v>533</v>
      </c>
      <c r="Z63" t="s">
        <v>533</v>
      </c>
      <c r="AA63" t="s">
        <v>533</v>
      </c>
      <c r="AC63" t="s">
        <v>533</v>
      </c>
      <c r="AD63" t="s">
        <v>533</v>
      </c>
      <c r="AF63" t="s">
        <v>533</v>
      </c>
      <c r="AH63" t="s">
        <v>533</v>
      </c>
      <c r="AI63" t="s">
        <v>533</v>
      </c>
      <c r="AJ63" t="s">
        <v>533</v>
      </c>
      <c r="AL63" t="s">
        <v>533</v>
      </c>
      <c r="AM63" t="s">
        <v>533</v>
      </c>
      <c r="AN63" t="s">
        <v>533</v>
      </c>
      <c r="AO63" t="s">
        <v>533</v>
      </c>
      <c r="AP63" t="s">
        <v>533</v>
      </c>
      <c r="AQ63" t="s">
        <v>533</v>
      </c>
      <c r="AS63" t="s">
        <v>533</v>
      </c>
      <c r="AT63" t="s">
        <v>533</v>
      </c>
      <c r="AU63" t="s">
        <v>533</v>
      </c>
      <c r="AV63" t="s">
        <v>533</v>
      </c>
      <c r="AW63" t="s">
        <v>533</v>
      </c>
      <c r="AZ63" t="s">
        <v>533</v>
      </c>
      <c r="BC63" t="s">
        <v>533</v>
      </c>
      <c r="BE63" t="s">
        <v>533</v>
      </c>
    </row>
    <row r="64" spans="1:60" x14ac:dyDescent="0.35">
      <c r="A64" t="s">
        <v>533</v>
      </c>
      <c r="B64" t="s">
        <v>533</v>
      </c>
      <c r="C64" t="s">
        <v>533</v>
      </c>
      <c r="F64" t="s">
        <v>533</v>
      </c>
      <c r="G64" t="s">
        <v>533</v>
      </c>
      <c r="I64" t="s">
        <v>533</v>
      </c>
      <c r="J64" t="s">
        <v>533</v>
      </c>
      <c r="K64" t="s">
        <v>533</v>
      </c>
      <c r="L64" t="s">
        <v>533</v>
      </c>
      <c r="M64" t="s">
        <v>533</v>
      </c>
      <c r="P64" t="s">
        <v>533</v>
      </c>
      <c r="R64" t="s">
        <v>533</v>
      </c>
      <c r="S64" t="s">
        <v>2931</v>
      </c>
      <c r="T64" t="s">
        <v>533</v>
      </c>
      <c r="V64" t="s">
        <v>533</v>
      </c>
      <c r="W64" t="s">
        <v>533</v>
      </c>
      <c r="Y64" t="s">
        <v>533</v>
      </c>
      <c r="Z64" t="s">
        <v>533</v>
      </c>
      <c r="AA64" t="s">
        <v>533</v>
      </c>
      <c r="AC64" t="s">
        <v>533</v>
      </c>
      <c r="AD64" t="s">
        <v>533</v>
      </c>
      <c r="AF64" t="s">
        <v>533</v>
      </c>
      <c r="AH64" t="s">
        <v>533</v>
      </c>
      <c r="AI64" t="s">
        <v>533</v>
      </c>
      <c r="AJ64" t="s">
        <v>533</v>
      </c>
      <c r="AL64" t="s">
        <v>533</v>
      </c>
      <c r="AM64" t="s">
        <v>533</v>
      </c>
      <c r="AN64" t="s">
        <v>533</v>
      </c>
      <c r="AO64" t="s">
        <v>533</v>
      </c>
      <c r="AP64" t="s">
        <v>533</v>
      </c>
      <c r="AQ64" t="s">
        <v>533</v>
      </c>
      <c r="AS64" t="s">
        <v>533</v>
      </c>
      <c r="AT64" t="s">
        <v>533</v>
      </c>
      <c r="AU64" t="s">
        <v>533</v>
      </c>
      <c r="AV64" t="s">
        <v>533</v>
      </c>
      <c r="AW64" t="s">
        <v>533</v>
      </c>
      <c r="AZ64" t="s">
        <v>533</v>
      </c>
      <c r="BC64" t="s">
        <v>533</v>
      </c>
      <c r="BE64" t="s">
        <v>533</v>
      </c>
    </row>
    <row r="65" spans="1:60" x14ac:dyDescent="0.35">
      <c r="A65" t="s">
        <v>533</v>
      </c>
      <c r="B65" t="s">
        <v>533</v>
      </c>
      <c r="C65" t="s">
        <v>533</v>
      </c>
      <c r="F65" t="s">
        <v>533</v>
      </c>
      <c r="G65" t="s">
        <v>533</v>
      </c>
      <c r="I65" t="s">
        <v>533</v>
      </c>
      <c r="J65" t="s">
        <v>533</v>
      </c>
      <c r="K65" t="s">
        <v>533</v>
      </c>
      <c r="L65" t="s">
        <v>533</v>
      </c>
      <c r="M65" t="s">
        <v>533</v>
      </c>
      <c r="P65" t="s">
        <v>533</v>
      </c>
      <c r="R65" t="s">
        <v>533</v>
      </c>
      <c r="S65" t="s">
        <v>2932</v>
      </c>
      <c r="T65" t="s">
        <v>533</v>
      </c>
      <c r="V65" t="s">
        <v>533</v>
      </c>
      <c r="W65" t="s">
        <v>533</v>
      </c>
      <c r="Y65" t="s">
        <v>533</v>
      </c>
      <c r="Z65" t="s">
        <v>533</v>
      </c>
      <c r="AA65" t="s">
        <v>533</v>
      </c>
      <c r="AC65" t="s">
        <v>533</v>
      </c>
      <c r="AD65" t="s">
        <v>533</v>
      </c>
      <c r="AF65" t="s">
        <v>533</v>
      </c>
      <c r="AH65" t="s">
        <v>533</v>
      </c>
      <c r="AI65" t="s">
        <v>533</v>
      </c>
      <c r="AJ65" t="s">
        <v>533</v>
      </c>
      <c r="AL65" t="s">
        <v>533</v>
      </c>
      <c r="AM65" t="s">
        <v>533</v>
      </c>
      <c r="AN65" t="s">
        <v>533</v>
      </c>
      <c r="AO65" t="s">
        <v>533</v>
      </c>
      <c r="AP65" t="s">
        <v>533</v>
      </c>
      <c r="AQ65" t="s">
        <v>533</v>
      </c>
      <c r="AS65" t="s">
        <v>533</v>
      </c>
      <c r="AT65" t="s">
        <v>533</v>
      </c>
      <c r="AU65" t="s">
        <v>533</v>
      </c>
      <c r="AV65" t="s">
        <v>533</v>
      </c>
      <c r="AW65" t="s">
        <v>533</v>
      </c>
      <c r="AZ65" t="s">
        <v>533</v>
      </c>
      <c r="BC65" t="s">
        <v>533</v>
      </c>
      <c r="BE65" t="s">
        <v>533</v>
      </c>
      <c r="BG65" t="s">
        <v>2933</v>
      </c>
      <c r="BH65" t="s">
        <v>2915</v>
      </c>
    </row>
    <row r="66" spans="1:60" x14ac:dyDescent="0.35">
      <c r="A66" t="s">
        <v>533</v>
      </c>
      <c r="B66" t="s">
        <v>533</v>
      </c>
      <c r="C66" t="s">
        <v>533</v>
      </c>
      <c r="F66" t="s">
        <v>533</v>
      </c>
      <c r="G66" t="s">
        <v>533</v>
      </c>
      <c r="I66" t="s">
        <v>533</v>
      </c>
      <c r="J66" t="s">
        <v>533</v>
      </c>
      <c r="K66" t="s">
        <v>533</v>
      </c>
      <c r="L66" t="s">
        <v>533</v>
      </c>
      <c r="M66" t="s">
        <v>533</v>
      </c>
      <c r="P66" t="s">
        <v>533</v>
      </c>
      <c r="R66" t="s">
        <v>533</v>
      </c>
      <c r="S66" t="s">
        <v>2934</v>
      </c>
      <c r="T66" t="s">
        <v>533</v>
      </c>
      <c r="V66" t="s">
        <v>533</v>
      </c>
      <c r="W66" t="s">
        <v>533</v>
      </c>
      <c r="Y66" t="s">
        <v>533</v>
      </c>
      <c r="Z66" t="s">
        <v>533</v>
      </c>
      <c r="AA66" t="s">
        <v>533</v>
      </c>
      <c r="AC66" t="s">
        <v>533</v>
      </c>
      <c r="AD66" t="s">
        <v>533</v>
      </c>
      <c r="AF66" t="s">
        <v>533</v>
      </c>
      <c r="AH66" t="s">
        <v>533</v>
      </c>
      <c r="AI66" t="s">
        <v>533</v>
      </c>
      <c r="AJ66" t="s">
        <v>533</v>
      </c>
      <c r="AL66" t="s">
        <v>533</v>
      </c>
      <c r="AM66" t="s">
        <v>533</v>
      </c>
      <c r="AN66" t="s">
        <v>533</v>
      </c>
      <c r="AO66" t="s">
        <v>533</v>
      </c>
      <c r="AP66" t="s">
        <v>533</v>
      </c>
      <c r="AQ66" t="s">
        <v>533</v>
      </c>
      <c r="AS66" t="s">
        <v>533</v>
      </c>
      <c r="AT66" t="s">
        <v>533</v>
      </c>
      <c r="AU66" t="s">
        <v>533</v>
      </c>
      <c r="AV66" t="s">
        <v>533</v>
      </c>
      <c r="AW66" t="s">
        <v>533</v>
      </c>
      <c r="AZ66" t="s">
        <v>533</v>
      </c>
      <c r="BC66" t="s">
        <v>533</v>
      </c>
      <c r="BE66" t="s">
        <v>533</v>
      </c>
      <c r="BG66" t="s">
        <v>2935</v>
      </c>
      <c r="BH66" t="s">
        <v>2758</v>
      </c>
    </row>
    <row r="67" spans="1:60" x14ac:dyDescent="0.35">
      <c r="A67" t="s">
        <v>533</v>
      </c>
      <c r="B67" t="s">
        <v>533</v>
      </c>
      <c r="C67" t="s">
        <v>533</v>
      </c>
      <c r="F67" t="s">
        <v>533</v>
      </c>
      <c r="G67" t="s">
        <v>533</v>
      </c>
      <c r="I67" t="s">
        <v>533</v>
      </c>
      <c r="J67" t="s">
        <v>533</v>
      </c>
      <c r="K67" t="s">
        <v>533</v>
      </c>
      <c r="L67" t="s">
        <v>533</v>
      </c>
      <c r="M67" t="s">
        <v>533</v>
      </c>
      <c r="P67" t="s">
        <v>533</v>
      </c>
      <c r="R67" t="s">
        <v>533</v>
      </c>
      <c r="S67" t="s">
        <v>2936</v>
      </c>
      <c r="T67" t="s">
        <v>533</v>
      </c>
      <c r="V67" t="s">
        <v>533</v>
      </c>
      <c r="W67" t="s">
        <v>533</v>
      </c>
      <c r="Y67" t="s">
        <v>533</v>
      </c>
      <c r="Z67" t="s">
        <v>533</v>
      </c>
      <c r="AA67" t="s">
        <v>533</v>
      </c>
      <c r="AC67" t="s">
        <v>533</v>
      </c>
      <c r="AD67" t="s">
        <v>533</v>
      </c>
      <c r="AF67" t="s">
        <v>533</v>
      </c>
      <c r="AH67" t="s">
        <v>533</v>
      </c>
      <c r="AI67" t="s">
        <v>533</v>
      </c>
      <c r="AJ67" t="s">
        <v>533</v>
      </c>
      <c r="AL67" t="s">
        <v>533</v>
      </c>
      <c r="AM67" t="s">
        <v>533</v>
      </c>
      <c r="AN67" t="s">
        <v>533</v>
      </c>
      <c r="AO67" t="s">
        <v>533</v>
      </c>
      <c r="AP67" t="s">
        <v>533</v>
      </c>
      <c r="AQ67" t="s">
        <v>533</v>
      </c>
      <c r="AS67" t="s">
        <v>533</v>
      </c>
      <c r="AT67" t="s">
        <v>533</v>
      </c>
      <c r="AU67" t="s">
        <v>533</v>
      </c>
      <c r="AV67" t="s">
        <v>533</v>
      </c>
      <c r="AW67" t="s">
        <v>533</v>
      </c>
      <c r="AZ67" t="s">
        <v>533</v>
      </c>
      <c r="BC67" t="s">
        <v>533</v>
      </c>
      <c r="BE67" t="s">
        <v>533</v>
      </c>
      <c r="BG67" t="s">
        <v>2937</v>
      </c>
      <c r="BH67" s="19">
        <v>44603</v>
      </c>
    </row>
    <row r="68" spans="1:60" x14ac:dyDescent="0.35">
      <c r="A68" t="s">
        <v>533</v>
      </c>
      <c r="B68" t="s">
        <v>533</v>
      </c>
      <c r="C68" t="s">
        <v>533</v>
      </c>
      <c r="F68" t="s">
        <v>533</v>
      </c>
      <c r="G68" t="s">
        <v>533</v>
      </c>
      <c r="I68" t="s">
        <v>533</v>
      </c>
      <c r="J68" t="s">
        <v>533</v>
      </c>
      <c r="K68" t="s">
        <v>533</v>
      </c>
      <c r="L68" t="s">
        <v>533</v>
      </c>
      <c r="M68" t="s">
        <v>533</v>
      </c>
      <c r="P68" t="s">
        <v>533</v>
      </c>
      <c r="R68" t="s">
        <v>533</v>
      </c>
      <c r="S68" t="s">
        <v>2938</v>
      </c>
      <c r="T68" t="s">
        <v>533</v>
      </c>
      <c r="V68" t="s">
        <v>533</v>
      </c>
      <c r="W68" t="s">
        <v>533</v>
      </c>
      <c r="Y68" t="s">
        <v>533</v>
      </c>
      <c r="Z68" t="s">
        <v>533</v>
      </c>
      <c r="AA68" t="s">
        <v>533</v>
      </c>
      <c r="AC68" t="s">
        <v>533</v>
      </c>
      <c r="AD68" t="s">
        <v>533</v>
      </c>
      <c r="AF68" t="s">
        <v>533</v>
      </c>
      <c r="AH68" t="s">
        <v>533</v>
      </c>
      <c r="AI68" t="s">
        <v>533</v>
      </c>
      <c r="AJ68" t="s">
        <v>533</v>
      </c>
      <c r="AL68" t="s">
        <v>533</v>
      </c>
      <c r="AM68" t="s">
        <v>533</v>
      </c>
      <c r="AN68" t="s">
        <v>533</v>
      </c>
      <c r="AO68" t="s">
        <v>533</v>
      </c>
      <c r="AP68" t="s">
        <v>533</v>
      </c>
      <c r="AQ68" t="s">
        <v>533</v>
      </c>
      <c r="AS68" t="s">
        <v>533</v>
      </c>
      <c r="AT68" t="s">
        <v>533</v>
      </c>
      <c r="AU68" t="s">
        <v>533</v>
      </c>
      <c r="AV68" t="s">
        <v>533</v>
      </c>
      <c r="AW68" t="s">
        <v>533</v>
      </c>
      <c r="AZ68" t="s">
        <v>533</v>
      </c>
      <c r="BC68" t="s">
        <v>533</v>
      </c>
      <c r="BE68" t="s">
        <v>533</v>
      </c>
    </row>
    <row r="69" spans="1:60" x14ac:dyDescent="0.35">
      <c r="S69" t="s">
        <v>2939</v>
      </c>
      <c r="T69" t="s">
        <v>533</v>
      </c>
      <c r="V69" t="s">
        <v>533</v>
      </c>
      <c r="W69" t="s">
        <v>533</v>
      </c>
      <c r="Y69" t="s">
        <v>533</v>
      </c>
      <c r="Z69" t="s">
        <v>533</v>
      </c>
      <c r="AA69" t="s">
        <v>533</v>
      </c>
      <c r="AB69" t="s">
        <v>533</v>
      </c>
      <c r="AC69" t="s">
        <v>533</v>
      </c>
      <c r="AD69" t="s">
        <v>533</v>
      </c>
      <c r="AE69" t="s">
        <v>533</v>
      </c>
      <c r="AF69" t="s">
        <v>533</v>
      </c>
      <c r="AG69" t="s">
        <v>533</v>
      </c>
      <c r="AH69" t="s">
        <v>533</v>
      </c>
      <c r="AI69" t="s">
        <v>533</v>
      </c>
      <c r="AJ69" t="s">
        <v>533</v>
      </c>
      <c r="AK69" t="s">
        <v>533</v>
      </c>
      <c r="AL69" t="s">
        <v>533</v>
      </c>
      <c r="AM69" t="s">
        <v>533</v>
      </c>
      <c r="AN69" t="s">
        <v>533</v>
      </c>
      <c r="AO69" t="s">
        <v>533</v>
      </c>
      <c r="AP69" t="s">
        <v>533</v>
      </c>
      <c r="AQ69" t="s">
        <v>533</v>
      </c>
      <c r="AS69" t="s">
        <v>533</v>
      </c>
      <c r="AT69" t="s">
        <v>533</v>
      </c>
      <c r="AU69" t="s">
        <v>533</v>
      </c>
      <c r="AV69" t="s">
        <v>533</v>
      </c>
      <c r="AW69" t="s">
        <v>533</v>
      </c>
      <c r="AX69" t="s">
        <v>533</v>
      </c>
      <c r="AZ69" t="s">
        <v>533</v>
      </c>
      <c r="BC69" t="s">
        <v>533</v>
      </c>
      <c r="BE69" t="s">
        <v>533</v>
      </c>
    </row>
    <row r="70" spans="1:60" x14ac:dyDescent="0.35">
      <c r="S70" t="s">
        <v>2940</v>
      </c>
      <c r="BE70" t="s">
        <v>533</v>
      </c>
    </row>
    <row r="71" spans="1:60" x14ac:dyDescent="0.35">
      <c r="S71" t="s">
        <v>2941</v>
      </c>
      <c r="BE71" t="s">
        <v>533</v>
      </c>
    </row>
    <row r="72" spans="1:60" x14ac:dyDescent="0.35">
      <c r="S72" t="s">
        <v>2942</v>
      </c>
      <c r="BE72" t="s">
        <v>533</v>
      </c>
    </row>
    <row r="73" spans="1:60" x14ac:dyDescent="0.35">
      <c r="S73" t="s">
        <v>2943</v>
      </c>
      <c r="BE73" t="s">
        <v>533</v>
      </c>
    </row>
    <row r="74" spans="1:60" x14ac:dyDescent="0.35">
      <c r="S74" t="s">
        <v>2944</v>
      </c>
      <c r="BE74" t="s">
        <v>533</v>
      </c>
    </row>
    <row r="75" spans="1:60" x14ac:dyDescent="0.35">
      <c r="S75" t="s">
        <v>2945</v>
      </c>
      <c r="BE75" t="s">
        <v>533</v>
      </c>
    </row>
    <row r="76" spans="1:60" x14ac:dyDescent="0.35">
      <c r="S76" t="s">
        <v>2946</v>
      </c>
      <c r="BE76" t="s">
        <v>533</v>
      </c>
    </row>
    <row r="77" spans="1:60" x14ac:dyDescent="0.35">
      <c r="S77" t="s">
        <v>2947</v>
      </c>
      <c r="BE77" t="s">
        <v>533</v>
      </c>
    </row>
    <row r="78" spans="1:60" x14ac:dyDescent="0.35">
      <c r="S78" t="s">
        <v>2948</v>
      </c>
      <c r="BE78" t="s">
        <v>533</v>
      </c>
    </row>
    <row r="79" spans="1:60" x14ac:dyDescent="0.35">
      <c r="S79" t="s">
        <v>2949</v>
      </c>
      <c r="BE79" t="s">
        <v>533</v>
      </c>
    </row>
    <row r="80" spans="1:60" x14ac:dyDescent="0.35">
      <c r="S80" t="s">
        <v>2950</v>
      </c>
      <c r="BE80" t="s">
        <v>533</v>
      </c>
    </row>
    <row r="81" spans="19:19" x14ac:dyDescent="0.35">
      <c r="S81" t="s">
        <v>2951</v>
      </c>
    </row>
    <row r="82" spans="19:19" x14ac:dyDescent="0.35">
      <c r="S82" t="s">
        <v>2952</v>
      </c>
    </row>
    <row r="83" spans="19:19" x14ac:dyDescent="0.35">
      <c r="S83" t="s">
        <v>2953</v>
      </c>
    </row>
    <row r="84" spans="19:19" x14ac:dyDescent="0.35">
      <c r="S84" t="s">
        <v>2954</v>
      </c>
    </row>
    <row r="85" spans="19:19" x14ac:dyDescent="0.35">
      <c r="S85" t="s">
        <v>2955</v>
      </c>
    </row>
    <row r="86" spans="19:19" x14ac:dyDescent="0.35">
      <c r="S86" t="s">
        <v>2956</v>
      </c>
    </row>
    <row r="87" spans="19:19" x14ac:dyDescent="0.35">
      <c r="S87" t="s">
        <v>2957</v>
      </c>
    </row>
    <row r="88" spans="19:19" x14ac:dyDescent="0.35">
      <c r="S88" t="s">
        <v>2958</v>
      </c>
    </row>
    <row r="89" spans="19:19" x14ac:dyDescent="0.35">
      <c r="S89" t="s">
        <v>2959</v>
      </c>
    </row>
    <row r="90" spans="19:19" x14ac:dyDescent="0.35">
      <c r="S90" t="s">
        <v>2960</v>
      </c>
    </row>
    <row r="91" spans="19:19" x14ac:dyDescent="0.35">
      <c r="S91" t="s">
        <v>2961</v>
      </c>
    </row>
    <row r="92" spans="19:19" x14ac:dyDescent="0.35">
      <c r="S92" t="s">
        <v>2962</v>
      </c>
    </row>
    <row r="93" spans="19:19" x14ac:dyDescent="0.35">
      <c r="S93" t="s">
        <v>2963</v>
      </c>
    </row>
    <row r="94" spans="19:19" x14ac:dyDescent="0.35">
      <c r="S94" t="s">
        <v>2964</v>
      </c>
    </row>
    <row r="95" spans="19:19" x14ac:dyDescent="0.35">
      <c r="S95" t="s">
        <v>2965</v>
      </c>
    </row>
    <row r="96" spans="19:19" x14ac:dyDescent="0.35">
      <c r="S96" t="s">
        <v>2966</v>
      </c>
    </row>
    <row r="97" spans="19:19" x14ac:dyDescent="0.35">
      <c r="S97" t="s">
        <v>2967</v>
      </c>
    </row>
    <row r="98" spans="19:19" x14ac:dyDescent="0.35">
      <c r="S98" t="s">
        <v>2968</v>
      </c>
    </row>
    <row r="99" spans="19:19" x14ac:dyDescent="0.35">
      <c r="S99" t="s">
        <v>2969</v>
      </c>
    </row>
    <row r="100" spans="19:19" x14ac:dyDescent="0.35">
      <c r="S100" t="s">
        <v>2970</v>
      </c>
    </row>
    <row r="134" spans="1:60" x14ac:dyDescent="0.35">
      <c r="A134" t="s">
        <v>1962</v>
      </c>
      <c r="BG134" t="s">
        <v>1963</v>
      </c>
      <c r="BH134" t="s">
        <v>1964</v>
      </c>
    </row>
    <row r="135" spans="1:60" x14ac:dyDescent="0.35">
      <c r="A135" t="s">
        <v>1965</v>
      </c>
      <c r="B135" t="s">
        <v>680</v>
      </c>
      <c r="C135" t="s">
        <v>692</v>
      </c>
      <c r="D135" t="s">
        <v>705</v>
      </c>
      <c r="E135" t="s">
        <v>1966</v>
      </c>
      <c r="F135" t="s">
        <v>674</v>
      </c>
      <c r="G135" t="s">
        <v>704</v>
      </c>
      <c r="H135" t="s">
        <v>695</v>
      </c>
      <c r="I135" t="s">
        <v>701</v>
      </c>
      <c r="J135" t="s">
        <v>500</v>
      </c>
      <c r="K135" t="s">
        <v>700</v>
      </c>
      <c r="L135" t="s">
        <v>681</v>
      </c>
      <c r="M135" t="s">
        <v>691</v>
      </c>
      <c r="N135" t="s">
        <v>1967</v>
      </c>
      <c r="O135" t="s">
        <v>1968</v>
      </c>
      <c r="P135" t="s">
        <v>544</v>
      </c>
      <c r="Q135" t="s">
        <v>1969</v>
      </c>
      <c r="R135" t="s">
        <v>694</v>
      </c>
      <c r="S135" t="s">
        <v>287</v>
      </c>
      <c r="T135" t="s">
        <v>708</v>
      </c>
      <c r="U135" t="s">
        <v>1970</v>
      </c>
      <c r="V135" t="s">
        <v>690</v>
      </c>
      <c r="W135" t="s">
        <v>684</v>
      </c>
      <c r="X135" t="s">
        <v>1971</v>
      </c>
      <c r="Y135" t="s">
        <v>696</v>
      </c>
      <c r="Z135" t="s">
        <v>698</v>
      </c>
      <c r="AA135" t="s">
        <v>702</v>
      </c>
      <c r="AB135" t="s">
        <v>1972</v>
      </c>
      <c r="AC135" t="s">
        <v>706</v>
      </c>
      <c r="AD135" t="s">
        <v>675</v>
      </c>
      <c r="AE135" t="s">
        <v>1973</v>
      </c>
      <c r="AF135" t="s">
        <v>707</v>
      </c>
      <c r="AG135" t="s">
        <v>1974</v>
      </c>
      <c r="AH135" t="s">
        <v>687</v>
      </c>
      <c r="AI135" t="s">
        <v>688</v>
      </c>
      <c r="AJ135" t="s">
        <v>699</v>
      </c>
      <c r="AK135" t="s">
        <v>1975</v>
      </c>
      <c r="AL135" t="s">
        <v>683</v>
      </c>
      <c r="AM135" t="s">
        <v>685</v>
      </c>
      <c r="AN135" t="s">
        <v>678</v>
      </c>
      <c r="AO135" t="s">
        <v>703</v>
      </c>
      <c r="AP135" t="s">
        <v>476</v>
      </c>
      <c r="AQ135" t="s">
        <v>523</v>
      </c>
      <c r="AR135" t="s">
        <v>1976</v>
      </c>
      <c r="AS135" t="s">
        <v>693</v>
      </c>
      <c r="AT135" t="s">
        <v>676</v>
      </c>
      <c r="AU135" t="s">
        <v>686</v>
      </c>
      <c r="AV135" t="s">
        <v>689</v>
      </c>
      <c r="AW135" t="s">
        <v>682</v>
      </c>
      <c r="AX135" t="s">
        <v>1977</v>
      </c>
      <c r="AY135" t="s">
        <v>513</v>
      </c>
      <c r="AZ135" t="s">
        <v>679</v>
      </c>
      <c r="BA135" t="s">
        <v>1978</v>
      </c>
      <c r="BB135" t="s">
        <v>1979</v>
      </c>
      <c r="BC135" t="s">
        <v>697</v>
      </c>
      <c r="BD135" t="s">
        <v>677</v>
      </c>
      <c r="BE135" t="s">
        <v>1980</v>
      </c>
      <c r="BG135" t="s">
        <v>1965</v>
      </c>
      <c r="BH135" t="s">
        <v>1981</v>
      </c>
    </row>
    <row r="136" spans="1:60" x14ac:dyDescent="0.35">
      <c r="A136" t="s">
        <v>1984</v>
      </c>
      <c r="B136" t="s">
        <v>1985</v>
      </c>
      <c r="C136" t="s">
        <v>1986</v>
      </c>
      <c r="D136" t="s">
        <v>1987</v>
      </c>
      <c r="E136" t="s">
        <v>1988</v>
      </c>
      <c r="F136" t="s">
        <v>1989</v>
      </c>
      <c r="G136" t="s">
        <v>1990</v>
      </c>
      <c r="H136" t="s">
        <v>1991</v>
      </c>
      <c r="I136" t="s">
        <v>1992</v>
      </c>
      <c r="J136" t="s">
        <v>1993</v>
      </c>
      <c r="K136" t="s">
        <v>1994</v>
      </c>
      <c r="L136" t="s">
        <v>1995</v>
      </c>
      <c r="M136" t="s">
        <v>1996</v>
      </c>
      <c r="N136" t="s">
        <v>1997</v>
      </c>
      <c r="O136" t="s">
        <v>1998</v>
      </c>
      <c r="P136" t="s">
        <v>1999</v>
      </c>
      <c r="Q136" t="s">
        <v>2000</v>
      </c>
      <c r="R136" t="s">
        <v>2001</v>
      </c>
      <c r="S136" t="s">
        <v>2002</v>
      </c>
      <c r="T136" t="s">
        <v>2003</v>
      </c>
      <c r="U136" t="s">
        <v>2004</v>
      </c>
      <c r="V136" t="s">
        <v>2005</v>
      </c>
      <c r="W136" t="s">
        <v>2006</v>
      </c>
      <c r="X136" t="s">
        <v>2007</v>
      </c>
      <c r="Y136" t="s">
        <v>2008</v>
      </c>
      <c r="Z136" t="s">
        <v>2009</v>
      </c>
      <c r="AA136" t="s">
        <v>2010</v>
      </c>
      <c r="AB136" t="s">
        <v>2011</v>
      </c>
      <c r="AC136" t="s">
        <v>2012</v>
      </c>
      <c r="AD136" t="s">
        <v>2013</v>
      </c>
      <c r="AE136" t="s">
        <v>2014</v>
      </c>
      <c r="AF136" t="s">
        <v>2015</v>
      </c>
      <c r="AG136" t="s">
        <v>2016</v>
      </c>
      <c r="AH136" t="s">
        <v>2017</v>
      </c>
      <c r="AI136" t="s">
        <v>2018</v>
      </c>
      <c r="AJ136" t="s">
        <v>2019</v>
      </c>
      <c r="AK136" t="s">
        <v>2020</v>
      </c>
      <c r="AL136" t="s">
        <v>2021</v>
      </c>
      <c r="AM136" t="s">
        <v>2022</v>
      </c>
      <c r="AN136" t="s">
        <v>2023</v>
      </c>
      <c r="AO136" t="s">
        <v>2024</v>
      </c>
      <c r="AP136" t="s">
        <v>2025</v>
      </c>
      <c r="AQ136" t="s">
        <v>2026</v>
      </c>
      <c r="AR136" t="s">
        <v>2027</v>
      </c>
      <c r="AS136" t="s">
        <v>2028</v>
      </c>
      <c r="AT136" t="s">
        <v>2029</v>
      </c>
      <c r="AU136" t="s">
        <v>2030</v>
      </c>
      <c r="AV136" t="s">
        <v>2031</v>
      </c>
      <c r="AW136" t="s">
        <v>2032</v>
      </c>
      <c r="AX136" t="s">
        <v>2033</v>
      </c>
      <c r="AY136" t="s">
        <v>2034</v>
      </c>
      <c r="AZ136" t="s">
        <v>2035</v>
      </c>
      <c r="BA136" t="s">
        <v>2036</v>
      </c>
      <c r="BB136" t="s">
        <v>2037</v>
      </c>
      <c r="BC136" t="s">
        <v>2038</v>
      </c>
      <c r="BD136" t="s">
        <v>2039</v>
      </c>
      <c r="BE136" t="s">
        <v>2040</v>
      </c>
      <c r="BG136" t="s">
        <v>680</v>
      </c>
      <c r="BH136" t="s">
        <v>2041</v>
      </c>
    </row>
    <row r="137" spans="1:60" x14ac:dyDescent="0.35">
      <c r="A137" t="s">
        <v>2042</v>
      </c>
      <c r="B137" t="s">
        <v>2043</v>
      </c>
      <c r="C137" t="s">
        <v>2044</v>
      </c>
      <c r="D137" t="s">
        <v>2045</v>
      </c>
      <c r="E137" t="s">
        <v>2046</v>
      </c>
      <c r="F137" t="s">
        <v>2047</v>
      </c>
      <c r="G137" t="s">
        <v>2048</v>
      </c>
      <c r="H137" t="s">
        <v>2049</v>
      </c>
      <c r="J137" t="s">
        <v>2050</v>
      </c>
      <c r="K137" t="s">
        <v>2051</v>
      </c>
      <c r="L137" t="s">
        <v>2052</v>
      </c>
      <c r="M137" t="s">
        <v>2053</v>
      </c>
      <c r="N137" t="s">
        <v>2054</v>
      </c>
      <c r="O137" t="s">
        <v>2055</v>
      </c>
      <c r="P137" t="s">
        <v>2056</v>
      </c>
      <c r="Q137" t="s">
        <v>2057</v>
      </c>
      <c r="R137" t="s">
        <v>2058</v>
      </c>
      <c r="S137" t="s">
        <v>2059</v>
      </c>
      <c r="T137" t="s">
        <v>2060</v>
      </c>
      <c r="V137" t="s">
        <v>2061</v>
      </c>
      <c r="W137" t="s">
        <v>2062</v>
      </c>
      <c r="X137" t="s">
        <v>2063</v>
      </c>
      <c r="Y137" t="s">
        <v>2064</v>
      </c>
      <c r="Z137" t="s">
        <v>2065</v>
      </c>
      <c r="AA137" t="s">
        <v>2066</v>
      </c>
      <c r="AB137" t="s">
        <v>2067</v>
      </c>
      <c r="AC137" t="s">
        <v>2068</v>
      </c>
      <c r="AD137" t="s">
        <v>2069</v>
      </c>
      <c r="AE137" t="s">
        <v>2070</v>
      </c>
      <c r="AH137" t="s">
        <v>2071</v>
      </c>
      <c r="AI137" t="s">
        <v>2072</v>
      </c>
      <c r="AJ137" t="s">
        <v>2073</v>
      </c>
      <c r="AK137" t="s">
        <v>2074</v>
      </c>
      <c r="AL137" t="s">
        <v>2075</v>
      </c>
      <c r="AM137" t="s">
        <v>2076</v>
      </c>
      <c r="AN137" t="s">
        <v>2077</v>
      </c>
      <c r="AO137" t="s">
        <v>2078</v>
      </c>
      <c r="AP137" t="s">
        <v>2079</v>
      </c>
      <c r="AQ137" t="s">
        <v>2080</v>
      </c>
      <c r="AT137" t="s">
        <v>2081</v>
      </c>
      <c r="AU137" t="s">
        <v>2082</v>
      </c>
      <c r="AV137" t="s">
        <v>2083</v>
      </c>
      <c r="AW137" t="s">
        <v>2084</v>
      </c>
      <c r="AY137" t="s">
        <v>2085</v>
      </c>
      <c r="AZ137" t="s">
        <v>2086</v>
      </c>
      <c r="BD137" t="s">
        <v>2087</v>
      </c>
      <c r="BE137" t="s">
        <v>533</v>
      </c>
      <c r="BG137" t="s">
        <v>692</v>
      </c>
      <c r="BH137" t="s">
        <v>2088</v>
      </c>
    </row>
    <row r="138" spans="1:60" x14ac:dyDescent="0.35">
      <c r="A138" t="s">
        <v>2089</v>
      </c>
      <c r="B138" t="s">
        <v>2090</v>
      </c>
      <c r="C138" t="s">
        <v>2091</v>
      </c>
      <c r="D138" t="s">
        <v>2092</v>
      </c>
      <c r="E138" t="s">
        <v>2093</v>
      </c>
      <c r="F138" t="s">
        <v>2094</v>
      </c>
      <c r="G138" t="s">
        <v>2095</v>
      </c>
      <c r="H138" t="s">
        <v>2096</v>
      </c>
      <c r="J138" t="s">
        <v>2097</v>
      </c>
      <c r="K138" t="s">
        <v>2098</v>
      </c>
      <c r="L138" t="s">
        <v>2099</v>
      </c>
      <c r="M138" t="s">
        <v>2100</v>
      </c>
      <c r="N138" t="s">
        <v>2101</v>
      </c>
      <c r="O138" t="s">
        <v>2102</v>
      </c>
      <c r="P138" t="s">
        <v>2103</v>
      </c>
      <c r="R138" t="s">
        <v>2104</v>
      </c>
      <c r="S138" t="s">
        <v>2105</v>
      </c>
      <c r="T138" t="s">
        <v>2106</v>
      </c>
      <c r="V138" t="s">
        <v>2107</v>
      </c>
      <c r="W138" t="s">
        <v>2108</v>
      </c>
      <c r="X138" t="s">
        <v>2109</v>
      </c>
      <c r="Y138" t="s">
        <v>2110</v>
      </c>
      <c r="Z138" t="s">
        <v>2111</v>
      </c>
      <c r="AA138" t="s">
        <v>2112</v>
      </c>
      <c r="AB138" t="s">
        <v>2113</v>
      </c>
      <c r="AC138" t="s">
        <v>2114</v>
      </c>
      <c r="AD138" t="s">
        <v>2115</v>
      </c>
      <c r="AE138" t="s">
        <v>2116</v>
      </c>
      <c r="AF138" t="s">
        <v>533</v>
      </c>
      <c r="AI138" t="s">
        <v>2117</v>
      </c>
      <c r="AJ138" t="s">
        <v>2118</v>
      </c>
      <c r="AL138" t="s">
        <v>2119</v>
      </c>
      <c r="AM138" t="s">
        <v>2120</v>
      </c>
      <c r="AN138" t="s">
        <v>2121</v>
      </c>
      <c r="AO138" t="s">
        <v>2122</v>
      </c>
      <c r="AP138" t="s">
        <v>2123</v>
      </c>
      <c r="AQ138" t="s">
        <v>2124</v>
      </c>
      <c r="AT138" t="s">
        <v>2125</v>
      </c>
      <c r="AU138" t="s">
        <v>2126</v>
      </c>
      <c r="AV138" t="s">
        <v>2127</v>
      </c>
      <c r="AW138" t="s">
        <v>2128</v>
      </c>
      <c r="AY138" t="s">
        <v>2129</v>
      </c>
      <c r="AZ138" t="s">
        <v>2130</v>
      </c>
      <c r="BC138" t="s">
        <v>533</v>
      </c>
      <c r="BD138" t="s">
        <v>2131</v>
      </c>
      <c r="BE138" t="s">
        <v>533</v>
      </c>
      <c r="BG138" t="s">
        <v>705</v>
      </c>
      <c r="BH138" t="s">
        <v>2132</v>
      </c>
    </row>
    <row r="139" spans="1:60" x14ac:dyDescent="0.35">
      <c r="A139" t="s">
        <v>2133</v>
      </c>
      <c r="B139" t="s">
        <v>2134</v>
      </c>
      <c r="C139" t="s">
        <v>2135</v>
      </c>
      <c r="D139" t="s">
        <v>2136</v>
      </c>
      <c r="E139" t="s">
        <v>2137</v>
      </c>
      <c r="F139" t="s">
        <v>2138</v>
      </c>
      <c r="G139" t="s">
        <v>2139</v>
      </c>
      <c r="H139" t="s">
        <v>2140</v>
      </c>
      <c r="J139" t="s">
        <v>2141</v>
      </c>
      <c r="K139" t="s">
        <v>2142</v>
      </c>
      <c r="L139" t="s">
        <v>2143</v>
      </c>
      <c r="M139" t="s">
        <v>2144</v>
      </c>
      <c r="O139" t="s">
        <v>2145</v>
      </c>
      <c r="P139" t="s">
        <v>2146</v>
      </c>
      <c r="R139" t="s">
        <v>2147</v>
      </c>
      <c r="S139" t="s">
        <v>2148</v>
      </c>
      <c r="T139" t="s">
        <v>2149</v>
      </c>
      <c r="V139" t="s">
        <v>2150</v>
      </c>
      <c r="W139" t="s">
        <v>2151</v>
      </c>
      <c r="X139" t="s">
        <v>2152</v>
      </c>
      <c r="Y139" t="s">
        <v>2153</v>
      </c>
      <c r="Z139" t="s">
        <v>2154</v>
      </c>
      <c r="AA139" t="s">
        <v>2155</v>
      </c>
      <c r="AB139" t="s">
        <v>2156</v>
      </c>
      <c r="AC139" t="s">
        <v>2157</v>
      </c>
      <c r="AD139" t="s">
        <v>2158</v>
      </c>
      <c r="AE139" t="s">
        <v>2159</v>
      </c>
      <c r="AF139" t="s">
        <v>533</v>
      </c>
      <c r="AH139" t="s">
        <v>533</v>
      </c>
      <c r="AI139" t="s">
        <v>2160</v>
      </c>
      <c r="AL139" t="s">
        <v>2161</v>
      </c>
      <c r="AM139" t="s">
        <v>2162</v>
      </c>
      <c r="AN139" t="s">
        <v>2163</v>
      </c>
      <c r="AO139" t="s">
        <v>2164</v>
      </c>
      <c r="AP139" t="s">
        <v>2165</v>
      </c>
      <c r="AQ139" t="s">
        <v>2166</v>
      </c>
      <c r="AS139" t="s">
        <v>533</v>
      </c>
      <c r="AT139" t="s">
        <v>2167</v>
      </c>
      <c r="AU139" t="s">
        <v>2168</v>
      </c>
      <c r="AV139" t="s">
        <v>2169</v>
      </c>
      <c r="AW139" t="s">
        <v>2170</v>
      </c>
      <c r="AY139" t="s">
        <v>2171</v>
      </c>
      <c r="AZ139" t="s">
        <v>2172</v>
      </c>
      <c r="BC139" t="s">
        <v>533</v>
      </c>
      <c r="BD139" t="s">
        <v>2173</v>
      </c>
      <c r="BE139" t="s">
        <v>533</v>
      </c>
      <c r="BG139" t="s">
        <v>1966</v>
      </c>
      <c r="BH139" t="s">
        <v>2174</v>
      </c>
    </row>
    <row r="140" spans="1:60" x14ac:dyDescent="0.35">
      <c r="A140" t="s">
        <v>2175</v>
      </c>
      <c r="B140" t="s">
        <v>2176</v>
      </c>
      <c r="C140" t="s">
        <v>2177</v>
      </c>
      <c r="D140" t="s">
        <v>2178</v>
      </c>
      <c r="E140" t="s">
        <v>2179</v>
      </c>
      <c r="F140" t="s">
        <v>2180</v>
      </c>
      <c r="G140" t="s">
        <v>2181</v>
      </c>
      <c r="H140" t="s">
        <v>2182</v>
      </c>
      <c r="J140" t="s">
        <v>2183</v>
      </c>
      <c r="L140" t="s">
        <v>2184</v>
      </c>
      <c r="M140" t="s">
        <v>2185</v>
      </c>
      <c r="O140" t="s">
        <v>2186</v>
      </c>
      <c r="P140" t="s">
        <v>2187</v>
      </c>
      <c r="R140" t="s">
        <v>2188</v>
      </c>
      <c r="S140" t="s">
        <v>2189</v>
      </c>
      <c r="T140" t="s">
        <v>2190</v>
      </c>
      <c r="V140" t="s">
        <v>2191</v>
      </c>
      <c r="W140" t="s">
        <v>2192</v>
      </c>
      <c r="Y140" t="s">
        <v>2193</v>
      </c>
      <c r="Z140" t="s">
        <v>2194</v>
      </c>
      <c r="AA140" t="s">
        <v>2195</v>
      </c>
      <c r="AB140" t="s">
        <v>2196</v>
      </c>
      <c r="AC140" t="s">
        <v>2197</v>
      </c>
      <c r="AD140" t="s">
        <v>2198</v>
      </c>
      <c r="AE140" t="s">
        <v>2199</v>
      </c>
      <c r="AF140" t="s">
        <v>533</v>
      </c>
      <c r="AH140" t="s">
        <v>533</v>
      </c>
      <c r="AJ140" t="s">
        <v>533</v>
      </c>
      <c r="AL140" t="s">
        <v>2200</v>
      </c>
      <c r="AM140" t="s">
        <v>2201</v>
      </c>
      <c r="AN140" t="s">
        <v>2202</v>
      </c>
      <c r="AO140" t="s">
        <v>2203</v>
      </c>
      <c r="AP140" t="s">
        <v>2204</v>
      </c>
      <c r="AQ140" t="s">
        <v>2205</v>
      </c>
      <c r="AS140" t="s">
        <v>533</v>
      </c>
      <c r="AT140" t="s">
        <v>2206</v>
      </c>
      <c r="AU140" t="s">
        <v>2207</v>
      </c>
      <c r="AV140" t="s">
        <v>2208</v>
      </c>
      <c r="AW140" t="s">
        <v>2209</v>
      </c>
      <c r="AY140" t="s">
        <v>2210</v>
      </c>
      <c r="AZ140" t="s">
        <v>2211</v>
      </c>
      <c r="BC140" t="s">
        <v>533</v>
      </c>
      <c r="BD140" t="s">
        <v>2212</v>
      </c>
      <c r="BE140" t="s">
        <v>533</v>
      </c>
      <c r="BG140" t="s">
        <v>674</v>
      </c>
      <c r="BH140" t="s">
        <v>2213</v>
      </c>
    </row>
    <row r="141" spans="1:60" x14ac:dyDescent="0.35">
      <c r="A141" t="s">
        <v>2214</v>
      </c>
      <c r="B141" t="s">
        <v>2215</v>
      </c>
      <c r="D141" t="s">
        <v>2216</v>
      </c>
      <c r="E141" t="s">
        <v>2217</v>
      </c>
      <c r="F141" t="s">
        <v>2218</v>
      </c>
      <c r="G141" t="s">
        <v>2219</v>
      </c>
      <c r="H141" t="s">
        <v>2220</v>
      </c>
      <c r="J141" t="s">
        <v>2221</v>
      </c>
      <c r="K141" t="s">
        <v>533</v>
      </c>
      <c r="L141" t="s">
        <v>2222</v>
      </c>
      <c r="M141" t="s">
        <v>2223</v>
      </c>
      <c r="O141" t="s">
        <v>2224</v>
      </c>
      <c r="P141" t="s">
        <v>2225</v>
      </c>
      <c r="R141" t="s">
        <v>2226</v>
      </c>
      <c r="S141" t="s">
        <v>2227</v>
      </c>
      <c r="T141" t="s">
        <v>2228</v>
      </c>
      <c r="V141" t="s">
        <v>2229</v>
      </c>
      <c r="W141" t="s">
        <v>2230</v>
      </c>
      <c r="Y141" t="s">
        <v>2231</v>
      </c>
      <c r="Z141" t="s">
        <v>2232</v>
      </c>
      <c r="AA141" t="s">
        <v>533</v>
      </c>
      <c r="AD141" t="s">
        <v>2233</v>
      </c>
      <c r="AF141" t="s">
        <v>533</v>
      </c>
      <c r="AH141" t="s">
        <v>533</v>
      </c>
      <c r="AI141" t="s">
        <v>533</v>
      </c>
      <c r="AJ141" t="s">
        <v>533</v>
      </c>
      <c r="AL141" t="s">
        <v>2234</v>
      </c>
      <c r="AM141" t="s">
        <v>2235</v>
      </c>
      <c r="AN141" t="s">
        <v>2236</v>
      </c>
      <c r="AO141" t="s">
        <v>2237</v>
      </c>
      <c r="AP141" t="s">
        <v>2238</v>
      </c>
      <c r="AQ141" t="s">
        <v>2239</v>
      </c>
      <c r="AS141" t="s">
        <v>533</v>
      </c>
      <c r="AT141" t="s">
        <v>2240</v>
      </c>
      <c r="AU141" t="s">
        <v>2241</v>
      </c>
      <c r="AV141" t="s">
        <v>2242</v>
      </c>
      <c r="AW141" t="s">
        <v>2243</v>
      </c>
      <c r="AY141" t="s">
        <v>2244</v>
      </c>
      <c r="AZ141" t="s">
        <v>2245</v>
      </c>
      <c r="BC141" t="s">
        <v>533</v>
      </c>
      <c r="BD141" t="s">
        <v>2246</v>
      </c>
      <c r="BE141" t="s">
        <v>533</v>
      </c>
      <c r="BG141" t="s">
        <v>704</v>
      </c>
      <c r="BH141" t="s">
        <v>2247</v>
      </c>
    </row>
    <row r="142" spans="1:60" x14ac:dyDescent="0.35">
      <c r="A142" t="s">
        <v>2248</v>
      </c>
      <c r="B142" t="s">
        <v>2249</v>
      </c>
      <c r="D142" t="s">
        <v>2250</v>
      </c>
      <c r="E142" t="s">
        <v>2251</v>
      </c>
      <c r="F142" t="s">
        <v>2252</v>
      </c>
      <c r="G142" t="s">
        <v>2253</v>
      </c>
      <c r="J142" t="s">
        <v>2254</v>
      </c>
      <c r="K142" t="s">
        <v>533</v>
      </c>
      <c r="L142" t="s">
        <v>2255</v>
      </c>
      <c r="M142" t="s">
        <v>2256</v>
      </c>
      <c r="O142" t="s">
        <v>2257</v>
      </c>
      <c r="P142" t="s">
        <v>2258</v>
      </c>
      <c r="R142" t="s">
        <v>2259</v>
      </c>
      <c r="S142" t="s">
        <v>2260</v>
      </c>
      <c r="T142" t="s">
        <v>2261</v>
      </c>
      <c r="V142" t="s">
        <v>2262</v>
      </c>
      <c r="W142" t="s">
        <v>2263</v>
      </c>
      <c r="Y142" t="s">
        <v>2264</v>
      </c>
      <c r="Z142" t="s">
        <v>2265</v>
      </c>
      <c r="AA142" t="s">
        <v>533</v>
      </c>
      <c r="AD142" t="s">
        <v>2266</v>
      </c>
      <c r="AF142" t="s">
        <v>533</v>
      </c>
      <c r="AH142" t="s">
        <v>533</v>
      </c>
      <c r="AI142" t="s">
        <v>533</v>
      </c>
      <c r="AJ142" t="s">
        <v>533</v>
      </c>
      <c r="AL142" t="s">
        <v>2267</v>
      </c>
      <c r="AM142" t="s">
        <v>2268</v>
      </c>
      <c r="AN142" t="s">
        <v>2269</v>
      </c>
      <c r="AO142" t="s">
        <v>2270</v>
      </c>
      <c r="AP142" t="s">
        <v>2271</v>
      </c>
      <c r="AQ142" t="s">
        <v>2272</v>
      </c>
      <c r="AS142" t="s">
        <v>533</v>
      </c>
      <c r="AT142" t="s">
        <v>2273</v>
      </c>
      <c r="AU142" t="s">
        <v>2274</v>
      </c>
      <c r="AV142" t="s">
        <v>2275</v>
      </c>
      <c r="AW142" t="s">
        <v>2276</v>
      </c>
      <c r="AY142" t="s">
        <v>2277</v>
      </c>
      <c r="AZ142" t="s">
        <v>2278</v>
      </c>
      <c r="BC142" t="s">
        <v>533</v>
      </c>
      <c r="BD142" t="s">
        <v>2279</v>
      </c>
      <c r="BE142" t="s">
        <v>533</v>
      </c>
      <c r="BG142" t="s">
        <v>695</v>
      </c>
      <c r="BH142" t="s">
        <v>2280</v>
      </c>
    </row>
    <row r="143" spans="1:60" x14ac:dyDescent="0.35">
      <c r="A143" t="s">
        <v>2281</v>
      </c>
      <c r="B143" t="s">
        <v>2282</v>
      </c>
      <c r="C143" t="s">
        <v>533</v>
      </c>
      <c r="D143" t="s">
        <v>2283</v>
      </c>
      <c r="E143" t="s">
        <v>2284</v>
      </c>
      <c r="F143" t="s">
        <v>2285</v>
      </c>
      <c r="G143" t="s">
        <v>2286</v>
      </c>
      <c r="J143" t="s">
        <v>2287</v>
      </c>
      <c r="K143" t="s">
        <v>533</v>
      </c>
      <c r="L143" t="s">
        <v>2288</v>
      </c>
      <c r="M143" t="s">
        <v>2289</v>
      </c>
      <c r="P143" t="s">
        <v>2290</v>
      </c>
      <c r="R143" t="s">
        <v>2291</v>
      </c>
      <c r="S143" t="s">
        <v>2292</v>
      </c>
      <c r="V143" t="s">
        <v>2293</v>
      </c>
      <c r="W143" t="s">
        <v>2294</v>
      </c>
      <c r="Y143" t="s">
        <v>2295</v>
      </c>
      <c r="Z143" t="s">
        <v>2296</v>
      </c>
      <c r="AA143" t="s">
        <v>533</v>
      </c>
      <c r="AC143" t="s">
        <v>533</v>
      </c>
      <c r="AD143" t="s">
        <v>2297</v>
      </c>
      <c r="AF143" t="s">
        <v>533</v>
      </c>
      <c r="AH143" t="s">
        <v>533</v>
      </c>
      <c r="AI143" t="s">
        <v>533</v>
      </c>
      <c r="AJ143" t="s">
        <v>533</v>
      </c>
      <c r="AM143" t="s">
        <v>2298</v>
      </c>
      <c r="AN143" t="s">
        <v>2299</v>
      </c>
      <c r="AO143" t="s">
        <v>2300</v>
      </c>
      <c r="AP143" t="s">
        <v>2301</v>
      </c>
      <c r="AQ143" t="s">
        <v>2302</v>
      </c>
      <c r="AS143" t="s">
        <v>533</v>
      </c>
      <c r="AT143" t="s">
        <v>2303</v>
      </c>
      <c r="AU143" t="s">
        <v>2304</v>
      </c>
      <c r="AV143" t="s">
        <v>2305</v>
      </c>
      <c r="AW143" t="s">
        <v>2306</v>
      </c>
      <c r="AY143" t="s">
        <v>2307</v>
      </c>
      <c r="AZ143" t="s">
        <v>2308</v>
      </c>
      <c r="BC143" t="s">
        <v>533</v>
      </c>
      <c r="BD143" t="s">
        <v>2309</v>
      </c>
      <c r="BE143" t="s">
        <v>533</v>
      </c>
      <c r="BG143" t="s">
        <v>701</v>
      </c>
      <c r="BH143" t="s">
        <v>2310</v>
      </c>
    </row>
    <row r="144" spans="1:60" x14ac:dyDescent="0.35">
      <c r="A144" t="s">
        <v>2311</v>
      </c>
      <c r="B144" t="s">
        <v>2312</v>
      </c>
      <c r="C144" t="s">
        <v>533</v>
      </c>
      <c r="D144" t="s">
        <v>2313</v>
      </c>
      <c r="E144" t="s">
        <v>2314</v>
      </c>
      <c r="F144" t="s">
        <v>2315</v>
      </c>
      <c r="G144" t="s">
        <v>2316</v>
      </c>
      <c r="J144" t="s">
        <v>2317</v>
      </c>
      <c r="K144" t="s">
        <v>533</v>
      </c>
      <c r="L144" t="s">
        <v>2318</v>
      </c>
      <c r="M144" t="s">
        <v>2319</v>
      </c>
      <c r="P144" t="s">
        <v>2320</v>
      </c>
      <c r="R144" t="s">
        <v>2321</v>
      </c>
      <c r="S144" t="s">
        <v>2322</v>
      </c>
      <c r="T144" t="s">
        <v>533</v>
      </c>
      <c r="V144" t="s">
        <v>533</v>
      </c>
      <c r="W144" t="s">
        <v>2323</v>
      </c>
      <c r="Y144" t="s">
        <v>2324</v>
      </c>
      <c r="Z144" t="s">
        <v>2325</v>
      </c>
      <c r="AA144" t="s">
        <v>533</v>
      </c>
      <c r="AC144" t="s">
        <v>533</v>
      </c>
      <c r="AD144" t="s">
        <v>2326</v>
      </c>
      <c r="AF144" t="s">
        <v>533</v>
      </c>
      <c r="AH144" t="s">
        <v>533</v>
      </c>
      <c r="AI144" t="s">
        <v>533</v>
      </c>
      <c r="AJ144" t="s">
        <v>533</v>
      </c>
      <c r="AL144" t="s">
        <v>533</v>
      </c>
      <c r="AM144" t="s">
        <v>2327</v>
      </c>
      <c r="AN144" t="s">
        <v>2328</v>
      </c>
      <c r="AO144" t="s">
        <v>2329</v>
      </c>
      <c r="AP144" t="s">
        <v>2330</v>
      </c>
      <c r="AQ144" t="s">
        <v>2331</v>
      </c>
      <c r="AS144" t="s">
        <v>533</v>
      </c>
      <c r="AT144" t="s">
        <v>2332</v>
      </c>
      <c r="AU144" t="s">
        <v>2333</v>
      </c>
      <c r="AW144" t="s">
        <v>2334</v>
      </c>
      <c r="AY144" t="s">
        <v>2335</v>
      </c>
      <c r="AZ144" t="s">
        <v>2336</v>
      </c>
      <c r="BC144" t="s">
        <v>533</v>
      </c>
      <c r="BD144" t="s">
        <v>2337</v>
      </c>
      <c r="BE144" t="s">
        <v>533</v>
      </c>
      <c r="BG144" t="s">
        <v>500</v>
      </c>
      <c r="BH144" t="s">
        <v>2338</v>
      </c>
    </row>
    <row r="145" spans="1:60" x14ac:dyDescent="0.35">
      <c r="A145" t="s">
        <v>2339</v>
      </c>
      <c r="B145" t="s">
        <v>2340</v>
      </c>
      <c r="C145" t="s">
        <v>533</v>
      </c>
      <c r="D145" t="s">
        <v>2341</v>
      </c>
      <c r="E145" t="s">
        <v>2342</v>
      </c>
      <c r="F145" t="s">
        <v>2343</v>
      </c>
      <c r="G145" t="s">
        <v>2344</v>
      </c>
      <c r="I145" t="s">
        <v>533</v>
      </c>
      <c r="J145" t="s">
        <v>2345</v>
      </c>
      <c r="K145" t="s">
        <v>533</v>
      </c>
      <c r="L145" t="s">
        <v>2346</v>
      </c>
      <c r="M145" t="s">
        <v>2347</v>
      </c>
      <c r="P145" t="s">
        <v>2348</v>
      </c>
      <c r="R145" t="s">
        <v>2349</v>
      </c>
      <c r="S145" t="s">
        <v>2350</v>
      </c>
      <c r="T145" t="s">
        <v>533</v>
      </c>
      <c r="V145" t="s">
        <v>533</v>
      </c>
      <c r="W145" t="s">
        <v>2351</v>
      </c>
      <c r="Y145" t="s">
        <v>533</v>
      </c>
      <c r="Z145" t="s">
        <v>2352</v>
      </c>
      <c r="AA145" t="s">
        <v>533</v>
      </c>
      <c r="AC145" t="s">
        <v>533</v>
      </c>
      <c r="AD145" t="s">
        <v>2353</v>
      </c>
      <c r="AF145" t="s">
        <v>533</v>
      </c>
      <c r="AH145" t="s">
        <v>533</v>
      </c>
      <c r="AI145" t="s">
        <v>533</v>
      </c>
      <c r="AJ145" t="s">
        <v>533</v>
      </c>
      <c r="AL145" t="s">
        <v>533</v>
      </c>
      <c r="AM145" t="s">
        <v>2354</v>
      </c>
      <c r="AN145" t="s">
        <v>2355</v>
      </c>
      <c r="AO145" t="s">
        <v>2356</v>
      </c>
      <c r="AP145" t="s">
        <v>2357</v>
      </c>
      <c r="AQ145" t="s">
        <v>2358</v>
      </c>
      <c r="AS145" t="s">
        <v>533</v>
      </c>
      <c r="AT145" t="s">
        <v>2359</v>
      </c>
      <c r="AU145" t="s">
        <v>2360</v>
      </c>
      <c r="AV145" t="s">
        <v>533</v>
      </c>
      <c r="AW145" t="s">
        <v>2361</v>
      </c>
      <c r="AY145" t="s">
        <v>2362</v>
      </c>
      <c r="AZ145" t="s">
        <v>2363</v>
      </c>
      <c r="BC145" t="s">
        <v>533</v>
      </c>
      <c r="BD145" t="s">
        <v>2364</v>
      </c>
      <c r="BE145" t="s">
        <v>533</v>
      </c>
      <c r="BG145" t="s">
        <v>700</v>
      </c>
      <c r="BH145" t="s">
        <v>2365</v>
      </c>
    </row>
    <row r="146" spans="1:60" x14ac:dyDescent="0.35">
      <c r="A146" t="s">
        <v>2366</v>
      </c>
      <c r="B146" t="s">
        <v>2367</v>
      </c>
      <c r="C146" t="s">
        <v>533</v>
      </c>
      <c r="E146" t="s">
        <v>2368</v>
      </c>
      <c r="F146" t="s">
        <v>2369</v>
      </c>
      <c r="G146" t="s">
        <v>2370</v>
      </c>
      <c r="I146" t="s">
        <v>533</v>
      </c>
      <c r="J146" t="s">
        <v>2371</v>
      </c>
      <c r="K146" t="s">
        <v>533</v>
      </c>
      <c r="L146" t="s">
        <v>2372</v>
      </c>
      <c r="M146" t="s">
        <v>2373</v>
      </c>
      <c r="P146" t="s">
        <v>2374</v>
      </c>
      <c r="R146" t="s">
        <v>2375</v>
      </c>
      <c r="S146" t="s">
        <v>2376</v>
      </c>
      <c r="T146" t="s">
        <v>533</v>
      </c>
      <c r="V146" t="s">
        <v>533</v>
      </c>
      <c r="W146" t="s">
        <v>2377</v>
      </c>
      <c r="Y146" t="s">
        <v>533</v>
      </c>
      <c r="Z146" t="s">
        <v>2378</v>
      </c>
      <c r="AA146" t="s">
        <v>533</v>
      </c>
      <c r="AC146" t="s">
        <v>533</v>
      </c>
      <c r="AF146" t="s">
        <v>533</v>
      </c>
      <c r="AH146" t="s">
        <v>533</v>
      </c>
      <c r="AI146" t="s">
        <v>533</v>
      </c>
      <c r="AJ146" t="s">
        <v>533</v>
      </c>
      <c r="AL146" t="s">
        <v>533</v>
      </c>
      <c r="AM146" t="s">
        <v>2379</v>
      </c>
      <c r="AN146" t="s">
        <v>2380</v>
      </c>
      <c r="AO146" t="s">
        <v>2381</v>
      </c>
      <c r="AP146" t="s">
        <v>2382</v>
      </c>
      <c r="AQ146" t="s">
        <v>2383</v>
      </c>
      <c r="AS146" t="s">
        <v>533</v>
      </c>
      <c r="AT146" t="s">
        <v>2384</v>
      </c>
      <c r="AU146" t="s">
        <v>2385</v>
      </c>
      <c r="AV146" t="s">
        <v>533</v>
      </c>
      <c r="AW146" t="s">
        <v>2386</v>
      </c>
      <c r="AY146" t="s">
        <v>2387</v>
      </c>
      <c r="AZ146" t="s">
        <v>2388</v>
      </c>
      <c r="BC146" t="s">
        <v>533</v>
      </c>
      <c r="BD146" t="s">
        <v>2389</v>
      </c>
      <c r="BE146" t="s">
        <v>533</v>
      </c>
      <c r="BG146" t="s">
        <v>681</v>
      </c>
      <c r="BH146" t="s">
        <v>2390</v>
      </c>
    </row>
    <row r="147" spans="1:60" x14ac:dyDescent="0.35">
      <c r="A147" t="s">
        <v>2391</v>
      </c>
      <c r="B147" t="s">
        <v>2392</v>
      </c>
      <c r="C147" t="s">
        <v>533</v>
      </c>
      <c r="E147" t="s">
        <v>2393</v>
      </c>
      <c r="F147" t="s">
        <v>2394</v>
      </c>
      <c r="G147" t="s">
        <v>2395</v>
      </c>
      <c r="I147" t="s">
        <v>533</v>
      </c>
      <c r="J147" t="s">
        <v>2396</v>
      </c>
      <c r="K147" t="s">
        <v>533</v>
      </c>
      <c r="L147" t="s">
        <v>2397</v>
      </c>
      <c r="M147" t="s">
        <v>2398</v>
      </c>
      <c r="P147" t="s">
        <v>2399</v>
      </c>
      <c r="R147" t="s">
        <v>2400</v>
      </c>
      <c r="S147" t="s">
        <v>2401</v>
      </c>
      <c r="T147" t="s">
        <v>533</v>
      </c>
      <c r="V147" t="s">
        <v>533</v>
      </c>
      <c r="W147" t="s">
        <v>2402</v>
      </c>
      <c r="Y147" t="s">
        <v>533</v>
      </c>
      <c r="Z147" t="s">
        <v>2403</v>
      </c>
      <c r="AA147" t="s">
        <v>533</v>
      </c>
      <c r="AC147" t="s">
        <v>533</v>
      </c>
      <c r="AD147" t="s">
        <v>533</v>
      </c>
      <c r="AF147" t="s">
        <v>533</v>
      </c>
      <c r="AH147" t="s">
        <v>533</v>
      </c>
      <c r="AI147" t="s">
        <v>533</v>
      </c>
      <c r="AJ147" t="s">
        <v>533</v>
      </c>
      <c r="AL147" t="s">
        <v>533</v>
      </c>
      <c r="AM147" t="s">
        <v>2404</v>
      </c>
      <c r="AN147" t="s">
        <v>2405</v>
      </c>
      <c r="AO147" t="s">
        <v>2406</v>
      </c>
      <c r="AP147" t="s">
        <v>2407</v>
      </c>
      <c r="AQ147" t="s">
        <v>2408</v>
      </c>
      <c r="AS147" t="s">
        <v>533</v>
      </c>
      <c r="AT147" t="s">
        <v>2409</v>
      </c>
      <c r="AU147" t="s">
        <v>2410</v>
      </c>
      <c r="AV147" t="s">
        <v>533</v>
      </c>
      <c r="AW147" t="s">
        <v>2411</v>
      </c>
      <c r="AY147" t="s">
        <v>2412</v>
      </c>
      <c r="AZ147" t="s">
        <v>2413</v>
      </c>
      <c r="BC147" t="s">
        <v>533</v>
      </c>
      <c r="BD147" t="s">
        <v>2414</v>
      </c>
      <c r="BE147" t="s">
        <v>533</v>
      </c>
      <c r="BG147" t="s">
        <v>691</v>
      </c>
      <c r="BH147" t="s">
        <v>2415</v>
      </c>
    </row>
    <row r="148" spans="1:60" x14ac:dyDescent="0.35">
      <c r="A148" t="s">
        <v>2416</v>
      </c>
      <c r="C148" t="s">
        <v>533</v>
      </c>
      <c r="E148" t="s">
        <v>2417</v>
      </c>
      <c r="F148" t="s">
        <v>2418</v>
      </c>
      <c r="G148" t="s">
        <v>2419</v>
      </c>
      <c r="I148" t="s">
        <v>533</v>
      </c>
      <c r="J148" t="s">
        <v>2420</v>
      </c>
      <c r="K148" t="s">
        <v>533</v>
      </c>
      <c r="L148" t="s">
        <v>2421</v>
      </c>
      <c r="M148" t="s">
        <v>2422</v>
      </c>
      <c r="P148" t="s">
        <v>2423</v>
      </c>
      <c r="R148" t="s">
        <v>2424</v>
      </c>
      <c r="S148" t="s">
        <v>2425</v>
      </c>
      <c r="T148" t="s">
        <v>533</v>
      </c>
      <c r="V148" t="s">
        <v>533</v>
      </c>
      <c r="W148" t="s">
        <v>2426</v>
      </c>
      <c r="Y148" t="s">
        <v>533</v>
      </c>
      <c r="Z148" t="s">
        <v>2427</v>
      </c>
      <c r="AA148" t="s">
        <v>533</v>
      </c>
      <c r="AC148" t="s">
        <v>533</v>
      </c>
      <c r="AD148" t="s">
        <v>533</v>
      </c>
      <c r="AF148" t="s">
        <v>533</v>
      </c>
      <c r="AH148" t="s">
        <v>533</v>
      </c>
      <c r="AI148" t="s">
        <v>533</v>
      </c>
      <c r="AJ148" t="s">
        <v>533</v>
      </c>
      <c r="AL148" t="s">
        <v>533</v>
      </c>
      <c r="AM148" t="s">
        <v>2428</v>
      </c>
      <c r="AN148" t="s">
        <v>2429</v>
      </c>
      <c r="AO148" t="s">
        <v>2430</v>
      </c>
      <c r="AP148" t="s">
        <v>2431</v>
      </c>
      <c r="AQ148" t="s">
        <v>2432</v>
      </c>
      <c r="AS148" t="s">
        <v>533</v>
      </c>
      <c r="AT148" t="s">
        <v>2433</v>
      </c>
      <c r="AU148" t="s">
        <v>2434</v>
      </c>
      <c r="AV148" t="s">
        <v>533</v>
      </c>
      <c r="AW148" t="s">
        <v>2435</v>
      </c>
      <c r="AY148" t="s">
        <v>2436</v>
      </c>
      <c r="AZ148" t="s">
        <v>2437</v>
      </c>
      <c r="BC148" t="s">
        <v>533</v>
      </c>
      <c r="BD148" t="s">
        <v>2438</v>
      </c>
      <c r="BE148" t="s">
        <v>533</v>
      </c>
      <c r="BG148" t="s">
        <v>1967</v>
      </c>
      <c r="BH148" t="s">
        <v>2439</v>
      </c>
    </row>
    <row r="149" spans="1:60" x14ac:dyDescent="0.35">
      <c r="A149" t="s">
        <v>2440</v>
      </c>
      <c r="B149" t="s">
        <v>533</v>
      </c>
      <c r="C149" t="s">
        <v>533</v>
      </c>
      <c r="E149" t="s">
        <v>2441</v>
      </c>
      <c r="F149" t="s">
        <v>2442</v>
      </c>
      <c r="G149" t="s">
        <v>2370</v>
      </c>
      <c r="J149" t="s">
        <v>2443</v>
      </c>
      <c r="K149" t="s">
        <v>533</v>
      </c>
      <c r="L149" t="s">
        <v>2444</v>
      </c>
      <c r="M149" t="s">
        <v>2445</v>
      </c>
      <c r="P149" t="s">
        <v>2446</v>
      </c>
      <c r="R149" t="s">
        <v>2447</v>
      </c>
      <c r="S149" t="s">
        <v>2448</v>
      </c>
      <c r="T149" t="s">
        <v>533</v>
      </c>
      <c r="V149" t="s">
        <v>533</v>
      </c>
      <c r="W149" t="s">
        <v>2449</v>
      </c>
      <c r="Y149" t="s">
        <v>533</v>
      </c>
      <c r="Z149" t="s">
        <v>2450</v>
      </c>
      <c r="AA149" t="s">
        <v>533</v>
      </c>
      <c r="AC149" t="s">
        <v>533</v>
      </c>
      <c r="AD149" t="s">
        <v>533</v>
      </c>
      <c r="AF149" t="s">
        <v>533</v>
      </c>
      <c r="AH149" t="s">
        <v>533</v>
      </c>
      <c r="AI149" t="s">
        <v>533</v>
      </c>
      <c r="AJ149" t="s">
        <v>533</v>
      </c>
      <c r="AL149" t="s">
        <v>533</v>
      </c>
      <c r="AM149" t="s">
        <v>2451</v>
      </c>
      <c r="AN149" t="s">
        <v>2452</v>
      </c>
      <c r="AO149" t="s">
        <v>2453</v>
      </c>
      <c r="AP149" t="s">
        <v>2454</v>
      </c>
      <c r="AQ149" t="s">
        <v>2455</v>
      </c>
      <c r="AS149" t="s">
        <v>533</v>
      </c>
      <c r="AT149" t="s">
        <v>2456</v>
      </c>
      <c r="AU149" t="s">
        <v>2457</v>
      </c>
      <c r="AV149" t="s">
        <v>533</v>
      </c>
      <c r="AW149" t="s">
        <v>2458</v>
      </c>
      <c r="AY149" t="s">
        <v>2459</v>
      </c>
      <c r="AZ149" t="s">
        <v>2460</v>
      </c>
      <c r="BC149" t="s">
        <v>533</v>
      </c>
      <c r="BD149" t="s">
        <v>2461</v>
      </c>
      <c r="BE149" t="s">
        <v>533</v>
      </c>
      <c r="BG149" t="s">
        <v>1968</v>
      </c>
      <c r="BH149" t="s">
        <v>2462</v>
      </c>
    </row>
    <row r="150" spans="1:60" x14ac:dyDescent="0.35">
      <c r="A150" t="s">
        <v>2463</v>
      </c>
      <c r="B150" t="s">
        <v>533</v>
      </c>
      <c r="C150" t="s">
        <v>533</v>
      </c>
      <c r="E150" t="s">
        <v>2464</v>
      </c>
      <c r="F150" t="s">
        <v>2465</v>
      </c>
      <c r="I150" t="s">
        <v>533</v>
      </c>
      <c r="J150" t="s">
        <v>2466</v>
      </c>
      <c r="K150" t="s">
        <v>533</v>
      </c>
      <c r="L150" t="s">
        <v>2467</v>
      </c>
      <c r="M150" t="s">
        <v>2468</v>
      </c>
      <c r="P150" t="s">
        <v>2469</v>
      </c>
      <c r="R150" t="s">
        <v>2470</v>
      </c>
      <c r="S150" t="s">
        <v>2471</v>
      </c>
      <c r="T150" t="s">
        <v>533</v>
      </c>
      <c r="V150" t="s">
        <v>533</v>
      </c>
      <c r="W150" t="s">
        <v>2472</v>
      </c>
      <c r="Y150" t="s">
        <v>533</v>
      </c>
      <c r="Z150" t="s">
        <v>2473</v>
      </c>
      <c r="AA150" t="s">
        <v>533</v>
      </c>
      <c r="AC150" t="s">
        <v>533</v>
      </c>
      <c r="AD150" t="s">
        <v>533</v>
      </c>
      <c r="AF150" t="s">
        <v>533</v>
      </c>
      <c r="AH150" t="s">
        <v>533</v>
      </c>
      <c r="AI150" t="s">
        <v>533</v>
      </c>
      <c r="AJ150" t="s">
        <v>533</v>
      </c>
      <c r="AL150" t="s">
        <v>533</v>
      </c>
      <c r="AM150" t="s">
        <v>2474</v>
      </c>
      <c r="AN150" t="s">
        <v>2475</v>
      </c>
      <c r="AO150" t="s">
        <v>2476</v>
      </c>
      <c r="AP150" t="s">
        <v>2477</v>
      </c>
      <c r="AQ150" t="s">
        <v>2478</v>
      </c>
      <c r="AS150" t="s">
        <v>533</v>
      </c>
      <c r="AT150" t="s">
        <v>2479</v>
      </c>
      <c r="AU150" t="s">
        <v>2480</v>
      </c>
      <c r="AV150" t="s">
        <v>533</v>
      </c>
      <c r="AW150" t="s">
        <v>2481</v>
      </c>
      <c r="AY150" t="s">
        <v>2482</v>
      </c>
      <c r="AZ150" t="s">
        <v>2483</v>
      </c>
      <c r="BC150" t="s">
        <v>533</v>
      </c>
      <c r="BD150" t="s">
        <v>2484</v>
      </c>
      <c r="BE150" t="s">
        <v>533</v>
      </c>
      <c r="BG150" t="s">
        <v>544</v>
      </c>
      <c r="BH150" t="s">
        <v>2485</v>
      </c>
    </row>
    <row r="151" spans="1:60" x14ac:dyDescent="0.35">
      <c r="A151" t="s">
        <v>2486</v>
      </c>
      <c r="B151" t="s">
        <v>533</v>
      </c>
      <c r="C151" t="s">
        <v>533</v>
      </c>
      <c r="F151" t="s">
        <v>2487</v>
      </c>
      <c r="I151" t="s">
        <v>533</v>
      </c>
      <c r="J151" t="s">
        <v>2488</v>
      </c>
      <c r="K151" t="s">
        <v>533</v>
      </c>
      <c r="M151" t="s">
        <v>2489</v>
      </c>
      <c r="P151" t="s">
        <v>2490</v>
      </c>
      <c r="R151" t="s">
        <v>2491</v>
      </c>
      <c r="S151" t="s">
        <v>2492</v>
      </c>
      <c r="T151" t="s">
        <v>533</v>
      </c>
      <c r="V151" t="s">
        <v>533</v>
      </c>
      <c r="W151" t="s">
        <v>2493</v>
      </c>
      <c r="Y151" t="s">
        <v>533</v>
      </c>
      <c r="Z151" t="s">
        <v>2494</v>
      </c>
      <c r="AA151" t="s">
        <v>533</v>
      </c>
      <c r="AC151" t="s">
        <v>533</v>
      </c>
      <c r="AD151" t="s">
        <v>533</v>
      </c>
      <c r="AF151" t="s">
        <v>533</v>
      </c>
      <c r="AH151" t="s">
        <v>533</v>
      </c>
      <c r="AI151" t="s">
        <v>533</v>
      </c>
      <c r="AJ151" t="s">
        <v>533</v>
      </c>
      <c r="AL151" t="s">
        <v>533</v>
      </c>
      <c r="AM151" t="s">
        <v>2495</v>
      </c>
      <c r="AN151" t="s">
        <v>2496</v>
      </c>
      <c r="AP151" t="s">
        <v>2497</v>
      </c>
      <c r="AQ151" t="s">
        <v>2498</v>
      </c>
      <c r="AS151" t="s">
        <v>533</v>
      </c>
      <c r="AT151" t="s">
        <v>2499</v>
      </c>
      <c r="AU151" t="s">
        <v>2500</v>
      </c>
      <c r="AV151" t="s">
        <v>533</v>
      </c>
      <c r="AW151" t="s">
        <v>2501</v>
      </c>
      <c r="AY151" t="s">
        <v>2502</v>
      </c>
      <c r="AZ151" t="s">
        <v>2503</v>
      </c>
      <c r="BC151" t="s">
        <v>533</v>
      </c>
      <c r="BD151" t="s">
        <v>2504</v>
      </c>
      <c r="BE151" t="s">
        <v>533</v>
      </c>
      <c r="BG151" t="s">
        <v>1969</v>
      </c>
      <c r="BH151" t="s">
        <v>2505</v>
      </c>
    </row>
    <row r="152" spans="1:60" x14ac:dyDescent="0.35">
      <c r="A152" t="s">
        <v>2506</v>
      </c>
      <c r="B152" t="s">
        <v>533</v>
      </c>
      <c r="C152" t="s">
        <v>533</v>
      </c>
      <c r="F152" t="s">
        <v>2507</v>
      </c>
      <c r="I152" t="s">
        <v>533</v>
      </c>
      <c r="J152" t="s">
        <v>2508</v>
      </c>
      <c r="K152" t="s">
        <v>533</v>
      </c>
      <c r="L152" t="s">
        <v>533</v>
      </c>
      <c r="M152" t="s">
        <v>2509</v>
      </c>
      <c r="P152" t="s">
        <v>2510</v>
      </c>
      <c r="R152" t="s">
        <v>2511</v>
      </c>
      <c r="S152" t="s">
        <v>2512</v>
      </c>
      <c r="T152" t="s">
        <v>533</v>
      </c>
      <c r="V152" t="s">
        <v>533</v>
      </c>
      <c r="W152" t="s">
        <v>2513</v>
      </c>
      <c r="Y152" t="s">
        <v>533</v>
      </c>
      <c r="Z152" t="s">
        <v>2514</v>
      </c>
      <c r="AA152" t="s">
        <v>533</v>
      </c>
      <c r="AC152" t="s">
        <v>533</v>
      </c>
      <c r="AD152" t="s">
        <v>533</v>
      </c>
      <c r="AF152" t="s">
        <v>533</v>
      </c>
      <c r="AH152" t="s">
        <v>533</v>
      </c>
      <c r="AI152" t="s">
        <v>533</v>
      </c>
      <c r="AJ152" t="s">
        <v>533</v>
      </c>
      <c r="AL152" t="s">
        <v>533</v>
      </c>
      <c r="AM152" t="s">
        <v>2515</v>
      </c>
      <c r="AN152" t="s">
        <v>2516</v>
      </c>
      <c r="AP152" t="s">
        <v>2517</v>
      </c>
      <c r="AQ152" t="s">
        <v>2518</v>
      </c>
      <c r="AS152" t="s">
        <v>533</v>
      </c>
      <c r="AT152" t="s">
        <v>2519</v>
      </c>
      <c r="AU152" t="s">
        <v>2520</v>
      </c>
      <c r="AV152" t="s">
        <v>533</v>
      </c>
      <c r="AW152" t="s">
        <v>2521</v>
      </c>
      <c r="AY152" t="s">
        <v>2522</v>
      </c>
      <c r="AZ152" t="s">
        <v>2523</v>
      </c>
      <c r="BC152" t="s">
        <v>533</v>
      </c>
      <c r="BD152" t="s">
        <v>2524</v>
      </c>
      <c r="BE152" t="s">
        <v>533</v>
      </c>
      <c r="BG152" t="s">
        <v>694</v>
      </c>
      <c r="BH152" t="s">
        <v>2525</v>
      </c>
    </row>
    <row r="153" spans="1:60" x14ac:dyDescent="0.35">
      <c r="A153" t="s">
        <v>2526</v>
      </c>
      <c r="B153" t="s">
        <v>533</v>
      </c>
      <c r="C153" t="s">
        <v>533</v>
      </c>
      <c r="F153" t="s">
        <v>2527</v>
      </c>
      <c r="I153" t="s">
        <v>533</v>
      </c>
      <c r="J153" t="s">
        <v>2528</v>
      </c>
      <c r="K153" t="s">
        <v>533</v>
      </c>
      <c r="L153" t="s">
        <v>533</v>
      </c>
      <c r="M153" t="s">
        <v>2529</v>
      </c>
      <c r="P153" t="s">
        <v>2530</v>
      </c>
      <c r="R153" t="s">
        <v>2531</v>
      </c>
      <c r="S153" t="s">
        <v>2532</v>
      </c>
      <c r="T153" t="s">
        <v>533</v>
      </c>
      <c r="V153" t="s">
        <v>533</v>
      </c>
      <c r="W153" t="s">
        <v>2533</v>
      </c>
      <c r="Y153" t="s">
        <v>533</v>
      </c>
      <c r="Z153" t="s">
        <v>2534</v>
      </c>
      <c r="AA153" t="s">
        <v>533</v>
      </c>
      <c r="AC153" t="s">
        <v>533</v>
      </c>
      <c r="AD153" t="s">
        <v>533</v>
      </c>
      <c r="AF153" t="s">
        <v>533</v>
      </c>
      <c r="AH153" t="s">
        <v>533</v>
      </c>
      <c r="AI153" t="s">
        <v>533</v>
      </c>
      <c r="AJ153" t="s">
        <v>533</v>
      </c>
      <c r="AL153" t="s">
        <v>533</v>
      </c>
      <c r="AM153" t="s">
        <v>2535</v>
      </c>
      <c r="AN153" t="s">
        <v>2536</v>
      </c>
      <c r="AP153" t="s">
        <v>2537</v>
      </c>
      <c r="AQ153" t="s">
        <v>2538</v>
      </c>
      <c r="AS153" t="s">
        <v>533</v>
      </c>
      <c r="AT153" t="s">
        <v>2539</v>
      </c>
      <c r="AU153" t="s">
        <v>2540</v>
      </c>
      <c r="AV153" t="s">
        <v>533</v>
      </c>
      <c r="AW153" t="s">
        <v>2541</v>
      </c>
      <c r="AY153" t="s">
        <v>2542</v>
      </c>
      <c r="AZ153" t="s">
        <v>2543</v>
      </c>
      <c r="BC153" t="s">
        <v>533</v>
      </c>
      <c r="BD153" t="s">
        <v>2544</v>
      </c>
      <c r="BE153" t="s">
        <v>533</v>
      </c>
      <c r="BG153" t="s">
        <v>287</v>
      </c>
      <c r="BH153" t="s">
        <v>2545</v>
      </c>
    </row>
    <row r="154" spans="1:60" x14ac:dyDescent="0.35">
      <c r="A154" t="s">
        <v>2546</v>
      </c>
      <c r="B154" t="s">
        <v>533</v>
      </c>
      <c r="C154" t="s">
        <v>533</v>
      </c>
      <c r="F154" t="s">
        <v>2547</v>
      </c>
      <c r="I154" t="s">
        <v>533</v>
      </c>
      <c r="J154" t="s">
        <v>2548</v>
      </c>
      <c r="K154" t="s">
        <v>533</v>
      </c>
      <c r="L154" t="s">
        <v>533</v>
      </c>
      <c r="M154" t="s">
        <v>2549</v>
      </c>
      <c r="P154" t="s">
        <v>2550</v>
      </c>
      <c r="R154" t="s">
        <v>2551</v>
      </c>
      <c r="S154" t="s">
        <v>2552</v>
      </c>
      <c r="T154" t="s">
        <v>533</v>
      </c>
      <c r="V154" t="s">
        <v>533</v>
      </c>
      <c r="W154" t="s">
        <v>2553</v>
      </c>
      <c r="Y154" t="s">
        <v>533</v>
      </c>
      <c r="Z154" t="s">
        <v>2554</v>
      </c>
      <c r="AA154" t="s">
        <v>533</v>
      </c>
      <c r="AC154" t="s">
        <v>533</v>
      </c>
      <c r="AD154" t="s">
        <v>533</v>
      </c>
      <c r="AF154" t="s">
        <v>533</v>
      </c>
      <c r="AH154" t="s">
        <v>533</v>
      </c>
      <c r="AI154" t="s">
        <v>533</v>
      </c>
      <c r="AJ154" t="s">
        <v>533</v>
      </c>
      <c r="AL154" t="s">
        <v>533</v>
      </c>
      <c r="AM154" t="s">
        <v>2555</v>
      </c>
      <c r="AN154" t="s">
        <v>2556</v>
      </c>
      <c r="AO154" t="s">
        <v>533</v>
      </c>
      <c r="AP154" t="s">
        <v>2557</v>
      </c>
      <c r="AQ154" t="s">
        <v>2558</v>
      </c>
      <c r="AS154" t="s">
        <v>533</v>
      </c>
      <c r="AT154" t="s">
        <v>2559</v>
      </c>
      <c r="AU154" t="s">
        <v>2560</v>
      </c>
      <c r="AV154" t="s">
        <v>533</v>
      </c>
      <c r="AW154" t="s">
        <v>2561</v>
      </c>
      <c r="AY154" t="s">
        <v>2562</v>
      </c>
      <c r="AZ154" t="s">
        <v>2563</v>
      </c>
      <c r="BC154" t="s">
        <v>533</v>
      </c>
      <c r="BD154" t="s">
        <v>2564</v>
      </c>
      <c r="BE154" t="s">
        <v>533</v>
      </c>
      <c r="BG154" t="s">
        <v>708</v>
      </c>
      <c r="BH154" t="s">
        <v>2565</v>
      </c>
    </row>
    <row r="155" spans="1:60" x14ac:dyDescent="0.35">
      <c r="A155" t="s">
        <v>2566</v>
      </c>
      <c r="B155" t="s">
        <v>533</v>
      </c>
      <c r="C155" t="s">
        <v>533</v>
      </c>
      <c r="F155" t="s">
        <v>2567</v>
      </c>
      <c r="I155" t="s">
        <v>533</v>
      </c>
      <c r="J155" t="s">
        <v>2568</v>
      </c>
      <c r="K155" t="s">
        <v>533</v>
      </c>
      <c r="L155" t="s">
        <v>533</v>
      </c>
      <c r="M155" t="s">
        <v>2569</v>
      </c>
      <c r="P155" t="s">
        <v>2570</v>
      </c>
      <c r="R155" t="s">
        <v>2571</v>
      </c>
      <c r="S155" t="s">
        <v>2572</v>
      </c>
      <c r="T155" t="s">
        <v>533</v>
      </c>
      <c r="V155" t="s">
        <v>533</v>
      </c>
      <c r="W155" t="s">
        <v>2573</v>
      </c>
      <c r="Y155" t="s">
        <v>533</v>
      </c>
      <c r="Z155" t="s">
        <v>2574</v>
      </c>
      <c r="AA155" t="s">
        <v>533</v>
      </c>
      <c r="AC155" t="s">
        <v>533</v>
      </c>
      <c r="AD155" t="s">
        <v>533</v>
      </c>
      <c r="AF155" t="s">
        <v>533</v>
      </c>
      <c r="AH155" t="s">
        <v>533</v>
      </c>
      <c r="AI155" t="s">
        <v>533</v>
      </c>
      <c r="AJ155" t="s">
        <v>533</v>
      </c>
      <c r="AL155" t="s">
        <v>533</v>
      </c>
      <c r="AM155" t="s">
        <v>2575</v>
      </c>
      <c r="AN155" t="s">
        <v>2576</v>
      </c>
      <c r="AO155" t="s">
        <v>533</v>
      </c>
      <c r="AP155" t="s">
        <v>2577</v>
      </c>
      <c r="AQ155" t="s">
        <v>2578</v>
      </c>
      <c r="AS155" t="s">
        <v>533</v>
      </c>
      <c r="AT155" t="s">
        <v>2579</v>
      </c>
      <c r="AU155" t="s">
        <v>2580</v>
      </c>
      <c r="AV155" t="s">
        <v>533</v>
      </c>
      <c r="AW155" t="s">
        <v>2581</v>
      </c>
      <c r="AY155" t="s">
        <v>2582</v>
      </c>
      <c r="AZ155" t="s">
        <v>2583</v>
      </c>
      <c r="BC155" t="s">
        <v>533</v>
      </c>
      <c r="BD155" t="s">
        <v>2584</v>
      </c>
      <c r="BE155" t="s">
        <v>533</v>
      </c>
      <c r="BG155" t="s">
        <v>1970</v>
      </c>
      <c r="BH155" t="s">
        <v>2585</v>
      </c>
    </row>
    <row r="156" spans="1:60" x14ac:dyDescent="0.35">
      <c r="A156" t="s">
        <v>2586</v>
      </c>
      <c r="B156" t="s">
        <v>533</v>
      </c>
      <c r="C156" t="s">
        <v>533</v>
      </c>
      <c r="F156" t="s">
        <v>2587</v>
      </c>
      <c r="I156" t="s">
        <v>533</v>
      </c>
      <c r="J156" t="s">
        <v>2588</v>
      </c>
      <c r="K156" t="s">
        <v>533</v>
      </c>
      <c r="L156" t="s">
        <v>533</v>
      </c>
      <c r="P156" t="s">
        <v>2589</v>
      </c>
      <c r="R156" t="s">
        <v>2590</v>
      </c>
      <c r="S156" t="s">
        <v>2591</v>
      </c>
      <c r="T156" t="s">
        <v>533</v>
      </c>
      <c r="V156" t="s">
        <v>533</v>
      </c>
      <c r="W156" t="s">
        <v>2592</v>
      </c>
      <c r="Y156" t="s">
        <v>533</v>
      </c>
      <c r="Z156" t="s">
        <v>2593</v>
      </c>
      <c r="AA156" t="s">
        <v>533</v>
      </c>
      <c r="AC156" t="s">
        <v>533</v>
      </c>
      <c r="AD156" t="s">
        <v>533</v>
      </c>
      <c r="AF156" t="s">
        <v>533</v>
      </c>
      <c r="AH156" t="s">
        <v>533</v>
      </c>
      <c r="AI156" t="s">
        <v>533</v>
      </c>
      <c r="AJ156" t="s">
        <v>533</v>
      </c>
      <c r="AL156" t="s">
        <v>533</v>
      </c>
      <c r="AM156" t="s">
        <v>2594</v>
      </c>
      <c r="AN156" t="s">
        <v>2595</v>
      </c>
      <c r="AO156" t="s">
        <v>533</v>
      </c>
      <c r="AP156" t="s">
        <v>2596</v>
      </c>
      <c r="AQ156" t="s">
        <v>2597</v>
      </c>
      <c r="AS156" t="s">
        <v>533</v>
      </c>
      <c r="AT156" t="s">
        <v>2598</v>
      </c>
      <c r="AU156" t="s">
        <v>2599</v>
      </c>
      <c r="AV156" t="s">
        <v>533</v>
      </c>
      <c r="AY156" t="s">
        <v>2600</v>
      </c>
      <c r="AZ156" t="s">
        <v>2601</v>
      </c>
      <c r="BC156" t="s">
        <v>533</v>
      </c>
      <c r="BD156" t="s">
        <v>2602</v>
      </c>
      <c r="BE156" t="s">
        <v>533</v>
      </c>
      <c r="BG156" t="s">
        <v>690</v>
      </c>
      <c r="BH156" t="s">
        <v>2603</v>
      </c>
    </row>
    <row r="157" spans="1:60" x14ac:dyDescent="0.35">
      <c r="A157" t="s">
        <v>2604</v>
      </c>
      <c r="B157" t="s">
        <v>533</v>
      </c>
      <c r="C157" t="s">
        <v>533</v>
      </c>
      <c r="F157" t="s">
        <v>2605</v>
      </c>
      <c r="I157" t="s">
        <v>533</v>
      </c>
      <c r="J157" t="s">
        <v>2606</v>
      </c>
      <c r="K157" t="s">
        <v>533</v>
      </c>
      <c r="L157" t="s">
        <v>533</v>
      </c>
      <c r="M157" t="s">
        <v>533</v>
      </c>
      <c r="P157" t="s">
        <v>2607</v>
      </c>
      <c r="R157" t="s">
        <v>2608</v>
      </c>
      <c r="S157" t="s">
        <v>2609</v>
      </c>
      <c r="T157" t="s">
        <v>533</v>
      </c>
      <c r="V157" t="s">
        <v>533</v>
      </c>
      <c r="W157" t="s">
        <v>2610</v>
      </c>
      <c r="Y157" t="s">
        <v>533</v>
      </c>
      <c r="Z157" t="s">
        <v>2611</v>
      </c>
      <c r="AA157" t="s">
        <v>533</v>
      </c>
      <c r="AC157" t="s">
        <v>533</v>
      </c>
      <c r="AD157" t="s">
        <v>533</v>
      </c>
      <c r="AF157" t="s">
        <v>533</v>
      </c>
      <c r="AH157" t="s">
        <v>533</v>
      </c>
      <c r="AI157" t="s">
        <v>533</v>
      </c>
      <c r="AJ157" t="s">
        <v>533</v>
      </c>
      <c r="AL157" t="s">
        <v>533</v>
      </c>
      <c r="AM157" t="s">
        <v>2612</v>
      </c>
      <c r="AN157" t="s">
        <v>2613</v>
      </c>
      <c r="AO157" t="s">
        <v>533</v>
      </c>
      <c r="AP157" t="s">
        <v>2614</v>
      </c>
      <c r="AQ157" t="s">
        <v>2615</v>
      </c>
      <c r="AS157" t="s">
        <v>533</v>
      </c>
      <c r="AT157" t="s">
        <v>2616</v>
      </c>
      <c r="AU157" t="s">
        <v>2617</v>
      </c>
      <c r="AV157" t="s">
        <v>533</v>
      </c>
      <c r="AW157" t="s">
        <v>533</v>
      </c>
      <c r="AY157" t="s">
        <v>2618</v>
      </c>
      <c r="AZ157" t="s">
        <v>2619</v>
      </c>
      <c r="BC157" t="s">
        <v>533</v>
      </c>
      <c r="BD157" t="s">
        <v>2620</v>
      </c>
      <c r="BE157" t="s">
        <v>533</v>
      </c>
      <c r="BG157" t="s">
        <v>684</v>
      </c>
      <c r="BH157" t="s">
        <v>2621</v>
      </c>
    </row>
    <row r="158" spans="1:60" x14ac:dyDescent="0.35">
      <c r="A158" t="s">
        <v>2622</v>
      </c>
      <c r="B158" t="s">
        <v>533</v>
      </c>
      <c r="C158" t="s">
        <v>533</v>
      </c>
      <c r="F158" t="s">
        <v>2623</v>
      </c>
      <c r="I158" t="s">
        <v>533</v>
      </c>
      <c r="J158" t="s">
        <v>2624</v>
      </c>
      <c r="K158" t="s">
        <v>533</v>
      </c>
      <c r="L158" t="s">
        <v>533</v>
      </c>
      <c r="M158" t="s">
        <v>533</v>
      </c>
      <c r="P158" t="s">
        <v>2625</v>
      </c>
      <c r="R158" t="s">
        <v>2626</v>
      </c>
      <c r="S158" t="s">
        <v>2627</v>
      </c>
      <c r="T158" t="s">
        <v>533</v>
      </c>
      <c r="V158" t="s">
        <v>533</v>
      </c>
      <c r="W158" t="s">
        <v>2628</v>
      </c>
      <c r="Y158" t="s">
        <v>533</v>
      </c>
      <c r="AA158" t="s">
        <v>533</v>
      </c>
      <c r="AC158" t="s">
        <v>533</v>
      </c>
      <c r="AD158" t="s">
        <v>533</v>
      </c>
      <c r="AF158" t="s">
        <v>533</v>
      </c>
      <c r="AH158" t="s">
        <v>533</v>
      </c>
      <c r="AI158" t="s">
        <v>533</v>
      </c>
      <c r="AJ158" t="s">
        <v>533</v>
      </c>
      <c r="AL158" t="s">
        <v>533</v>
      </c>
      <c r="AM158" t="s">
        <v>2629</v>
      </c>
      <c r="AN158" t="s">
        <v>2630</v>
      </c>
      <c r="AO158" t="s">
        <v>533</v>
      </c>
      <c r="AP158" t="s">
        <v>2631</v>
      </c>
      <c r="AQ158" t="s">
        <v>2632</v>
      </c>
      <c r="AS158" t="s">
        <v>533</v>
      </c>
      <c r="AT158" t="s">
        <v>2633</v>
      </c>
      <c r="AU158" t="s">
        <v>2634</v>
      </c>
      <c r="AV158" t="s">
        <v>533</v>
      </c>
      <c r="AW158" t="s">
        <v>533</v>
      </c>
      <c r="AY158" t="s">
        <v>2635</v>
      </c>
      <c r="AZ158" t="s">
        <v>2636</v>
      </c>
      <c r="BC158" t="s">
        <v>533</v>
      </c>
      <c r="BD158" t="s">
        <v>2637</v>
      </c>
      <c r="BE158" t="s">
        <v>533</v>
      </c>
      <c r="BG158" t="s">
        <v>1971</v>
      </c>
      <c r="BH158" t="s">
        <v>2638</v>
      </c>
    </row>
    <row r="159" spans="1:60" x14ac:dyDescent="0.35">
      <c r="A159" t="s">
        <v>2639</v>
      </c>
      <c r="B159" t="s">
        <v>533</v>
      </c>
      <c r="C159" t="s">
        <v>533</v>
      </c>
      <c r="F159" t="s">
        <v>2640</v>
      </c>
      <c r="I159" t="s">
        <v>533</v>
      </c>
      <c r="J159" t="s">
        <v>2641</v>
      </c>
      <c r="K159" t="s">
        <v>533</v>
      </c>
      <c r="L159" t="s">
        <v>533</v>
      </c>
      <c r="M159" t="s">
        <v>533</v>
      </c>
      <c r="P159" t="s">
        <v>2642</v>
      </c>
      <c r="R159" t="s">
        <v>2643</v>
      </c>
      <c r="S159" t="s">
        <v>2644</v>
      </c>
      <c r="T159" t="s">
        <v>533</v>
      </c>
      <c r="V159" t="s">
        <v>533</v>
      </c>
      <c r="W159" t="s">
        <v>2645</v>
      </c>
      <c r="Y159" t="s">
        <v>533</v>
      </c>
      <c r="AA159" t="s">
        <v>533</v>
      </c>
      <c r="AC159" t="s">
        <v>533</v>
      </c>
      <c r="AD159" t="s">
        <v>533</v>
      </c>
      <c r="AF159" t="s">
        <v>533</v>
      </c>
      <c r="AH159" t="s">
        <v>533</v>
      </c>
      <c r="AI159" t="s">
        <v>533</v>
      </c>
      <c r="AJ159" t="s">
        <v>533</v>
      </c>
      <c r="AL159" t="s">
        <v>533</v>
      </c>
      <c r="AM159" t="s">
        <v>2646</v>
      </c>
      <c r="AN159" t="s">
        <v>2647</v>
      </c>
      <c r="AO159" t="s">
        <v>533</v>
      </c>
      <c r="AP159" t="s">
        <v>2648</v>
      </c>
      <c r="AQ159" t="s">
        <v>2649</v>
      </c>
      <c r="AS159" t="s">
        <v>533</v>
      </c>
      <c r="AT159" t="s">
        <v>2650</v>
      </c>
      <c r="AU159" t="s">
        <v>2651</v>
      </c>
      <c r="AV159" t="s">
        <v>533</v>
      </c>
      <c r="AW159" t="s">
        <v>533</v>
      </c>
      <c r="AY159" t="s">
        <v>2652</v>
      </c>
      <c r="AZ159" t="s">
        <v>2653</v>
      </c>
      <c r="BC159" t="s">
        <v>533</v>
      </c>
      <c r="BD159" t="s">
        <v>2654</v>
      </c>
      <c r="BE159" t="s">
        <v>533</v>
      </c>
      <c r="BG159" t="s">
        <v>696</v>
      </c>
      <c r="BH159" t="s">
        <v>2655</v>
      </c>
    </row>
    <row r="160" spans="1:60" x14ac:dyDescent="0.35">
      <c r="A160" t="s">
        <v>2656</v>
      </c>
      <c r="B160" t="s">
        <v>533</v>
      </c>
      <c r="C160" t="s">
        <v>533</v>
      </c>
      <c r="F160" t="s">
        <v>2657</v>
      </c>
      <c r="I160" t="s">
        <v>533</v>
      </c>
      <c r="J160" t="s">
        <v>2658</v>
      </c>
      <c r="K160" t="s">
        <v>533</v>
      </c>
      <c r="L160" t="s">
        <v>533</v>
      </c>
      <c r="M160" t="s">
        <v>533</v>
      </c>
      <c r="P160" t="s">
        <v>2659</v>
      </c>
      <c r="R160" t="s">
        <v>2660</v>
      </c>
      <c r="S160" t="s">
        <v>2661</v>
      </c>
      <c r="T160" t="s">
        <v>533</v>
      </c>
      <c r="V160" t="s">
        <v>533</v>
      </c>
      <c r="W160" t="s">
        <v>2662</v>
      </c>
      <c r="Y160" t="s">
        <v>533</v>
      </c>
      <c r="AA160" t="s">
        <v>533</v>
      </c>
      <c r="AC160" t="s">
        <v>533</v>
      </c>
      <c r="AD160" t="s">
        <v>533</v>
      </c>
      <c r="AF160" t="s">
        <v>533</v>
      </c>
      <c r="AH160" t="s">
        <v>533</v>
      </c>
      <c r="AI160" t="s">
        <v>533</v>
      </c>
      <c r="AJ160" t="s">
        <v>533</v>
      </c>
      <c r="AL160" t="s">
        <v>533</v>
      </c>
      <c r="AM160" t="s">
        <v>533</v>
      </c>
      <c r="AN160" t="s">
        <v>2663</v>
      </c>
      <c r="AO160" t="s">
        <v>533</v>
      </c>
      <c r="AP160" t="s">
        <v>2664</v>
      </c>
      <c r="AQ160" t="s">
        <v>2665</v>
      </c>
      <c r="AS160" t="s">
        <v>533</v>
      </c>
      <c r="AU160" t="s">
        <v>2666</v>
      </c>
      <c r="AV160" t="s">
        <v>533</v>
      </c>
      <c r="AW160" t="s">
        <v>533</v>
      </c>
      <c r="AY160" t="s">
        <v>2667</v>
      </c>
      <c r="BC160" t="s">
        <v>533</v>
      </c>
      <c r="BD160" t="s">
        <v>2668</v>
      </c>
      <c r="BE160" t="s">
        <v>533</v>
      </c>
      <c r="BG160" t="s">
        <v>698</v>
      </c>
      <c r="BH160" t="s">
        <v>2669</v>
      </c>
    </row>
    <row r="161" spans="1:60" x14ac:dyDescent="0.35">
      <c r="A161" t="s">
        <v>2670</v>
      </c>
      <c r="B161" t="s">
        <v>533</v>
      </c>
      <c r="C161" t="s">
        <v>533</v>
      </c>
      <c r="F161" t="s">
        <v>2671</v>
      </c>
      <c r="G161" t="s">
        <v>533</v>
      </c>
      <c r="I161" t="s">
        <v>533</v>
      </c>
      <c r="J161" t="s">
        <v>2672</v>
      </c>
      <c r="K161" t="s">
        <v>533</v>
      </c>
      <c r="L161" t="s">
        <v>533</v>
      </c>
      <c r="M161" t="s">
        <v>533</v>
      </c>
      <c r="P161" t="s">
        <v>2673</v>
      </c>
      <c r="R161" t="s">
        <v>2674</v>
      </c>
      <c r="S161" t="s">
        <v>2675</v>
      </c>
      <c r="T161" t="s">
        <v>533</v>
      </c>
      <c r="V161" t="s">
        <v>533</v>
      </c>
      <c r="W161" t="s">
        <v>2676</v>
      </c>
      <c r="Y161" t="s">
        <v>533</v>
      </c>
      <c r="Z161" t="s">
        <v>533</v>
      </c>
      <c r="AA161" t="s">
        <v>533</v>
      </c>
      <c r="AC161" t="s">
        <v>533</v>
      </c>
      <c r="AD161" t="s">
        <v>533</v>
      </c>
      <c r="AF161" t="s">
        <v>533</v>
      </c>
      <c r="AH161" t="s">
        <v>533</v>
      </c>
      <c r="AI161" t="s">
        <v>533</v>
      </c>
      <c r="AJ161" t="s">
        <v>533</v>
      </c>
      <c r="AL161" t="s">
        <v>533</v>
      </c>
      <c r="AM161" t="s">
        <v>533</v>
      </c>
      <c r="AN161" t="s">
        <v>2677</v>
      </c>
      <c r="AO161" t="s">
        <v>533</v>
      </c>
      <c r="AP161" t="s">
        <v>2678</v>
      </c>
      <c r="AQ161" t="s">
        <v>2679</v>
      </c>
      <c r="AS161" t="s">
        <v>533</v>
      </c>
      <c r="AT161" t="s">
        <v>533</v>
      </c>
      <c r="AU161" t="s">
        <v>2680</v>
      </c>
      <c r="AV161" t="s">
        <v>533</v>
      </c>
      <c r="AW161" t="s">
        <v>533</v>
      </c>
      <c r="AY161" t="s">
        <v>2681</v>
      </c>
      <c r="AZ161" t="s">
        <v>533</v>
      </c>
      <c r="BC161" t="s">
        <v>533</v>
      </c>
      <c r="BD161" t="s">
        <v>2682</v>
      </c>
      <c r="BE161" t="s">
        <v>533</v>
      </c>
      <c r="BG161" t="s">
        <v>702</v>
      </c>
      <c r="BH161" t="s">
        <v>2683</v>
      </c>
    </row>
    <row r="162" spans="1:60" x14ac:dyDescent="0.35">
      <c r="A162" t="s">
        <v>2684</v>
      </c>
      <c r="B162" t="s">
        <v>533</v>
      </c>
      <c r="C162" t="s">
        <v>533</v>
      </c>
      <c r="F162" t="s">
        <v>2685</v>
      </c>
      <c r="G162" t="s">
        <v>533</v>
      </c>
      <c r="I162" t="s">
        <v>533</v>
      </c>
      <c r="J162" t="s">
        <v>2686</v>
      </c>
      <c r="K162" t="s">
        <v>533</v>
      </c>
      <c r="L162" t="s">
        <v>533</v>
      </c>
      <c r="M162" t="s">
        <v>533</v>
      </c>
      <c r="P162" t="s">
        <v>2687</v>
      </c>
      <c r="R162" t="s">
        <v>2688</v>
      </c>
      <c r="S162" t="s">
        <v>2689</v>
      </c>
      <c r="T162" t="s">
        <v>533</v>
      </c>
      <c r="V162" t="s">
        <v>533</v>
      </c>
      <c r="W162" t="s">
        <v>2690</v>
      </c>
      <c r="Y162" t="s">
        <v>533</v>
      </c>
      <c r="Z162" t="s">
        <v>533</v>
      </c>
      <c r="AA162" t="s">
        <v>533</v>
      </c>
      <c r="AC162" t="s">
        <v>533</v>
      </c>
      <c r="AD162" t="s">
        <v>533</v>
      </c>
      <c r="AF162" t="s">
        <v>533</v>
      </c>
      <c r="AH162" t="s">
        <v>533</v>
      </c>
      <c r="AI162" t="s">
        <v>533</v>
      </c>
      <c r="AJ162" t="s">
        <v>533</v>
      </c>
      <c r="AL162" t="s">
        <v>533</v>
      </c>
      <c r="AM162" t="s">
        <v>533</v>
      </c>
      <c r="AN162" t="s">
        <v>2691</v>
      </c>
      <c r="AO162" t="s">
        <v>533</v>
      </c>
      <c r="AP162" t="s">
        <v>533</v>
      </c>
      <c r="AQ162" t="s">
        <v>2692</v>
      </c>
      <c r="AS162" t="s">
        <v>533</v>
      </c>
      <c r="AT162" t="s">
        <v>533</v>
      </c>
      <c r="AU162" t="s">
        <v>2693</v>
      </c>
      <c r="AV162" t="s">
        <v>533</v>
      </c>
      <c r="AW162" t="s">
        <v>533</v>
      </c>
      <c r="AY162" t="s">
        <v>2694</v>
      </c>
      <c r="AZ162" t="s">
        <v>533</v>
      </c>
      <c r="BC162" t="s">
        <v>533</v>
      </c>
      <c r="BD162" t="s">
        <v>2695</v>
      </c>
      <c r="BE162" t="s">
        <v>533</v>
      </c>
      <c r="BG162" t="s">
        <v>1972</v>
      </c>
      <c r="BH162" t="s">
        <v>2696</v>
      </c>
    </row>
    <row r="163" spans="1:60" x14ac:dyDescent="0.35">
      <c r="A163" t="s">
        <v>2697</v>
      </c>
      <c r="B163" t="s">
        <v>533</v>
      </c>
      <c r="C163" t="s">
        <v>533</v>
      </c>
      <c r="F163" t="s">
        <v>2698</v>
      </c>
      <c r="G163" t="s">
        <v>533</v>
      </c>
      <c r="I163" t="s">
        <v>533</v>
      </c>
      <c r="J163" t="s">
        <v>2699</v>
      </c>
      <c r="K163" t="s">
        <v>533</v>
      </c>
      <c r="L163" t="s">
        <v>533</v>
      </c>
      <c r="M163" t="s">
        <v>533</v>
      </c>
      <c r="P163" t="s">
        <v>2700</v>
      </c>
      <c r="R163" t="s">
        <v>2701</v>
      </c>
      <c r="S163" t="s">
        <v>2702</v>
      </c>
      <c r="T163" t="s">
        <v>533</v>
      </c>
      <c r="V163" t="s">
        <v>533</v>
      </c>
      <c r="W163" t="s">
        <v>2703</v>
      </c>
      <c r="Y163" t="s">
        <v>533</v>
      </c>
      <c r="Z163" t="s">
        <v>533</v>
      </c>
      <c r="AA163" t="s">
        <v>533</v>
      </c>
      <c r="AC163" t="s">
        <v>533</v>
      </c>
      <c r="AD163" t="s">
        <v>533</v>
      </c>
      <c r="AF163" t="s">
        <v>533</v>
      </c>
      <c r="AH163" t="s">
        <v>533</v>
      </c>
      <c r="AI163" t="s">
        <v>533</v>
      </c>
      <c r="AJ163" t="s">
        <v>533</v>
      </c>
      <c r="AL163" t="s">
        <v>533</v>
      </c>
      <c r="AM163" t="s">
        <v>533</v>
      </c>
      <c r="AN163" t="s">
        <v>2704</v>
      </c>
      <c r="AO163" t="s">
        <v>533</v>
      </c>
      <c r="AP163" t="s">
        <v>533</v>
      </c>
      <c r="AQ163" t="s">
        <v>2705</v>
      </c>
      <c r="AS163" t="s">
        <v>533</v>
      </c>
      <c r="AT163" t="s">
        <v>533</v>
      </c>
      <c r="AU163" t="s">
        <v>2706</v>
      </c>
      <c r="AV163" t="s">
        <v>533</v>
      </c>
      <c r="AW163" t="s">
        <v>533</v>
      </c>
      <c r="AY163" t="s">
        <v>2707</v>
      </c>
      <c r="AZ163" t="s">
        <v>533</v>
      </c>
      <c r="BC163" t="s">
        <v>533</v>
      </c>
      <c r="BD163" t="s">
        <v>2708</v>
      </c>
      <c r="BE163" t="s">
        <v>533</v>
      </c>
      <c r="BG163" t="s">
        <v>706</v>
      </c>
      <c r="BH163" t="s">
        <v>2709</v>
      </c>
    </row>
    <row r="164" spans="1:60" x14ac:dyDescent="0.35">
      <c r="A164" t="s">
        <v>2710</v>
      </c>
      <c r="B164" t="s">
        <v>533</v>
      </c>
      <c r="C164" t="s">
        <v>533</v>
      </c>
      <c r="F164" t="s">
        <v>2711</v>
      </c>
      <c r="G164" t="s">
        <v>533</v>
      </c>
      <c r="I164" t="s">
        <v>533</v>
      </c>
      <c r="J164" t="s">
        <v>2712</v>
      </c>
      <c r="K164" t="s">
        <v>533</v>
      </c>
      <c r="L164" t="s">
        <v>533</v>
      </c>
      <c r="M164" t="s">
        <v>533</v>
      </c>
      <c r="P164" t="s">
        <v>2713</v>
      </c>
      <c r="R164" t="s">
        <v>2714</v>
      </c>
      <c r="S164" t="s">
        <v>2715</v>
      </c>
      <c r="T164" t="s">
        <v>533</v>
      </c>
      <c r="V164" t="s">
        <v>533</v>
      </c>
      <c r="W164" t="s">
        <v>2716</v>
      </c>
      <c r="Y164" t="s">
        <v>533</v>
      </c>
      <c r="Z164" t="s">
        <v>533</v>
      </c>
      <c r="AA164" t="s">
        <v>533</v>
      </c>
      <c r="AC164" t="s">
        <v>533</v>
      </c>
      <c r="AD164" t="s">
        <v>533</v>
      </c>
      <c r="AF164" t="s">
        <v>533</v>
      </c>
      <c r="AH164" t="s">
        <v>533</v>
      </c>
      <c r="AI164" t="s">
        <v>533</v>
      </c>
      <c r="AJ164" t="s">
        <v>533</v>
      </c>
      <c r="AL164" t="s">
        <v>533</v>
      </c>
      <c r="AM164" t="s">
        <v>533</v>
      </c>
      <c r="AN164" t="s">
        <v>2717</v>
      </c>
      <c r="AO164" t="s">
        <v>533</v>
      </c>
      <c r="AP164" t="s">
        <v>533</v>
      </c>
      <c r="AQ164" t="s">
        <v>2718</v>
      </c>
      <c r="AS164" t="s">
        <v>533</v>
      </c>
      <c r="AT164" t="s">
        <v>533</v>
      </c>
      <c r="AU164" t="s">
        <v>2719</v>
      </c>
      <c r="AV164" t="s">
        <v>533</v>
      </c>
      <c r="AW164" t="s">
        <v>533</v>
      </c>
      <c r="AY164" t="s">
        <v>2720</v>
      </c>
      <c r="AZ164" t="s">
        <v>533</v>
      </c>
      <c r="BC164" t="s">
        <v>533</v>
      </c>
      <c r="BD164" t="s">
        <v>2721</v>
      </c>
      <c r="BE164" t="s">
        <v>533</v>
      </c>
      <c r="BG164" t="s">
        <v>675</v>
      </c>
      <c r="BH164" t="s">
        <v>2722</v>
      </c>
    </row>
    <row r="165" spans="1:60" x14ac:dyDescent="0.35">
      <c r="A165" t="s">
        <v>2723</v>
      </c>
      <c r="B165" t="s">
        <v>533</v>
      </c>
      <c r="C165" t="s">
        <v>533</v>
      </c>
      <c r="F165" t="s">
        <v>2724</v>
      </c>
      <c r="G165" t="s">
        <v>533</v>
      </c>
      <c r="I165" t="s">
        <v>533</v>
      </c>
      <c r="J165" t="s">
        <v>2725</v>
      </c>
      <c r="K165" t="s">
        <v>533</v>
      </c>
      <c r="L165" t="s">
        <v>533</v>
      </c>
      <c r="M165" t="s">
        <v>533</v>
      </c>
      <c r="P165" t="s">
        <v>2726</v>
      </c>
      <c r="R165" t="s">
        <v>2727</v>
      </c>
      <c r="S165" t="s">
        <v>2728</v>
      </c>
      <c r="T165" t="s">
        <v>533</v>
      </c>
      <c r="V165" t="s">
        <v>533</v>
      </c>
      <c r="W165" t="s">
        <v>2729</v>
      </c>
      <c r="Y165" t="s">
        <v>533</v>
      </c>
      <c r="Z165" t="s">
        <v>533</v>
      </c>
      <c r="AA165" t="s">
        <v>533</v>
      </c>
      <c r="AC165" t="s">
        <v>533</v>
      </c>
      <c r="AD165" t="s">
        <v>533</v>
      </c>
      <c r="AF165" t="s">
        <v>533</v>
      </c>
      <c r="AH165" t="s">
        <v>533</v>
      </c>
      <c r="AI165" t="s">
        <v>533</v>
      </c>
      <c r="AJ165" t="s">
        <v>533</v>
      </c>
      <c r="AL165" t="s">
        <v>533</v>
      </c>
      <c r="AM165" t="s">
        <v>533</v>
      </c>
      <c r="AN165" t="s">
        <v>2730</v>
      </c>
      <c r="AO165" t="s">
        <v>533</v>
      </c>
      <c r="AP165" t="s">
        <v>533</v>
      </c>
      <c r="AQ165" t="s">
        <v>2731</v>
      </c>
      <c r="AS165" t="s">
        <v>533</v>
      </c>
      <c r="AT165" t="s">
        <v>533</v>
      </c>
      <c r="AU165" t="s">
        <v>2732</v>
      </c>
      <c r="AV165" t="s">
        <v>533</v>
      </c>
      <c r="AW165" t="s">
        <v>533</v>
      </c>
      <c r="AY165" t="s">
        <v>2733</v>
      </c>
      <c r="AZ165" t="s">
        <v>533</v>
      </c>
      <c r="BC165" t="s">
        <v>533</v>
      </c>
      <c r="BD165" t="s">
        <v>2734</v>
      </c>
      <c r="BE165" t="s">
        <v>533</v>
      </c>
      <c r="BG165" t="s">
        <v>1973</v>
      </c>
      <c r="BH165" t="s">
        <v>2735</v>
      </c>
    </row>
    <row r="166" spans="1:60" x14ac:dyDescent="0.35">
      <c r="A166" t="s">
        <v>533</v>
      </c>
      <c r="B166" t="s">
        <v>533</v>
      </c>
      <c r="C166" t="s">
        <v>533</v>
      </c>
      <c r="F166" t="s">
        <v>2736</v>
      </c>
      <c r="G166" t="s">
        <v>533</v>
      </c>
      <c r="I166" t="s">
        <v>533</v>
      </c>
      <c r="J166" t="s">
        <v>2737</v>
      </c>
      <c r="K166" t="s">
        <v>533</v>
      </c>
      <c r="L166" t="s">
        <v>533</v>
      </c>
      <c r="M166" t="s">
        <v>533</v>
      </c>
      <c r="P166" t="s">
        <v>2738</v>
      </c>
      <c r="R166" t="s">
        <v>2739</v>
      </c>
      <c r="S166" t="s">
        <v>2740</v>
      </c>
      <c r="T166" t="s">
        <v>533</v>
      </c>
      <c r="V166" t="s">
        <v>533</v>
      </c>
      <c r="W166" t="s">
        <v>2741</v>
      </c>
      <c r="Y166" t="s">
        <v>533</v>
      </c>
      <c r="Z166" t="s">
        <v>533</v>
      </c>
      <c r="AA166" t="s">
        <v>533</v>
      </c>
      <c r="AC166" t="s">
        <v>533</v>
      </c>
      <c r="AD166" t="s">
        <v>533</v>
      </c>
      <c r="AF166" t="s">
        <v>533</v>
      </c>
      <c r="AH166" t="s">
        <v>533</v>
      </c>
      <c r="AI166" t="s">
        <v>533</v>
      </c>
      <c r="AJ166" t="s">
        <v>533</v>
      </c>
      <c r="AL166" t="s">
        <v>533</v>
      </c>
      <c r="AM166" t="s">
        <v>533</v>
      </c>
      <c r="AN166" t="s">
        <v>2742</v>
      </c>
      <c r="AO166" t="s">
        <v>533</v>
      </c>
      <c r="AP166" t="s">
        <v>533</v>
      </c>
      <c r="AQ166" t="s">
        <v>2743</v>
      </c>
      <c r="AS166" t="s">
        <v>533</v>
      </c>
      <c r="AT166" t="s">
        <v>533</v>
      </c>
      <c r="AU166" t="s">
        <v>2744</v>
      </c>
      <c r="AV166" t="s">
        <v>533</v>
      </c>
      <c r="AW166" t="s">
        <v>533</v>
      </c>
      <c r="AY166" t="s">
        <v>2745</v>
      </c>
      <c r="AZ166" t="s">
        <v>533</v>
      </c>
      <c r="BC166" t="s">
        <v>533</v>
      </c>
      <c r="BD166" t="s">
        <v>2746</v>
      </c>
      <c r="BE166" t="s">
        <v>533</v>
      </c>
      <c r="BG166" t="s">
        <v>707</v>
      </c>
      <c r="BH166" t="s">
        <v>2747</v>
      </c>
    </row>
    <row r="167" spans="1:60" x14ac:dyDescent="0.35">
      <c r="A167" t="s">
        <v>533</v>
      </c>
      <c r="B167" t="s">
        <v>533</v>
      </c>
      <c r="C167" t="s">
        <v>533</v>
      </c>
      <c r="F167" t="s">
        <v>2748</v>
      </c>
      <c r="G167" t="s">
        <v>533</v>
      </c>
      <c r="I167" t="s">
        <v>533</v>
      </c>
      <c r="J167" t="s">
        <v>2749</v>
      </c>
      <c r="K167" t="s">
        <v>533</v>
      </c>
      <c r="L167" t="s">
        <v>533</v>
      </c>
      <c r="M167" t="s">
        <v>533</v>
      </c>
      <c r="P167" t="s">
        <v>2750</v>
      </c>
      <c r="R167" t="s">
        <v>2751</v>
      </c>
      <c r="S167" t="s">
        <v>2752</v>
      </c>
      <c r="T167" t="s">
        <v>533</v>
      </c>
      <c r="V167" t="s">
        <v>533</v>
      </c>
      <c r="W167" t="s">
        <v>2753</v>
      </c>
      <c r="Y167" t="s">
        <v>533</v>
      </c>
      <c r="Z167" t="s">
        <v>533</v>
      </c>
      <c r="AA167" t="s">
        <v>533</v>
      </c>
      <c r="AC167" t="s">
        <v>533</v>
      </c>
      <c r="AD167" t="s">
        <v>533</v>
      </c>
      <c r="AF167" t="s">
        <v>533</v>
      </c>
      <c r="AH167" t="s">
        <v>533</v>
      </c>
      <c r="AI167" t="s">
        <v>533</v>
      </c>
      <c r="AJ167" t="s">
        <v>533</v>
      </c>
      <c r="AL167" t="s">
        <v>533</v>
      </c>
      <c r="AM167" t="s">
        <v>533</v>
      </c>
      <c r="AN167" t="s">
        <v>2754</v>
      </c>
      <c r="AO167" t="s">
        <v>533</v>
      </c>
      <c r="AP167" t="s">
        <v>533</v>
      </c>
      <c r="AQ167" t="s">
        <v>2755</v>
      </c>
      <c r="AS167" t="s">
        <v>533</v>
      </c>
      <c r="AT167" t="s">
        <v>533</v>
      </c>
      <c r="AU167" t="s">
        <v>2756</v>
      </c>
      <c r="AV167" t="s">
        <v>533</v>
      </c>
      <c r="AW167" t="s">
        <v>533</v>
      </c>
      <c r="AY167" t="s">
        <v>2757</v>
      </c>
      <c r="AZ167" t="s">
        <v>533</v>
      </c>
      <c r="BC167" t="s">
        <v>533</v>
      </c>
      <c r="BD167" t="s">
        <v>2758</v>
      </c>
      <c r="BE167" t="s">
        <v>533</v>
      </c>
      <c r="BG167" t="s">
        <v>1974</v>
      </c>
      <c r="BH167" t="s">
        <v>2759</v>
      </c>
    </row>
    <row r="168" spans="1:60" x14ac:dyDescent="0.35">
      <c r="A168" t="s">
        <v>533</v>
      </c>
      <c r="B168" t="s">
        <v>533</v>
      </c>
      <c r="C168" t="s">
        <v>533</v>
      </c>
      <c r="F168" t="s">
        <v>2760</v>
      </c>
      <c r="G168" t="s">
        <v>533</v>
      </c>
      <c r="I168" t="s">
        <v>533</v>
      </c>
      <c r="J168" t="s">
        <v>2761</v>
      </c>
      <c r="K168" t="s">
        <v>533</v>
      </c>
      <c r="L168" t="s">
        <v>533</v>
      </c>
      <c r="M168" t="s">
        <v>533</v>
      </c>
      <c r="P168" t="s">
        <v>2762</v>
      </c>
      <c r="R168" t="s">
        <v>2763</v>
      </c>
      <c r="S168" t="s">
        <v>2764</v>
      </c>
      <c r="T168" t="s">
        <v>533</v>
      </c>
      <c r="V168" t="s">
        <v>533</v>
      </c>
      <c r="W168" t="s">
        <v>2765</v>
      </c>
      <c r="Y168" t="s">
        <v>533</v>
      </c>
      <c r="Z168" t="s">
        <v>533</v>
      </c>
      <c r="AA168" t="s">
        <v>533</v>
      </c>
      <c r="AC168" t="s">
        <v>533</v>
      </c>
      <c r="AD168" t="s">
        <v>533</v>
      </c>
      <c r="AF168" t="s">
        <v>533</v>
      </c>
      <c r="AH168" t="s">
        <v>533</v>
      </c>
      <c r="AI168" t="s">
        <v>533</v>
      </c>
      <c r="AJ168" t="s">
        <v>533</v>
      </c>
      <c r="AL168" t="s">
        <v>533</v>
      </c>
      <c r="AM168" t="s">
        <v>533</v>
      </c>
      <c r="AN168" t="s">
        <v>2766</v>
      </c>
      <c r="AO168" t="s">
        <v>533</v>
      </c>
      <c r="AP168" t="s">
        <v>533</v>
      </c>
      <c r="AQ168" t="s">
        <v>2767</v>
      </c>
      <c r="AS168" t="s">
        <v>533</v>
      </c>
      <c r="AT168" t="s">
        <v>533</v>
      </c>
      <c r="AU168" t="s">
        <v>2768</v>
      </c>
      <c r="AV168" t="s">
        <v>533</v>
      </c>
      <c r="AW168" t="s">
        <v>533</v>
      </c>
      <c r="AY168" t="s">
        <v>2769</v>
      </c>
      <c r="AZ168" t="s">
        <v>533</v>
      </c>
      <c r="BC168" t="s">
        <v>533</v>
      </c>
      <c r="BD168" t="s">
        <v>2770</v>
      </c>
      <c r="BE168" t="s">
        <v>533</v>
      </c>
      <c r="BG168" t="s">
        <v>687</v>
      </c>
      <c r="BH168" t="s">
        <v>2771</v>
      </c>
    </row>
    <row r="169" spans="1:60" x14ac:dyDescent="0.35">
      <c r="A169" t="s">
        <v>533</v>
      </c>
      <c r="B169" t="s">
        <v>533</v>
      </c>
      <c r="C169" t="s">
        <v>533</v>
      </c>
      <c r="F169" t="s">
        <v>2772</v>
      </c>
      <c r="G169" t="s">
        <v>533</v>
      </c>
      <c r="I169" t="s">
        <v>533</v>
      </c>
      <c r="J169" t="s">
        <v>2773</v>
      </c>
      <c r="K169" t="s">
        <v>533</v>
      </c>
      <c r="L169" t="s">
        <v>533</v>
      </c>
      <c r="M169" t="s">
        <v>533</v>
      </c>
      <c r="P169" t="s">
        <v>2774</v>
      </c>
      <c r="R169" t="s">
        <v>2775</v>
      </c>
      <c r="S169" t="s">
        <v>2776</v>
      </c>
      <c r="T169" t="s">
        <v>533</v>
      </c>
      <c r="V169" t="s">
        <v>533</v>
      </c>
      <c r="W169" t="s">
        <v>2777</v>
      </c>
      <c r="Y169" t="s">
        <v>533</v>
      </c>
      <c r="Z169" t="s">
        <v>533</v>
      </c>
      <c r="AA169" t="s">
        <v>533</v>
      </c>
      <c r="AC169" t="s">
        <v>533</v>
      </c>
      <c r="AD169" t="s">
        <v>533</v>
      </c>
      <c r="AF169" t="s">
        <v>533</v>
      </c>
      <c r="AH169" t="s">
        <v>533</v>
      </c>
      <c r="AI169" t="s">
        <v>533</v>
      </c>
      <c r="AJ169" t="s">
        <v>533</v>
      </c>
      <c r="AL169" t="s">
        <v>533</v>
      </c>
      <c r="AM169" t="s">
        <v>533</v>
      </c>
      <c r="AN169" t="s">
        <v>2778</v>
      </c>
      <c r="AO169" t="s">
        <v>533</v>
      </c>
      <c r="AP169" t="s">
        <v>533</v>
      </c>
      <c r="AQ169" t="s">
        <v>2779</v>
      </c>
      <c r="AS169" t="s">
        <v>533</v>
      </c>
      <c r="AT169" t="s">
        <v>533</v>
      </c>
      <c r="AU169" t="s">
        <v>2780</v>
      </c>
      <c r="AV169" t="s">
        <v>533</v>
      </c>
      <c r="AW169" t="s">
        <v>533</v>
      </c>
      <c r="AY169" t="s">
        <v>2781</v>
      </c>
      <c r="AZ169" t="s">
        <v>533</v>
      </c>
      <c r="BC169" t="s">
        <v>533</v>
      </c>
      <c r="BD169" t="s">
        <v>2782</v>
      </c>
      <c r="BE169" t="s">
        <v>533</v>
      </c>
      <c r="BG169" t="s">
        <v>688</v>
      </c>
      <c r="BH169" t="s">
        <v>2783</v>
      </c>
    </row>
    <row r="170" spans="1:60" x14ac:dyDescent="0.35">
      <c r="A170" t="s">
        <v>533</v>
      </c>
      <c r="B170" t="s">
        <v>533</v>
      </c>
      <c r="C170" t="s">
        <v>533</v>
      </c>
      <c r="F170" t="s">
        <v>2784</v>
      </c>
      <c r="G170" t="s">
        <v>533</v>
      </c>
      <c r="I170" t="s">
        <v>533</v>
      </c>
      <c r="J170" t="s">
        <v>2785</v>
      </c>
      <c r="K170" t="s">
        <v>533</v>
      </c>
      <c r="L170" t="s">
        <v>533</v>
      </c>
      <c r="M170" t="s">
        <v>533</v>
      </c>
      <c r="P170" t="s">
        <v>2786</v>
      </c>
      <c r="R170" t="s">
        <v>2787</v>
      </c>
      <c r="S170" t="s">
        <v>2788</v>
      </c>
      <c r="T170" t="s">
        <v>533</v>
      </c>
      <c r="V170" t="s">
        <v>533</v>
      </c>
      <c r="Y170" t="s">
        <v>533</v>
      </c>
      <c r="Z170" t="s">
        <v>533</v>
      </c>
      <c r="AA170" t="s">
        <v>533</v>
      </c>
      <c r="AC170" t="s">
        <v>533</v>
      </c>
      <c r="AD170" t="s">
        <v>533</v>
      </c>
      <c r="AF170" t="s">
        <v>533</v>
      </c>
      <c r="AH170" t="s">
        <v>533</v>
      </c>
      <c r="AI170" t="s">
        <v>533</v>
      </c>
      <c r="AJ170" t="s">
        <v>533</v>
      </c>
      <c r="AL170" t="s">
        <v>533</v>
      </c>
      <c r="AM170" t="s">
        <v>533</v>
      </c>
      <c r="AN170" t="s">
        <v>2789</v>
      </c>
      <c r="AO170" t="s">
        <v>533</v>
      </c>
      <c r="AP170" t="s">
        <v>533</v>
      </c>
      <c r="AQ170" t="s">
        <v>2790</v>
      </c>
      <c r="AS170" t="s">
        <v>533</v>
      </c>
      <c r="AT170" t="s">
        <v>533</v>
      </c>
      <c r="AU170" t="s">
        <v>2791</v>
      </c>
      <c r="AV170" t="s">
        <v>533</v>
      </c>
      <c r="AW170" t="s">
        <v>533</v>
      </c>
      <c r="AY170" t="s">
        <v>2792</v>
      </c>
      <c r="AZ170" t="s">
        <v>533</v>
      </c>
      <c r="BC170" t="s">
        <v>533</v>
      </c>
      <c r="BD170" t="s">
        <v>2793</v>
      </c>
      <c r="BE170" t="s">
        <v>533</v>
      </c>
      <c r="BG170" t="s">
        <v>699</v>
      </c>
      <c r="BH170" t="s">
        <v>2794</v>
      </c>
    </row>
    <row r="171" spans="1:60" x14ac:dyDescent="0.35">
      <c r="A171" t="s">
        <v>533</v>
      </c>
      <c r="B171" t="s">
        <v>533</v>
      </c>
      <c r="C171" t="s">
        <v>533</v>
      </c>
      <c r="F171" t="s">
        <v>2795</v>
      </c>
      <c r="G171" t="s">
        <v>533</v>
      </c>
      <c r="I171" t="s">
        <v>533</v>
      </c>
      <c r="J171" t="s">
        <v>2796</v>
      </c>
      <c r="K171" t="s">
        <v>533</v>
      </c>
      <c r="L171" t="s">
        <v>533</v>
      </c>
      <c r="M171" t="s">
        <v>533</v>
      </c>
      <c r="P171" t="s">
        <v>2797</v>
      </c>
      <c r="R171" t="s">
        <v>2798</v>
      </c>
      <c r="S171" t="s">
        <v>2799</v>
      </c>
      <c r="T171" t="s">
        <v>533</v>
      </c>
      <c r="V171" t="s">
        <v>533</v>
      </c>
      <c r="Y171" t="s">
        <v>533</v>
      </c>
      <c r="Z171" t="s">
        <v>533</v>
      </c>
      <c r="AA171" t="s">
        <v>533</v>
      </c>
      <c r="AC171" t="s">
        <v>533</v>
      </c>
      <c r="AD171" t="s">
        <v>533</v>
      </c>
      <c r="AF171" t="s">
        <v>533</v>
      </c>
      <c r="AH171" t="s">
        <v>533</v>
      </c>
      <c r="AI171" t="s">
        <v>533</v>
      </c>
      <c r="AJ171" t="s">
        <v>533</v>
      </c>
      <c r="AL171" t="s">
        <v>533</v>
      </c>
      <c r="AM171" t="s">
        <v>533</v>
      </c>
      <c r="AN171" t="s">
        <v>2800</v>
      </c>
      <c r="AO171" t="s">
        <v>533</v>
      </c>
      <c r="AP171" t="s">
        <v>533</v>
      </c>
      <c r="AQ171" t="s">
        <v>2801</v>
      </c>
      <c r="AS171" t="s">
        <v>533</v>
      </c>
      <c r="AT171" t="s">
        <v>533</v>
      </c>
      <c r="AU171" t="s">
        <v>2802</v>
      </c>
      <c r="AV171" t="s">
        <v>533</v>
      </c>
      <c r="AW171" t="s">
        <v>533</v>
      </c>
      <c r="AY171" t="s">
        <v>2803</v>
      </c>
      <c r="AZ171" t="s">
        <v>533</v>
      </c>
      <c r="BC171" t="s">
        <v>533</v>
      </c>
      <c r="BD171" t="s">
        <v>2804</v>
      </c>
      <c r="BE171" t="s">
        <v>533</v>
      </c>
      <c r="BG171" t="s">
        <v>1975</v>
      </c>
      <c r="BH171" t="s">
        <v>2805</v>
      </c>
    </row>
    <row r="172" spans="1:60" x14ac:dyDescent="0.35">
      <c r="A172" t="s">
        <v>533</v>
      </c>
      <c r="B172" t="s">
        <v>533</v>
      </c>
      <c r="C172" t="s">
        <v>533</v>
      </c>
      <c r="F172" t="s">
        <v>533</v>
      </c>
      <c r="G172" t="s">
        <v>533</v>
      </c>
      <c r="I172" t="s">
        <v>533</v>
      </c>
      <c r="J172" t="s">
        <v>2806</v>
      </c>
      <c r="K172" t="s">
        <v>533</v>
      </c>
      <c r="L172" t="s">
        <v>533</v>
      </c>
      <c r="M172" t="s">
        <v>533</v>
      </c>
      <c r="P172" t="s">
        <v>2807</v>
      </c>
      <c r="R172" t="s">
        <v>2808</v>
      </c>
      <c r="S172" t="s">
        <v>2809</v>
      </c>
      <c r="T172" t="s">
        <v>533</v>
      </c>
      <c r="V172" t="s">
        <v>533</v>
      </c>
      <c r="W172" t="s">
        <v>533</v>
      </c>
      <c r="Y172" t="s">
        <v>533</v>
      </c>
      <c r="Z172" t="s">
        <v>533</v>
      </c>
      <c r="AA172" t="s">
        <v>533</v>
      </c>
      <c r="AC172" t="s">
        <v>533</v>
      </c>
      <c r="AD172" t="s">
        <v>533</v>
      </c>
      <c r="AF172" t="s">
        <v>533</v>
      </c>
      <c r="AH172" t="s">
        <v>533</v>
      </c>
      <c r="AI172" t="s">
        <v>533</v>
      </c>
      <c r="AJ172" t="s">
        <v>533</v>
      </c>
      <c r="AL172" t="s">
        <v>533</v>
      </c>
      <c r="AM172" t="s">
        <v>533</v>
      </c>
      <c r="AN172" t="s">
        <v>2810</v>
      </c>
      <c r="AO172" t="s">
        <v>533</v>
      </c>
      <c r="AP172" t="s">
        <v>533</v>
      </c>
      <c r="AS172" t="s">
        <v>533</v>
      </c>
      <c r="AT172" t="s">
        <v>533</v>
      </c>
      <c r="AU172" t="s">
        <v>2811</v>
      </c>
      <c r="AV172" t="s">
        <v>533</v>
      </c>
      <c r="AW172" t="s">
        <v>533</v>
      </c>
      <c r="AY172" t="s">
        <v>2812</v>
      </c>
      <c r="AZ172" t="s">
        <v>533</v>
      </c>
      <c r="BC172" t="s">
        <v>533</v>
      </c>
      <c r="BD172" t="s">
        <v>2813</v>
      </c>
      <c r="BE172" t="s">
        <v>533</v>
      </c>
      <c r="BG172" t="s">
        <v>683</v>
      </c>
      <c r="BH172" t="s">
        <v>2814</v>
      </c>
    </row>
    <row r="173" spans="1:60" x14ac:dyDescent="0.35">
      <c r="A173" t="s">
        <v>533</v>
      </c>
      <c r="B173" t="s">
        <v>533</v>
      </c>
      <c r="C173" t="s">
        <v>533</v>
      </c>
      <c r="F173" t="s">
        <v>533</v>
      </c>
      <c r="G173" t="s">
        <v>533</v>
      </c>
      <c r="I173" t="s">
        <v>533</v>
      </c>
      <c r="J173" t="s">
        <v>2815</v>
      </c>
      <c r="K173" t="s">
        <v>533</v>
      </c>
      <c r="L173" t="s">
        <v>533</v>
      </c>
      <c r="M173" t="s">
        <v>533</v>
      </c>
      <c r="P173" t="s">
        <v>2816</v>
      </c>
      <c r="R173" t="s">
        <v>2817</v>
      </c>
      <c r="S173" t="s">
        <v>2818</v>
      </c>
      <c r="T173" t="s">
        <v>533</v>
      </c>
      <c r="V173" t="s">
        <v>533</v>
      </c>
      <c r="W173" t="s">
        <v>533</v>
      </c>
      <c r="Y173" t="s">
        <v>533</v>
      </c>
      <c r="Z173" t="s">
        <v>533</v>
      </c>
      <c r="AA173" t="s">
        <v>533</v>
      </c>
      <c r="AC173" t="s">
        <v>533</v>
      </c>
      <c r="AD173" t="s">
        <v>533</v>
      </c>
      <c r="AF173" t="s">
        <v>533</v>
      </c>
      <c r="AH173" t="s">
        <v>533</v>
      </c>
      <c r="AI173" t="s">
        <v>533</v>
      </c>
      <c r="AJ173" t="s">
        <v>533</v>
      </c>
      <c r="AL173" t="s">
        <v>533</v>
      </c>
      <c r="AM173" t="s">
        <v>533</v>
      </c>
      <c r="AN173" t="s">
        <v>2819</v>
      </c>
      <c r="AO173" t="s">
        <v>533</v>
      </c>
      <c r="AP173" t="s">
        <v>533</v>
      </c>
      <c r="AS173" t="s">
        <v>533</v>
      </c>
      <c r="AT173" t="s">
        <v>533</v>
      </c>
      <c r="AU173" t="s">
        <v>2820</v>
      </c>
      <c r="AV173" t="s">
        <v>533</v>
      </c>
      <c r="AW173" t="s">
        <v>533</v>
      </c>
      <c r="AY173" t="s">
        <v>2821</v>
      </c>
      <c r="AZ173" t="s">
        <v>533</v>
      </c>
      <c r="BC173" t="s">
        <v>533</v>
      </c>
      <c r="BD173" t="s">
        <v>2822</v>
      </c>
      <c r="BE173" t="s">
        <v>533</v>
      </c>
      <c r="BG173" t="s">
        <v>685</v>
      </c>
      <c r="BH173" t="s">
        <v>2823</v>
      </c>
    </row>
    <row r="174" spans="1:60" x14ac:dyDescent="0.35">
      <c r="A174" t="s">
        <v>533</v>
      </c>
      <c r="B174" t="s">
        <v>533</v>
      </c>
      <c r="C174" t="s">
        <v>533</v>
      </c>
      <c r="F174" t="s">
        <v>533</v>
      </c>
      <c r="G174" t="s">
        <v>533</v>
      </c>
      <c r="I174" t="s">
        <v>533</v>
      </c>
      <c r="J174" t="s">
        <v>2824</v>
      </c>
      <c r="K174" t="s">
        <v>533</v>
      </c>
      <c r="L174" t="s">
        <v>533</v>
      </c>
      <c r="M174" t="s">
        <v>533</v>
      </c>
      <c r="P174" t="s">
        <v>2825</v>
      </c>
      <c r="R174" t="s">
        <v>2826</v>
      </c>
      <c r="S174" t="s">
        <v>2827</v>
      </c>
      <c r="T174" t="s">
        <v>533</v>
      </c>
      <c r="V174" t="s">
        <v>533</v>
      </c>
      <c r="W174" t="s">
        <v>533</v>
      </c>
      <c r="Y174" t="s">
        <v>533</v>
      </c>
      <c r="Z174" t="s">
        <v>533</v>
      </c>
      <c r="AA174" t="s">
        <v>533</v>
      </c>
      <c r="AC174" t="s">
        <v>533</v>
      </c>
      <c r="AD174" t="s">
        <v>533</v>
      </c>
      <c r="AF174" t="s">
        <v>533</v>
      </c>
      <c r="AH174" t="s">
        <v>533</v>
      </c>
      <c r="AI174" t="s">
        <v>533</v>
      </c>
      <c r="AJ174" t="s">
        <v>533</v>
      </c>
      <c r="AL174" t="s">
        <v>533</v>
      </c>
      <c r="AM174" t="s">
        <v>533</v>
      </c>
      <c r="AN174" t="s">
        <v>2828</v>
      </c>
      <c r="AO174" t="s">
        <v>533</v>
      </c>
      <c r="AP174" t="s">
        <v>533</v>
      </c>
      <c r="AS174" t="s">
        <v>533</v>
      </c>
      <c r="AT174" t="s">
        <v>533</v>
      </c>
      <c r="AU174" t="s">
        <v>2829</v>
      </c>
      <c r="AV174" t="s">
        <v>533</v>
      </c>
      <c r="AW174" t="s">
        <v>533</v>
      </c>
      <c r="AY174" t="s">
        <v>2830</v>
      </c>
      <c r="AZ174" t="s">
        <v>533</v>
      </c>
      <c r="BC174" t="s">
        <v>533</v>
      </c>
      <c r="BD174" t="s">
        <v>2831</v>
      </c>
      <c r="BE174" t="s">
        <v>533</v>
      </c>
      <c r="BG174" t="s">
        <v>678</v>
      </c>
      <c r="BH174" t="s">
        <v>2832</v>
      </c>
    </row>
    <row r="175" spans="1:60" x14ac:dyDescent="0.35">
      <c r="A175" t="s">
        <v>533</v>
      </c>
      <c r="B175" t="s">
        <v>533</v>
      </c>
      <c r="C175" t="s">
        <v>533</v>
      </c>
      <c r="F175" t="s">
        <v>533</v>
      </c>
      <c r="G175" t="s">
        <v>533</v>
      </c>
      <c r="I175" t="s">
        <v>533</v>
      </c>
      <c r="J175" t="s">
        <v>2833</v>
      </c>
      <c r="K175" t="s">
        <v>533</v>
      </c>
      <c r="L175" t="s">
        <v>533</v>
      </c>
      <c r="M175" t="s">
        <v>533</v>
      </c>
      <c r="P175" t="s">
        <v>2834</v>
      </c>
      <c r="R175" t="s">
        <v>2835</v>
      </c>
      <c r="S175" t="s">
        <v>2836</v>
      </c>
      <c r="T175" t="s">
        <v>533</v>
      </c>
      <c r="V175" t="s">
        <v>533</v>
      </c>
      <c r="W175" t="s">
        <v>533</v>
      </c>
      <c r="Y175" t="s">
        <v>533</v>
      </c>
      <c r="Z175" t="s">
        <v>533</v>
      </c>
      <c r="AA175" t="s">
        <v>533</v>
      </c>
      <c r="AC175" t="s">
        <v>533</v>
      </c>
      <c r="AD175" t="s">
        <v>533</v>
      </c>
      <c r="AF175" t="s">
        <v>533</v>
      </c>
      <c r="AH175" t="s">
        <v>533</v>
      </c>
      <c r="AI175" t="s">
        <v>533</v>
      </c>
      <c r="AJ175" t="s">
        <v>533</v>
      </c>
      <c r="AL175" t="s">
        <v>533</v>
      </c>
      <c r="AM175" t="s">
        <v>533</v>
      </c>
      <c r="AN175" t="s">
        <v>2837</v>
      </c>
      <c r="AO175" t="s">
        <v>533</v>
      </c>
      <c r="AP175" t="s">
        <v>533</v>
      </c>
      <c r="AQ175" t="s">
        <v>533</v>
      </c>
      <c r="AS175" t="s">
        <v>533</v>
      </c>
      <c r="AT175" t="s">
        <v>533</v>
      </c>
      <c r="AU175" t="s">
        <v>2838</v>
      </c>
      <c r="AV175" t="s">
        <v>533</v>
      </c>
      <c r="AW175" t="s">
        <v>533</v>
      </c>
      <c r="AY175" t="s">
        <v>2839</v>
      </c>
      <c r="AZ175" t="s">
        <v>533</v>
      </c>
      <c r="BC175" t="s">
        <v>533</v>
      </c>
      <c r="BD175" t="s">
        <v>2840</v>
      </c>
      <c r="BE175" t="s">
        <v>533</v>
      </c>
      <c r="BG175" t="s">
        <v>703</v>
      </c>
      <c r="BH175" t="s">
        <v>2841</v>
      </c>
    </row>
    <row r="176" spans="1:60" x14ac:dyDescent="0.35">
      <c r="A176" t="s">
        <v>533</v>
      </c>
      <c r="B176" t="s">
        <v>533</v>
      </c>
      <c r="C176" t="s">
        <v>533</v>
      </c>
      <c r="F176" t="s">
        <v>533</v>
      </c>
      <c r="G176" t="s">
        <v>533</v>
      </c>
      <c r="I176" t="s">
        <v>533</v>
      </c>
      <c r="J176" t="s">
        <v>2842</v>
      </c>
      <c r="K176" t="s">
        <v>533</v>
      </c>
      <c r="L176" t="s">
        <v>533</v>
      </c>
      <c r="M176" t="s">
        <v>533</v>
      </c>
      <c r="R176" t="s">
        <v>2843</v>
      </c>
      <c r="S176" t="s">
        <v>2844</v>
      </c>
      <c r="T176" t="s">
        <v>533</v>
      </c>
      <c r="V176" t="s">
        <v>533</v>
      </c>
      <c r="W176" t="s">
        <v>533</v>
      </c>
      <c r="Y176" t="s">
        <v>533</v>
      </c>
      <c r="Z176" t="s">
        <v>533</v>
      </c>
      <c r="AA176" t="s">
        <v>533</v>
      </c>
      <c r="AC176" t="s">
        <v>533</v>
      </c>
      <c r="AD176" t="s">
        <v>533</v>
      </c>
      <c r="AF176" t="s">
        <v>533</v>
      </c>
      <c r="AH176" t="s">
        <v>533</v>
      </c>
      <c r="AI176" t="s">
        <v>533</v>
      </c>
      <c r="AJ176" t="s">
        <v>533</v>
      </c>
      <c r="AL176" t="s">
        <v>533</v>
      </c>
      <c r="AM176" t="s">
        <v>533</v>
      </c>
      <c r="AN176" t="s">
        <v>2845</v>
      </c>
      <c r="AO176" t="s">
        <v>533</v>
      </c>
      <c r="AP176" t="s">
        <v>533</v>
      </c>
      <c r="AQ176" t="s">
        <v>533</v>
      </c>
      <c r="AS176" t="s">
        <v>533</v>
      </c>
      <c r="AT176" t="s">
        <v>533</v>
      </c>
      <c r="AU176" t="s">
        <v>2846</v>
      </c>
      <c r="AV176" t="s">
        <v>533</v>
      </c>
      <c r="AW176" t="s">
        <v>533</v>
      </c>
      <c r="AY176" t="s">
        <v>2847</v>
      </c>
      <c r="AZ176" t="s">
        <v>533</v>
      </c>
      <c r="BC176" t="s">
        <v>533</v>
      </c>
      <c r="BD176" t="s">
        <v>2848</v>
      </c>
      <c r="BE176" t="s">
        <v>533</v>
      </c>
      <c r="BG176" t="s">
        <v>476</v>
      </c>
      <c r="BH176" t="s">
        <v>2849</v>
      </c>
    </row>
    <row r="177" spans="1:60" x14ac:dyDescent="0.35">
      <c r="A177" t="s">
        <v>533</v>
      </c>
      <c r="B177" t="s">
        <v>533</v>
      </c>
      <c r="C177" t="s">
        <v>533</v>
      </c>
      <c r="F177" t="s">
        <v>533</v>
      </c>
      <c r="G177" t="s">
        <v>533</v>
      </c>
      <c r="I177" t="s">
        <v>533</v>
      </c>
      <c r="J177" t="s">
        <v>2850</v>
      </c>
      <c r="K177" t="s">
        <v>533</v>
      </c>
      <c r="L177" t="s">
        <v>533</v>
      </c>
      <c r="M177" t="s">
        <v>533</v>
      </c>
      <c r="P177" t="s">
        <v>533</v>
      </c>
      <c r="R177" t="s">
        <v>2851</v>
      </c>
      <c r="S177" t="s">
        <v>2852</v>
      </c>
      <c r="T177" t="s">
        <v>533</v>
      </c>
      <c r="V177" t="s">
        <v>533</v>
      </c>
      <c r="W177" t="s">
        <v>533</v>
      </c>
      <c r="Y177" t="s">
        <v>533</v>
      </c>
      <c r="Z177" t="s">
        <v>533</v>
      </c>
      <c r="AA177" t="s">
        <v>533</v>
      </c>
      <c r="AC177" t="s">
        <v>533</v>
      </c>
      <c r="AD177" t="s">
        <v>533</v>
      </c>
      <c r="AF177" t="s">
        <v>533</v>
      </c>
      <c r="AH177" t="s">
        <v>533</v>
      </c>
      <c r="AI177" t="s">
        <v>533</v>
      </c>
      <c r="AJ177" t="s">
        <v>533</v>
      </c>
      <c r="AL177" t="s">
        <v>533</v>
      </c>
      <c r="AM177" t="s">
        <v>533</v>
      </c>
      <c r="AN177" t="s">
        <v>2853</v>
      </c>
      <c r="AO177" t="s">
        <v>533</v>
      </c>
      <c r="AP177" t="s">
        <v>533</v>
      </c>
      <c r="AQ177" t="s">
        <v>533</v>
      </c>
      <c r="AS177" t="s">
        <v>533</v>
      </c>
      <c r="AT177" t="s">
        <v>533</v>
      </c>
      <c r="AU177" t="s">
        <v>2854</v>
      </c>
      <c r="AY177" t="s">
        <v>2855</v>
      </c>
      <c r="AZ177" t="s">
        <v>533</v>
      </c>
      <c r="BC177" t="s">
        <v>533</v>
      </c>
      <c r="BD177" t="s">
        <v>2856</v>
      </c>
      <c r="BE177" t="s">
        <v>533</v>
      </c>
      <c r="BG177" t="s">
        <v>523</v>
      </c>
      <c r="BH177" t="s">
        <v>2857</v>
      </c>
    </row>
    <row r="178" spans="1:60" x14ac:dyDescent="0.35">
      <c r="A178" t="s">
        <v>533</v>
      </c>
      <c r="B178" t="s">
        <v>533</v>
      </c>
      <c r="C178" t="s">
        <v>533</v>
      </c>
      <c r="F178" t="s">
        <v>533</v>
      </c>
      <c r="G178" t="s">
        <v>533</v>
      </c>
      <c r="I178" t="s">
        <v>533</v>
      </c>
      <c r="J178" t="s">
        <v>2858</v>
      </c>
      <c r="K178" t="s">
        <v>533</v>
      </c>
      <c r="L178" t="s">
        <v>533</v>
      </c>
      <c r="M178" t="s">
        <v>533</v>
      </c>
      <c r="P178" t="s">
        <v>533</v>
      </c>
      <c r="R178" t="s">
        <v>2859</v>
      </c>
      <c r="S178" t="s">
        <v>2860</v>
      </c>
      <c r="T178" t="s">
        <v>533</v>
      </c>
      <c r="V178" t="s">
        <v>533</v>
      </c>
      <c r="W178" t="s">
        <v>533</v>
      </c>
      <c r="Y178" t="s">
        <v>533</v>
      </c>
      <c r="Z178" t="s">
        <v>533</v>
      </c>
      <c r="AA178" t="s">
        <v>533</v>
      </c>
      <c r="AC178" t="s">
        <v>533</v>
      </c>
      <c r="AD178" t="s">
        <v>533</v>
      </c>
      <c r="AF178" t="s">
        <v>533</v>
      </c>
      <c r="AH178" t="s">
        <v>533</v>
      </c>
      <c r="AI178" t="s">
        <v>533</v>
      </c>
      <c r="AJ178" t="s">
        <v>533</v>
      </c>
      <c r="AL178" t="s">
        <v>533</v>
      </c>
      <c r="AM178" t="s">
        <v>533</v>
      </c>
      <c r="AN178" t="s">
        <v>2861</v>
      </c>
      <c r="AO178" t="s">
        <v>533</v>
      </c>
      <c r="AP178" t="s">
        <v>533</v>
      </c>
      <c r="AQ178" t="s">
        <v>533</v>
      </c>
      <c r="AS178" t="s">
        <v>533</v>
      </c>
      <c r="AT178" t="s">
        <v>533</v>
      </c>
      <c r="AU178" t="s">
        <v>2862</v>
      </c>
      <c r="AV178" t="s">
        <v>533</v>
      </c>
      <c r="AW178" t="s">
        <v>533</v>
      </c>
      <c r="AY178" t="s">
        <v>2863</v>
      </c>
      <c r="AZ178" t="s">
        <v>533</v>
      </c>
      <c r="BC178" t="s">
        <v>533</v>
      </c>
      <c r="BD178" t="s">
        <v>2864</v>
      </c>
      <c r="BE178" t="s">
        <v>533</v>
      </c>
      <c r="BG178" t="s">
        <v>1976</v>
      </c>
      <c r="BH178" t="s">
        <v>2865</v>
      </c>
    </row>
    <row r="179" spans="1:60" x14ac:dyDescent="0.35">
      <c r="A179" t="s">
        <v>533</v>
      </c>
      <c r="B179" t="s">
        <v>533</v>
      </c>
      <c r="C179" t="s">
        <v>533</v>
      </c>
      <c r="F179" t="s">
        <v>533</v>
      </c>
      <c r="G179" t="s">
        <v>533</v>
      </c>
      <c r="I179" t="s">
        <v>533</v>
      </c>
      <c r="J179" t="s">
        <v>2866</v>
      </c>
      <c r="K179" t="s">
        <v>533</v>
      </c>
      <c r="L179" t="s">
        <v>533</v>
      </c>
      <c r="M179" t="s">
        <v>533</v>
      </c>
      <c r="P179" t="s">
        <v>533</v>
      </c>
      <c r="R179" t="s">
        <v>2867</v>
      </c>
      <c r="S179" t="s">
        <v>2868</v>
      </c>
      <c r="T179" t="s">
        <v>533</v>
      </c>
      <c r="V179" t="s">
        <v>533</v>
      </c>
      <c r="W179" t="s">
        <v>533</v>
      </c>
      <c r="Y179" t="s">
        <v>533</v>
      </c>
      <c r="Z179" t="s">
        <v>533</v>
      </c>
      <c r="AA179" t="s">
        <v>533</v>
      </c>
      <c r="AC179" t="s">
        <v>533</v>
      </c>
      <c r="AD179" t="s">
        <v>533</v>
      </c>
      <c r="AF179" t="s">
        <v>533</v>
      </c>
      <c r="AH179" t="s">
        <v>533</v>
      </c>
      <c r="AI179" t="s">
        <v>533</v>
      </c>
      <c r="AJ179" t="s">
        <v>533</v>
      </c>
      <c r="AL179" t="s">
        <v>533</v>
      </c>
      <c r="AM179" t="s">
        <v>533</v>
      </c>
      <c r="AN179" t="s">
        <v>2869</v>
      </c>
      <c r="AO179" t="s">
        <v>533</v>
      </c>
      <c r="AP179" t="s">
        <v>533</v>
      </c>
      <c r="AQ179" t="s">
        <v>533</v>
      </c>
      <c r="AS179" t="s">
        <v>533</v>
      </c>
      <c r="AT179" t="s">
        <v>533</v>
      </c>
      <c r="AV179" t="s">
        <v>533</v>
      </c>
      <c r="AW179" t="s">
        <v>533</v>
      </c>
      <c r="AY179" t="s">
        <v>2870</v>
      </c>
      <c r="AZ179" t="s">
        <v>533</v>
      </c>
      <c r="BC179" t="s">
        <v>533</v>
      </c>
      <c r="BD179" t="s">
        <v>2871</v>
      </c>
      <c r="BE179" t="s">
        <v>533</v>
      </c>
      <c r="BG179" t="s">
        <v>693</v>
      </c>
      <c r="BH179" t="s">
        <v>2872</v>
      </c>
    </row>
    <row r="180" spans="1:60" x14ac:dyDescent="0.35">
      <c r="A180" t="s">
        <v>533</v>
      </c>
      <c r="B180" t="s">
        <v>533</v>
      </c>
      <c r="C180" t="s">
        <v>533</v>
      </c>
      <c r="F180" t="s">
        <v>533</v>
      </c>
      <c r="G180" t="s">
        <v>533</v>
      </c>
      <c r="I180" t="s">
        <v>533</v>
      </c>
      <c r="J180" t="s">
        <v>2873</v>
      </c>
      <c r="K180" t="s">
        <v>533</v>
      </c>
      <c r="L180" t="s">
        <v>533</v>
      </c>
      <c r="M180" t="s">
        <v>533</v>
      </c>
      <c r="P180" t="s">
        <v>533</v>
      </c>
      <c r="R180" t="s">
        <v>2874</v>
      </c>
      <c r="S180" t="s">
        <v>2875</v>
      </c>
      <c r="T180" t="s">
        <v>533</v>
      </c>
      <c r="V180" t="s">
        <v>533</v>
      </c>
      <c r="W180" t="s">
        <v>533</v>
      </c>
      <c r="Y180" t="s">
        <v>533</v>
      </c>
      <c r="Z180" t="s">
        <v>533</v>
      </c>
      <c r="AA180" t="s">
        <v>533</v>
      </c>
      <c r="AC180" t="s">
        <v>533</v>
      </c>
      <c r="AD180" t="s">
        <v>533</v>
      </c>
      <c r="AF180" t="s">
        <v>533</v>
      </c>
      <c r="AH180" t="s">
        <v>533</v>
      </c>
      <c r="AI180" t="s">
        <v>533</v>
      </c>
      <c r="AJ180" t="s">
        <v>533</v>
      </c>
      <c r="AL180" t="s">
        <v>533</v>
      </c>
      <c r="AM180" t="s">
        <v>533</v>
      </c>
      <c r="AN180" t="s">
        <v>2876</v>
      </c>
      <c r="AO180" t="s">
        <v>533</v>
      </c>
      <c r="AP180" t="s">
        <v>533</v>
      </c>
      <c r="AQ180" t="s">
        <v>533</v>
      </c>
      <c r="AS180" t="s">
        <v>533</v>
      </c>
      <c r="AT180" t="s">
        <v>533</v>
      </c>
      <c r="AV180" t="s">
        <v>533</v>
      </c>
      <c r="AW180" t="s">
        <v>533</v>
      </c>
      <c r="AY180" t="s">
        <v>2877</v>
      </c>
      <c r="AZ180" t="s">
        <v>533</v>
      </c>
      <c r="BC180" t="s">
        <v>533</v>
      </c>
      <c r="BD180" t="s">
        <v>2878</v>
      </c>
      <c r="BE180" t="s">
        <v>533</v>
      </c>
      <c r="BG180" t="s">
        <v>676</v>
      </c>
      <c r="BH180" t="s">
        <v>2879</v>
      </c>
    </row>
    <row r="181" spans="1:60" x14ac:dyDescent="0.35">
      <c r="A181" t="s">
        <v>533</v>
      </c>
      <c r="B181" t="s">
        <v>533</v>
      </c>
      <c r="C181" t="s">
        <v>533</v>
      </c>
      <c r="F181" t="s">
        <v>533</v>
      </c>
      <c r="G181" t="s">
        <v>533</v>
      </c>
      <c r="I181" t="s">
        <v>533</v>
      </c>
      <c r="J181" t="s">
        <v>2880</v>
      </c>
      <c r="K181" t="s">
        <v>533</v>
      </c>
      <c r="L181" t="s">
        <v>533</v>
      </c>
      <c r="M181" t="s">
        <v>533</v>
      </c>
      <c r="P181" t="s">
        <v>533</v>
      </c>
      <c r="R181" t="s">
        <v>2881</v>
      </c>
      <c r="S181" t="s">
        <v>2882</v>
      </c>
      <c r="T181" t="s">
        <v>533</v>
      </c>
      <c r="V181" t="s">
        <v>533</v>
      </c>
      <c r="W181" t="s">
        <v>533</v>
      </c>
      <c r="Y181" t="s">
        <v>533</v>
      </c>
      <c r="Z181" t="s">
        <v>533</v>
      </c>
      <c r="AA181" t="s">
        <v>533</v>
      </c>
      <c r="AC181" t="s">
        <v>533</v>
      </c>
      <c r="AD181" t="s">
        <v>533</v>
      </c>
      <c r="AF181" t="s">
        <v>533</v>
      </c>
      <c r="AH181" t="s">
        <v>533</v>
      </c>
      <c r="AI181" t="s">
        <v>533</v>
      </c>
      <c r="AJ181" t="s">
        <v>533</v>
      </c>
      <c r="AL181" t="s">
        <v>533</v>
      </c>
      <c r="AM181" t="s">
        <v>533</v>
      </c>
      <c r="AN181" t="s">
        <v>2883</v>
      </c>
      <c r="AO181" t="s">
        <v>533</v>
      </c>
      <c r="AP181" t="s">
        <v>533</v>
      </c>
      <c r="AQ181" t="s">
        <v>533</v>
      </c>
      <c r="AS181" t="s">
        <v>533</v>
      </c>
      <c r="AT181" t="s">
        <v>533</v>
      </c>
      <c r="AU181" t="s">
        <v>533</v>
      </c>
      <c r="AV181" t="s">
        <v>533</v>
      </c>
      <c r="AW181" t="s">
        <v>533</v>
      </c>
      <c r="AY181" t="s">
        <v>2884</v>
      </c>
      <c r="AZ181" t="s">
        <v>533</v>
      </c>
      <c r="BC181" t="s">
        <v>533</v>
      </c>
      <c r="BD181" t="s">
        <v>2885</v>
      </c>
      <c r="BE181" t="s">
        <v>533</v>
      </c>
      <c r="BG181" t="s">
        <v>686</v>
      </c>
      <c r="BH181" t="s">
        <v>2886</v>
      </c>
    </row>
    <row r="182" spans="1:60" x14ac:dyDescent="0.35">
      <c r="A182" t="s">
        <v>533</v>
      </c>
      <c r="B182" t="s">
        <v>533</v>
      </c>
      <c r="C182" t="s">
        <v>533</v>
      </c>
      <c r="F182" t="s">
        <v>533</v>
      </c>
      <c r="G182" t="s">
        <v>533</v>
      </c>
      <c r="I182" t="s">
        <v>533</v>
      </c>
      <c r="J182" t="s">
        <v>2887</v>
      </c>
      <c r="K182" t="s">
        <v>533</v>
      </c>
      <c r="L182" t="s">
        <v>533</v>
      </c>
      <c r="M182" t="s">
        <v>533</v>
      </c>
      <c r="P182" t="s">
        <v>533</v>
      </c>
      <c r="R182" t="s">
        <v>533</v>
      </c>
      <c r="S182" t="s">
        <v>2888</v>
      </c>
      <c r="T182" t="s">
        <v>533</v>
      </c>
      <c r="V182" t="s">
        <v>533</v>
      </c>
      <c r="W182" t="s">
        <v>533</v>
      </c>
      <c r="Y182" t="s">
        <v>533</v>
      </c>
      <c r="Z182" t="s">
        <v>533</v>
      </c>
      <c r="AA182" t="s">
        <v>533</v>
      </c>
      <c r="AC182" t="s">
        <v>533</v>
      </c>
      <c r="AD182" t="s">
        <v>533</v>
      </c>
      <c r="AF182" t="s">
        <v>533</v>
      </c>
      <c r="AH182" t="s">
        <v>533</v>
      </c>
      <c r="AI182" t="s">
        <v>533</v>
      </c>
      <c r="AJ182" t="s">
        <v>533</v>
      </c>
      <c r="AL182" t="s">
        <v>533</v>
      </c>
      <c r="AM182" t="s">
        <v>533</v>
      </c>
      <c r="AN182" t="s">
        <v>2889</v>
      </c>
      <c r="AO182" t="s">
        <v>533</v>
      </c>
      <c r="AP182" t="s">
        <v>533</v>
      </c>
      <c r="AQ182" t="s">
        <v>533</v>
      </c>
      <c r="AS182" t="s">
        <v>533</v>
      </c>
      <c r="AT182" t="s">
        <v>533</v>
      </c>
      <c r="AU182" t="s">
        <v>533</v>
      </c>
      <c r="AV182" t="s">
        <v>533</v>
      </c>
      <c r="AW182" t="s">
        <v>533</v>
      </c>
      <c r="AY182" t="s">
        <v>2890</v>
      </c>
      <c r="AZ182" t="s">
        <v>533</v>
      </c>
      <c r="BC182" t="s">
        <v>533</v>
      </c>
      <c r="BD182" t="s">
        <v>2891</v>
      </c>
      <c r="BE182" t="s">
        <v>533</v>
      </c>
      <c r="BG182" t="s">
        <v>689</v>
      </c>
      <c r="BH182" t="s">
        <v>2892</v>
      </c>
    </row>
    <row r="183" spans="1:60" x14ac:dyDescent="0.35">
      <c r="A183" t="s">
        <v>533</v>
      </c>
      <c r="B183" t="s">
        <v>533</v>
      </c>
      <c r="C183" t="s">
        <v>533</v>
      </c>
      <c r="F183" t="s">
        <v>533</v>
      </c>
      <c r="G183" t="s">
        <v>533</v>
      </c>
      <c r="I183" t="s">
        <v>533</v>
      </c>
      <c r="J183" t="s">
        <v>2893</v>
      </c>
      <c r="K183" t="s">
        <v>533</v>
      </c>
      <c r="L183" t="s">
        <v>533</v>
      </c>
      <c r="M183" t="s">
        <v>533</v>
      </c>
      <c r="P183" t="s">
        <v>533</v>
      </c>
      <c r="R183" t="s">
        <v>533</v>
      </c>
      <c r="S183" t="s">
        <v>2894</v>
      </c>
      <c r="T183" t="s">
        <v>533</v>
      </c>
      <c r="V183" t="s">
        <v>533</v>
      </c>
      <c r="W183" t="s">
        <v>533</v>
      </c>
      <c r="Y183" t="s">
        <v>533</v>
      </c>
      <c r="Z183" t="s">
        <v>533</v>
      </c>
      <c r="AA183" t="s">
        <v>533</v>
      </c>
      <c r="AC183" t="s">
        <v>533</v>
      </c>
      <c r="AD183" t="s">
        <v>533</v>
      </c>
      <c r="AF183" t="s">
        <v>533</v>
      </c>
      <c r="AH183" t="s">
        <v>533</v>
      </c>
      <c r="AI183" t="s">
        <v>533</v>
      </c>
      <c r="AJ183" t="s">
        <v>533</v>
      </c>
      <c r="AL183" t="s">
        <v>533</v>
      </c>
      <c r="AM183" t="s">
        <v>533</v>
      </c>
      <c r="AN183" t="s">
        <v>2895</v>
      </c>
      <c r="AO183" t="s">
        <v>533</v>
      </c>
      <c r="AP183" t="s">
        <v>533</v>
      </c>
      <c r="AQ183" t="s">
        <v>533</v>
      </c>
      <c r="AS183" t="s">
        <v>533</v>
      </c>
      <c r="AT183" t="s">
        <v>533</v>
      </c>
      <c r="AU183" t="s">
        <v>533</v>
      </c>
      <c r="AV183" t="s">
        <v>533</v>
      </c>
      <c r="AW183" t="s">
        <v>533</v>
      </c>
      <c r="AZ183" t="s">
        <v>533</v>
      </c>
      <c r="BC183" t="s">
        <v>533</v>
      </c>
      <c r="BD183" t="s">
        <v>2896</v>
      </c>
      <c r="BE183" t="s">
        <v>533</v>
      </c>
      <c r="BG183" t="s">
        <v>682</v>
      </c>
      <c r="BH183" t="s">
        <v>2897</v>
      </c>
    </row>
    <row r="184" spans="1:60" x14ac:dyDescent="0.35">
      <c r="A184" t="s">
        <v>533</v>
      </c>
      <c r="B184" t="s">
        <v>533</v>
      </c>
      <c r="C184" t="s">
        <v>533</v>
      </c>
      <c r="F184" t="s">
        <v>533</v>
      </c>
      <c r="G184" t="s">
        <v>533</v>
      </c>
      <c r="I184" t="s">
        <v>533</v>
      </c>
      <c r="J184" t="s">
        <v>2898</v>
      </c>
      <c r="K184" t="s">
        <v>533</v>
      </c>
      <c r="L184" t="s">
        <v>533</v>
      </c>
      <c r="M184" t="s">
        <v>533</v>
      </c>
      <c r="P184" t="s">
        <v>533</v>
      </c>
      <c r="R184" t="s">
        <v>533</v>
      </c>
      <c r="S184" t="s">
        <v>2899</v>
      </c>
      <c r="T184" t="s">
        <v>533</v>
      </c>
      <c r="V184" t="s">
        <v>533</v>
      </c>
      <c r="W184" t="s">
        <v>533</v>
      </c>
      <c r="Y184" t="s">
        <v>533</v>
      </c>
      <c r="Z184" t="s">
        <v>533</v>
      </c>
      <c r="AA184" t="s">
        <v>533</v>
      </c>
      <c r="AC184" t="s">
        <v>533</v>
      </c>
      <c r="AD184" t="s">
        <v>533</v>
      </c>
      <c r="AF184" t="s">
        <v>533</v>
      </c>
      <c r="AH184" t="s">
        <v>533</v>
      </c>
      <c r="AI184" t="s">
        <v>533</v>
      </c>
      <c r="AJ184" t="s">
        <v>533</v>
      </c>
      <c r="AL184" t="s">
        <v>533</v>
      </c>
      <c r="AM184" t="s">
        <v>533</v>
      </c>
      <c r="AN184" t="s">
        <v>2900</v>
      </c>
      <c r="AO184" t="s">
        <v>533</v>
      </c>
      <c r="AP184" t="s">
        <v>533</v>
      </c>
      <c r="AQ184" t="s">
        <v>533</v>
      </c>
      <c r="AS184" t="s">
        <v>533</v>
      </c>
      <c r="AT184" t="s">
        <v>533</v>
      </c>
      <c r="AU184" t="s">
        <v>533</v>
      </c>
      <c r="AV184" t="s">
        <v>533</v>
      </c>
      <c r="AW184" t="s">
        <v>533</v>
      </c>
      <c r="AZ184" t="s">
        <v>533</v>
      </c>
      <c r="BC184" t="s">
        <v>533</v>
      </c>
      <c r="BD184" t="s">
        <v>2901</v>
      </c>
      <c r="BE184" t="s">
        <v>533</v>
      </c>
      <c r="BG184" t="s">
        <v>1977</v>
      </c>
      <c r="BH184" t="s">
        <v>2902</v>
      </c>
    </row>
    <row r="185" spans="1:60" x14ac:dyDescent="0.35">
      <c r="A185" t="s">
        <v>533</v>
      </c>
      <c r="B185" t="s">
        <v>533</v>
      </c>
      <c r="C185" t="s">
        <v>533</v>
      </c>
      <c r="F185" t="s">
        <v>533</v>
      </c>
      <c r="G185" t="s">
        <v>533</v>
      </c>
      <c r="I185" t="s">
        <v>533</v>
      </c>
      <c r="J185" t="s">
        <v>2903</v>
      </c>
      <c r="K185" t="s">
        <v>533</v>
      </c>
      <c r="L185" t="s">
        <v>533</v>
      </c>
      <c r="M185" t="s">
        <v>533</v>
      </c>
      <c r="P185" t="s">
        <v>533</v>
      </c>
      <c r="R185" t="s">
        <v>533</v>
      </c>
      <c r="S185" t="s">
        <v>2904</v>
      </c>
      <c r="T185" t="s">
        <v>533</v>
      </c>
      <c r="V185" t="s">
        <v>533</v>
      </c>
      <c r="W185" t="s">
        <v>533</v>
      </c>
      <c r="Y185" t="s">
        <v>533</v>
      </c>
      <c r="Z185" t="s">
        <v>533</v>
      </c>
      <c r="AA185" t="s">
        <v>533</v>
      </c>
      <c r="AC185" t="s">
        <v>533</v>
      </c>
      <c r="AD185" t="s">
        <v>533</v>
      </c>
      <c r="AF185" t="s">
        <v>533</v>
      </c>
      <c r="AH185" t="s">
        <v>533</v>
      </c>
      <c r="AI185" t="s">
        <v>533</v>
      </c>
      <c r="AJ185" t="s">
        <v>533</v>
      </c>
      <c r="AL185" t="s">
        <v>533</v>
      </c>
      <c r="AM185" t="s">
        <v>533</v>
      </c>
      <c r="AN185" t="s">
        <v>2905</v>
      </c>
      <c r="AO185" t="s">
        <v>533</v>
      </c>
      <c r="AP185" t="s">
        <v>533</v>
      </c>
      <c r="AQ185" t="s">
        <v>533</v>
      </c>
      <c r="AS185" t="s">
        <v>533</v>
      </c>
      <c r="AT185" t="s">
        <v>533</v>
      </c>
      <c r="AU185" t="s">
        <v>533</v>
      </c>
      <c r="AV185" t="s">
        <v>533</v>
      </c>
      <c r="AW185" t="s">
        <v>533</v>
      </c>
      <c r="AZ185" t="s">
        <v>533</v>
      </c>
      <c r="BC185" t="s">
        <v>533</v>
      </c>
      <c r="BD185" t="s">
        <v>2906</v>
      </c>
      <c r="BE185" t="s">
        <v>533</v>
      </c>
      <c r="BG185" t="s">
        <v>513</v>
      </c>
      <c r="BH185" t="s">
        <v>2907</v>
      </c>
    </row>
    <row r="186" spans="1:60" x14ac:dyDescent="0.35">
      <c r="A186" t="s">
        <v>533</v>
      </c>
      <c r="B186" t="s">
        <v>533</v>
      </c>
      <c r="C186" t="s">
        <v>533</v>
      </c>
      <c r="F186" t="s">
        <v>533</v>
      </c>
      <c r="G186" t="s">
        <v>533</v>
      </c>
      <c r="I186" t="s">
        <v>533</v>
      </c>
      <c r="J186" t="s">
        <v>2908</v>
      </c>
      <c r="K186" t="s">
        <v>533</v>
      </c>
      <c r="L186" t="s">
        <v>533</v>
      </c>
      <c r="M186" t="s">
        <v>533</v>
      </c>
      <c r="P186" t="s">
        <v>533</v>
      </c>
      <c r="R186" t="s">
        <v>533</v>
      </c>
      <c r="S186" t="s">
        <v>2909</v>
      </c>
      <c r="T186" t="s">
        <v>533</v>
      </c>
      <c r="V186" t="s">
        <v>533</v>
      </c>
      <c r="W186" t="s">
        <v>533</v>
      </c>
      <c r="Y186" t="s">
        <v>533</v>
      </c>
      <c r="Z186" t="s">
        <v>533</v>
      </c>
      <c r="AA186" t="s">
        <v>533</v>
      </c>
      <c r="AC186" t="s">
        <v>533</v>
      </c>
      <c r="AD186" t="s">
        <v>533</v>
      </c>
      <c r="AF186" t="s">
        <v>533</v>
      </c>
      <c r="AH186" t="s">
        <v>533</v>
      </c>
      <c r="AI186" t="s">
        <v>533</v>
      </c>
      <c r="AJ186" t="s">
        <v>533</v>
      </c>
      <c r="AL186" t="s">
        <v>533</v>
      </c>
      <c r="AM186" t="s">
        <v>533</v>
      </c>
      <c r="AO186" t="s">
        <v>533</v>
      </c>
      <c r="AP186" t="s">
        <v>533</v>
      </c>
      <c r="AQ186" t="s">
        <v>533</v>
      </c>
      <c r="AS186" t="s">
        <v>533</v>
      </c>
      <c r="AT186" t="s">
        <v>533</v>
      </c>
      <c r="AU186" t="s">
        <v>533</v>
      </c>
      <c r="AV186" t="s">
        <v>533</v>
      </c>
      <c r="AW186" t="s">
        <v>533</v>
      </c>
      <c r="AZ186" t="s">
        <v>533</v>
      </c>
      <c r="BC186" t="s">
        <v>533</v>
      </c>
      <c r="BD186" t="s">
        <v>2910</v>
      </c>
      <c r="BE186" t="s">
        <v>533</v>
      </c>
      <c r="BG186" t="s">
        <v>679</v>
      </c>
      <c r="BH186" t="s">
        <v>2911</v>
      </c>
    </row>
    <row r="187" spans="1:60" x14ac:dyDescent="0.35">
      <c r="A187" t="s">
        <v>533</v>
      </c>
      <c r="B187" t="s">
        <v>533</v>
      </c>
      <c r="C187" t="s">
        <v>533</v>
      </c>
      <c r="F187" t="s">
        <v>533</v>
      </c>
      <c r="G187" t="s">
        <v>533</v>
      </c>
      <c r="I187" t="s">
        <v>533</v>
      </c>
      <c r="J187" t="s">
        <v>2912</v>
      </c>
      <c r="K187" t="s">
        <v>533</v>
      </c>
      <c r="L187" t="s">
        <v>533</v>
      </c>
      <c r="M187" t="s">
        <v>533</v>
      </c>
      <c r="P187" t="s">
        <v>533</v>
      </c>
      <c r="R187" t="s">
        <v>533</v>
      </c>
      <c r="S187" t="s">
        <v>2913</v>
      </c>
      <c r="T187" t="s">
        <v>533</v>
      </c>
      <c r="V187" t="s">
        <v>533</v>
      </c>
      <c r="W187" t="s">
        <v>533</v>
      </c>
      <c r="Y187" t="s">
        <v>533</v>
      </c>
      <c r="Z187" t="s">
        <v>533</v>
      </c>
      <c r="AA187" t="s">
        <v>533</v>
      </c>
      <c r="AC187" t="s">
        <v>533</v>
      </c>
      <c r="AD187" t="s">
        <v>533</v>
      </c>
      <c r="AF187" t="s">
        <v>533</v>
      </c>
      <c r="AH187" t="s">
        <v>533</v>
      </c>
      <c r="AI187" t="s">
        <v>533</v>
      </c>
      <c r="AJ187" t="s">
        <v>533</v>
      </c>
      <c r="AL187" t="s">
        <v>533</v>
      </c>
      <c r="AM187" t="s">
        <v>533</v>
      </c>
      <c r="AN187" t="s">
        <v>533</v>
      </c>
      <c r="AO187" t="s">
        <v>533</v>
      </c>
      <c r="AP187" t="s">
        <v>533</v>
      </c>
      <c r="AQ187" t="s">
        <v>533</v>
      </c>
      <c r="AS187" t="s">
        <v>533</v>
      </c>
      <c r="AT187" t="s">
        <v>533</v>
      </c>
      <c r="AU187" t="s">
        <v>533</v>
      </c>
      <c r="AV187" t="s">
        <v>533</v>
      </c>
      <c r="AW187" t="s">
        <v>533</v>
      </c>
      <c r="AZ187" t="s">
        <v>533</v>
      </c>
      <c r="BC187" t="s">
        <v>533</v>
      </c>
      <c r="BD187" t="s">
        <v>2914</v>
      </c>
      <c r="BE187" t="s">
        <v>533</v>
      </c>
      <c r="BG187" t="s">
        <v>1978</v>
      </c>
      <c r="BH187" t="s">
        <v>2915</v>
      </c>
    </row>
    <row r="188" spans="1:60" x14ac:dyDescent="0.35">
      <c r="A188" t="s">
        <v>533</v>
      </c>
      <c r="B188" t="s">
        <v>533</v>
      </c>
      <c r="C188" t="s">
        <v>533</v>
      </c>
      <c r="F188" t="s">
        <v>533</v>
      </c>
      <c r="G188" t="s">
        <v>533</v>
      </c>
      <c r="I188" t="s">
        <v>533</v>
      </c>
      <c r="J188" t="s">
        <v>2916</v>
      </c>
      <c r="K188" t="s">
        <v>533</v>
      </c>
      <c r="L188" t="s">
        <v>533</v>
      </c>
      <c r="M188" t="s">
        <v>533</v>
      </c>
      <c r="P188" t="s">
        <v>533</v>
      </c>
      <c r="R188" t="s">
        <v>533</v>
      </c>
      <c r="S188" t="s">
        <v>2917</v>
      </c>
      <c r="T188" t="s">
        <v>533</v>
      </c>
      <c r="V188" t="s">
        <v>533</v>
      </c>
      <c r="W188" t="s">
        <v>533</v>
      </c>
      <c r="Y188" t="s">
        <v>533</v>
      </c>
      <c r="Z188" t="s">
        <v>533</v>
      </c>
      <c r="AA188" t="s">
        <v>533</v>
      </c>
      <c r="AC188" t="s">
        <v>533</v>
      </c>
      <c r="AD188" t="s">
        <v>533</v>
      </c>
      <c r="AF188" t="s">
        <v>533</v>
      </c>
      <c r="AH188" t="s">
        <v>533</v>
      </c>
      <c r="AI188" t="s">
        <v>533</v>
      </c>
      <c r="AJ188" t="s">
        <v>533</v>
      </c>
      <c r="AL188" t="s">
        <v>533</v>
      </c>
      <c r="AM188" t="s">
        <v>533</v>
      </c>
      <c r="AN188" t="s">
        <v>533</v>
      </c>
      <c r="AO188" t="s">
        <v>533</v>
      </c>
      <c r="AP188" t="s">
        <v>533</v>
      </c>
      <c r="AQ188" t="s">
        <v>533</v>
      </c>
      <c r="AS188" t="s">
        <v>533</v>
      </c>
      <c r="AT188" t="s">
        <v>533</v>
      </c>
      <c r="AU188" t="s">
        <v>533</v>
      </c>
      <c r="AV188" t="s">
        <v>533</v>
      </c>
      <c r="AW188" t="s">
        <v>533</v>
      </c>
      <c r="AZ188" t="s">
        <v>533</v>
      </c>
      <c r="BC188" t="s">
        <v>533</v>
      </c>
      <c r="BD188" t="s">
        <v>2918</v>
      </c>
      <c r="BE188" t="s">
        <v>533</v>
      </c>
      <c r="BG188" t="s">
        <v>1979</v>
      </c>
      <c r="BH188" t="s">
        <v>2919</v>
      </c>
    </row>
    <row r="189" spans="1:60" x14ac:dyDescent="0.35">
      <c r="A189" t="s">
        <v>533</v>
      </c>
      <c r="B189" t="s">
        <v>533</v>
      </c>
      <c r="C189" t="s">
        <v>533</v>
      </c>
      <c r="F189" t="s">
        <v>533</v>
      </c>
      <c r="G189" t="s">
        <v>533</v>
      </c>
      <c r="I189" t="s">
        <v>533</v>
      </c>
      <c r="K189" t="s">
        <v>533</v>
      </c>
      <c r="L189" t="s">
        <v>533</v>
      </c>
      <c r="M189" t="s">
        <v>533</v>
      </c>
      <c r="P189" t="s">
        <v>533</v>
      </c>
      <c r="R189" t="s">
        <v>533</v>
      </c>
      <c r="S189" t="s">
        <v>2920</v>
      </c>
      <c r="T189" t="s">
        <v>533</v>
      </c>
      <c r="V189" t="s">
        <v>533</v>
      </c>
      <c r="W189" t="s">
        <v>533</v>
      </c>
      <c r="Y189" t="s">
        <v>533</v>
      </c>
      <c r="Z189" t="s">
        <v>533</v>
      </c>
      <c r="AA189" t="s">
        <v>533</v>
      </c>
      <c r="AC189" t="s">
        <v>533</v>
      </c>
      <c r="AD189" t="s">
        <v>533</v>
      </c>
      <c r="AF189" t="s">
        <v>533</v>
      </c>
      <c r="AH189" t="s">
        <v>533</v>
      </c>
      <c r="AI189" t="s">
        <v>533</v>
      </c>
      <c r="AJ189" t="s">
        <v>533</v>
      </c>
      <c r="AL189" t="s">
        <v>533</v>
      </c>
      <c r="AM189" t="s">
        <v>533</v>
      </c>
      <c r="AN189" t="s">
        <v>533</v>
      </c>
      <c r="AO189" t="s">
        <v>533</v>
      </c>
      <c r="AP189" t="s">
        <v>533</v>
      </c>
      <c r="AQ189" t="s">
        <v>533</v>
      </c>
      <c r="AS189" t="s">
        <v>533</v>
      </c>
      <c r="AT189" t="s">
        <v>533</v>
      </c>
      <c r="AU189" t="s">
        <v>533</v>
      </c>
      <c r="AV189" t="s">
        <v>533</v>
      </c>
      <c r="AW189" t="s">
        <v>533</v>
      </c>
      <c r="AZ189" t="s">
        <v>533</v>
      </c>
      <c r="BC189" t="s">
        <v>533</v>
      </c>
      <c r="BE189" t="s">
        <v>533</v>
      </c>
      <c r="BG189" t="s">
        <v>697</v>
      </c>
      <c r="BH189" t="s">
        <v>2921</v>
      </c>
    </row>
    <row r="190" spans="1:60" x14ac:dyDescent="0.35">
      <c r="A190" t="s">
        <v>533</v>
      </c>
      <c r="B190" t="s">
        <v>533</v>
      </c>
      <c r="C190" t="s">
        <v>533</v>
      </c>
      <c r="F190" t="s">
        <v>533</v>
      </c>
      <c r="G190" t="s">
        <v>533</v>
      </c>
      <c r="I190" t="s">
        <v>533</v>
      </c>
      <c r="K190" t="s">
        <v>533</v>
      </c>
      <c r="L190" t="s">
        <v>533</v>
      </c>
      <c r="M190" t="s">
        <v>533</v>
      </c>
      <c r="P190" t="s">
        <v>533</v>
      </c>
      <c r="R190" t="s">
        <v>533</v>
      </c>
      <c r="S190" t="s">
        <v>2922</v>
      </c>
      <c r="T190" t="s">
        <v>533</v>
      </c>
      <c r="V190" t="s">
        <v>533</v>
      </c>
      <c r="W190" t="s">
        <v>533</v>
      </c>
      <c r="Y190" t="s">
        <v>533</v>
      </c>
      <c r="Z190" t="s">
        <v>533</v>
      </c>
      <c r="AA190" t="s">
        <v>533</v>
      </c>
      <c r="AC190" t="s">
        <v>533</v>
      </c>
      <c r="AD190" t="s">
        <v>533</v>
      </c>
      <c r="AF190" t="s">
        <v>533</v>
      </c>
      <c r="AH190" t="s">
        <v>533</v>
      </c>
      <c r="AI190" t="s">
        <v>533</v>
      </c>
      <c r="AJ190" t="s">
        <v>533</v>
      </c>
      <c r="AL190" t="s">
        <v>533</v>
      </c>
      <c r="AM190" t="s">
        <v>533</v>
      </c>
      <c r="AN190" t="s">
        <v>533</v>
      </c>
      <c r="AO190" t="s">
        <v>533</v>
      </c>
      <c r="AP190" t="s">
        <v>533</v>
      </c>
      <c r="AQ190" t="s">
        <v>533</v>
      </c>
      <c r="AS190" t="s">
        <v>533</v>
      </c>
      <c r="AT190" t="s">
        <v>533</v>
      </c>
      <c r="AU190" t="s">
        <v>533</v>
      </c>
      <c r="AV190" t="s">
        <v>533</v>
      </c>
      <c r="AW190" t="s">
        <v>533</v>
      </c>
      <c r="AZ190" t="s">
        <v>533</v>
      </c>
      <c r="BC190" t="s">
        <v>533</v>
      </c>
      <c r="BE190" t="s">
        <v>533</v>
      </c>
      <c r="BG190" t="s">
        <v>677</v>
      </c>
      <c r="BH190" t="s">
        <v>2923</v>
      </c>
    </row>
    <row r="191" spans="1:60" x14ac:dyDescent="0.35">
      <c r="A191" t="s">
        <v>533</v>
      </c>
      <c r="B191" t="s">
        <v>533</v>
      </c>
      <c r="C191" t="s">
        <v>533</v>
      </c>
      <c r="F191" t="s">
        <v>533</v>
      </c>
      <c r="G191" t="s">
        <v>533</v>
      </c>
      <c r="I191" t="s">
        <v>533</v>
      </c>
      <c r="K191" t="s">
        <v>533</v>
      </c>
      <c r="L191" t="s">
        <v>533</v>
      </c>
      <c r="M191" t="s">
        <v>533</v>
      </c>
      <c r="P191" t="s">
        <v>533</v>
      </c>
      <c r="R191" t="s">
        <v>533</v>
      </c>
      <c r="S191" t="s">
        <v>2924</v>
      </c>
      <c r="T191" t="s">
        <v>533</v>
      </c>
      <c r="V191" t="s">
        <v>533</v>
      </c>
      <c r="W191" t="s">
        <v>533</v>
      </c>
      <c r="Y191" t="s">
        <v>533</v>
      </c>
      <c r="Z191" t="s">
        <v>533</v>
      </c>
      <c r="AA191" t="s">
        <v>533</v>
      </c>
      <c r="AC191" t="s">
        <v>533</v>
      </c>
      <c r="AD191" t="s">
        <v>533</v>
      </c>
      <c r="AF191" t="s">
        <v>533</v>
      </c>
      <c r="AH191" t="s">
        <v>533</v>
      </c>
      <c r="AI191" t="s">
        <v>533</v>
      </c>
      <c r="AJ191" t="s">
        <v>533</v>
      </c>
      <c r="AL191" t="s">
        <v>533</v>
      </c>
      <c r="AM191" t="s">
        <v>533</v>
      </c>
      <c r="AN191" t="s">
        <v>533</v>
      </c>
      <c r="AO191" t="s">
        <v>533</v>
      </c>
      <c r="AP191" t="s">
        <v>533</v>
      </c>
      <c r="AQ191" t="s">
        <v>533</v>
      </c>
      <c r="AS191" t="s">
        <v>533</v>
      </c>
      <c r="AT191" t="s">
        <v>533</v>
      </c>
      <c r="AU191" t="s">
        <v>533</v>
      </c>
      <c r="AV191" t="s">
        <v>533</v>
      </c>
      <c r="AW191" t="s">
        <v>533</v>
      </c>
      <c r="AZ191" t="s">
        <v>533</v>
      </c>
      <c r="BC191" t="s">
        <v>533</v>
      </c>
      <c r="BE191" t="s">
        <v>533</v>
      </c>
      <c r="BG191" t="s">
        <v>1980</v>
      </c>
      <c r="BH191" t="s">
        <v>2925</v>
      </c>
    </row>
    <row r="192" spans="1:60" x14ac:dyDescent="0.35">
      <c r="A192" t="s">
        <v>533</v>
      </c>
      <c r="B192" t="s">
        <v>533</v>
      </c>
      <c r="C192" t="s">
        <v>533</v>
      </c>
      <c r="F192" t="s">
        <v>533</v>
      </c>
      <c r="G192" t="s">
        <v>533</v>
      </c>
      <c r="I192" t="s">
        <v>533</v>
      </c>
      <c r="K192" t="s">
        <v>533</v>
      </c>
      <c r="L192" t="s">
        <v>533</v>
      </c>
      <c r="M192" t="s">
        <v>533</v>
      </c>
      <c r="P192" t="s">
        <v>533</v>
      </c>
      <c r="R192" t="s">
        <v>533</v>
      </c>
      <c r="S192" t="s">
        <v>2926</v>
      </c>
      <c r="T192" t="s">
        <v>533</v>
      </c>
      <c r="V192" t="s">
        <v>533</v>
      </c>
      <c r="W192" t="s">
        <v>533</v>
      </c>
      <c r="Y192" t="s">
        <v>533</v>
      </c>
      <c r="Z192" t="s">
        <v>533</v>
      </c>
      <c r="AA192" t="s">
        <v>533</v>
      </c>
      <c r="AC192" t="s">
        <v>533</v>
      </c>
      <c r="AD192" t="s">
        <v>533</v>
      </c>
      <c r="AF192" t="s">
        <v>533</v>
      </c>
      <c r="AH192" t="s">
        <v>533</v>
      </c>
      <c r="AI192" t="s">
        <v>533</v>
      </c>
      <c r="AJ192" t="s">
        <v>533</v>
      </c>
      <c r="AL192" t="s">
        <v>533</v>
      </c>
      <c r="AM192" t="s">
        <v>533</v>
      </c>
      <c r="AN192" t="s">
        <v>533</v>
      </c>
      <c r="AO192" t="s">
        <v>533</v>
      </c>
      <c r="AP192" t="s">
        <v>533</v>
      </c>
      <c r="AQ192" t="s">
        <v>533</v>
      </c>
      <c r="AS192" t="s">
        <v>533</v>
      </c>
      <c r="AT192" t="s">
        <v>533</v>
      </c>
      <c r="AU192" t="s">
        <v>533</v>
      </c>
      <c r="AV192" t="s">
        <v>533</v>
      </c>
      <c r="AW192" t="s">
        <v>533</v>
      </c>
      <c r="AZ192" t="s">
        <v>533</v>
      </c>
      <c r="BC192" t="s">
        <v>533</v>
      </c>
      <c r="BE192" t="s">
        <v>533</v>
      </c>
    </row>
    <row r="193" spans="1:110" x14ac:dyDescent="0.35">
      <c r="A193" t="s">
        <v>533</v>
      </c>
      <c r="B193" t="s">
        <v>533</v>
      </c>
      <c r="C193" t="s">
        <v>533</v>
      </c>
      <c r="F193" t="s">
        <v>533</v>
      </c>
      <c r="G193" t="s">
        <v>533</v>
      </c>
      <c r="I193" t="s">
        <v>533</v>
      </c>
      <c r="J193" t="s">
        <v>533</v>
      </c>
      <c r="K193" t="s">
        <v>533</v>
      </c>
      <c r="L193" t="s">
        <v>533</v>
      </c>
      <c r="M193" t="s">
        <v>533</v>
      </c>
      <c r="P193" t="s">
        <v>533</v>
      </c>
      <c r="R193" t="s">
        <v>533</v>
      </c>
      <c r="S193" t="s">
        <v>2927</v>
      </c>
      <c r="T193" t="s">
        <v>533</v>
      </c>
      <c r="V193" t="s">
        <v>533</v>
      </c>
      <c r="W193" t="s">
        <v>533</v>
      </c>
      <c r="Y193" t="s">
        <v>533</v>
      </c>
      <c r="Z193" t="s">
        <v>533</v>
      </c>
      <c r="AA193" t="s">
        <v>533</v>
      </c>
      <c r="AC193" t="s">
        <v>533</v>
      </c>
      <c r="AD193" t="s">
        <v>533</v>
      </c>
      <c r="AF193" t="s">
        <v>533</v>
      </c>
      <c r="AH193" t="s">
        <v>533</v>
      </c>
      <c r="AI193" t="s">
        <v>533</v>
      </c>
      <c r="AJ193" t="s">
        <v>533</v>
      </c>
      <c r="AL193" t="s">
        <v>533</v>
      </c>
      <c r="AM193" t="s">
        <v>533</v>
      </c>
      <c r="AN193" t="s">
        <v>533</v>
      </c>
      <c r="AO193" t="s">
        <v>533</v>
      </c>
      <c r="AP193" t="s">
        <v>533</v>
      </c>
      <c r="AQ193" t="s">
        <v>533</v>
      </c>
      <c r="AS193" t="s">
        <v>533</v>
      </c>
      <c r="AT193" t="s">
        <v>533</v>
      </c>
      <c r="AU193" t="s">
        <v>533</v>
      </c>
      <c r="AV193" t="s">
        <v>533</v>
      </c>
      <c r="AW193" t="s">
        <v>533</v>
      </c>
      <c r="AZ193" t="s">
        <v>533</v>
      </c>
      <c r="BC193" t="s">
        <v>533</v>
      </c>
      <c r="BE193" t="s">
        <v>533</v>
      </c>
    </row>
    <row r="194" spans="1:110" x14ac:dyDescent="0.35">
      <c r="A194" t="s">
        <v>533</v>
      </c>
      <c r="B194" t="s">
        <v>533</v>
      </c>
      <c r="C194" t="s">
        <v>533</v>
      </c>
      <c r="F194" t="s">
        <v>533</v>
      </c>
      <c r="G194" t="s">
        <v>533</v>
      </c>
      <c r="I194" t="s">
        <v>533</v>
      </c>
      <c r="J194" t="s">
        <v>533</v>
      </c>
      <c r="K194" t="s">
        <v>533</v>
      </c>
      <c r="L194" t="s">
        <v>533</v>
      </c>
      <c r="M194" t="s">
        <v>533</v>
      </c>
      <c r="P194" t="s">
        <v>533</v>
      </c>
      <c r="R194" t="s">
        <v>533</v>
      </c>
      <c r="S194" t="s">
        <v>2928</v>
      </c>
      <c r="T194" t="s">
        <v>533</v>
      </c>
      <c r="V194" t="s">
        <v>533</v>
      </c>
      <c r="W194" t="s">
        <v>533</v>
      </c>
      <c r="Y194" t="s">
        <v>533</v>
      </c>
      <c r="Z194" t="s">
        <v>533</v>
      </c>
      <c r="AA194" t="s">
        <v>533</v>
      </c>
      <c r="AC194" t="s">
        <v>533</v>
      </c>
      <c r="AD194" t="s">
        <v>533</v>
      </c>
      <c r="AF194" t="s">
        <v>533</v>
      </c>
      <c r="AH194" t="s">
        <v>533</v>
      </c>
      <c r="AI194" t="s">
        <v>533</v>
      </c>
      <c r="AJ194" t="s">
        <v>533</v>
      </c>
      <c r="AL194" t="s">
        <v>533</v>
      </c>
      <c r="AM194" t="s">
        <v>533</v>
      </c>
      <c r="AN194" t="s">
        <v>533</v>
      </c>
      <c r="AO194" t="s">
        <v>533</v>
      </c>
      <c r="AP194" t="s">
        <v>533</v>
      </c>
      <c r="AQ194" t="s">
        <v>533</v>
      </c>
      <c r="AS194" t="s">
        <v>533</v>
      </c>
      <c r="AT194" t="s">
        <v>533</v>
      </c>
      <c r="AU194" t="s">
        <v>533</v>
      </c>
      <c r="AV194" t="s">
        <v>533</v>
      </c>
      <c r="AW194" t="s">
        <v>533</v>
      </c>
      <c r="AZ194" t="s">
        <v>533</v>
      </c>
      <c r="BC194" t="s">
        <v>533</v>
      </c>
      <c r="BE194" t="s">
        <v>533</v>
      </c>
    </row>
    <row r="195" spans="1:110" x14ac:dyDescent="0.35">
      <c r="A195" t="s">
        <v>533</v>
      </c>
      <c r="B195" t="s">
        <v>533</v>
      </c>
      <c r="C195" t="s">
        <v>533</v>
      </c>
      <c r="F195" t="s">
        <v>533</v>
      </c>
      <c r="G195" t="s">
        <v>533</v>
      </c>
      <c r="I195" t="s">
        <v>533</v>
      </c>
      <c r="J195" t="s">
        <v>533</v>
      </c>
      <c r="K195" t="s">
        <v>533</v>
      </c>
      <c r="L195" t="s">
        <v>533</v>
      </c>
      <c r="M195" t="s">
        <v>533</v>
      </c>
      <c r="P195" t="s">
        <v>533</v>
      </c>
      <c r="R195" t="s">
        <v>533</v>
      </c>
      <c r="S195" t="s">
        <v>2929</v>
      </c>
      <c r="T195" t="s">
        <v>533</v>
      </c>
      <c r="V195" t="s">
        <v>533</v>
      </c>
      <c r="W195" t="s">
        <v>533</v>
      </c>
      <c r="Y195" t="s">
        <v>533</v>
      </c>
      <c r="Z195" t="s">
        <v>533</v>
      </c>
      <c r="AA195" t="s">
        <v>533</v>
      </c>
      <c r="AC195" t="s">
        <v>533</v>
      </c>
      <c r="AD195" t="s">
        <v>533</v>
      </c>
      <c r="AF195" t="s">
        <v>533</v>
      </c>
      <c r="AH195" t="s">
        <v>533</v>
      </c>
      <c r="AI195" t="s">
        <v>533</v>
      </c>
      <c r="AJ195" t="s">
        <v>533</v>
      </c>
      <c r="AL195" t="s">
        <v>533</v>
      </c>
      <c r="AM195" t="s">
        <v>533</v>
      </c>
      <c r="AN195" t="s">
        <v>533</v>
      </c>
      <c r="AO195" t="s">
        <v>533</v>
      </c>
      <c r="AP195" t="s">
        <v>533</v>
      </c>
      <c r="AQ195" t="s">
        <v>533</v>
      </c>
      <c r="AS195" t="s">
        <v>533</v>
      </c>
      <c r="AT195" t="s">
        <v>533</v>
      </c>
      <c r="AU195" t="s">
        <v>533</v>
      </c>
      <c r="AV195" t="s">
        <v>533</v>
      </c>
      <c r="AW195" t="s">
        <v>533</v>
      </c>
      <c r="AZ195" t="s">
        <v>533</v>
      </c>
      <c r="BC195" t="s">
        <v>533</v>
      </c>
      <c r="BE195" t="s">
        <v>533</v>
      </c>
    </row>
    <row r="196" spans="1:110" x14ac:dyDescent="0.35">
      <c r="A196" t="s">
        <v>533</v>
      </c>
      <c r="B196" t="s">
        <v>533</v>
      </c>
      <c r="C196" t="s">
        <v>533</v>
      </c>
      <c r="F196" t="s">
        <v>533</v>
      </c>
      <c r="G196" t="s">
        <v>533</v>
      </c>
      <c r="I196" t="s">
        <v>533</v>
      </c>
      <c r="J196" t="s">
        <v>533</v>
      </c>
      <c r="K196" t="s">
        <v>533</v>
      </c>
      <c r="L196" t="s">
        <v>533</v>
      </c>
      <c r="M196" t="s">
        <v>533</v>
      </c>
      <c r="P196" t="s">
        <v>533</v>
      </c>
      <c r="R196" t="s">
        <v>533</v>
      </c>
      <c r="S196" t="s">
        <v>2930</v>
      </c>
      <c r="T196" t="s">
        <v>533</v>
      </c>
      <c r="V196" t="s">
        <v>533</v>
      </c>
      <c r="W196" t="s">
        <v>533</v>
      </c>
      <c r="Y196" t="s">
        <v>533</v>
      </c>
      <c r="Z196" t="s">
        <v>533</v>
      </c>
      <c r="AA196" t="s">
        <v>533</v>
      </c>
      <c r="AC196" t="s">
        <v>533</v>
      </c>
      <c r="AD196" t="s">
        <v>533</v>
      </c>
      <c r="AF196" t="s">
        <v>533</v>
      </c>
      <c r="AH196" t="s">
        <v>533</v>
      </c>
      <c r="AI196" t="s">
        <v>533</v>
      </c>
      <c r="AJ196" t="s">
        <v>533</v>
      </c>
      <c r="AL196" t="s">
        <v>533</v>
      </c>
      <c r="AM196" t="s">
        <v>533</v>
      </c>
      <c r="AN196" t="s">
        <v>533</v>
      </c>
      <c r="AO196" t="s">
        <v>533</v>
      </c>
      <c r="AP196" t="s">
        <v>533</v>
      </c>
      <c r="AQ196" t="s">
        <v>533</v>
      </c>
      <c r="AS196" t="s">
        <v>533</v>
      </c>
      <c r="AT196" t="s">
        <v>533</v>
      </c>
      <c r="AU196" t="s">
        <v>533</v>
      </c>
      <c r="AV196" t="s">
        <v>533</v>
      </c>
      <c r="AW196" t="s">
        <v>533</v>
      </c>
      <c r="AZ196" t="s">
        <v>533</v>
      </c>
      <c r="BC196" t="s">
        <v>533</v>
      </c>
      <c r="BE196" t="s">
        <v>533</v>
      </c>
    </row>
    <row r="197" spans="1:110" x14ac:dyDescent="0.35">
      <c r="A197" t="s">
        <v>533</v>
      </c>
      <c r="B197" t="s">
        <v>533</v>
      </c>
      <c r="C197" t="s">
        <v>533</v>
      </c>
      <c r="F197" t="s">
        <v>533</v>
      </c>
      <c r="G197" t="s">
        <v>533</v>
      </c>
      <c r="I197" t="s">
        <v>533</v>
      </c>
      <c r="J197" t="s">
        <v>533</v>
      </c>
      <c r="K197" t="s">
        <v>533</v>
      </c>
      <c r="L197" t="s">
        <v>533</v>
      </c>
      <c r="M197" t="s">
        <v>533</v>
      </c>
      <c r="P197" t="s">
        <v>533</v>
      </c>
      <c r="R197" t="s">
        <v>533</v>
      </c>
      <c r="S197" t="s">
        <v>2931</v>
      </c>
      <c r="T197" t="s">
        <v>533</v>
      </c>
      <c r="V197" t="s">
        <v>533</v>
      </c>
      <c r="W197" t="s">
        <v>533</v>
      </c>
      <c r="Y197" t="s">
        <v>533</v>
      </c>
      <c r="Z197" t="s">
        <v>533</v>
      </c>
      <c r="AA197" t="s">
        <v>533</v>
      </c>
      <c r="AC197" t="s">
        <v>533</v>
      </c>
      <c r="AD197" t="s">
        <v>533</v>
      </c>
      <c r="AF197" t="s">
        <v>533</v>
      </c>
      <c r="AH197" t="s">
        <v>533</v>
      </c>
      <c r="AI197" t="s">
        <v>533</v>
      </c>
      <c r="AJ197" t="s">
        <v>533</v>
      </c>
      <c r="AL197" t="s">
        <v>533</v>
      </c>
      <c r="AM197" t="s">
        <v>533</v>
      </c>
      <c r="AN197" t="s">
        <v>533</v>
      </c>
      <c r="AO197" t="s">
        <v>533</v>
      </c>
      <c r="AP197" t="s">
        <v>533</v>
      </c>
      <c r="AQ197" t="s">
        <v>533</v>
      </c>
      <c r="AS197" t="s">
        <v>533</v>
      </c>
      <c r="AT197" t="s">
        <v>533</v>
      </c>
      <c r="AU197" t="s">
        <v>533</v>
      </c>
      <c r="AV197" t="s">
        <v>533</v>
      </c>
      <c r="AW197" t="s">
        <v>533</v>
      </c>
      <c r="AZ197" t="s">
        <v>533</v>
      </c>
      <c r="BC197" t="s">
        <v>533</v>
      </c>
      <c r="BE197" t="s">
        <v>533</v>
      </c>
    </row>
    <row r="198" spans="1:110" x14ac:dyDescent="0.35">
      <c r="A198" t="s">
        <v>533</v>
      </c>
      <c r="B198" t="s">
        <v>533</v>
      </c>
      <c r="C198" t="s">
        <v>533</v>
      </c>
      <c r="F198" t="s">
        <v>533</v>
      </c>
      <c r="G198" t="s">
        <v>533</v>
      </c>
      <c r="I198" t="s">
        <v>533</v>
      </c>
      <c r="J198" t="s">
        <v>533</v>
      </c>
      <c r="K198" t="s">
        <v>533</v>
      </c>
      <c r="L198" t="s">
        <v>533</v>
      </c>
      <c r="M198" t="s">
        <v>533</v>
      </c>
      <c r="P198" t="s">
        <v>533</v>
      </c>
      <c r="R198" t="s">
        <v>533</v>
      </c>
      <c r="S198" t="s">
        <v>2932</v>
      </c>
      <c r="T198" t="s">
        <v>533</v>
      </c>
      <c r="V198" t="s">
        <v>533</v>
      </c>
      <c r="W198" t="s">
        <v>533</v>
      </c>
      <c r="Y198" t="s">
        <v>533</v>
      </c>
      <c r="Z198" t="s">
        <v>533</v>
      </c>
      <c r="AA198" t="s">
        <v>533</v>
      </c>
      <c r="AC198" t="s">
        <v>533</v>
      </c>
      <c r="AD198" t="s">
        <v>533</v>
      </c>
      <c r="AF198" t="s">
        <v>533</v>
      </c>
      <c r="AH198" t="s">
        <v>533</v>
      </c>
      <c r="AI198" t="s">
        <v>533</v>
      </c>
      <c r="AJ198" t="s">
        <v>533</v>
      </c>
      <c r="AL198" t="s">
        <v>533</v>
      </c>
      <c r="AM198" t="s">
        <v>533</v>
      </c>
      <c r="AN198" t="s">
        <v>533</v>
      </c>
      <c r="AO198" t="s">
        <v>533</v>
      </c>
      <c r="AP198" t="s">
        <v>533</v>
      </c>
      <c r="AQ198" t="s">
        <v>533</v>
      </c>
      <c r="AS198" t="s">
        <v>533</v>
      </c>
      <c r="AT198" t="s">
        <v>533</v>
      </c>
      <c r="AU198" t="s">
        <v>533</v>
      </c>
      <c r="AV198" t="s">
        <v>533</v>
      </c>
      <c r="AW198" t="s">
        <v>533</v>
      </c>
      <c r="AZ198" t="s">
        <v>533</v>
      </c>
      <c r="BC198" t="s">
        <v>533</v>
      </c>
      <c r="BE198" t="s">
        <v>533</v>
      </c>
      <c r="BG198" t="s">
        <v>2933</v>
      </c>
      <c r="BH198" t="s">
        <v>2915</v>
      </c>
    </row>
    <row r="199" spans="1:110" x14ac:dyDescent="0.35">
      <c r="A199" t="s">
        <v>533</v>
      </c>
      <c r="B199" t="s">
        <v>533</v>
      </c>
      <c r="C199" t="s">
        <v>533</v>
      </c>
      <c r="F199" t="s">
        <v>533</v>
      </c>
      <c r="G199" t="s">
        <v>533</v>
      </c>
      <c r="I199" t="s">
        <v>533</v>
      </c>
      <c r="J199" t="s">
        <v>533</v>
      </c>
      <c r="K199" t="s">
        <v>533</v>
      </c>
      <c r="L199" t="s">
        <v>533</v>
      </c>
      <c r="M199" t="s">
        <v>533</v>
      </c>
      <c r="P199" t="s">
        <v>533</v>
      </c>
      <c r="R199" t="s">
        <v>533</v>
      </c>
      <c r="S199" t="s">
        <v>2934</v>
      </c>
      <c r="T199" t="s">
        <v>533</v>
      </c>
      <c r="V199" t="s">
        <v>533</v>
      </c>
      <c r="W199" t="s">
        <v>533</v>
      </c>
      <c r="Y199" t="s">
        <v>533</v>
      </c>
      <c r="Z199" t="s">
        <v>533</v>
      </c>
      <c r="AA199" t="s">
        <v>533</v>
      </c>
      <c r="AC199" t="s">
        <v>533</v>
      </c>
      <c r="AD199" t="s">
        <v>533</v>
      </c>
      <c r="AF199" t="s">
        <v>533</v>
      </c>
      <c r="AH199" t="s">
        <v>533</v>
      </c>
      <c r="AI199" t="s">
        <v>533</v>
      </c>
      <c r="AJ199" t="s">
        <v>533</v>
      </c>
      <c r="AL199" t="s">
        <v>533</v>
      </c>
      <c r="AM199" t="s">
        <v>533</v>
      </c>
      <c r="AN199" t="s">
        <v>533</v>
      </c>
      <c r="AO199" t="s">
        <v>533</v>
      </c>
      <c r="AP199" t="s">
        <v>533</v>
      </c>
      <c r="AQ199" t="s">
        <v>533</v>
      </c>
      <c r="AS199" t="s">
        <v>533</v>
      </c>
      <c r="AT199" t="s">
        <v>533</v>
      </c>
      <c r="AU199" t="s">
        <v>533</v>
      </c>
      <c r="AV199" t="s">
        <v>533</v>
      </c>
      <c r="AW199" t="s">
        <v>533</v>
      </c>
      <c r="AZ199" t="s">
        <v>533</v>
      </c>
      <c r="BC199" t="s">
        <v>533</v>
      </c>
      <c r="BE199" t="s">
        <v>533</v>
      </c>
      <c r="BG199" t="s">
        <v>2935</v>
      </c>
      <c r="BH199" t="s">
        <v>2758</v>
      </c>
    </row>
    <row r="200" spans="1:110" x14ac:dyDescent="0.35">
      <c r="A200" t="s">
        <v>533</v>
      </c>
      <c r="B200" t="s">
        <v>533</v>
      </c>
      <c r="C200" t="s">
        <v>533</v>
      </c>
      <c r="F200" t="s">
        <v>533</v>
      </c>
      <c r="G200" t="s">
        <v>533</v>
      </c>
      <c r="I200" t="s">
        <v>533</v>
      </c>
      <c r="J200" t="s">
        <v>533</v>
      </c>
      <c r="K200" t="s">
        <v>533</v>
      </c>
      <c r="L200" t="s">
        <v>533</v>
      </c>
      <c r="M200" t="s">
        <v>533</v>
      </c>
      <c r="P200" t="s">
        <v>533</v>
      </c>
      <c r="R200" t="s">
        <v>533</v>
      </c>
      <c r="S200" t="s">
        <v>2936</v>
      </c>
      <c r="V200" t="s">
        <v>533</v>
      </c>
      <c r="W200" t="s">
        <v>533</v>
      </c>
      <c r="Y200" t="s">
        <v>533</v>
      </c>
      <c r="Z200" t="s">
        <v>533</v>
      </c>
      <c r="AA200" t="s">
        <v>533</v>
      </c>
      <c r="AC200" t="s">
        <v>533</v>
      </c>
      <c r="AD200" t="s">
        <v>533</v>
      </c>
      <c r="AF200" t="s">
        <v>533</v>
      </c>
      <c r="AH200" t="s">
        <v>533</v>
      </c>
      <c r="AI200" t="s">
        <v>533</v>
      </c>
      <c r="AJ200" t="s">
        <v>533</v>
      </c>
      <c r="AL200" t="s">
        <v>533</v>
      </c>
      <c r="AM200" t="s">
        <v>533</v>
      </c>
      <c r="AN200" t="s">
        <v>533</v>
      </c>
      <c r="AO200" t="s">
        <v>533</v>
      </c>
      <c r="AP200" t="s">
        <v>533</v>
      </c>
      <c r="AQ200" t="s">
        <v>533</v>
      </c>
      <c r="AS200" t="s">
        <v>533</v>
      </c>
      <c r="AT200" t="s">
        <v>533</v>
      </c>
      <c r="AU200" t="s">
        <v>533</v>
      </c>
      <c r="AV200" t="s">
        <v>533</v>
      </c>
      <c r="AW200" t="s">
        <v>533</v>
      </c>
      <c r="AZ200" t="s">
        <v>533</v>
      </c>
      <c r="BC200" t="s">
        <v>533</v>
      </c>
      <c r="BE200" t="s">
        <v>533</v>
      </c>
      <c r="BG200" t="s">
        <v>2937</v>
      </c>
      <c r="BH200" s="19">
        <v>44603</v>
      </c>
      <c r="DF200" t="s">
        <v>533</v>
      </c>
    </row>
    <row r="201" spans="1:110" x14ac:dyDescent="0.35">
      <c r="S201" s="21" t="s">
        <v>2938</v>
      </c>
      <c r="BE201" t="s">
        <v>533</v>
      </c>
    </row>
    <row r="202" spans="1:110" x14ac:dyDescent="0.35">
      <c r="S202" s="21" t="s">
        <v>2939</v>
      </c>
      <c r="BE202" t="s">
        <v>533</v>
      </c>
    </row>
    <row r="203" spans="1:110" x14ac:dyDescent="0.35">
      <c r="S203" s="21" t="s">
        <v>2940</v>
      </c>
      <c r="T203" s="21"/>
      <c r="BE203" t="s">
        <v>533</v>
      </c>
    </row>
    <row r="204" spans="1:110" x14ac:dyDescent="0.35">
      <c r="S204" t="s">
        <v>2941</v>
      </c>
      <c r="T204" s="21"/>
      <c r="BE204" t="s">
        <v>533</v>
      </c>
    </row>
    <row r="205" spans="1:110" x14ac:dyDescent="0.35">
      <c r="S205" t="s">
        <v>2942</v>
      </c>
      <c r="T205" s="21"/>
      <c r="BE205" t="s">
        <v>533</v>
      </c>
    </row>
    <row r="206" spans="1:110" x14ac:dyDescent="0.35">
      <c r="S206" t="s">
        <v>2943</v>
      </c>
      <c r="T206" s="21"/>
      <c r="BE206" t="s">
        <v>533</v>
      </c>
    </row>
    <row r="207" spans="1:110" x14ac:dyDescent="0.35">
      <c r="S207" t="s">
        <v>2944</v>
      </c>
      <c r="T207" s="21"/>
      <c r="BE207" t="s">
        <v>533</v>
      </c>
    </row>
    <row r="208" spans="1:110" x14ac:dyDescent="0.35">
      <c r="S208" t="s">
        <v>2945</v>
      </c>
      <c r="T208" s="21"/>
      <c r="BE208" t="s">
        <v>533</v>
      </c>
    </row>
    <row r="209" spans="19:57" x14ac:dyDescent="0.35">
      <c r="S209" t="s">
        <v>2946</v>
      </c>
      <c r="T209" s="21"/>
      <c r="BE209" t="s">
        <v>533</v>
      </c>
    </row>
    <row r="210" spans="19:57" x14ac:dyDescent="0.35">
      <c r="S210" t="s">
        <v>2947</v>
      </c>
      <c r="T210" s="21"/>
      <c r="BE210" t="s">
        <v>533</v>
      </c>
    </row>
    <row r="211" spans="19:57" x14ac:dyDescent="0.35">
      <c r="S211" t="s">
        <v>2948</v>
      </c>
      <c r="T211" s="21"/>
    </row>
    <row r="212" spans="19:57" x14ac:dyDescent="0.35">
      <c r="S212" t="s">
        <v>2949</v>
      </c>
      <c r="T212" s="21"/>
    </row>
    <row r="213" spans="19:57" x14ac:dyDescent="0.35">
      <c r="S213" t="s">
        <v>2950</v>
      </c>
      <c r="T213" s="21"/>
    </row>
    <row r="214" spans="19:57" x14ac:dyDescent="0.35">
      <c r="S214" t="s">
        <v>2951</v>
      </c>
      <c r="T214" s="21"/>
    </row>
    <row r="215" spans="19:57" x14ac:dyDescent="0.35">
      <c r="S215" t="s">
        <v>2952</v>
      </c>
      <c r="T215" s="21"/>
    </row>
    <row r="216" spans="19:57" x14ac:dyDescent="0.35">
      <c r="S216" t="s">
        <v>2953</v>
      </c>
      <c r="T216" s="21"/>
    </row>
    <row r="217" spans="19:57" x14ac:dyDescent="0.35">
      <c r="S217" t="s">
        <v>2954</v>
      </c>
      <c r="T217" s="21"/>
    </row>
    <row r="218" spans="19:57" x14ac:dyDescent="0.35">
      <c r="S218" t="s">
        <v>2955</v>
      </c>
      <c r="T218" s="21"/>
    </row>
    <row r="219" spans="19:57" x14ac:dyDescent="0.35">
      <c r="S219" t="s">
        <v>2956</v>
      </c>
      <c r="T219" s="21"/>
    </row>
    <row r="220" spans="19:57" x14ac:dyDescent="0.35">
      <c r="S220" t="s">
        <v>2957</v>
      </c>
      <c r="T220" s="21"/>
    </row>
    <row r="221" spans="19:57" x14ac:dyDescent="0.35">
      <c r="S221" t="s">
        <v>2958</v>
      </c>
      <c r="T221" s="21"/>
    </row>
    <row r="222" spans="19:57" x14ac:dyDescent="0.35">
      <c r="S222" t="s">
        <v>2959</v>
      </c>
      <c r="T222" s="21"/>
    </row>
    <row r="223" spans="19:57" x14ac:dyDescent="0.35">
      <c r="S223" t="s">
        <v>2960</v>
      </c>
      <c r="T223" s="21"/>
    </row>
    <row r="224" spans="19:57" x14ac:dyDescent="0.35">
      <c r="S224" t="s">
        <v>2961</v>
      </c>
      <c r="T224" s="21"/>
    </row>
    <row r="225" spans="19:20" x14ac:dyDescent="0.35">
      <c r="S225" t="s">
        <v>2962</v>
      </c>
      <c r="T225" s="21"/>
    </row>
    <row r="226" spans="19:20" x14ac:dyDescent="0.35">
      <c r="S226" t="s">
        <v>2963</v>
      </c>
      <c r="T226" s="21"/>
    </row>
    <row r="227" spans="19:20" x14ac:dyDescent="0.35">
      <c r="S227" t="s">
        <v>2964</v>
      </c>
      <c r="T227" s="21"/>
    </row>
    <row r="228" spans="19:20" x14ac:dyDescent="0.35">
      <c r="S228" t="s">
        <v>2965</v>
      </c>
      <c r="T228" s="21"/>
    </row>
    <row r="229" spans="19:20" x14ac:dyDescent="0.35">
      <c r="S229" t="s">
        <v>2966</v>
      </c>
      <c r="T229" s="21"/>
    </row>
    <row r="230" spans="19:20" x14ac:dyDescent="0.35">
      <c r="S230" t="s">
        <v>2967</v>
      </c>
      <c r="T230" s="21"/>
    </row>
    <row r="231" spans="19:20" x14ac:dyDescent="0.35">
      <c r="S231" t="s">
        <v>2968</v>
      </c>
      <c r="T231" s="21"/>
    </row>
    <row r="232" spans="19:20" x14ac:dyDescent="0.35">
      <c r="S232" t="s">
        <v>2969</v>
      </c>
      <c r="T232" s="21"/>
    </row>
    <row r="233" spans="19:20" x14ac:dyDescent="0.35">
      <c r="S233" t="s">
        <v>2970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C7A6C-B463-40FF-9A60-B624FD858741}">
  <sheetPr codeName="Planilha12"/>
  <dimension ref="A1:AE324"/>
  <sheetViews>
    <sheetView workbookViewId="0">
      <selection activeCell="E2" sqref="E2:E33"/>
    </sheetView>
  </sheetViews>
  <sheetFormatPr defaultRowHeight="14.5" x14ac:dyDescent="0.35"/>
  <cols>
    <col min="1" max="1" width="31.54296875" bestFit="1" customWidth="1"/>
    <col min="2" max="2" width="7.7265625" bestFit="1" customWidth="1"/>
    <col min="3" max="3" width="13.81640625" bestFit="1" customWidth="1"/>
    <col min="4" max="4" width="11.54296875" bestFit="1" customWidth="1"/>
    <col min="5" max="5" width="11" bestFit="1" customWidth="1"/>
    <col min="6" max="6" width="25" bestFit="1" customWidth="1"/>
    <col min="7" max="7" width="35.81640625" bestFit="1" customWidth="1"/>
    <col min="8" max="8" width="20.7265625" bestFit="1" customWidth="1"/>
    <col min="9" max="9" width="16.7265625" bestFit="1" customWidth="1"/>
    <col min="10" max="10" width="19" bestFit="1" customWidth="1"/>
    <col min="11" max="11" width="15.81640625" bestFit="1" customWidth="1"/>
    <col min="12" max="12" width="15.1796875" bestFit="1" customWidth="1"/>
    <col min="13" max="13" width="23.26953125" bestFit="1" customWidth="1"/>
    <col min="14" max="14" width="20.81640625" bestFit="1" customWidth="1"/>
    <col min="15" max="15" width="18.7265625" bestFit="1" customWidth="1"/>
    <col min="16" max="16" width="18" bestFit="1" customWidth="1"/>
    <col min="17" max="17" width="18.54296875" bestFit="1" customWidth="1"/>
    <col min="18" max="18" width="17.453125" bestFit="1" customWidth="1"/>
    <col min="19" max="19" width="18.81640625" bestFit="1" customWidth="1"/>
    <col min="20" max="20" width="18.54296875" bestFit="1" customWidth="1"/>
    <col min="21" max="21" width="20.81640625" bestFit="1" customWidth="1"/>
    <col min="22" max="22" width="20" bestFit="1" customWidth="1"/>
    <col min="23" max="23" width="23" bestFit="1" customWidth="1"/>
    <col min="24" max="24" width="25.54296875" bestFit="1" customWidth="1"/>
    <col min="25" max="26" width="24.54296875" bestFit="1" customWidth="1"/>
    <col min="27" max="27" width="20" bestFit="1" customWidth="1"/>
    <col min="28" max="28" width="24.81640625" bestFit="1" customWidth="1"/>
    <col min="29" max="29" width="32.81640625" bestFit="1" customWidth="1"/>
    <col min="30" max="30" width="32.453125" bestFit="1" customWidth="1"/>
    <col min="31" max="32" width="28" bestFit="1" customWidth="1"/>
    <col min="33" max="33" width="18.81640625" bestFit="1" customWidth="1"/>
    <col min="34" max="35" width="28" bestFit="1" customWidth="1"/>
    <col min="36" max="37" width="28.26953125" bestFit="1" customWidth="1"/>
    <col min="38" max="38" width="23.26953125" bestFit="1" customWidth="1"/>
    <col min="39" max="39" width="15.7265625" bestFit="1" customWidth="1"/>
    <col min="40" max="40" width="20.26953125" bestFit="1" customWidth="1"/>
    <col min="41" max="42" width="20.7265625" bestFit="1" customWidth="1"/>
    <col min="43" max="43" width="20.26953125" bestFit="1" customWidth="1"/>
    <col min="44" max="44" width="21.453125" bestFit="1" customWidth="1"/>
    <col min="45" max="45" width="15.1796875" bestFit="1" customWidth="1"/>
    <col min="46" max="46" width="12.26953125" bestFit="1" customWidth="1"/>
    <col min="47" max="47" width="25.54296875" bestFit="1" customWidth="1"/>
    <col min="48" max="48" width="19.453125" bestFit="1" customWidth="1"/>
    <col min="49" max="49" width="15.1796875" bestFit="1" customWidth="1"/>
    <col min="50" max="50" width="14.26953125" bestFit="1" customWidth="1"/>
    <col min="51" max="51" width="15.1796875" bestFit="1" customWidth="1"/>
    <col min="52" max="54" width="14.26953125" bestFit="1" customWidth="1"/>
    <col min="55" max="55" width="15.1796875" bestFit="1" customWidth="1"/>
    <col min="56" max="56" width="14.1796875" bestFit="1" customWidth="1"/>
    <col min="57" max="57" width="13.1796875" bestFit="1" customWidth="1"/>
    <col min="58" max="60" width="12.54296875" bestFit="1" customWidth="1"/>
    <col min="61" max="61" width="12.1796875" bestFit="1" customWidth="1"/>
    <col min="62" max="62" width="13.453125" bestFit="1" customWidth="1"/>
    <col min="63" max="63" width="12.81640625" bestFit="1" customWidth="1"/>
    <col min="64" max="64" width="13.453125" bestFit="1" customWidth="1"/>
    <col min="65" max="70" width="12.81640625" bestFit="1" customWidth="1"/>
    <col min="71" max="71" width="13.453125" bestFit="1" customWidth="1"/>
    <col min="72" max="72" width="7.26953125" bestFit="1" customWidth="1"/>
  </cols>
  <sheetData>
    <row r="1" spans="1:8" x14ac:dyDescent="0.35">
      <c r="A1" t="s">
        <v>579</v>
      </c>
      <c r="B1" t="s">
        <v>580</v>
      </c>
      <c r="C1" t="s">
        <v>670</v>
      </c>
      <c r="D1" t="s">
        <v>671</v>
      </c>
      <c r="E1" t="s">
        <v>672</v>
      </c>
      <c r="F1" t="s">
        <v>3853</v>
      </c>
      <c r="G1" t="s">
        <v>3854</v>
      </c>
      <c r="H1" t="s">
        <v>3769</v>
      </c>
    </row>
    <row r="2" spans="1:8" x14ac:dyDescent="0.35">
      <c r="A2" t="s">
        <v>581</v>
      </c>
      <c r="B2" t="s">
        <v>763</v>
      </c>
      <c r="C2">
        <v>0</v>
      </c>
      <c r="D2">
        <v>1.5</v>
      </c>
      <c r="E2">
        <v>2</v>
      </c>
      <c r="F2" s="21">
        <v>4</v>
      </c>
      <c r="G2" s="21">
        <v>4</v>
      </c>
      <c r="H2" t="s">
        <v>756</v>
      </c>
    </row>
    <row r="3" spans="1:8" x14ac:dyDescent="0.35">
      <c r="A3" t="s">
        <v>583</v>
      </c>
      <c r="B3" t="s">
        <v>595</v>
      </c>
      <c r="C3">
        <v>1</v>
      </c>
      <c r="D3">
        <v>2.5</v>
      </c>
      <c r="E3">
        <v>4</v>
      </c>
      <c r="F3" s="21">
        <v>4</v>
      </c>
      <c r="G3" s="21">
        <v>4</v>
      </c>
      <c r="H3" t="s">
        <v>48</v>
      </c>
    </row>
    <row r="4" spans="1:8" x14ac:dyDescent="0.35">
      <c r="A4" t="s">
        <v>584</v>
      </c>
      <c r="B4" t="s">
        <v>582</v>
      </c>
      <c r="C4">
        <v>5</v>
      </c>
      <c r="D4">
        <v>4</v>
      </c>
      <c r="E4">
        <v>6</v>
      </c>
      <c r="F4" s="21">
        <v>4</v>
      </c>
      <c r="G4" s="21">
        <v>4</v>
      </c>
      <c r="H4" t="s">
        <v>758</v>
      </c>
    </row>
    <row r="5" spans="1:8" x14ac:dyDescent="0.35">
      <c r="A5" t="s">
        <v>585</v>
      </c>
      <c r="B5" t="s">
        <v>592</v>
      </c>
      <c r="C5">
        <v>10</v>
      </c>
      <c r="D5">
        <v>6</v>
      </c>
      <c r="E5">
        <v>10</v>
      </c>
      <c r="F5" s="21">
        <v>4</v>
      </c>
      <c r="G5" s="21">
        <v>4</v>
      </c>
      <c r="H5" t="s">
        <v>760</v>
      </c>
    </row>
    <row r="6" spans="1:8" x14ac:dyDescent="0.35">
      <c r="A6" t="s">
        <v>586</v>
      </c>
      <c r="B6" t="s">
        <v>598</v>
      </c>
      <c r="C6">
        <v>15</v>
      </c>
      <c r="D6">
        <v>8</v>
      </c>
      <c r="E6">
        <v>16</v>
      </c>
      <c r="F6" s="21">
        <v>4</v>
      </c>
      <c r="G6" s="21">
        <v>4</v>
      </c>
      <c r="H6" t="s">
        <v>3770</v>
      </c>
    </row>
    <row r="7" spans="1:8" x14ac:dyDescent="0.35">
      <c r="A7" t="s">
        <v>587</v>
      </c>
      <c r="B7" t="s">
        <v>600</v>
      </c>
      <c r="C7">
        <v>25</v>
      </c>
      <c r="D7">
        <v>10</v>
      </c>
      <c r="E7">
        <v>20</v>
      </c>
      <c r="F7" s="21">
        <v>4</v>
      </c>
      <c r="G7" s="21">
        <v>4</v>
      </c>
      <c r="H7" t="s">
        <v>3771</v>
      </c>
    </row>
    <row r="8" spans="1:8" x14ac:dyDescent="0.35">
      <c r="A8" t="s">
        <v>588</v>
      </c>
      <c r="B8" t="s">
        <v>604</v>
      </c>
      <c r="C8">
        <v>30</v>
      </c>
      <c r="D8">
        <v>16</v>
      </c>
      <c r="E8">
        <v>25</v>
      </c>
      <c r="F8" s="21">
        <v>4</v>
      </c>
      <c r="G8" s="21">
        <v>4</v>
      </c>
      <c r="H8" t="s">
        <v>3772</v>
      </c>
    </row>
    <row r="9" spans="1:8" x14ac:dyDescent="0.35">
      <c r="A9" t="s">
        <v>589</v>
      </c>
      <c r="B9" t="s">
        <v>608</v>
      </c>
      <c r="C9">
        <v>45</v>
      </c>
      <c r="D9">
        <v>25</v>
      </c>
      <c r="E9">
        <v>32</v>
      </c>
      <c r="F9" s="21">
        <v>4</v>
      </c>
      <c r="G9" s="21">
        <v>6</v>
      </c>
      <c r="H9" s="21"/>
    </row>
    <row r="10" spans="1:8" x14ac:dyDescent="0.35">
      <c r="A10" t="s">
        <v>590</v>
      </c>
      <c r="B10" t="s">
        <v>612</v>
      </c>
      <c r="C10">
        <v>75</v>
      </c>
      <c r="D10">
        <v>35</v>
      </c>
      <c r="E10">
        <v>40</v>
      </c>
      <c r="F10" s="21">
        <v>6</v>
      </c>
      <c r="G10" s="21">
        <v>10</v>
      </c>
      <c r="H10" s="21"/>
    </row>
    <row r="11" spans="1:8" x14ac:dyDescent="0.35">
      <c r="A11" t="s">
        <v>591</v>
      </c>
      <c r="B11" t="s">
        <v>614</v>
      </c>
      <c r="C11">
        <v>100</v>
      </c>
      <c r="D11">
        <v>50</v>
      </c>
      <c r="E11">
        <v>50</v>
      </c>
      <c r="F11" s="21">
        <v>10</v>
      </c>
      <c r="G11" s="21">
        <v>10</v>
      </c>
      <c r="H11" s="21"/>
    </row>
    <row r="12" spans="1:8" x14ac:dyDescent="0.35">
      <c r="A12" t="s">
        <v>593</v>
      </c>
      <c r="B12" t="s">
        <v>616</v>
      </c>
      <c r="C12">
        <v>112.5</v>
      </c>
      <c r="D12">
        <v>70</v>
      </c>
      <c r="E12">
        <v>63</v>
      </c>
      <c r="F12" s="21">
        <v>16</v>
      </c>
      <c r="G12" s="21">
        <v>16</v>
      </c>
      <c r="H12" s="21"/>
    </row>
    <row r="13" spans="1:8" x14ac:dyDescent="0.35">
      <c r="A13" t="s">
        <v>594</v>
      </c>
      <c r="C13">
        <v>150</v>
      </c>
      <c r="D13">
        <v>95</v>
      </c>
      <c r="E13">
        <v>70</v>
      </c>
      <c r="F13" s="21">
        <v>16</v>
      </c>
      <c r="G13">
        <v>25</v>
      </c>
      <c r="H13" s="21"/>
    </row>
    <row r="14" spans="1:8" x14ac:dyDescent="0.35">
      <c r="A14" t="s">
        <v>596</v>
      </c>
      <c r="C14">
        <v>225</v>
      </c>
      <c r="D14">
        <v>120</v>
      </c>
      <c r="E14">
        <v>80</v>
      </c>
      <c r="F14">
        <v>25</v>
      </c>
      <c r="G14">
        <v>25</v>
      </c>
      <c r="H14" s="21"/>
    </row>
    <row r="15" spans="1:8" x14ac:dyDescent="0.35">
      <c r="A15" t="s">
        <v>597</v>
      </c>
      <c r="C15">
        <v>300</v>
      </c>
      <c r="D15">
        <v>150</v>
      </c>
      <c r="E15">
        <v>100</v>
      </c>
      <c r="F15">
        <v>25</v>
      </c>
      <c r="G15" s="21">
        <v>35</v>
      </c>
      <c r="H15" s="21"/>
    </row>
    <row r="16" spans="1:8" x14ac:dyDescent="0.35">
      <c r="A16" t="s">
        <v>599</v>
      </c>
      <c r="C16">
        <v>500</v>
      </c>
      <c r="D16">
        <v>185</v>
      </c>
      <c r="E16">
        <v>125</v>
      </c>
      <c r="F16">
        <v>35</v>
      </c>
      <c r="G16" s="21">
        <v>50</v>
      </c>
      <c r="H16" s="21"/>
    </row>
    <row r="17" spans="1:31" x14ac:dyDescent="0.35">
      <c r="A17" t="s">
        <v>601</v>
      </c>
      <c r="C17">
        <v>750</v>
      </c>
      <c r="D17">
        <v>240</v>
      </c>
      <c r="E17">
        <v>150</v>
      </c>
      <c r="F17" s="21">
        <v>50</v>
      </c>
      <c r="G17">
        <v>70</v>
      </c>
      <c r="H17" s="21"/>
    </row>
    <row r="18" spans="1:31" x14ac:dyDescent="0.35">
      <c r="A18" t="s">
        <v>602</v>
      </c>
      <c r="C18" s="18">
        <v>1000</v>
      </c>
      <c r="D18">
        <v>300</v>
      </c>
      <c r="E18">
        <v>160</v>
      </c>
      <c r="F18">
        <v>70</v>
      </c>
      <c r="G18">
        <v>70</v>
      </c>
      <c r="H18" s="21"/>
    </row>
    <row r="19" spans="1:31" x14ac:dyDescent="0.35">
      <c r="A19" t="s">
        <v>603</v>
      </c>
      <c r="C19" s="18">
        <v>1250</v>
      </c>
      <c r="D19">
        <v>400</v>
      </c>
      <c r="E19">
        <v>175</v>
      </c>
      <c r="F19">
        <v>70</v>
      </c>
      <c r="G19">
        <v>95</v>
      </c>
      <c r="H19" s="21"/>
    </row>
    <row r="20" spans="1:31" x14ac:dyDescent="0.35">
      <c r="A20" t="s">
        <v>605</v>
      </c>
      <c r="C20" s="18">
        <v>1500</v>
      </c>
      <c r="D20">
        <v>500</v>
      </c>
      <c r="E20">
        <v>180</v>
      </c>
      <c r="F20">
        <v>95</v>
      </c>
      <c r="G20">
        <v>95</v>
      </c>
      <c r="H20" s="21"/>
    </row>
    <row r="21" spans="1:31" x14ac:dyDescent="0.35">
      <c r="A21" t="s">
        <v>606</v>
      </c>
      <c r="C21" s="18">
        <v>2000</v>
      </c>
      <c r="E21">
        <v>200</v>
      </c>
      <c r="F21">
        <v>95</v>
      </c>
      <c r="G21">
        <v>95</v>
      </c>
      <c r="H21" s="21"/>
    </row>
    <row r="22" spans="1:31" x14ac:dyDescent="0.35">
      <c r="A22" t="s">
        <v>607</v>
      </c>
      <c r="C22" s="18">
        <v>2500</v>
      </c>
      <c r="E22">
        <v>225</v>
      </c>
      <c r="F22">
        <v>95</v>
      </c>
      <c r="G22">
        <v>120</v>
      </c>
      <c r="H22" s="21"/>
    </row>
    <row r="23" spans="1:31" x14ac:dyDescent="0.35">
      <c r="A23" t="s">
        <v>609</v>
      </c>
      <c r="E23">
        <v>250</v>
      </c>
      <c r="F23">
        <v>120</v>
      </c>
      <c r="G23">
        <v>150</v>
      </c>
      <c r="H23" s="21"/>
    </row>
    <row r="24" spans="1:31" x14ac:dyDescent="0.35">
      <c r="A24" t="s">
        <v>610</v>
      </c>
      <c r="E24">
        <v>300</v>
      </c>
      <c r="F24">
        <v>150</v>
      </c>
      <c r="G24">
        <v>185</v>
      </c>
      <c r="H24" s="21"/>
    </row>
    <row r="25" spans="1:31" x14ac:dyDescent="0.35">
      <c r="A25" t="s">
        <v>611</v>
      </c>
      <c r="E25">
        <v>315</v>
      </c>
      <c r="F25" s="21">
        <v>150</v>
      </c>
      <c r="G25" t="s">
        <v>4244</v>
      </c>
      <c r="H25" s="21"/>
    </row>
    <row r="26" spans="1:31" x14ac:dyDescent="0.35">
      <c r="A26" t="s">
        <v>613</v>
      </c>
      <c r="E26">
        <v>350</v>
      </c>
      <c r="F26">
        <v>185</v>
      </c>
      <c r="G26" t="s">
        <v>4241</v>
      </c>
      <c r="H26" s="21"/>
    </row>
    <row r="27" spans="1:31" x14ac:dyDescent="0.35">
      <c r="A27" t="s">
        <v>615</v>
      </c>
      <c r="E27">
        <v>400</v>
      </c>
      <c r="F27" s="21" t="s">
        <v>4241</v>
      </c>
      <c r="H27" s="21"/>
    </row>
    <row r="28" spans="1:31" x14ac:dyDescent="0.35">
      <c r="A28" t="s">
        <v>617</v>
      </c>
      <c r="E28">
        <v>450</v>
      </c>
      <c r="F28" s="21" t="s">
        <v>4241</v>
      </c>
      <c r="H28" s="21"/>
    </row>
    <row r="29" spans="1:31" x14ac:dyDescent="0.35">
      <c r="A29" t="s">
        <v>618</v>
      </c>
      <c r="E29">
        <v>500</v>
      </c>
      <c r="F29" s="21" t="s">
        <v>4242</v>
      </c>
      <c r="H29" s="21"/>
    </row>
    <row r="30" spans="1:31" x14ac:dyDescent="0.35">
      <c r="A30" t="s">
        <v>619</v>
      </c>
      <c r="E30">
        <v>600</v>
      </c>
      <c r="F30" s="21" t="s">
        <v>4243</v>
      </c>
      <c r="H30" s="21"/>
    </row>
    <row r="31" spans="1:31" x14ac:dyDescent="0.35">
      <c r="A31" t="s">
        <v>620</v>
      </c>
      <c r="E31">
        <v>630</v>
      </c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</row>
    <row r="32" spans="1:31" x14ac:dyDescent="0.35">
      <c r="A32" t="s">
        <v>621</v>
      </c>
      <c r="E32">
        <v>700</v>
      </c>
      <c r="H32" s="21"/>
    </row>
    <row r="33" spans="1:8" x14ac:dyDescent="0.35">
      <c r="A33" t="s">
        <v>622</v>
      </c>
      <c r="E33">
        <v>800</v>
      </c>
      <c r="H33" s="21"/>
    </row>
    <row r="34" spans="1:8" x14ac:dyDescent="0.35">
      <c r="A34" t="s">
        <v>623</v>
      </c>
    </row>
    <row r="35" spans="1:8" x14ac:dyDescent="0.35">
      <c r="A35" t="s">
        <v>624</v>
      </c>
    </row>
    <row r="36" spans="1:8" x14ac:dyDescent="0.35">
      <c r="A36" t="s">
        <v>625</v>
      </c>
    </row>
    <row r="37" spans="1:8" x14ac:dyDescent="0.35">
      <c r="A37" t="s">
        <v>626</v>
      </c>
    </row>
    <row r="38" spans="1:8" x14ac:dyDescent="0.35">
      <c r="A38" t="s">
        <v>627</v>
      </c>
    </row>
    <row r="39" spans="1:8" x14ac:dyDescent="0.35">
      <c r="A39" t="s">
        <v>628</v>
      </c>
    </row>
    <row r="40" spans="1:8" x14ac:dyDescent="0.35">
      <c r="A40" t="s">
        <v>629</v>
      </c>
    </row>
    <row r="41" spans="1:8" x14ac:dyDescent="0.35">
      <c r="A41" t="s">
        <v>630</v>
      </c>
    </row>
    <row r="42" spans="1:8" x14ac:dyDescent="0.35">
      <c r="A42" t="s">
        <v>631</v>
      </c>
    </row>
    <row r="43" spans="1:8" x14ac:dyDescent="0.35">
      <c r="A43" t="s">
        <v>632</v>
      </c>
    </row>
    <row r="44" spans="1:8" x14ac:dyDescent="0.35">
      <c r="A44" t="s">
        <v>633</v>
      </c>
    </row>
    <row r="45" spans="1:8" x14ac:dyDescent="0.35">
      <c r="A45" t="s">
        <v>634</v>
      </c>
    </row>
    <row r="46" spans="1:8" x14ac:dyDescent="0.35">
      <c r="A46" t="s">
        <v>635</v>
      </c>
    </row>
    <row r="47" spans="1:8" x14ac:dyDescent="0.35">
      <c r="A47" t="s">
        <v>636</v>
      </c>
    </row>
    <row r="48" spans="1:8" x14ac:dyDescent="0.35">
      <c r="A48" t="s">
        <v>637</v>
      </c>
    </row>
    <row r="49" spans="1:1" x14ac:dyDescent="0.35">
      <c r="A49" t="s">
        <v>638</v>
      </c>
    </row>
    <row r="50" spans="1:1" x14ac:dyDescent="0.35">
      <c r="A50" t="s">
        <v>639</v>
      </c>
    </row>
    <row r="51" spans="1:1" x14ac:dyDescent="0.35">
      <c r="A51" t="s">
        <v>640</v>
      </c>
    </row>
    <row r="52" spans="1:1" x14ac:dyDescent="0.35">
      <c r="A52" t="s">
        <v>641</v>
      </c>
    </row>
    <row r="53" spans="1:1" x14ac:dyDescent="0.35">
      <c r="A53" t="s">
        <v>642</v>
      </c>
    </row>
    <row r="54" spans="1:1" x14ac:dyDescent="0.35">
      <c r="A54" t="s">
        <v>643</v>
      </c>
    </row>
    <row r="55" spans="1:1" x14ac:dyDescent="0.35">
      <c r="A55" t="s">
        <v>644</v>
      </c>
    </row>
    <row r="56" spans="1:1" x14ac:dyDescent="0.35">
      <c r="A56" t="s">
        <v>645</v>
      </c>
    </row>
    <row r="57" spans="1:1" x14ac:dyDescent="0.35">
      <c r="A57" t="s">
        <v>646</v>
      </c>
    </row>
    <row r="58" spans="1:1" x14ac:dyDescent="0.35">
      <c r="A58" t="s">
        <v>647</v>
      </c>
    </row>
    <row r="59" spans="1:1" x14ac:dyDescent="0.35">
      <c r="A59" t="s">
        <v>648</v>
      </c>
    </row>
    <row r="60" spans="1:1" x14ac:dyDescent="0.35">
      <c r="A60" t="s">
        <v>649</v>
      </c>
    </row>
    <row r="61" spans="1:1" x14ac:dyDescent="0.35">
      <c r="A61" t="s">
        <v>650</v>
      </c>
    </row>
    <row r="62" spans="1:1" x14ac:dyDescent="0.35">
      <c r="A62" t="s">
        <v>651</v>
      </c>
    </row>
    <row r="63" spans="1:1" x14ac:dyDescent="0.35">
      <c r="A63" t="s">
        <v>652</v>
      </c>
    </row>
    <row r="64" spans="1:1" x14ac:dyDescent="0.35">
      <c r="A64" t="s">
        <v>653</v>
      </c>
    </row>
    <row r="65" spans="1:1" x14ac:dyDescent="0.35">
      <c r="A65" t="s">
        <v>654</v>
      </c>
    </row>
    <row r="66" spans="1:1" x14ac:dyDescent="0.35">
      <c r="A66" t="s">
        <v>655</v>
      </c>
    </row>
    <row r="67" spans="1:1" x14ac:dyDescent="0.35">
      <c r="A67" t="s">
        <v>656</v>
      </c>
    </row>
    <row r="68" spans="1:1" x14ac:dyDescent="0.35">
      <c r="A68" t="s">
        <v>657</v>
      </c>
    </row>
    <row r="69" spans="1:1" x14ac:dyDescent="0.35">
      <c r="A69" t="s">
        <v>658</v>
      </c>
    </row>
    <row r="70" spans="1:1" x14ac:dyDescent="0.35">
      <c r="A70" t="s">
        <v>659</v>
      </c>
    </row>
    <row r="71" spans="1:1" x14ac:dyDescent="0.35">
      <c r="A71" t="s">
        <v>660</v>
      </c>
    </row>
    <row r="72" spans="1:1" x14ac:dyDescent="0.35">
      <c r="A72" t="s">
        <v>661</v>
      </c>
    </row>
    <row r="73" spans="1:1" x14ac:dyDescent="0.35">
      <c r="A73" t="s">
        <v>662</v>
      </c>
    </row>
    <row r="74" spans="1:1" x14ac:dyDescent="0.35">
      <c r="A74" t="s">
        <v>663</v>
      </c>
    </row>
    <row r="75" spans="1:1" x14ac:dyDescent="0.35">
      <c r="A75" t="s">
        <v>664</v>
      </c>
    </row>
    <row r="76" spans="1:1" x14ac:dyDescent="0.35">
      <c r="A76" t="s">
        <v>665</v>
      </c>
    </row>
    <row r="77" spans="1:1" x14ac:dyDescent="0.35">
      <c r="A77" t="s">
        <v>666</v>
      </c>
    </row>
    <row r="78" spans="1:1" x14ac:dyDescent="0.35">
      <c r="A78" t="s">
        <v>667</v>
      </c>
    </row>
    <row r="79" spans="1:1" x14ac:dyDescent="0.35">
      <c r="A79" t="s">
        <v>668</v>
      </c>
    </row>
    <row r="80" spans="1:1" x14ac:dyDescent="0.35">
      <c r="A80" t="s">
        <v>669</v>
      </c>
    </row>
    <row r="88" spans="1:11" x14ac:dyDescent="0.35">
      <c r="A88" t="s">
        <v>598</v>
      </c>
      <c r="B88" t="s">
        <v>592</v>
      </c>
      <c r="C88" t="s">
        <v>616</v>
      </c>
      <c r="D88" t="s">
        <v>582</v>
      </c>
      <c r="E88" t="s">
        <v>595</v>
      </c>
      <c r="F88" t="s">
        <v>612</v>
      </c>
      <c r="G88" t="s">
        <v>614</v>
      </c>
      <c r="H88" t="s">
        <v>608</v>
      </c>
      <c r="I88" t="s">
        <v>763</v>
      </c>
      <c r="J88" t="s">
        <v>604</v>
      </c>
      <c r="K88" t="s">
        <v>600</v>
      </c>
    </row>
    <row r="89" spans="1:11" x14ac:dyDescent="0.35">
      <c r="A89" t="s">
        <v>2971</v>
      </c>
      <c r="B89" t="s">
        <v>2972</v>
      </c>
      <c r="C89" t="s">
        <v>2973</v>
      </c>
      <c r="D89" t="s">
        <v>581</v>
      </c>
      <c r="E89" t="s">
        <v>2974</v>
      </c>
      <c r="F89" t="s">
        <v>2975</v>
      </c>
      <c r="G89" t="s">
        <v>2976</v>
      </c>
      <c r="H89" t="s">
        <v>2977</v>
      </c>
      <c r="I89" t="s">
        <v>2978</v>
      </c>
      <c r="J89" t="s">
        <v>2979</v>
      </c>
      <c r="K89" t="s">
        <v>2980</v>
      </c>
    </row>
    <row r="90" spans="1:11" x14ac:dyDescent="0.35">
      <c r="A90" t="s">
        <v>2981</v>
      </c>
      <c r="B90" t="s">
        <v>2982</v>
      </c>
      <c r="C90" t="s">
        <v>2983</v>
      </c>
      <c r="D90" t="s">
        <v>630</v>
      </c>
      <c r="E90" t="s">
        <v>2984</v>
      </c>
      <c r="F90" t="s">
        <v>2985</v>
      </c>
      <c r="G90" t="s">
        <v>2986</v>
      </c>
      <c r="H90" t="s">
        <v>2987</v>
      </c>
      <c r="I90" t="s">
        <v>2988</v>
      </c>
      <c r="J90" t="s">
        <v>2989</v>
      </c>
    </row>
    <row r="91" spans="1:11" x14ac:dyDescent="0.35">
      <c r="A91" t="s">
        <v>2990</v>
      </c>
      <c r="B91" t="s">
        <v>2991</v>
      </c>
      <c r="C91" t="s">
        <v>2992</v>
      </c>
      <c r="D91" t="s">
        <v>663</v>
      </c>
      <c r="E91" t="s">
        <v>2993</v>
      </c>
      <c r="F91" t="s">
        <v>2994</v>
      </c>
      <c r="G91" t="s">
        <v>2995</v>
      </c>
      <c r="H91" t="s">
        <v>2996</v>
      </c>
      <c r="I91" t="s">
        <v>2997</v>
      </c>
      <c r="J91" t="s">
        <v>2998</v>
      </c>
    </row>
    <row r="92" spans="1:11" x14ac:dyDescent="0.35">
      <c r="A92" t="s">
        <v>2999</v>
      </c>
      <c r="B92" t="s">
        <v>3000</v>
      </c>
      <c r="C92" t="s">
        <v>3001</v>
      </c>
      <c r="D92" t="s">
        <v>3002</v>
      </c>
      <c r="E92" t="s">
        <v>3003</v>
      </c>
      <c r="F92" t="s">
        <v>3004</v>
      </c>
      <c r="G92" t="s">
        <v>3005</v>
      </c>
      <c r="H92" t="s">
        <v>3006</v>
      </c>
      <c r="I92" t="s">
        <v>3007</v>
      </c>
      <c r="J92" t="s">
        <v>3008</v>
      </c>
    </row>
    <row r="93" spans="1:11" x14ac:dyDescent="0.35">
      <c r="A93" t="s">
        <v>3009</v>
      </c>
      <c r="B93" t="s">
        <v>3010</v>
      </c>
      <c r="C93" t="s">
        <v>3011</v>
      </c>
      <c r="D93" t="s">
        <v>607</v>
      </c>
      <c r="E93" t="s">
        <v>3012</v>
      </c>
      <c r="F93" t="s">
        <v>3013</v>
      </c>
      <c r="G93" t="s">
        <v>3014</v>
      </c>
      <c r="H93" t="s">
        <v>3015</v>
      </c>
      <c r="I93" t="s">
        <v>3016</v>
      </c>
      <c r="J93" t="s">
        <v>3017</v>
      </c>
    </row>
    <row r="94" spans="1:11" x14ac:dyDescent="0.35">
      <c r="A94" t="s">
        <v>3018</v>
      </c>
      <c r="B94" t="s">
        <v>3019</v>
      </c>
      <c r="C94" t="s">
        <v>3020</v>
      </c>
      <c r="D94" t="s">
        <v>647</v>
      </c>
      <c r="E94" t="s">
        <v>3021</v>
      </c>
      <c r="F94" t="s">
        <v>3022</v>
      </c>
      <c r="G94" t="s">
        <v>3023</v>
      </c>
      <c r="H94" t="s">
        <v>3024</v>
      </c>
      <c r="I94" t="s">
        <v>3025</v>
      </c>
      <c r="J94" t="s">
        <v>3026</v>
      </c>
    </row>
    <row r="95" spans="1:11" x14ac:dyDescent="0.35">
      <c r="A95" t="s">
        <v>3027</v>
      </c>
      <c r="B95" t="s">
        <v>3028</v>
      </c>
      <c r="C95" t="s">
        <v>3029</v>
      </c>
      <c r="D95" t="s">
        <v>642</v>
      </c>
      <c r="E95" t="s">
        <v>3030</v>
      </c>
      <c r="F95" t="s">
        <v>3031</v>
      </c>
      <c r="G95" t="s">
        <v>3032</v>
      </c>
      <c r="H95" t="s">
        <v>3033</v>
      </c>
      <c r="I95" t="s">
        <v>3034</v>
      </c>
    </row>
    <row r="96" spans="1:11" x14ac:dyDescent="0.35">
      <c r="A96" t="s">
        <v>3035</v>
      </c>
      <c r="B96" t="s">
        <v>3036</v>
      </c>
      <c r="C96" t="s">
        <v>3037</v>
      </c>
      <c r="D96" t="s">
        <v>648</v>
      </c>
      <c r="E96" t="s">
        <v>3038</v>
      </c>
      <c r="F96" t="s">
        <v>3039</v>
      </c>
      <c r="G96" t="s">
        <v>3040</v>
      </c>
      <c r="H96" t="s">
        <v>3041</v>
      </c>
      <c r="I96" t="s">
        <v>3042</v>
      </c>
    </row>
    <row r="97" spans="1:9" x14ac:dyDescent="0.35">
      <c r="A97" t="s">
        <v>3043</v>
      </c>
      <c r="B97" t="s">
        <v>3044</v>
      </c>
      <c r="C97" t="s">
        <v>3045</v>
      </c>
      <c r="D97" t="s">
        <v>605</v>
      </c>
      <c r="E97" t="s">
        <v>3046</v>
      </c>
      <c r="F97" t="s">
        <v>3047</v>
      </c>
      <c r="G97" t="s">
        <v>3048</v>
      </c>
      <c r="H97" t="s">
        <v>3049</v>
      </c>
      <c r="I97" t="s">
        <v>3050</v>
      </c>
    </row>
    <row r="98" spans="1:9" x14ac:dyDescent="0.35">
      <c r="A98" t="s">
        <v>3051</v>
      </c>
      <c r="B98" t="s">
        <v>3052</v>
      </c>
      <c r="C98" t="s">
        <v>3053</v>
      </c>
      <c r="D98" t="s">
        <v>590</v>
      </c>
      <c r="E98" t="s">
        <v>3054</v>
      </c>
      <c r="F98" t="s">
        <v>3055</v>
      </c>
      <c r="G98" t="s">
        <v>3056</v>
      </c>
      <c r="H98" t="s">
        <v>3057</v>
      </c>
      <c r="I98" t="s">
        <v>3058</v>
      </c>
    </row>
    <row r="99" spans="1:9" x14ac:dyDescent="0.35">
      <c r="A99" t="s">
        <v>2986</v>
      </c>
      <c r="B99" t="s">
        <v>3059</v>
      </c>
      <c r="C99" t="s">
        <v>3060</v>
      </c>
      <c r="D99" t="s">
        <v>637</v>
      </c>
      <c r="E99" t="s">
        <v>3061</v>
      </c>
      <c r="F99" t="s">
        <v>3062</v>
      </c>
      <c r="G99" t="s">
        <v>3063</v>
      </c>
      <c r="H99" t="s">
        <v>3064</v>
      </c>
      <c r="I99" t="s">
        <v>3065</v>
      </c>
    </row>
    <row r="100" spans="1:9" x14ac:dyDescent="0.35">
      <c r="A100" t="s">
        <v>3066</v>
      </c>
      <c r="B100" t="s">
        <v>3067</v>
      </c>
      <c r="C100" t="s">
        <v>3068</v>
      </c>
      <c r="D100" t="s">
        <v>654</v>
      </c>
      <c r="E100" t="s">
        <v>3069</v>
      </c>
      <c r="F100" t="s">
        <v>3070</v>
      </c>
      <c r="G100" t="s">
        <v>3071</v>
      </c>
      <c r="H100" t="s">
        <v>3072</v>
      </c>
      <c r="I100" t="s">
        <v>3073</v>
      </c>
    </row>
    <row r="101" spans="1:9" x14ac:dyDescent="0.35">
      <c r="A101" t="s">
        <v>3074</v>
      </c>
      <c r="B101" t="s">
        <v>3075</v>
      </c>
      <c r="C101" t="s">
        <v>3076</v>
      </c>
      <c r="D101" t="s">
        <v>615</v>
      </c>
      <c r="E101" t="s">
        <v>3077</v>
      </c>
      <c r="F101" t="s">
        <v>3078</v>
      </c>
      <c r="G101" t="s">
        <v>3079</v>
      </c>
      <c r="H101" t="s">
        <v>3080</v>
      </c>
      <c r="I101" t="s">
        <v>3081</v>
      </c>
    </row>
    <row r="102" spans="1:9" x14ac:dyDescent="0.35">
      <c r="A102" t="s">
        <v>3082</v>
      </c>
      <c r="B102" t="s">
        <v>3083</v>
      </c>
      <c r="C102" t="s">
        <v>3084</v>
      </c>
      <c r="D102" t="s">
        <v>641</v>
      </c>
      <c r="E102" t="s">
        <v>3085</v>
      </c>
      <c r="F102" t="s">
        <v>3086</v>
      </c>
      <c r="G102" t="s">
        <v>3087</v>
      </c>
      <c r="H102" t="s">
        <v>3088</v>
      </c>
      <c r="I102" t="s">
        <v>3089</v>
      </c>
    </row>
    <row r="103" spans="1:9" x14ac:dyDescent="0.35">
      <c r="A103" t="s">
        <v>3090</v>
      </c>
      <c r="B103" t="s">
        <v>3091</v>
      </c>
      <c r="C103" t="s">
        <v>3092</v>
      </c>
      <c r="D103" t="s">
        <v>611</v>
      </c>
      <c r="E103" t="s">
        <v>3093</v>
      </c>
      <c r="F103" t="s">
        <v>3094</v>
      </c>
      <c r="G103" t="s">
        <v>3095</v>
      </c>
      <c r="H103" t="s">
        <v>3096</v>
      </c>
      <c r="I103" t="s">
        <v>3097</v>
      </c>
    </row>
    <row r="104" spans="1:9" x14ac:dyDescent="0.35">
      <c r="A104" t="s">
        <v>3098</v>
      </c>
      <c r="B104" t="s">
        <v>3099</v>
      </c>
      <c r="C104" t="s">
        <v>3100</v>
      </c>
      <c r="D104" t="s">
        <v>650</v>
      </c>
      <c r="E104" t="s">
        <v>3101</v>
      </c>
      <c r="F104" t="s">
        <v>3102</v>
      </c>
      <c r="G104" t="s">
        <v>3103</v>
      </c>
      <c r="H104" t="s">
        <v>3104</v>
      </c>
      <c r="I104" t="s">
        <v>3105</v>
      </c>
    </row>
    <row r="105" spans="1:9" x14ac:dyDescent="0.35">
      <c r="A105" t="s">
        <v>3106</v>
      </c>
      <c r="B105" t="s">
        <v>3107</v>
      </c>
      <c r="C105" t="s">
        <v>3108</v>
      </c>
      <c r="D105" t="s">
        <v>620</v>
      </c>
      <c r="E105" t="s">
        <v>3109</v>
      </c>
      <c r="F105" t="s">
        <v>3110</v>
      </c>
      <c r="G105" t="s">
        <v>3111</v>
      </c>
      <c r="H105" t="s">
        <v>3112</v>
      </c>
      <c r="I105" t="s">
        <v>3113</v>
      </c>
    </row>
    <row r="106" spans="1:9" x14ac:dyDescent="0.35">
      <c r="A106" t="s">
        <v>3114</v>
      </c>
      <c r="B106" t="s">
        <v>3115</v>
      </c>
      <c r="C106" t="s">
        <v>3116</v>
      </c>
      <c r="D106" t="s">
        <v>638</v>
      </c>
      <c r="E106" t="s">
        <v>3117</v>
      </c>
      <c r="F106" t="s">
        <v>3118</v>
      </c>
      <c r="G106" t="s">
        <v>3119</v>
      </c>
      <c r="H106" t="s">
        <v>3120</v>
      </c>
      <c r="I106" t="s">
        <v>3121</v>
      </c>
    </row>
    <row r="107" spans="1:9" x14ac:dyDescent="0.35">
      <c r="A107" t="s">
        <v>3122</v>
      </c>
      <c r="B107" t="s">
        <v>3123</v>
      </c>
      <c r="C107" t="s">
        <v>3124</v>
      </c>
      <c r="D107" t="s">
        <v>599</v>
      </c>
      <c r="E107" t="s">
        <v>3125</v>
      </c>
      <c r="F107" t="s">
        <v>3126</v>
      </c>
      <c r="G107" t="s">
        <v>3127</v>
      </c>
      <c r="H107" t="s">
        <v>3128</v>
      </c>
      <c r="I107" t="s">
        <v>3129</v>
      </c>
    </row>
    <row r="108" spans="1:9" x14ac:dyDescent="0.35">
      <c r="A108" t="s">
        <v>3130</v>
      </c>
      <c r="B108" t="s">
        <v>3131</v>
      </c>
      <c r="C108" t="s">
        <v>3132</v>
      </c>
      <c r="D108" t="s">
        <v>634</v>
      </c>
      <c r="E108" t="s">
        <v>3133</v>
      </c>
      <c r="F108" t="s">
        <v>3134</v>
      </c>
      <c r="G108" t="s">
        <v>3135</v>
      </c>
      <c r="H108" t="s">
        <v>3136</v>
      </c>
      <c r="I108" t="s">
        <v>3137</v>
      </c>
    </row>
    <row r="109" spans="1:9" x14ac:dyDescent="0.35">
      <c r="A109" t="s">
        <v>3138</v>
      </c>
      <c r="B109" t="s">
        <v>3139</v>
      </c>
      <c r="C109" t="s">
        <v>3140</v>
      </c>
      <c r="D109" t="s">
        <v>658</v>
      </c>
      <c r="E109" t="s">
        <v>3141</v>
      </c>
      <c r="F109" t="s">
        <v>3142</v>
      </c>
      <c r="G109" t="s">
        <v>3143</v>
      </c>
      <c r="H109" t="s">
        <v>3144</v>
      </c>
      <c r="I109" t="s">
        <v>3145</v>
      </c>
    </row>
    <row r="110" spans="1:9" x14ac:dyDescent="0.35">
      <c r="A110" t="s">
        <v>3146</v>
      </c>
      <c r="B110" t="s">
        <v>3147</v>
      </c>
      <c r="C110" t="s">
        <v>3148</v>
      </c>
      <c r="D110" t="s">
        <v>621</v>
      </c>
      <c r="E110" t="s">
        <v>3149</v>
      </c>
      <c r="F110" t="s">
        <v>3150</v>
      </c>
      <c r="G110" t="s">
        <v>3151</v>
      </c>
      <c r="H110" t="s">
        <v>3152</v>
      </c>
      <c r="I110" t="s">
        <v>3153</v>
      </c>
    </row>
    <row r="111" spans="1:9" x14ac:dyDescent="0.35">
      <c r="A111" t="s">
        <v>3154</v>
      </c>
      <c r="B111" t="s">
        <v>3155</v>
      </c>
      <c r="C111" t="s">
        <v>3156</v>
      </c>
      <c r="D111" t="s">
        <v>606</v>
      </c>
      <c r="E111" t="s">
        <v>3157</v>
      </c>
      <c r="F111" t="s">
        <v>3158</v>
      </c>
      <c r="G111" t="s">
        <v>3159</v>
      </c>
      <c r="H111" t="s">
        <v>3160</v>
      </c>
    </row>
    <row r="112" spans="1:9" x14ac:dyDescent="0.35">
      <c r="A112" t="s">
        <v>3161</v>
      </c>
      <c r="B112" t="s">
        <v>3162</v>
      </c>
      <c r="C112" t="s">
        <v>3163</v>
      </c>
      <c r="D112" t="s">
        <v>660</v>
      </c>
      <c r="E112" t="s">
        <v>3164</v>
      </c>
      <c r="F112" t="s">
        <v>3165</v>
      </c>
      <c r="G112" t="s">
        <v>3166</v>
      </c>
      <c r="H112" t="s">
        <v>3167</v>
      </c>
    </row>
    <row r="113" spans="1:8" x14ac:dyDescent="0.35">
      <c r="A113" t="s">
        <v>3168</v>
      </c>
      <c r="B113" t="s">
        <v>3169</v>
      </c>
      <c r="C113" t="s">
        <v>3170</v>
      </c>
      <c r="D113" t="s">
        <v>631</v>
      </c>
      <c r="E113" t="s">
        <v>3171</v>
      </c>
      <c r="F113" t="s">
        <v>3172</v>
      </c>
      <c r="G113" t="s">
        <v>3173</v>
      </c>
      <c r="H113" t="s">
        <v>3174</v>
      </c>
    </row>
    <row r="114" spans="1:8" x14ac:dyDescent="0.35">
      <c r="A114" t="s">
        <v>3175</v>
      </c>
      <c r="B114" t="s">
        <v>3176</v>
      </c>
      <c r="C114" t="s">
        <v>3177</v>
      </c>
      <c r="D114" t="s">
        <v>585</v>
      </c>
      <c r="E114" t="s">
        <v>3178</v>
      </c>
      <c r="F114" t="s">
        <v>3179</v>
      </c>
      <c r="G114" t="s">
        <v>3180</v>
      </c>
      <c r="H114" t="s">
        <v>3181</v>
      </c>
    </row>
    <row r="115" spans="1:8" x14ac:dyDescent="0.35">
      <c r="A115" t="s">
        <v>3182</v>
      </c>
      <c r="B115" t="s">
        <v>3183</v>
      </c>
      <c r="C115" t="s">
        <v>3184</v>
      </c>
      <c r="D115" t="s">
        <v>623</v>
      </c>
      <c r="E115" t="s">
        <v>3185</v>
      </c>
      <c r="F115" t="s">
        <v>3186</v>
      </c>
      <c r="G115" t="s">
        <v>3187</v>
      </c>
      <c r="H115" t="s">
        <v>3188</v>
      </c>
    </row>
    <row r="116" spans="1:8" x14ac:dyDescent="0.35">
      <c r="A116" t="s">
        <v>3189</v>
      </c>
      <c r="B116" t="s">
        <v>3190</v>
      </c>
      <c r="C116" t="s">
        <v>3191</v>
      </c>
      <c r="D116" t="s">
        <v>597</v>
      </c>
      <c r="E116" t="s">
        <v>3192</v>
      </c>
      <c r="F116" t="s">
        <v>3193</v>
      </c>
      <c r="G116" t="s">
        <v>3194</v>
      </c>
      <c r="H116" t="s">
        <v>3195</v>
      </c>
    </row>
    <row r="117" spans="1:8" x14ac:dyDescent="0.35">
      <c r="A117" t="s">
        <v>3196</v>
      </c>
      <c r="B117" t="s">
        <v>3197</v>
      </c>
      <c r="C117" t="s">
        <v>3198</v>
      </c>
      <c r="D117" t="s">
        <v>635</v>
      </c>
      <c r="E117" t="s">
        <v>3199</v>
      </c>
      <c r="F117" t="s">
        <v>3200</v>
      </c>
      <c r="G117" t="s">
        <v>3201</v>
      </c>
      <c r="H117" t="s">
        <v>3202</v>
      </c>
    </row>
    <row r="118" spans="1:8" x14ac:dyDescent="0.35">
      <c r="A118" t="s">
        <v>3203</v>
      </c>
      <c r="B118" t="s">
        <v>3204</v>
      </c>
      <c r="C118" t="s">
        <v>3205</v>
      </c>
      <c r="D118" t="s">
        <v>640</v>
      </c>
      <c r="E118" t="s">
        <v>3206</v>
      </c>
      <c r="F118" t="s">
        <v>3207</v>
      </c>
      <c r="G118" t="s">
        <v>3208</v>
      </c>
      <c r="H118" t="s">
        <v>3209</v>
      </c>
    </row>
    <row r="119" spans="1:8" x14ac:dyDescent="0.35">
      <c r="A119" t="s">
        <v>3210</v>
      </c>
      <c r="B119" t="s">
        <v>3211</v>
      </c>
      <c r="C119" t="s">
        <v>3212</v>
      </c>
      <c r="D119" t="s">
        <v>661</v>
      </c>
      <c r="E119" t="s">
        <v>3213</v>
      </c>
      <c r="F119" t="s">
        <v>3214</v>
      </c>
      <c r="G119" t="s">
        <v>3215</v>
      </c>
      <c r="H119" t="s">
        <v>3216</v>
      </c>
    </row>
    <row r="120" spans="1:8" x14ac:dyDescent="0.35">
      <c r="A120" t="s">
        <v>3217</v>
      </c>
      <c r="B120" t="s">
        <v>3218</v>
      </c>
      <c r="C120" t="s">
        <v>3219</v>
      </c>
      <c r="D120" t="s">
        <v>583</v>
      </c>
      <c r="E120" t="s">
        <v>3220</v>
      </c>
      <c r="F120" t="s">
        <v>3221</v>
      </c>
      <c r="G120" t="s">
        <v>3222</v>
      </c>
      <c r="H120" t="s">
        <v>3223</v>
      </c>
    </row>
    <row r="121" spans="1:8" x14ac:dyDescent="0.35">
      <c r="A121" t="s">
        <v>3224</v>
      </c>
      <c r="B121" t="s">
        <v>3225</v>
      </c>
      <c r="C121" t="s">
        <v>3226</v>
      </c>
      <c r="D121" t="s">
        <v>636</v>
      </c>
      <c r="E121" t="s">
        <v>3227</v>
      </c>
      <c r="F121" t="s">
        <v>3228</v>
      </c>
      <c r="G121" t="s">
        <v>3229</v>
      </c>
      <c r="H121" t="s">
        <v>3230</v>
      </c>
    </row>
    <row r="122" spans="1:8" x14ac:dyDescent="0.35">
      <c r="A122" t="s">
        <v>3231</v>
      </c>
      <c r="B122" t="s">
        <v>3232</v>
      </c>
      <c r="C122" t="s">
        <v>3233</v>
      </c>
      <c r="D122" t="s">
        <v>626</v>
      </c>
      <c r="E122" t="s">
        <v>3234</v>
      </c>
      <c r="F122" t="s">
        <v>3235</v>
      </c>
      <c r="G122" t="s">
        <v>3236</v>
      </c>
      <c r="H122" t="s">
        <v>3237</v>
      </c>
    </row>
    <row r="123" spans="1:8" x14ac:dyDescent="0.35">
      <c r="A123" t="s">
        <v>3238</v>
      </c>
      <c r="B123" t="s">
        <v>3239</v>
      </c>
      <c r="C123" t="s">
        <v>3240</v>
      </c>
      <c r="D123" t="s">
        <v>669</v>
      </c>
      <c r="E123" t="s">
        <v>3241</v>
      </c>
      <c r="F123" t="s">
        <v>3242</v>
      </c>
      <c r="G123" t="s">
        <v>3243</v>
      </c>
      <c r="H123" t="s">
        <v>3244</v>
      </c>
    </row>
    <row r="124" spans="1:8" x14ac:dyDescent="0.35">
      <c r="A124" t="s">
        <v>3245</v>
      </c>
      <c r="B124" t="s">
        <v>3246</v>
      </c>
      <c r="C124" t="s">
        <v>3247</v>
      </c>
      <c r="D124" t="s">
        <v>644</v>
      </c>
      <c r="E124" t="s">
        <v>3248</v>
      </c>
      <c r="F124" t="s">
        <v>3249</v>
      </c>
      <c r="G124" t="s">
        <v>3250</v>
      </c>
      <c r="H124" t="s">
        <v>3251</v>
      </c>
    </row>
    <row r="125" spans="1:8" x14ac:dyDescent="0.35">
      <c r="A125" t="s">
        <v>3252</v>
      </c>
      <c r="B125" t="s">
        <v>3253</v>
      </c>
      <c r="C125" t="s">
        <v>3254</v>
      </c>
      <c r="D125" t="s">
        <v>645</v>
      </c>
      <c r="E125" t="s">
        <v>3255</v>
      </c>
      <c r="F125" t="s">
        <v>3256</v>
      </c>
      <c r="G125" t="s">
        <v>3257</v>
      </c>
      <c r="H125" t="s">
        <v>3258</v>
      </c>
    </row>
    <row r="126" spans="1:8" x14ac:dyDescent="0.35">
      <c r="A126" t="s">
        <v>3047</v>
      </c>
      <c r="B126" t="s">
        <v>3259</v>
      </c>
      <c r="C126" t="s">
        <v>3260</v>
      </c>
      <c r="D126" t="s">
        <v>629</v>
      </c>
      <c r="E126" t="s">
        <v>3261</v>
      </c>
      <c r="F126" t="s">
        <v>3262</v>
      </c>
      <c r="G126" t="s">
        <v>3263</v>
      </c>
      <c r="H126" t="s">
        <v>3264</v>
      </c>
    </row>
    <row r="127" spans="1:8" x14ac:dyDescent="0.35">
      <c r="A127" t="s">
        <v>3265</v>
      </c>
      <c r="B127" t="s">
        <v>3266</v>
      </c>
      <c r="C127" t="s">
        <v>3267</v>
      </c>
      <c r="D127" t="s">
        <v>652</v>
      </c>
      <c r="E127" t="s">
        <v>3268</v>
      </c>
      <c r="F127" t="s">
        <v>3269</v>
      </c>
      <c r="G127" t="s">
        <v>3270</v>
      </c>
      <c r="H127" t="s">
        <v>3271</v>
      </c>
    </row>
    <row r="128" spans="1:8" x14ac:dyDescent="0.35">
      <c r="A128" t="s">
        <v>3272</v>
      </c>
      <c r="B128" t="s">
        <v>3273</v>
      </c>
      <c r="C128" t="s">
        <v>3274</v>
      </c>
      <c r="D128" t="s">
        <v>609</v>
      </c>
      <c r="E128" t="s">
        <v>3275</v>
      </c>
      <c r="F128" t="s">
        <v>3276</v>
      </c>
      <c r="G128" t="s">
        <v>3277</v>
      </c>
      <c r="H128" t="s">
        <v>3278</v>
      </c>
    </row>
    <row r="129" spans="1:8" x14ac:dyDescent="0.35">
      <c r="A129" t="s">
        <v>3023</v>
      </c>
      <c r="B129" t="s">
        <v>3279</v>
      </c>
      <c r="C129" t="s">
        <v>3280</v>
      </c>
      <c r="D129" t="s">
        <v>622</v>
      </c>
      <c r="E129" t="s">
        <v>3281</v>
      </c>
      <c r="F129" t="s">
        <v>3282</v>
      </c>
      <c r="G129" t="s">
        <v>3283</v>
      </c>
      <c r="H129" t="s">
        <v>3284</v>
      </c>
    </row>
    <row r="130" spans="1:8" x14ac:dyDescent="0.35">
      <c r="A130" t="s">
        <v>3285</v>
      </c>
      <c r="B130" t="s">
        <v>3286</v>
      </c>
      <c r="C130" t="s">
        <v>3287</v>
      </c>
      <c r="D130" t="s">
        <v>617</v>
      </c>
      <c r="E130" t="s">
        <v>3288</v>
      </c>
      <c r="F130" t="s">
        <v>3289</v>
      </c>
      <c r="G130" t="s">
        <v>3290</v>
      </c>
      <c r="H130" t="s">
        <v>3291</v>
      </c>
    </row>
    <row r="131" spans="1:8" x14ac:dyDescent="0.35">
      <c r="A131" t="s">
        <v>3292</v>
      </c>
      <c r="B131" t="s">
        <v>3293</v>
      </c>
      <c r="C131" t="s">
        <v>3294</v>
      </c>
      <c r="D131" t="s">
        <v>646</v>
      </c>
      <c r="E131" t="s">
        <v>3295</v>
      </c>
      <c r="F131" t="s">
        <v>3296</v>
      </c>
      <c r="G131" t="s">
        <v>3297</v>
      </c>
      <c r="H131" t="s">
        <v>3298</v>
      </c>
    </row>
    <row r="132" spans="1:8" x14ac:dyDescent="0.35">
      <c r="A132" t="s">
        <v>3299</v>
      </c>
      <c r="B132" t="s">
        <v>3300</v>
      </c>
      <c r="C132" t="s">
        <v>3301</v>
      </c>
      <c r="D132" t="s">
        <v>655</v>
      </c>
      <c r="E132" t="s">
        <v>3302</v>
      </c>
      <c r="F132" t="s">
        <v>3303</v>
      </c>
      <c r="G132" t="s">
        <v>3304</v>
      </c>
      <c r="H132" t="s">
        <v>3305</v>
      </c>
    </row>
    <row r="133" spans="1:8" x14ac:dyDescent="0.35">
      <c r="A133" t="s">
        <v>3306</v>
      </c>
      <c r="B133" t="s">
        <v>3307</v>
      </c>
      <c r="C133" t="s">
        <v>3308</v>
      </c>
      <c r="D133" t="s">
        <v>603</v>
      </c>
      <c r="E133" t="s">
        <v>3309</v>
      </c>
      <c r="F133" t="s">
        <v>3310</v>
      </c>
      <c r="G133" t="s">
        <v>3311</v>
      </c>
      <c r="H133" t="s">
        <v>3312</v>
      </c>
    </row>
    <row r="134" spans="1:8" x14ac:dyDescent="0.35">
      <c r="A134" t="s">
        <v>3313</v>
      </c>
      <c r="B134" t="s">
        <v>3314</v>
      </c>
      <c r="C134" t="s">
        <v>3315</v>
      </c>
      <c r="D134" t="s">
        <v>666</v>
      </c>
      <c r="E134" t="s">
        <v>3316</v>
      </c>
      <c r="F134" t="s">
        <v>3317</v>
      </c>
      <c r="G134" t="s">
        <v>3318</v>
      </c>
      <c r="H134" t="s">
        <v>3319</v>
      </c>
    </row>
    <row r="135" spans="1:8" x14ac:dyDescent="0.35">
      <c r="A135" t="s">
        <v>3320</v>
      </c>
      <c r="B135" t="s">
        <v>3321</v>
      </c>
      <c r="C135" t="s">
        <v>3322</v>
      </c>
      <c r="D135" t="s">
        <v>656</v>
      </c>
      <c r="E135" t="s">
        <v>3323</v>
      </c>
      <c r="F135" t="s">
        <v>3324</v>
      </c>
      <c r="G135" t="s">
        <v>3325</v>
      </c>
      <c r="H135" t="s">
        <v>3326</v>
      </c>
    </row>
    <row r="136" spans="1:8" x14ac:dyDescent="0.35">
      <c r="A136" t="s">
        <v>3327</v>
      </c>
      <c r="B136" t="s">
        <v>3328</v>
      </c>
      <c r="C136" t="s">
        <v>3329</v>
      </c>
      <c r="D136" t="s">
        <v>613</v>
      </c>
      <c r="E136" t="s">
        <v>3330</v>
      </c>
      <c r="F136" t="s">
        <v>3331</v>
      </c>
      <c r="G136" t="s">
        <v>3332</v>
      </c>
      <c r="H136" t="s">
        <v>3333</v>
      </c>
    </row>
    <row r="137" spans="1:8" x14ac:dyDescent="0.35">
      <c r="A137" t="s">
        <v>3334</v>
      </c>
      <c r="B137" t="s">
        <v>3335</v>
      </c>
      <c r="C137" t="s">
        <v>3336</v>
      </c>
      <c r="D137" t="s">
        <v>653</v>
      </c>
      <c r="E137" t="s">
        <v>3337</v>
      </c>
      <c r="F137" t="s">
        <v>3338</v>
      </c>
      <c r="G137" t="s">
        <v>3339</v>
      </c>
      <c r="H137" t="s">
        <v>3340</v>
      </c>
    </row>
    <row r="138" spans="1:8" x14ac:dyDescent="0.35">
      <c r="A138" t="s">
        <v>3341</v>
      </c>
      <c r="B138" t="s">
        <v>3342</v>
      </c>
      <c r="C138" t="s">
        <v>3343</v>
      </c>
      <c r="D138" t="s">
        <v>591</v>
      </c>
      <c r="E138" t="s">
        <v>3344</v>
      </c>
      <c r="F138" t="s">
        <v>3345</v>
      </c>
      <c r="G138" t="s">
        <v>3346</v>
      </c>
      <c r="H138" t="s">
        <v>3347</v>
      </c>
    </row>
    <row r="139" spans="1:8" x14ac:dyDescent="0.35">
      <c r="A139" t="s">
        <v>3348</v>
      </c>
      <c r="B139" t="s">
        <v>3349</v>
      </c>
      <c r="C139" t="s">
        <v>3350</v>
      </c>
      <c r="D139" t="s">
        <v>601</v>
      </c>
      <c r="E139" t="s">
        <v>3351</v>
      </c>
      <c r="F139" t="s">
        <v>3352</v>
      </c>
      <c r="G139" t="s">
        <v>3353</v>
      </c>
      <c r="H139" t="s">
        <v>3354</v>
      </c>
    </row>
    <row r="140" spans="1:8" x14ac:dyDescent="0.35">
      <c r="A140" t="s">
        <v>3355</v>
      </c>
      <c r="B140" t="s">
        <v>3356</v>
      </c>
      <c r="C140" t="s">
        <v>3357</v>
      </c>
      <c r="D140" t="s">
        <v>627</v>
      </c>
      <c r="E140" t="s">
        <v>3358</v>
      </c>
      <c r="F140" t="s">
        <v>3359</v>
      </c>
      <c r="G140" t="s">
        <v>3360</v>
      </c>
      <c r="H140" t="s">
        <v>3361</v>
      </c>
    </row>
    <row r="141" spans="1:8" x14ac:dyDescent="0.35">
      <c r="A141" t="s">
        <v>3362</v>
      </c>
      <c r="B141" t="s">
        <v>3363</v>
      </c>
      <c r="C141" t="s">
        <v>3364</v>
      </c>
      <c r="D141" t="s">
        <v>588</v>
      </c>
      <c r="E141" t="s">
        <v>3365</v>
      </c>
      <c r="F141" t="s">
        <v>3366</v>
      </c>
      <c r="G141" t="s">
        <v>3367</v>
      </c>
    </row>
    <row r="142" spans="1:8" x14ac:dyDescent="0.35">
      <c r="A142" t="s">
        <v>3368</v>
      </c>
      <c r="B142" t="s">
        <v>3369</v>
      </c>
      <c r="C142" t="s">
        <v>3370</v>
      </c>
      <c r="D142" t="s">
        <v>633</v>
      </c>
      <c r="E142" t="s">
        <v>3371</v>
      </c>
      <c r="F142" t="s">
        <v>3372</v>
      </c>
      <c r="G142" t="s">
        <v>3373</v>
      </c>
    </row>
    <row r="143" spans="1:8" x14ac:dyDescent="0.35">
      <c r="A143" t="s">
        <v>3374</v>
      </c>
      <c r="B143" t="s">
        <v>3375</v>
      </c>
      <c r="C143" t="s">
        <v>3376</v>
      </c>
      <c r="D143" t="s">
        <v>618</v>
      </c>
      <c r="E143" t="s">
        <v>3377</v>
      </c>
      <c r="F143" t="s">
        <v>3378</v>
      </c>
      <c r="G143" t="s">
        <v>3379</v>
      </c>
    </row>
    <row r="144" spans="1:8" x14ac:dyDescent="0.35">
      <c r="A144" t="s">
        <v>3380</v>
      </c>
      <c r="B144" t="s">
        <v>3381</v>
      </c>
      <c r="C144" t="s">
        <v>3382</v>
      </c>
      <c r="D144" t="s">
        <v>589</v>
      </c>
      <c r="E144" t="s">
        <v>3383</v>
      </c>
      <c r="F144" t="s">
        <v>3384</v>
      </c>
      <c r="G144" t="s">
        <v>3385</v>
      </c>
    </row>
    <row r="145" spans="1:7" x14ac:dyDescent="0.35">
      <c r="A145" t="s">
        <v>3386</v>
      </c>
      <c r="B145" t="s">
        <v>3387</v>
      </c>
      <c r="C145" t="s">
        <v>3388</v>
      </c>
      <c r="D145" t="s">
        <v>667</v>
      </c>
      <c r="E145" t="s">
        <v>3389</v>
      </c>
      <c r="F145" t="s">
        <v>3390</v>
      </c>
      <c r="G145" t="s">
        <v>3391</v>
      </c>
    </row>
    <row r="146" spans="1:7" x14ac:dyDescent="0.35">
      <c r="A146" t="s">
        <v>3392</v>
      </c>
      <c r="B146" t="s">
        <v>3393</v>
      </c>
      <c r="C146" t="s">
        <v>3394</v>
      </c>
      <c r="D146" t="s">
        <v>662</v>
      </c>
      <c r="E146" t="s">
        <v>3395</v>
      </c>
      <c r="F146" t="s">
        <v>3396</v>
      </c>
      <c r="G146" t="s">
        <v>3397</v>
      </c>
    </row>
    <row r="147" spans="1:7" x14ac:dyDescent="0.35">
      <c r="A147" t="s">
        <v>3398</v>
      </c>
      <c r="B147" t="s">
        <v>3399</v>
      </c>
      <c r="C147" t="s">
        <v>3400</v>
      </c>
      <c r="D147" t="s">
        <v>593</v>
      </c>
      <c r="E147" t="s">
        <v>3401</v>
      </c>
      <c r="F147" t="s">
        <v>3402</v>
      </c>
      <c r="G147" t="s">
        <v>3403</v>
      </c>
    </row>
    <row r="148" spans="1:7" x14ac:dyDescent="0.35">
      <c r="A148" t="s">
        <v>3404</v>
      </c>
      <c r="B148" t="s">
        <v>3405</v>
      </c>
      <c r="C148" t="s">
        <v>3406</v>
      </c>
      <c r="D148" t="s">
        <v>632</v>
      </c>
      <c r="E148" t="s">
        <v>3407</v>
      </c>
      <c r="F148" t="s">
        <v>3408</v>
      </c>
      <c r="G148" t="s">
        <v>3409</v>
      </c>
    </row>
    <row r="149" spans="1:7" x14ac:dyDescent="0.35">
      <c r="A149" t="s">
        <v>3410</v>
      </c>
      <c r="B149" t="s">
        <v>3411</v>
      </c>
      <c r="C149" t="s">
        <v>3412</v>
      </c>
      <c r="D149" t="s">
        <v>651</v>
      </c>
      <c r="E149" t="s">
        <v>3413</v>
      </c>
      <c r="F149" t="s">
        <v>3414</v>
      </c>
      <c r="G149" t="s">
        <v>3415</v>
      </c>
    </row>
    <row r="150" spans="1:7" x14ac:dyDescent="0.35">
      <c r="A150" t="s">
        <v>3079</v>
      </c>
      <c r="B150" t="s">
        <v>3416</v>
      </c>
      <c r="C150" t="s">
        <v>3417</v>
      </c>
      <c r="D150" t="s">
        <v>586</v>
      </c>
      <c r="E150" t="s">
        <v>3418</v>
      </c>
      <c r="F150" t="s">
        <v>3419</v>
      </c>
      <c r="G150" t="s">
        <v>3420</v>
      </c>
    </row>
    <row r="151" spans="1:7" x14ac:dyDescent="0.35">
      <c r="A151" t="s">
        <v>3421</v>
      </c>
      <c r="B151" t="s">
        <v>3422</v>
      </c>
      <c r="C151" t="s">
        <v>3423</v>
      </c>
      <c r="D151" t="s">
        <v>628</v>
      </c>
      <c r="E151" t="s">
        <v>3424</v>
      </c>
      <c r="F151" t="s">
        <v>3425</v>
      </c>
      <c r="G151" t="s">
        <v>3426</v>
      </c>
    </row>
    <row r="152" spans="1:7" x14ac:dyDescent="0.35">
      <c r="A152" t="s">
        <v>3427</v>
      </c>
      <c r="B152" t="s">
        <v>3428</v>
      </c>
      <c r="C152" t="s">
        <v>3429</v>
      </c>
      <c r="D152" t="s">
        <v>610</v>
      </c>
      <c r="E152" t="s">
        <v>3430</v>
      </c>
      <c r="F152" t="s">
        <v>3431</v>
      </c>
      <c r="G152" t="s">
        <v>3432</v>
      </c>
    </row>
    <row r="153" spans="1:7" x14ac:dyDescent="0.35">
      <c r="A153" t="s">
        <v>3433</v>
      </c>
      <c r="B153" t="s">
        <v>3434</v>
      </c>
      <c r="C153" t="s">
        <v>3435</v>
      </c>
      <c r="D153" t="s">
        <v>596</v>
      </c>
      <c r="E153" t="s">
        <v>3436</v>
      </c>
      <c r="F153" t="s">
        <v>3437</v>
      </c>
      <c r="G153" t="s">
        <v>3438</v>
      </c>
    </row>
    <row r="154" spans="1:7" x14ac:dyDescent="0.35">
      <c r="A154" t="s">
        <v>3439</v>
      </c>
      <c r="B154" t="s">
        <v>3440</v>
      </c>
      <c r="C154" t="s">
        <v>3441</v>
      </c>
      <c r="D154" t="s">
        <v>665</v>
      </c>
      <c r="E154" t="s">
        <v>3442</v>
      </c>
      <c r="F154" t="s">
        <v>3443</v>
      </c>
      <c r="G154" t="s">
        <v>3444</v>
      </c>
    </row>
    <row r="155" spans="1:7" x14ac:dyDescent="0.35">
      <c r="A155" t="s">
        <v>3445</v>
      </c>
      <c r="B155" t="s">
        <v>3446</v>
      </c>
      <c r="C155" t="s">
        <v>3447</v>
      </c>
      <c r="D155" t="s">
        <v>624</v>
      </c>
      <c r="E155" t="s">
        <v>3448</v>
      </c>
      <c r="F155" t="s">
        <v>3449</v>
      </c>
      <c r="G155" t="s">
        <v>3450</v>
      </c>
    </row>
    <row r="156" spans="1:7" x14ac:dyDescent="0.35">
      <c r="A156" t="s">
        <v>3451</v>
      </c>
      <c r="B156" t="s">
        <v>3452</v>
      </c>
      <c r="C156" t="s">
        <v>3453</v>
      </c>
      <c r="D156" t="s">
        <v>664</v>
      </c>
      <c r="E156" t="s">
        <v>3454</v>
      </c>
      <c r="F156" t="s">
        <v>3455</v>
      </c>
    </row>
    <row r="157" spans="1:7" x14ac:dyDescent="0.35">
      <c r="A157" t="s">
        <v>3456</v>
      </c>
      <c r="B157" t="s">
        <v>3457</v>
      </c>
      <c r="C157" t="s">
        <v>3458</v>
      </c>
      <c r="D157" t="s">
        <v>649</v>
      </c>
      <c r="E157" t="s">
        <v>3459</v>
      </c>
      <c r="F157" t="s">
        <v>3460</v>
      </c>
    </row>
    <row r="158" spans="1:7" x14ac:dyDescent="0.35">
      <c r="A158" t="s">
        <v>3461</v>
      </c>
      <c r="B158" t="s">
        <v>3462</v>
      </c>
      <c r="C158" t="s">
        <v>3463</v>
      </c>
      <c r="D158" t="s">
        <v>602</v>
      </c>
      <c r="E158" t="s">
        <v>3464</v>
      </c>
      <c r="F158" t="s">
        <v>3465</v>
      </c>
    </row>
    <row r="159" spans="1:7" x14ac:dyDescent="0.35">
      <c r="A159" t="s">
        <v>3466</v>
      </c>
      <c r="B159" t="s">
        <v>3467</v>
      </c>
      <c r="C159" t="s">
        <v>3468</v>
      </c>
      <c r="D159" t="s">
        <v>657</v>
      </c>
      <c r="E159" t="s">
        <v>3469</v>
      </c>
      <c r="F159" t="s">
        <v>3470</v>
      </c>
    </row>
    <row r="160" spans="1:7" x14ac:dyDescent="0.35">
      <c r="A160" t="s">
        <v>3471</v>
      </c>
      <c r="B160" t="s">
        <v>3472</v>
      </c>
      <c r="C160" t="s">
        <v>3473</v>
      </c>
      <c r="D160" t="s">
        <v>643</v>
      </c>
      <c r="E160" t="s">
        <v>3474</v>
      </c>
      <c r="F160" t="s">
        <v>3475</v>
      </c>
    </row>
    <row r="161" spans="1:5" x14ac:dyDescent="0.35">
      <c r="A161" t="s">
        <v>3476</v>
      </c>
      <c r="B161" t="s">
        <v>3477</v>
      </c>
      <c r="C161" t="s">
        <v>3478</v>
      </c>
      <c r="D161" t="s">
        <v>587</v>
      </c>
      <c r="E161" t="s">
        <v>3479</v>
      </c>
    </row>
    <row r="162" spans="1:5" x14ac:dyDescent="0.35">
      <c r="A162" t="s">
        <v>3480</v>
      </c>
      <c r="B162" t="s">
        <v>3481</v>
      </c>
      <c r="C162" t="s">
        <v>3482</v>
      </c>
      <c r="D162" t="s">
        <v>625</v>
      </c>
      <c r="E162" t="s">
        <v>3483</v>
      </c>
    </row>
    <row r="163" spans="1:5" x14ac:dyDescent="0.35">
      <c r="A163" t="s">
        <v>3484</v>
      </c>
      <c r="B163" t="s">
        <v>3485</v>
      </c>
      <c r="C163" t="s">
        <v>3486</v>
      </c>
      <c r="D163" t="s">
        <v>639</v>
      </c>
      <c r="E163" t="s">
        <v>3487</v>
      </c>
    </row>
    <row r="164" spans="1:5" x14ac:dyDescent="0.35">
      <c r="A164" t="s">
        <v>3488</v>
      </c>
      <c r="B164" t="s">
        <v>3489</v>
      </c>
      <c r="C164" t="s">
        <v>3490</v>
      </c>
      <c r="D164" t="s">
        <v>668</v>
      </c>
      <c r="E164" t="s">
        <v>3491</v>
      </c>
    </row>
    <row r="165" spans="1:5" x14ac:dyDescent="0.35">
      <c r="A165" t="s">
        <v>3492</v>
      </c>
      <c r="B165" t="s">
        <v>3493</v>
      </c>
      <c r="C165" t="s">
        <v>3494</v>
      </c>
      <c r="D165" t="s">
        <v>619</v>
      </c>
      <c r="E165" t="s">
        <v>3495</v>
      </c>
    </row>
    <row r="166" spans="1:5" x14ac:dyDescent="0.35">
      <c r="A166" t="s">
        <v>3496</v>
      </c>
      <c r="B166" t="s">
        <v>3497</v>
      </c>
      <c r="C166" t="s">
        <v>3498</v>
      </c>
      <c r="D166" t="s">
        <v>584</v>
      </c>
    </row>
    <row r="167" spans="1:5" x14ac:dyDescent="0.35">
      <c r="A167" t="s">
        <v>3499</v>
      </c>
      <c r="B167" t="s">
        <v>3500</v>
      </c>
      <c r="C167" t="s">
        <v>3501</v>
      </c>
      <c r="D167" t="s">
        <v>659</v>
      </c>
    </row>
    <row r="168" spans="1:5" x14ac:dyDescent="0.35">
      <c r="A168" t="s">
        <v>3502</v>
      </c>
      <c r="B168" t="s">
        <v>3503</v>
      </c>
      <c r="C168" t="s">
        <v>3504</v>
      </c>
    </row>
    <row r="169" spans="1:5" x14ac:dyDescent="0.35">
      <c r="A169" t="s">
        <v>3505</v>
      </c>
      <c r="B169" t="s">
        <v>3506</v>
      </c>
      <c r="C169" t="s">
        <v>3507</v>
      </c>
    </row>
    <row r="170" spans="1:5" x14ac:dyDescent="0.35">
      <c r="A170" t="s">
        <v>3508</v>
      </c>
      <c r="B170" t="s">
        <v>3509</v>
      </c>
      <c r="C170" t="s">
        <v>3510</v>
      </c>
    </row>
    <row r="171" spans="1:5" x14ac:dyDescent="0.35">
      <c r="A171" t="s">
        <v>3511</v>
      </c>
      <c r="B171" t="s">
        <v>3512</v>
      </c>
      <c r="C171" t="s">
        <v>3513</v>
      </c>
    </row>
    <row r="172" spans="1:5" x14ac:dyDescent="0.35">
      <c r="A172" t="s">
        <v>3514</v>
      </c>
      <c r="B172" t="s">
        <v>3515</v>
      </c>
      <c r="C172" t="s">
        <v>3516</v>
      </c>
    </row>
    <row r="173" spans="1:5" x14ac:dyDescent="0.35">
      <c r="A173" t="s">
        <v>3517</v>
      </c>
      <c r="B173" t="s">
        <v>3518</v>
      </c>
      <c r="C173" t="s">
        <v>3519</v>
      </c>
    </row>
    <row r="174" spans="1:5" x14ac:dyDescent="0.35">
      <c r="A174" t="s">
        <v>3520</v>
      </c>
      <c r="B174" t="s">
        <v>3521</v>
      </c>
      <c r="C174" t="s">
        <v>3522</v>
      </c>
    </row>
    <row r="175" spans="1:5" x14ac:dyDescent="0.35">
      <c r="A175" t="s">
        <v>3523</v>
      </c>
      <c r="B175" t="s">
        <v>3524</v>
      </c>
      <c r="C175" t="s">
        <v>3525</v>
      </c>
    </row>
    <row r="176" spans="1:5" x14ac:dyDescent="0.35">
      <c r="A176" t="s">
        <v>3526</v>
      </c>
      <c r="B176" t="s">
        <v>3527</v>
      </c>
      <c r="C176" t="s">
        <v>3528</v>
      </c>
    </row>
    <row r="177" spans="1:3" x14ac:dyDescent="0.35">
      <c r="A177" t="s">
        <v>3529</v>
      </c>
      <c r="B177" t="s">
        <v>3530</v>
      </c>
      <c r="C177" t="s">
        <v>3531</v>
      </c>
    </row>
    <row r="178" spans="1:3" x14ac:dyDescent="0.35">
      <c r="A178" t="s">
        <v>3532</v>
      </c>
      <c r="B178" t="s">
        <v>3533</v>
      </c>
      <c r="C178" t="s">
        <v>3534</v>
      </c>
    </row>
    <row r="179" spans="1:3" x14ac:dyDescent="0.35">
      <c r="A179" t="s">
        <v>3535</v>
      </c>
      <c r="B179" t="s">
        <v>3536</v>
      </c>
      <c r="C179" t="s">
        <v>3537</v>
      </c>
    </row>
    <row r="180" spans="1:3" x14ac:dyDescent="0.35">
      <c r="A180" t="s">
        <v>3151</v>
      </c>
      <c r="B180" t="s">
        <v>3538</v>
      </c>
      <c r="C180" t="s">
        <v>3539</v>
      </c>
    </row>
    <row r="181" spans="1:3" x14ac:dyDescent="0.35">
      <c r="A181" t="s">
        <v>3540</v>
      </c>
      <c r="B181" t="s">
        <v>3541</v>
      </c>
      <c r="C181" t="s">
        <v>3542</v>
      </c>
    </row>
    <row r="182" spans="1:3" x14ac:dyDescent="0.35">
      <c r="A182" t="s">
        <v>3543</v>
      </c>
      <c r="B182" t="s">
        <v>3544</v>
      </c>
      <c r="C182" t="s">
        <v>3545</v>
      </c>
    </row>
    <row r="183" spans="1:3" x14ac:dyDescent="0.35">
      <c r="A183" t="s">
        <v>3159</v>
      </c>
      <c r="B183" t="s">
        <v>3546</v>
      </c>
      <c r="C183" t="s">
        <v>3547</v>
      </c>
    </row>
    <row r="184" spans="1:3" x14ac:dyDescent="0.35">
      <c r="A184" t="s">
        <v>3548</v>
      </c>
      <c r="B184" t="s">
        <v>3549</v>
      </c>
      <c r="C184" t="s">
        <v>3550</v>
      </c>
    </row>
    <row r="185" spans="1:3" x14ac:dyDescent="0.35">
      <c r="A185" t="s">
        <v>3551</v>
      </c>
      <c r="B185" t="s">
        <v>3552</v>
      </c>
      <c r="C185" t="s">
        <v>3553</v>
      </c>
    </row>
    <row r="186" spans="1:3" x14ac:dyDescent="0.35">
      <c r="A186" t="s">
        <v>3554</v>
      </c>
      <c r="B186" t="s">
        <v>3555</v>
      </c>
      <c r="C186" t="s">
        <v>3556</v>
      </c>
    </row>
    <row r="187" spans="1:3" x14ac:dyDescent="0.35">
      <c r="A187" t="s">
        <v>3557</v>
      </c>
      <c r="B187" t="s">
        <v>3558</v>
      </c>
      <c r="C187" t="s">
        <v>3559</v>
      </c>
    </row>
    <row r="188" spans="1:3" x14ac:dyDescent="0.35">
      <c r="A188" t="s">
        <v>3560</v>
      </c>
      <c r="B188" t="s">
        <v>3561</v>
      </c>
      <c r="C188" t="s">
        <v>3562</v>
      </c>
    </row>
    <row r="189" spans="1:3" x14ac:dyDescent="0.35">
      <c r="A189" t="s">
        <v>3563</v>
      </c>
      <c r="B189" t="s">
        <v>3564</v>
      </c>
      <c r="C189" t="s">
        <v>3565</v>
      </c>
    </row>
    <row r="190" spans="1:3" x14ac:dyDescent="0.35">
      <c r="A190" t="s">
        <v>3566</v>
      </c>
      <c r="B190" t="s">
        <v>3567</v>
      </c>
      <c r="C190" t="s">
        <v>3568</v>
      </c>
    </row>
    <row r="191" spans="1:3" x14ac:dyDescent="0.35">
      <c r="A191" t="s">
        <v>3569</v>
      </c>
      <c r="B191" t="s">
        <v>3570</v>
      </c>
      <c r="C191" t="s">
        <v>3571</v>
      </c>
    </row>
    <row r="192" spans="1:3" x14ac:dyDescent="0.35">
      <c r="A192" t="s">
        <v>3572</v>
      </c>
      <c r="B192" t="s">
        <v>3573</v>
      </c>
      <c r="C192" t="s">
        <v>3574</v>
      </c>
    </row>
    <row r="193" spans="1:3" x14ac:dyDescent="0.35">
      <c r="A193" t="s">
        <v>3575</v>
      </c>
      <c r="B193" t="s">
        <v>3576</v>
      </c>
      <c r="C193" t="s">
        <v>3577</v>
      </c>
    </row>
    <row r="194" spans="1:3" x14ac:dyDescent="0.35">
      <c r="A194" t="s">
        <v>3578</v>
      </c>
      <c r="B194" t="s">
        <v>3579</v>
      </c>
      <c r="C194" t="s">
        <v>3580</v>
      </c>
    </row>
    <row r="195" spans="1:3" x14ac:dyDescent="0.35">
      <c r="A195" t="s">
        <v>3581</v>
      </c>
      <c r="B195" t="s">
        <v>3582</v>
      </c>
      <c r="C195" t="s">
        <v>3583</v>
      </c>
    </row>
    <row r="196" spans="1:3" x14ac:dyDescent="0.35">
      <c r="A196" t="s">
        <v>3584</v>
      </c>
      <c r="B196" t="s">
        <v>2978</v>
      </c>
      <c r="C196" t="s">
        <v>3585</v>
      </c>
    </row>
    <row r="197" spans="1:3" x14ac:dyDescent="0.35">
      <c r="A197" t="s">
        <v>3586</v>
      </c>
      <c r="B197" t="s">
        <v>3587</v>
      </c>
      <c r="C197" t="s">
        <v>3588</v>
      </c>
    </row>
    <row r="198" spans="1:3" x14ac:dyDescent="0.35">
      <c r="A198" t="s">
        <v>3589</v>
      </c>
      <c r="B198" t="s">
        <v>3590</v>
      </c>
      <c r="C198" t="s">
        <v>3591</v>
      </c>
    </row>
    <row r="199" spans="1:3" x14ac:dyDescent="0.35">
      <c r="A199" t="s">
        <v>3592</v>
      </c>
      <c r="B199" t="s">
        <v>3593</v>
      </c>
      <c r="C199" t="s">
        <v>3594</v>
      </c>
    </row>
    <row r="200" spans="1:3" x14ac:dyDescent="0.35">
      <c r="A200" t="s">
        <v>3595</v>
      </c>
      <c r="B200" t="s">
        <v>3596</v>
      </c>
      <c r="C200" t="s">
        <v>3597</v>
      </c>
    </row>
    <row r="201" spans="1:3" x14ac:dyDescent="0.35">
      <c r="A201" t="s">
        <v>3598</v>
      </c>
      <c r="B201" t="s">
        <v>3599</v>
      </c>
      <c r="C201" t="s">
        <v>3600</v>
      </c>
    </row>
    <row r="202" spans="1:3" x14ac:dyDescent="0.35">
      <c r="A202" t="s">
        <v>3601</v>
      </c>
      <c r="B202" t="s">
        <v>3602</v>
      </c>
      <c r="C202" t="s">
        <v>3603</v>
      </c>
    </row>
    <row r="203" spans="1:3" x14ac:dyDescent="0.35">
      <c r="A203" t="s">
        <v>3604</v>
      </c>
      <c r="B203" t="s">
        <v>3605</v>
      </c>
      <c r="C203" t="s">
        <v>3606</v>
      </c>
    </row>
    <row r="204" spans="1:3" x14ac:dyDescent="0.35">
      <c r="A204" t="s">
        <v>3607</v>
      </c>
      <c r="B204" t="s">
        <v>3608</v>
      </c>
      <c r="C204" t="s">
        <v>3609</v>
      </c>
    </row>
    <row r="205" spans="1:3" x14ac:dyDescent="0.35">
      <c r="A205" t="s">
        <v>3610</v>
      </c>
      <c r="B205" t="s">
        <v>3611</v>
      </c>
      <c r="C205" t="s">
        <v>3612</v>
      </c>
    </row>
    <row r="206" spans="1:3" x14ac:dyDescent="0.35">
      <c r="A206" t="s">
        <v>3613</v>
      </c>
      <c r="B206" t="s">
        <v>3614</v>
      </c>
      <c r="C206" t="s">
        <v>3615</v>
      </c>
    </row>
    <row r="207" spans="1:3" x14ac:dyDescent="0.35">
      <c r="A207" t="s">
        <v>3616</v>
      </c>
      <c r="B207" t="s">
        <v>3617</v>
      </c>
      <c r="C207" t="s">
        <v>3618</v>
      </c>
    </row>
    <row r="208" spans="1:3" x14ac:dyDescent="0.35">
      <c r="A208" t="s">
        <v>3619</v>
      </c>
      <c r="B208" t="s">
        <v>3620</v>
      </c>
      <c r="C208" t="s">
        <v>3621</v>
      </c>
    </row>
    <row r="209" spans="1:3" x14ac:dyDescent="0.35">
      <c r="A209" t="s">
        <v>3622</v>
      </c>
      <c r="B209" t="s">
        <v>3623</v>
      </c>
      <c r="C209" t="s">
        <v>3624</v>
      </c>
    </row>
    <row r="210" spans="1:3" x14ac:dyDescent="0.35">
      <c r="A210" t="s">
        <v>3625</v>
      </c>
      <c r="B210" t="s">
        <v>3626</v>
      </c>
      <c r="C210" t="s">
        <v>3627</v>
      </c>
    </row>
    <row r="211" spans="1:3" x14ac:dyDescent="0.35">
      <c r="A211" t="s">
        <v>3628</v>
      </c>
      <c r="B211" t="s">
        <v>3629</v>
      </c>
      <c r="C211" t="s">
        <v>3630</v>
      </c>
    </row>
    <row r="212" spans="1:3" x14ac:dyDescent="0.35">
      <c r="A212" t="s">
        <v>3631</v>
      </c>
      <c r="B212" t="s">
        <v>3632</v>
      </c>
      <c r="C212" t="s">
        <v>3633</v>
      </c>
    </row>
    <row r="213" spans="1:3" x14ac:dyDescent="0.35">
      <c r="A213" t="s">
        <v>3634</v>
      </c>
      <c r="B213" t="s">
        <v>3635</v>
      </c>
      <c r="C213" t="s">
        <v>3636</v>
      </c>
    </row>
    <row r="214" spans="1:3" x14ac:dyDescent="0.35">
      <c r="A214" t="s">
        <v>3637</v>
      </c>
      <c r="B214" t="s">
        <v>3638</v>
      </c>
      <c r="C214" t="s">
        <v>3639</v>
      </c>
    </row>
    <row r="215" spans="1:3" x14ac:dyDescent="0.35">
      <c r="A215" t="s">
        <v>3640</v>
      </c>
      <c r="B215" t="s">
        <v>3641</v>
      </c>
      <c r="C215" t="s">
        <v>3642</v>
      </c>
    </row>
    <row r="216" spans="1:3" x14ac:dyDescent="0.35">
      <c r="A216" t="s">
        <v>3250</v>
      </c>
      <c r="B216" t="s">
        <v>3643</v>
      </c>
      <c r="C216" t="s">
        <v>3644</v>
      </c>
    </row>
    <row r="217" spans="1:3" x14ac:dyDescent="0.35">
      <c r="A217" t="s">
        <v>3645</v>
      </c>
      <c r="B217" t="s">
        <v>3646</v>
      </c>
      <c r="C217" t="s">
        <v>3647</v>
      </c>
    </row>
    <row r="218" spans="1:3" x14ac:dyDescent="0.35">
      <c r="A218" t="s">
        <v>3648</v>
      </c>
      <c r="B218" t="s">
        <v>3649</v>
      </c>
      <c r="C218" t="s">
        <v>3650</v>
      </c>
    </row>
    <row r="219" spans="1:3" x14ac:dyDescent="0.35">
      <c r="A219" t="s">
        <v>3651</v>
      </c>
      <c r="B219" t="s">
        <v>3652</v>
      </c>
      <c r="C219" t="s">
        <v>3653</v>
      </c>
    </row>
    <row r="220" spans="1:3" x14ac:dyDescent="0.35">
      <c r="A220" t="s">
        <v>3654</v>
      </c>
      <c r="B220" t="s">
        <v>3655</v>
      </c>
      <c r="C220" t="s">
        <v>3656</v>
      </c>
    </row>
    <row r="221" spans="1:3" x14ac:dyDescent="0.35">
      <c r="A221" t="s">
        <v>3657</v>
      </c>
      <c r="B221" t="s">
        <v>3658</v>
      </c>
      <c r="C221" t="s">
        <v>3659</v>
      </c>
    </row>
    <row r="222" spans="1:3" x14ac:dyDescent="0.35">
      <c r="A222" t="s">
        <v>3660</v>
      </c>
      <c r="B222" t="s">
        <v>3661</v>
      </c>
      <c r="C222" t="s">
        <v>3662</v>
      </c>
    </row>
    <row r="223" spans="1:3" x14ac:dyDescent="0.35">
      <c r="A223" t="s">
        <v>3516</v>
      </c>
      <c r="B223" t="s">
        <v>3663</v>
      </c>
      <c r="C223" t="s">
        <v>3664</v>
      </c>
    </row>
    <row r="224" spans="1:3" x14ac:dyDescent="0.35">
      <c r="A224" t="s">
        <v>3665</v>
      </c>
      <c r="B224" t="s">
        <v>3666</v>
      </c>
      <c r="C224" t="s">
        <v>3667</v>
      </c>
    </row>
    <row r="225" spans="1:3" x14ac:dyDescent="0.35">
      <c r="A225" t="s">
        <v>3668</v>
      </c>
      <c r="B225" t="s">
        <v>3669</v>
      </c>
      <c r="C225" t="s">
        <v>3670</v>
      </c>
    </row>
    <row r="226" spans="1:3" x14ac:dyDescent="0.35">
      <c r="A226" t="s">
        <v>3671</v>
      </c>
      <c r="B226" t="s">
        <v>3672</v>
      </c>
      <c r="C226" t="s">
        <v>3673</v>
      </c>
    </row>
    <row r="227" spans="1:3" x14ac:dyDescent="0.35">
      <c r="A227" t="s">
        <v>3674</v>
      </c>
      <c r="B227" t="s">
        <v>3675</v>
      </c>
      <c r="C227" t="s">
        <v>3676</v>
      </c>
    </row>
    <row r="228" spans="1:3" x14ac:dyDescent="0.35">
      <c r="A228" t="s">
        <v>3677</v>
      </c>
      <c r="B228" t="s">
        <v>3678</v>
      </c>
    </row>
    <row r="229" spans="1:3" x14ac:dyDescent="0.35">
      <c r="A229" t="s">
        <v>3679</v>
      </c>
      <c r="B229" t="s">
        <v>3680</v>
      </c>
    </row>
    <row r="230" spans="1:3" x14ac:dyDescent="0.35">
      <c r="A230" t="s">
        <v>3681</v>
      </c>
    </row>
    <row r="231" spans="1:3" x14ac:dyDescent="0.35">
      <c r="A231" t="s">
        <v>3682</v>
      </c>
    </row>
    <row r="232" spans="1:3" x14ac:dyDescent="0.35">
      <c r="A232" t="s">
        <v>3683</v>
      </c>
    </row>
    <row r="233" spans="1:3" x14ac:dyDescent="0.35">
      <c r="A233" t="s">
        <v>3684</v>
      </c>
    </row>
    <row r="234" spans="1:3" x14ac:dyDescent="0.35">
      <c r="A234" t="s">
        <v>3685</v>
      </c>
    </row>
    <row r="235" spans="1:3" x14ac:dyDescent="0.35">
      <c r="A235" t="s">
        <v>3686</v>
      </c>
    </row>
    <row r="236" spans="1:3" x14ac:dyDescent="0.35">
      <c r="A236" t="s">
        <v>3318</v>
      </c>
    </row>
    <row r="237" spans="1:3" x14ac:dyDescent="0.35">
      <c r="A237" t="s">
        <v>3687</v>
      </c>
    </row>
    <row r="238" spans="1:3" x14ac:dyDescent="0.35">
      <c r="A238" t="s">
        <v>3688</v>
      </c>
    </row>
    <row r="239" spans="1:3" x14ac:dyDescent="0.35">
      <c r="A239" t="s">
        <v>3689</v>
      </c>
    </row>
    <row r="240" spans="1:3" x14ac:dyDescent="0.35">
      <c r="A240" t="s">
        <v>3690</v>
      </c>
    </row>
    <row r="241" spans="1:1" x14ac:dyDescent="0.35">
      <c r="A241" t="s">
        <v>3691</v>
      </c>
    </row>
    <row r="242" spans="1:1" x14ac:dyDescent="0.35">
      <c r="A242" t="s">
        <v>3692</v>
      </c>
    </row>
    <row r="243" spans="1:1" x14ac:dyDescent="0.35">
      <c r="A243" t="s">
        <v>3693</v>
      </c>
    </row>
    <row r="244" spans="1:1" x14ac:dyDescent="0.35">
      <c r="A244" t="s">
        <v>3694</v>
      </c>
    </row>
    <row r="245" spans="1:1" x14ac:dyDescent="0.35">
      <c r="A245" t="s">
        <v>3695</v>
      </c>
    </row>
    <row r="246" spans="1:1" x14ac:dyDescent="0.35">
      <c r="A246" t="s">
        <v>3696</v>
      </c>
    </row>
    <row r="247" spans="1:1" x14ac:dyDescent="0.35">
      <c r="A247" t="s">
        <v>3697</v>
      </c>
    </row>
    <row r="248" spans="1:1" x14ac:dyDescent="0.35">
      <c r="A248" t="s">
        <v>3698</v>
      </c>
    </row>
    <row r="249" spans="1:1" x14ac:dyDescent="0.35">
      <c r="A249" t="s">
        <v>3699</v>
      </c>
    </row>
    <row r="250" spans="1:1" x14ac:dyDescent="0.35">
      <c r="A250" t="s">
        <v>3700</v>
      </c>
    </row>
    <row r="251" spans="1:1" x14ac:dyDescent="0.35">
      <c r="A251" t="s">
        <v>3701</v>
      </c>
    </row>
    <row r="252" spans="1:1" x14ac:dyDescent="0.35">
      <c r="A252" t="s">
        <v>3702</v>
      </c>
    </row>
    <row r="253" spans="1:1" x14ac:dyDescent="0.35">
      <c r="A253" t="s">
        <v>3703</v>
      </c>
    </row>
    <row r="254" spans="1:1" x14ac:dyDescent="0.35">
      <c r="A254" t="s">
        <v>3704</v>
      </c>
    </row>
    <row r="255" spans="1:1" x14ac:dyDescent="0.35">
      <c r="A255" t="s">
        <v>3705</v>
      </c>
    </row>
    <row r="256" spans="1:1" x14ac:dyDescent="0.35">
      <c r="A256" t="s">
        <v>3706</v>
      </c>
    </row>
    <row r="257" spans="1:1" x14ac:dyDescent="0.35">
      <c r="A257" t="s">
        <v>3707</v>
      </c>
    </row>
    <row r="258" spans="1:1" x14ac:dyDescent="0.35">
      <c r="A258" t="s">
        <v>3708</v>
      </c>
    </row>
    <row r="259" spans="1:1" x14ac:dyDescent="0.35">
      <c r="A259" t="s">
        <v>3709</v>
      </c>
    </row>
    <row r="260" spans="1:1" x14ac:dyDescent="0.35">
      <c r="A260" t="s">
        <v>3710</v>
      </c>
    </row>
    <row r="261" spans="1:1" x14ac:dyDescent="0.35">
      <c r="A261" t="s">
        <v>3711</v>
      </c>
    </row>
    <row r="262" spans="1:1" x14ac:dyDescent="0.35">
      <c r="A262" t="s">
        <v>3712</v>
      </c>
    </row>
    <row r="263" spans="1:1" x14ac:dyDescent="0.35">
      <c r="A263" t="s">
        <v>3713</v>
      </c>
    </row>
    <row r="264" spans="1:1" x14ac:dyDescent="0.35">
      <c r="A264" t="s">
        <v>3714</v>
      </c>
    </row>
    <row r="265" spans="1:1" x14ac:dyDescent="0.35">
      <c r="A265" t="s">
        <v>3715</v>
      </c>
    </row>
    <row r="266" spans="1:1" x14ac:dyDescent="0.35">
      <c r="A266" t="s">
        <v>3716</v>
      </c>
    </row>
    <row r="267" spans="1:1" x14ac:dyDescent="0.35">
      <c r="A267" t="s">
        <v>3717</v>
      </c>
    </row>
    <row r="268" spans="1:1" x14ac:dyDescent="0.35">
      <c r="A268" t="s">
        <v>3718</v>
      </c>
    </row>
    <row r="269" spans="1:1" x14ac:dyDescent="0.35">
      <c r="A269" t="s">
        <v>3719</v>
      </c>
    </row>
    <row r="270" spans="1:1" x14ac:dyDescent="0.35">
      <c r="A270" t="s">
        <v>3403</v>
      </c>
    </row>
    <row r="271" spans="1:1" x14ac:dyDescent="0.35">
      <c r="A271" t="s">
        <v>3720</v>
      </c>
    </row>
    <row r="272" spans="1:1" x14ac:dyDescent="0.35">
      <c r="A272" t="s">
        <v>3721</v>
      </c>
    </row>
    <row r="273" spans="1:1" x14ac:dyDescent="0.35">
      <c r="A273" t="s">
        <v>3722</v>
      </c>
    </row>
    <row r="274" spans="1:1" x14ac:dyDescent="0.35">
      <c r="A274" t="s">
        <v>3723</v>
      </c>
    </row>
    <row r="275" spans="1:1" x14ac:dyDescent="0.35">
      <c r="A275" t="s">
        <v>3415</v>
      </c>
    </row>
    <row r="276" spans="1:1" x14ac:dyDescent="0.35">
      <c r="A276" t="s">
        <v>3420</v>
      </c>
    </row>
    <row r="277" spans="1:1" x14ac:dyDescent="0.35">
      <c r="A277" t="s">
        <v>3724</v>
      </c>
    </row>
    <row r="278" spans="1:1" x14ac:dyDescent="0.35">
      <c r="A278" t="s">
        <v>3725</v>
      </c>
    </row>
    <row r="279" spans="1:1" x14ac:dyDescent="0.35">
      <c r="A279" t="s">
        <v>3426</v>
      </c>
    </row>
    <row r="280" spans="1:1" x14ac:dyDescent="0.35">
      <c r="A280" t="s">
        <v>3426</v>
      </c>
    </row>
    <row r="281" spans="1:1" x14ac:dyDescent="0.35">
      <c r="A281" t="s">
        <v>3726</v>
      </c>
    </row>
    <row r="282" spans="1:1" x14ac:dyDescent="0.35">
      <c r="A282" t="s">
        <v>3727</v>
      </c>
    </row>
    <row r="283" spans="1:1" x14ac:dyDescent="0.35">
      <c r="A283" t="s">
        <v>3728</v>
      </c>
    </row>
    <row r="284" spans="1:1" x14ac:dyDescent="0.35">
      <c r="A284" t="s">
        <v>3729</v>
      </c>
    </row>
    <row r="285" spans="1:1" x14ac:dyDescent="0.35">
      <c r="A285" t="s">
        <v>3730</v>
      </c>
    </row>
    <row r="286" spans="1:1" x14ac:dyDescent="0.35">
      <c r="A286" t="s">
        <v>3731</v>
      </c>
    </row>
    <row r="287" spans="1:1" x14ac:dyDescent="0.35">
      <c r="A287" t="s">
        <v>3732</v>
      </c>
    </row>
    <row r="288" spans="1:1" x14ac:dyDescent="0.35">
      <c r="A288" t="s">
        <v>3733</v>
      </c>
    </row>
    <row r="289" spans="1:1" x14ac:dyDescent="0.35">
      <c r="A289" t="s">
        <v>3734</v>
      </c>
    </row>
    <row r="290" spans="1:1" x14ac:dyDescent="0.35">
      <c r="A290" t="s">
        <v>3735</v>
      </c>
    </row>
    <row r="291" spans="1:1" x14ac:dyDescent="0.35">
      <c r="A291" t="s">
        <v>3736</v>
      </c>
    </row>
    <row r="292" spans="1:1" x14ac:dyDescent="0.35">
      <c r="A292" t="s">
        <v>3737</v>
      </c>
    </row>
    <row r="293" spans="1:1" x14ac:dyDescent="0.35">
      <c r="A293" t="s">
        <v>3738</v>
      </c>
    </row>
    <row r="294" spans="1:1" x14ac:dyDescent="0.35">
      <c r="A294" t="s">
        <v>3739</v>
      </c>
    </row>
    <row r="295" spans="1:1" x14ac:dyDescent="0.35">
      <c r="A295" t="s">
        <v>3740</v>
      </c>
    </row>
    <row r="296" spans="1:1" x14ac:dyDescent="0.35">
      <c r="A296" t="s">
        <v>3741</v>
      </c>
    </row>
    <row r="297" spans="1:1" x14ac:dyDescent="0.35">
      <c r="A297" t="s">
        <v>3742</v>
      </c>
    </row>
    <row r="298" spans="1:1" x14ac:dyDescent="0.35">
      <c r="A298" t="s">
        <v>3743</v>
      </c>
    </row>
    <row r="299" spans="1:1" x14ac:dyDescent="0.35">
      <c r="A299" t="s">
        <v>3744</v>
      </c>
    </row>
    <row r="300" spans="1:1" x14ac:dyDescent="0.35">
      <c r="A300" t="s">
        <v>3745</v>
      </c>
    </row>
    <row r="301" spans="1:1" x14ac:dyDescent="0.35">
      <c r="A301" t="s">
        <v>3746</v>
      </c>
    </row>
    <row r="302" spans="1:1" x14ac:dyDescent="0.35">
      <c r="A302" t="s">
        <v>3747</v>
      </c>
    </row>
    <row r="303" spans="1:1" x14ac:dyDescent="0.35">
      <c r="A303" t="s">
        <v>3748</v>
      </c>
    </row>
    <row r="304" spans="1:1" x14ac:dyDescent="0.35">
      <c r="A304" t="s">
        <v>3749</v>
      </c>
    </row>
    <row r="305" spans="1:1" x14ac:dyDescent="0.35">
      <c r="A305" t="s">
        <v>3750</v>
      </c>
    </row>
    <row r="306" spans="1:1" x14ac:dyDescent="0.35">
      <c r="A306" t="s">
        <v>3751</v>
      </c>
    </row>
    <row r="307" spans="1:1" x14ac:dyDescent="0.35">
      <c r="A307" t="s">
        <v>3752</v>
      </c>
    </row>
    <row r="308" spans="1:1" x14ac:dyDescent="0.35">
      <c r="A308" t="s">
        <v>3753</v>
      </c>
    </row>
    <row r="309" spans="1:1" x14ac:dyDescent="0.35">
      <c r="A309" t="s">
        <v>3754</v>
      </c>
    </row>
    <row r="310" spans="1:1" x14ac:dyDescent="0.35">
      <c r="A310" t="s">
        <v>3755</v>
      </c>
    </row>
    <row r="311" spans="1:1" x14ac:dyDescent="0.35">
      <c r="A311" t="s">
        <v>3756</v>
      </c>
    </row>
    <row r="312" spans="1:1" x14ac:dyDescent="0.35">
      <c r="A312" t="s">
        <v>3757</v>
      </c>
    </row>
    <row r="313" spans="1:1" x14ac:dyDescent="0.35">
      <c r="A313" t="s">
        <v>3758</v>
      </c>
    </row>
    <row r="314" spans="1:1" x14ac:dyDescent="0.35">
      <c r="A314" t="s">
        <v>3759</v>
      </c>
    </row>
    <row r="315" spans="1:1" x14ac:dyDescent="0.35">
      <c r="A315" t="s">
        <v>3450</v>
      </c>
    </row>
    <row r="316" spans="1:1" x14ac:dyDescent="0.35">
      <c r="A316" t="s">
        <v>3760</v>
      </c>
    </row>
    <row r="317" spans="1:1" x14ac:dyDescent="0.35">
      <c r="A317" t="s">
        <v>3761</v>
      </c>
    </row>
    <row r="318" spans="1:1" x14ac:dyDescent="0.35">
      <c r="A318" t="s">
        <v>3762</v>
      </c>
    </row>
    <row r="319" spans="1:1" x14ac:dyDescent="0.35">
      <c r="A319" t="s">
        <v>3763</v>
      </c>
    </row>
    <row r="320" spans="1:1" x14ac:dyDescent="0.35">
      <c r="A320" t="s">
        <v>3764</v>
      </c>
    </row>
    <row r="321" spans="1:1" x14ac:dyDescent="0.35">
      <c r="A321" t="s">
        <v>3765</v>
      </c>
    </row>
    <row r="322" spans="1:1" x14ac:dyDescent="0.35">
      <c r="A322" t="s">
        <v>3766</v>
      </c>
    </row>
    <row r="323" spans="1:1" x14ac:dyDescent="0.35">
      <c r="A323" t="s">
        <v>3767</v>
      </c>
    </row>
    <row r="324" spans="1:1" x14ac:dyDescent="0.35">
      <c r="A324" t="s">
        <v>3768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1</vt:lpstr>
      <vt:lpstr>2</vt:lpstr>
      <vt:lpstr>Dados - Cliente</vt:lpstr>
      <vt:lpstr>Dados - Projeto</vt:lpstr>
      <vt:lpstr>Dados - Beneficiarias</vt:lpstr>
      <vt:lpstr>CheckList</vt:lpstr>
      <vt:lpstr>Legendas - VBA</vt:lpstr>
      <vt:lpstr>Dados - Solicitação de acesso</vt:lpstr>
      <vt:lpstr>Dados - Placas</vt:lpstr>
      <vt:lpstr>Lista - Placas</vt:lpstr>
      <vt:lpstr>Dados - Inversores</vt:lpstr>
      <vt:lpstr>Lista - Inversor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Gasparin</dc:creator>
  <cp:lastModifiedBy>nilso</cp:lastModifiedBy>
  <cp:lastPrinted>2022-08-09T13:53:21Z</cp:lastPrinted>
  <dcterms:created xsi:type="dcterms:W3CDTF">2022-02-18T17:11:35Z</dcterms:created>
  <dcterms:modified xsi:type="dcterms:W3CDTF">2024-02-22T19:31:01Z</dcterms:modified>
</cp:coreProperties>
</file>